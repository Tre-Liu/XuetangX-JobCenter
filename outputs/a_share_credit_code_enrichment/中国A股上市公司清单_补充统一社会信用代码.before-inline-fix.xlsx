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9c967351fd4080" /></Relationships>
</file>

<file path=xl/workbook.xml><?xml version="1.0" encoding="utf-8"?>
<x:workbook xmlns:x="http://schemas.openxmlformats.org/spreadsheetml/2006/main">
  <x:sheets>
    <x:sheet xmlns:r="http://schemas.openxmlformats.org/officeDocument/2006/relationships" name="A股上市公司清单" sheetId="1" r:id="R5f415c23213c40ad"/>
    <x:sheet xmlns:r="http://schemas.openxmlformats.org/officeDocument/2006/relationships" name="按省份统计" sheetId="2" r:id="R76446b7525dc4db4"/>
    <x:sheet xmlns:r="http://schemas.openxmlformats.org/officeDocument/2006/relationships" name="统一社会信用代码来源" sheetId="3" r:id="R1ac44f093e5847c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color theme="1"/>
      <x:name val="Calibri"/>
    </x:font>
    <x:font>
      <x:b/>
      <x:sz val="11"/>
      <x:color rgb="FFFFFFFF"/>
      <x:name val="微软雅黑"/>
    </x:font>
    <x:font>
      <x:sz val="10"/>
      <x:name val="微软雅黑"/>
    </x:font>
    <x:font>
      <x:b/>
      <x:sz val="10"/>
      <x:name val="微软雅黑"/>
    </x:font>
    <x:font>
      <x:b/>
      <x:sz val="11"/>
      <x:color rgb="FF000000"/>
      <x:name val="Calibri"/>
    </x:font>
  </x:fonts>
  <x:fills count="4">
    <x:fill>
      <x:patternFill patternType="none"/>
    </x:fill>
    <x:fill>
      <x:patternFill patternType="gray125"/>
    </x:fill>
    <x:fill>
      <x:patternFill patternType="solid">
        <x:fgColor rgb="FF2E7D32"/>
      </x:patternFill>
    </x:fill>
    <x:fill>
      <x:patternFill patternType="solid">
        <x:fgColor rgb="FFF5F5F5"/>
      </x:patternFill>
    </x:fill>
  </x:fills>
  <x:borders count="3">
    <x:border/>
    <x:border>
      <x:left style="thin">
        <x:color rgb="FFD0D0D0"/>
      </x:left>
      <x:right style="thin">
        <x:color rgb="FFD0D0D0"/>
      </x:right>
      <x:top style="thin">
        <x:color rgb="FFD0D0D0"/>
      </x:top>
      <x:bottom style="thin">
        <x:color rgb="FFD0D0D0"/>
      </x:bottom>
    </x:border>
    <x:border>
      <x:left style="thin">
        <x:color rgb="FFD9D9D9"/>
      </x:left>
      <x:right style="thin">
        <x:color rgb="FFD9D9D9"/>
      </x:right>
      <x:top style="thin">
        <x:color rgb="FFD9D9D9"/>
      </x:top>
      <x:bottom style="thin">
        <x:color rgb="FFD9D9D9"/>
      </x:bottom>
    </x:border>
  </x:borders>
  <x:cellStyleXfs count="1">
    <x:xf numFmtId="0" fontId="0" fillId="0" borderId="0"/>
  </x:cellStyleXfs>
  <x:cellXfs count="17">
    <x:xf numFmtId="0" fontId="0" fillId="0" borderId="0" xfId="0"/>
    <x:xf numFmtId="0" fontId="1" fillId="2" borderId="1" xfId="0" applyAlignment="1">
      <x:alignment horizontal="center" vertical="center"/>
    </x:xf>
    <x:xf numFmtId="0" fontId="2" fillId="3" borderId="1" xfId="0" applyAlignment="1">
      <x:alignment horizontal="center" vertical="center"/>
    </x:xf>
    <x:xf numFmtId="0" fontId="2" fillId="3" borderId="1" xfId="0" applyAlignment="1">
      <x:alignment vertical="center"/>
    </x:xf>
    <x:xf numFmtId="0" fontId="2" fillId="0" borderId="1" xfId="0" applyAlignment="1">
      <x:alignment horizontal="center" vertical="center"/>
    </x:xf>
    <x:xf numFmtId="0" fontId="2" fillId="0" borderId="1" xfId="0" applyAlignment="1">
      <x:alignment vertical="center"/>
    </x:xf>
    <x:xf numFmtId="0" fontId="0" fillId="0" borderId="1" xfId="0"/>
    <x:xf numFmtId="0" fontId="3" fillId="0" borderId="1" xfId="0" applyAlignment="1">
      <x:alignment horizontal="center" vertical="center"/>
    </x:xf>
    <x:xf numFmtId="200" fontId="0" fillId="0" borderId="0" xfId="0" applyNumberFormat="1" applyFont="1" applyFill="1" applyBorder="1"/>
    <x:xf numFmtId="200" fontId="0" borderId="0" xfId="0" applyNumberFormat="1" applyFont="1" applyFill="0" applyBorder="1"/>
    <x:xf numFmtId="200" fontId="4" borderId="0" xfId="0" applyNumberFormat="1" applyFont="1" applyFill="0" applyBorder="1"/>
    <x:xf numFmtId="200" fontId="4" borderId="2" xfId="0" applyNumberFormat="1" applyFont="1" applyFill="0" applyBorder="1"/>
    <x:xf numFmtId="200" fontId="0" fillId="0" borderId="2" xfId="0" applyNumberFormat="1" applyFont="1" applyFill="1" applyBorder="1"/>
    <x:xf numFmtId="0" fontId="0" borderId="0" xfId="0" applyNumberFormat="1" applyFont="1" applyFill="0" applyBorder="1"/>
    <x:xf numFmtId="0" fontId="4" borderId="0" xfId="0" applyNumberFormat="1" applyFont="1" applyFill="0" applyBorder="1"/>
    <x:xf numFmtId="0" fontId="4" borderId="2" xfId="0" applyNumberFormat="1" applyFont="1" applyFill="0" applyBorder="1"/>
    <x:xf numFmtId="0" fontId="0" fillId="0" borderId="2"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10ea94c149e49c7" /><Relationship Type="http://schemas.openxmlformats.org/officeDocument/2006/relationships/theme" Target="/xl/theme/theme1.xml" Id="Rbb63c0dbecbb41bc" /><Relationship Type="http://schemas.openxmlformats.org/officeDocument/2006/relationships/sharedStrings" Target="/xl/sharedStrings.xml" Id="R8ef31326c845499c" /><Relationship Type="http://schemas.openxmlformats.org/officeDocument/2006/relationships/worksheet" Target="/xl/worksheets/sheet1.xml" Id="R5f415c23213c40ad" /><Relationship Type="http://schemas.openxmlformats.org/officeDocument/2006/relationships/worksheet" Target="/xl/worksheets/sheet2.xml" Id="R76446b7525dc4db4" /><Relationship Type="http://schemas.openxmlformats.org/officeDocument/2006/relationships/worksheet" Target="/xl/worksheets/sheet3.xml" Id="R1ac44f093e5847c8"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8" customWidth="1"/>
    <x:col min="2" max="2" width="12" customWidth="1"/>
    <x:col min="3" max="3" width="14" customWidth="1"/>
    <x:col min="4" max="4" width="35" customWidth="1"/>
    <x:col min="5" max="5" width="16" customWidth="1"/>
    <x:col min="6" max="6" width="14" customWidth="1"/>
    <x:col min="7" max="7" width="24" customWidth="1"/>
    <x:col min="8" max="8" width="16" customWidth="1"/>
    <x:col min="9" max="9" width="14" customWidth="1"/>
    <x:col min="10" max="10" width="50" customWidth="1"/>
    <x:col min="11" max="11" width="19.110000610351562" hidden="0" customWidth="1"/>
  </x:cols>
  <x:sheetData>
    <x:row r="1">
      <x:c r="A1" s="1" t="inlineStr">
        <x:is>
          <x:t xml:space="preserve">序号</x:t>
        </x:is>
      </x:c>
      <x:c r="B1" s="1" t="inlineStr">
        <x:is>
          <x:t xml:space="preserve">股票代码</x:t>
        </x:is>
      </x:c>
      <x:c r="C1" s="1" t="inlineStr">
        <x:is>
          <x:t xml:space="preserve">股票简称</x:t>
        </x:is>
      </x:c>
      <x:c r="D1" s="1" t="inlineStr">
        <x:is>
          <x:t xml:space="preserve">公司全称</x:t>
        </x:is>
      </x:c>
      <x:c r="E1" s="1" t="inlineStr">
        <x:is>
          <x:t xml:space="preserve">省份</x:t>
        </x:is>
      </x:c>
      <x:c r="F1" s="1" t="inlineStr">
        <x:is>
          <x:t xml:space="preserve">城市</x:t>
        </x:is>
      </x:c>
      <x:c r="G1" s="1" t="inlineStr">
        <x:is>
          <x:t xml:space="preserve">注册地点（省份-城市）</x:t>
        </x:is>
      </x:c>
      <x:c r="H1" s="1" t="inlineStr">
        <x:is>
          <x:t xml:space="preserve">所属行业</x:t>
        </x:is>
      </x:c>
      <x:c r="I1" s="1" t="inlineStr">
        <x:is>
          <x:t xml:space="preserve">上市日期</x:t>
        </x:is>
      </x:c>
      <x:c r="J1" s="1" t="inlineStr">
        <x:is>
          <x:t xml:space="preserve">注册地址</x:t>
        </x:is>
      </x:c>
      <x:c r="K1" s="11" t="str">
        <x:v>统一社会信用代码</x:v>
      </x:c>
    </x:row>
    <x:row r="2">
      <x:c r="A2" s="2" t="n">
        <x:v>1</x:v>
      </x:c>
      <x:c r="B2" s="2" t="inlineStr">
        <x:is>
          <x:t xml:space="preserve">001220</x:t>
        </x:is>
      </x:c>
      <x:c r="C2" s="3" t="inlineStr">
        <x:is>
          <x:t xml:space="preserve">世盟股份</x:t>
        </x:is>
      </x:c>
      <x:c r="D2" s="3" t="inlineStr">
        <x:is>
          <x:t xml:space="preserve"/>
        </x:is>
      </x:c>
      <x:c r="E2" s="2" t="inlineStr">
        <x:is>
          <x:t xml:space="preserve"/>
        </x:is>
      </x:c>
      <x:c r="F2" s="2" t="inlineStr">
        <x:is>
          <x:t xml:space="preserve"/>
        </x:is>
      </x:c>
      <x:c r="G2" s="3" t="inlineStr">
        <x:is>
          <x:t xml:space="preserve"/>
        </x:is>
      </x:c>
      <x:c r="H2" s="2" t="inlineStr">
        <x:is>
          <x:t xml:space="preserve"/>
        </x:is>
      </x:c>
      <x:c r="I2" s="2" t="inlineStr">
        <x:is>
          <x:t xml:space="preserve">2026-02-03</x:t>
        </x:is>
      </x:c>
      <x:c r="J2" s="3" t="n"/>
      <x:c r="K2" s="12" t="str">
        <x:f>LEFT("911101135658030704",18)</x:f>
        <x:v>911101135658030700</x:v>
      </x:c>
    </x:row>
    <x:row r="3">
      <x:c r="A3" s="4" t="n">
        <x:v>2</x:v>
      </x:c>
      <x:c r="B3" s="4" t="inlineStr">
        <x:is>
          <x:t xml:space="preserve">301628</x:t>
        </x:is>
      </x:c>
      <x:c r="C3" s="5" t="inlineStr">
        <x:is>
          <x:t xml:space="preserve">强达电路</x:t>
        </x:is>
      </x:c>
      <x:c r="D3" s="5" t="inlineStr">
        <x:is>
          <x:t xml:space="preserve"/>
        </x:is>
      </x:c>
      <x:c r="E3" s="4" t="inlineStr">
        <x:is>
          <x:t xml:space="preserve"/>
        </x:is>
      </x:c>
      <x:c r="F3" s="4" t="inlineStr">
        <x:is>
          <x:t xml:space="preserve"/>
        </x:is>
      </x:c>
      <x:c r="G3" s="5" t="inlineStr">
        <x:is>
          <x:t xml:space="preserve"/>
        </x:is>
      </x:c>
      <x:c r="H3" s="4" t="inlineStr">
        <x:is>
          <x:t xml:space="preserve"/>
        </x:is>
      </x:c>
      <x:c r="I3" s="4" t="inlineStr">
        <x:is>
          <x:t xml:space="preserve">2024-10-31</x:t>
        </x:is>
      </x:c>
      <x:c r="J3" s="5" t="n"/>
      <x:c r="K3" s="12" t="str">
        <x:f>LEFT("91440300763461366N",18)</x:f>
        <x:v>91440300763461366N</x:v>
      </x:c>
    </x:row>
    <x:row r="4">
      <x:c r="A4" s="2" t="n">
        <x:v>3</x:v>
      </x:c>
      <x:c r="B4" s="2" t="inlineStr">
        <x:is>
          <x:t xml:space="preserve">688712</x:t>
        </x:is>
      </x:c>
      <x:c r="C4" s="3" t="inlineStr">
        <x:is>
          <x:t xml:space="preserve">北芯生命</x:t>
        </x:is>
      </x:c>
      <x:c r="D4" s="3" t="inlineStr">
        <x:is>
          <x:t xml:space="preserve"/>
        </x:is>
      </x:c>
      <x:c r="E4" s="2" t="inlineStr">
        <x:is>
          <x:t xml:space="preserve"/>
        </x:is>
      </x:c>
      <x:c r="F4" s="2" t="inlineStr">
        <x:is>
          <x:t xml:space="preserve"/>
        </x:is>
      </x:c>
      <x:c r="G4" s="3" t="inlineStr">
        <x:is>
          <x:t xml:space="preserve"/>
        </x:is>
      </x:c>
      <x:c r="H4" s="2" t="inlineStr">
        <x:is>
          <x:t xml:space="preserve"/>
        </x:is>
      </x:c>
      <x:c r="I4" s="2" t="inlineStr">
        <x:is>
          <x:t xml:space="preserve">2026-02-05</x:t>
        </x:is>
      </x:c>
      <x:c r="J4" s="3" t="n"/>
      <x:c r="K4" s="12" t="str">
        <x:f>LEFT("91440300359500431C",18)</x:f>
        <x:v>91440300359500431C</x:v>
      </x:c>
    </x:row>
    <x:row r="5">
      <x:c r="A5" s="4" t="n">
        <x:v>4</x:v>
      </x:c>
      <x:c r="B5" s="4" t="inlineStr">
        <x:is>
          <x:t xml:space="preserve">600938</x:t>
        </x:is>
      </x:c>
      <x:c r="C5" s="5" t="inlineStr">
        <x:is>
          <x:t xml:space="preserve">中国海油</x:t>
        </x:is>
      </x:c>
      <x:c r="D5" s="5" t="inlineStr">
        <x:is>
          <x:t xml:space="preserve">中国海洋石油有限公司</x:t>
        </x:is>
      </x:c>
      <x:c r="E5" s="4" t="inlineStr">
        <x:is>
          <x:t xml:space="preserve">--</x:t>
        </x:is>
      </x:c>
      <x:c r="F5" s="4" t="inlineStr">
        <x:is>
          <x:t xml:space="preserve"/>
        </x:is>
      </x:c>
      <x:c r="G5" s="5" t="inlineStr">
        <x:is>
          <x:t xml:space="preserve">--</x:t>
        </x:is>
      </x:c>
      <x:c r="H5" s="4" t="inlineStr">
        <x:is>
          <x:t xml:space="preserve">石油行业</x:t>
        </x:is>
      </x:c>
      <x:c r="I5" s="4" t="inlineStr">
        <x:is>
          <x:t xml:space="preserve">2022-04-21</x:t>
        </x:is>
      </x:c>
      <x:c r="J5" s="5" t="inlineStr">
        <x:is>
          <x:t xml:space="preserve">香港花园道1号中银大厦65层</x:t>
        </x:is>
      </x:c>
      <x:c r="K5" s="12"/>
    </x:row>
    <x:row r="6">
      <x:c r="A6" s="2" t="n">
        <x:v>5</x:v>
      </x:c>
      <x:c r="B6" s="2" t="inlineStr">
        <x:is>
          <x:t xml:space="preserve">600941</x:t>
        </x:is>
      </x:c>
      <x:c r="C6" s="3" t="inlineStr">
        <x:is>
          <x:t xml:space="preserve">中国移动</x:t>
        </x:is>
      </x:c>
      <x:c r="D6" s="3" t="inlineStr">
        <x:is>
          <x:t xml:space="preserve">中国移动有限公司</x:t>
        </x:is>
      </x:c>
      <x:c r="E6" s="2" t="inlineStr">
        <x:is>
          <x:t xml:space="preserve">--</x:t>
        </x:is>
      </x:c>
      <x:c r="F6" s="2" t="inlineStr">
        <x:is>
          <x:t xml:space="preserve"/>
        </x:is>
      </x:c>
      <x:c r="G6" s="3" t="inlineStr">
        <x:is>
          <x:t xml:space="preserve">--</x:t>
        </x:is>
      </x:c>
      <x:c r="H6" s="2" t="inlineStr">
        <x:is>
          <x:t xml:space="preserve">通信服务</x:t>
        </x:is>
      </x:c>
      <x:c r="I6" s="2" t="inlineStr">
        <x:is>
          <x:t xml:space="preserve">2022-01-05</x:t>
        </x:is>
      </x:c>
      <x:c r="J6" s="3" t="inlineStr">
        <x:is>
          <x:t xml:space="preserve">香港中环皇后大道中99号中环中心60楼</x:t>
        </x:is>
      </x:c>
      <x:c r="K6" s="12"/>
    </x:row>
    <x:row r="7">
      <x:c r="A7" s="4" t="n">
        <x:v>6</x:v>
      </x:c>
      <x:c r="B7" s="4" t="inlineStr">
        <x:is>
          <x:t xml:space="preserve">688347</x:t>
        </x:is>
      </x:c>
      <x:c r="C7" s="5" t="inlineStr">
        <x:is>
          <x:t xml:space="preserve">华虹公司</x:t>
        </x:is>
      </x:c>
      <x:c r="D7" s="5" t="inlineStr">
        <x:is>
          <x:t xml:space="preserve">华虹半导体有限公司</x:t>
        </x:is>
      </x:c>
      <x:c r="E7" s="4" t="inlineStr">
        <x:is>
          <x:t xml:space="preserve">--</x:t>
        </x:is>
      </x:c>
      <x:c r="F7" s="4" t="inlineStr">
        <x:is>
          <x:t xml:space="preserve"/>
        </x:is>
      </x:c>
      <x:c r="G7" s="5" t="inlineStr">
        <x:is>
          <x:t xml:space="preserve">--</x:t>
        </x:is>
      </x:c>
      <x:c r="H7" s="4" t="inlineStr">
        <x:is>
          <x:t xml:space="preserve">半导体</x:t>
        </x:is>
      </x:c>
      <x:c r="I7" s="4" t="inlineStr">
        <x:is>
          <x:t xml:space="preserve">2023-08-07</x:t>
        </x:is>
      </x:c>
      <x:c r="J7" s="5" t="inlineStr">
        <x:is>
          <x:t xml:space="preserve">香港中环夏悫道12号美国银行中心2212室</x:t>
        </x:is>
      </x:c>
      <x:c r="K7" s="12"/>
    </x:row>
    <x:row r="8">
      <x:c r="A8" s="2" t="n">
        <x:v>7</x:v>
      </x:c>
      <x:c r="B8" s="2" t="inlineStr">
        <x:is>
          <x:t xml:space="preserve">000863</x:t>
        </x:is>
      </x:c>
      <x:c r="C8" s="3" t="inlineStr">
        <x:is>
          <x:t xml:space="preserve">三湘印象</x:t>
        </x:is>
      </x:c>
      <x:c r="D8" s="3" t="inlineStr">
        <x:is>
          <x:t xml:space="preserve">三湘印象股份有限公司</x:t>
        </x:is>
      </x:c>
      <x:c r="E8" s="2" t="inlineStr">
        <x:is>
          <x:t xml:space="preserve">上海市</x:t>
        </x:is>
      </x:c>
      <x:c r="F8" s="2" t="inlineStr">
        <x:is>
          <x:t xml:space="preserve">上海市</x:t>
        </x:is>
      </x:c>
      <x:c r="G8" s="3" t="inlineStr">
        <x:is>
          <x:t xml:space="preserve">上海市-上海市</x:t>
        </x:is>
      </x:c>
      <x:c r="H8" s="2" t="inlineStr">
        <x:is>
          <x:t xml:space="preserve">房地产</x:t>
        </x:is>
      </x:c>
      <x:c r="I8" s="2" t="inlineStr">
        <x:is>
          <x:t xml:space="preserve">1997-09-25</x:t>
        </x:is>
      </x:c>
      <x:c r="J8" s="3" t="inlineStr">
        <x:is>
          <x:t xml:space="preserve">上海市杨浦区逸仙路333号501室</x:t>
        </x:is>
      </x:c>
      <x:c r="K8" s="12" t="str">
        <x:f>LEFT("913100002437770094",18)</x:f>
        <x:v>913100002437770100</x:v>
      </x:c>
    </x:row>
    <x:row r="9">
      <x:c r="A9" s="4" t="n">
        <x:v>8</x:v>
      </x:c>
      <x:c r="B9" s="4" t="inlineStr">
        <x:is>
          <x:t xml:space="preserve">001266</x:t>
        </x:is>
      </x:c>
      <x:c r="C9" s="5" t="inlineStr">
        <x:is>
          <x:t xml:space="preserve">宏英智能</x:t>
        </x:is>
      </x:c>
      <x:c r="D9" s="5" t="inlineStr">
        <x:is>
          <x:t xml:space="preserve">上海宏英智能科技股份有限公司</x:t>
        </x:is>
      </x:c>
      <x:c r="E9" s="4" t="inlineStr">
        <x:is>
          <x:t xml:space="preserve">上海市</x:t>
        </x:is>
      </x:c>
      <x:c r="F9" s="4" t="inlineStr">
        <x:is>
          <x:t xml:space="preserve">上海市</x:t>
        </x:is>
      </x:c>
      <x:c r="G9" s="5" t="inlineStr">
        <x:is>
          <x:t xml:space="preserve">上海市-上海市</x:t>
        </x:is>
      </x:c>
      <x:c r="H9" s="4" t="inlineStr">
        <x:is>
          <x:t xml:space="preserve">仪器仪表</x:t>
        </x:is>
      </x:c>
      <x:c r="I9" s="4" t="inlineStr">
        <x:is>
          <x:t xml:space="preserve">2022-02-28</x:t>
        </x:is>
      </x:c>
      <x:c r="J9" s="5" t="inlineStr">
        <x:is>
          <x:t xml:space="preserve">上海市嘉定区真南路4268号2幢J11387室</x:t>
        </x:is>
      </x:c>
      <x:c r="K9" s="12" t="str">
        <x:f>LEFT("91310114781898318F",18)</x:f>
        <x:v>91310114781898318F</x:v>
      </x:c>
    </x:row>
    <x:row r="10">
      <x:c r="A10" s="2" t="n">
        <x:v>9</x:v>
      </x:c>
      <x:c r="B10" s="2" t="inlineStr">
        <x:is>
          <x:t xml:space="preserve">001396</x:t>
        </x:is>
      </x:c>
      <x:c r="C10" s="3" t="inlineStr">
        <x:is>
          <x:t xml:space="preserve">誉帆科技</x:t>
        </x:is>
      </x:c>
      <x:c r="D10" s="3" t="inlineStr">
        <x:is>
          <x:t xml:space="preserve">上海誉帆环境科技股份有限公司</x:t>
        </x:is>
      </x:c>
      <x:c r="E10" s="2" t="inlineStr">
        <x:is>
          <x:t xml:space="preserve">上海市</x:t>
        </x:is>
      </x:c>
      <x:c r="F10" s="2" t="inlineStr">
        <x:is>
          <x:t xml:space="preserve">上海市</x:t>
        </x:is>
      </x:c>
      <x:c r="G10" s="3" t="inlineStr">
        <x:is>
          <x:t xml:space="preserve">上海市-上海市</x:t>
        </x:is>
      </x:c>
      <x:c r="H10" s="2" t="inlineStr">
        <x:is>
          <x:t xml:space="preserve">专业服务</x:t>
        </x:is>
      </x:c>
      <x:c r="I10" s="2" t="inlineStr">
        <x:is>
          <x:t xml:space="preserve">2025-12-30</x:t>
        </x:is>
      </x:c>
      <x:c r="J10" s="3" t="inlineStr">
        <x:is>
          <x:t xml:space="preserve">上海市长宁区通协路558号3幢4层</x:t>
        </x:is>
      </x:c>
      <x:c r="K10" s="12" t="str">
        <x:f>LEFT("913101050593441823",18)</x:f>
        <x:v>913101050593441800</x:v>
      </x:c>
    </x:row>
    <x:row r="11">
      <x:c r="A11" s="4" t="n">
        <x:v>10</x:v>
      </x:c>
      <x:c r="B11" s="4" t="inlineStr">
        <x:is>
          <x:t xml:space="preserve">002022</x:t>
        </x:is>
      </x:c>
      <x:c r="C11" s="5" t="inlineStr">
        <x:is>
          <x:t xml:space="preserve">科华生物</x:t>
        </x:is>
      </x:c>
      <x:c r="D11" s="5" t="inlineStr">
        <x:is>
          <x:t xml:space="preserve">上海科华生物工程股份有限公司</x:t>
        </x:is>
      </x:c>
      <x:c r="E11" s="4" t="inlineStr">
        <x:is>
          <x:t xml:space="preserve">上海市</x:t>
        </x:is>
      </x:c>
      <x:c r="F11" s="4" t="inlineStr">
        <x:is>
          <x:t xml:space="preserve">上海市</x:t>
        </x:is>
      </x:c>
      <x:c r="G11" s="5" t="inlineStr">
        <x:is>
          <x:t xml:space="preserve">上海市-上海市</x:t>
        </x:is>
      </x:c>
      <x:c r="H11" s="4" t="inlineStr">
        <x:is>
          <x:t xml:space="preserve">医疗器械</x:t>
        </x:is>
      </x:c>
      <x:c r="I11" s="4" t="inlineStr">
        <x:is>
          <x:t xml:space="preserve">2004-07-21</x:t>
        </x:is>
      </x:c>
      <x:c r="J11" s="5" t="inlineStr">
        <x:is>
          <x:t xml:space="preserve">上海市徐汇区钦州北路1189号</x:t>
        </x:is>
      </x:c>
      <x:c r="K11" s="12" t="str">
        <x:f>LEFT("91310000132660318J",18)</x:f>
        <x:v>91310000132660318J</x:v>
      </x:c>
    </x:row>
    <x:row r="12">
      <x:c r="A12" s="2" t="n">
        <x:v>11</x:v>
      </x:c>
      <x:c r="B12" s="2" t="inlineStr">
        <x:is>
          <x:t xml:space="preserve">002027</x:t>
        </x:is>
      </x:c>
      <x:c r="C12" s="3" t="inlineStr">
        <x:is>
          <x:t xml:space="preserve">分众传媒</x:t>
        </x:is>
      </x:c>
      <x:c r="D12" s="3" t="inlineStr">
        <x:is>
          <x:t xml:space="preserve">分众传媒信息技术股份有限公司</x:t>
        </x:is>
      </x:c>
      <x:c r="E12" s="2" t="inlineStr">
        <x:is>
          <x:t xml:space="preserve">上海市</x:t>
        </x:is>
      </x:c>
      <x:c r="F12" s="2" t="inlineStr">
        <x:is>
          <x:t xml:space="preserve">上海市</x:t>
        </x:is>
      </x:c>
      <x:c r="G12" s="3" t="inlineStr">
        <x:is>
          <x:t xml:space="preserve">上海市-上海市</x:t>
        </x:is>
      </x:c>
      <x:c r="H12" s="2" t="inlineStr">
        <x:is>
          <x:t xml:space="preserve">文化传媒</x:t>
        </x:is>
      </x:c>
      <x:c r="I12" s="2" t="inlineStr">
        <x:is>
          <x:t xml:space="preserve">2004-08-04</x:t>
        </x:is>
      </x:c>
      <x:c r="J12" s="3" t="inlineStr">
        <x:is>
          <x:t xml:space="preserve">上海市长宁区江苏路369号27楼H座</x:t>
        </x:is>
      </x:c>
      <x:c r="K12" s="12" t="str">
        <x:f>LEFT("914401016185128337",18)</x:f>
        <x:v>914401016185128300</x:v>
      </x:c>
    </x:row>
    <x:row r="13">
      <x:c r="A13" s="4" t="n">
        <x:v>12</x:v>
      </x:c>
      <x:c r="B13" s="4" t="inlineStr">
        <x:is>
          <x:t xml:space="preserve">002028</x:t>
        </x:is>
      </x:c>
      <x:c r="C13" s="5" t="inlineStr">
        <x:is>
          <x:t xml:space="preserve">思源电气</x:t>
        </x:is>
      </x:c>
      <x:c r="D13" s="5" t="inlineStr">
        <x:is>
          <x:t xml:space="preserve">思源电气股份有限公司</x:t>
        </x:is>
      </x:c>
      <x:c r="E13" s="4" t="inlineStr">
        <x:is>
          <x:t xml:space="preserve">上海市</x:t>
        </x:is>
      </x:c>
      <x:c r="F13" s="4" t="inlineStr">
        <x:is>
          <x:t xml:space="preserve">上海市</x:t>
        </x:is>
      </x:c>
      <x:c r="G13" s="5" t="inlineStr">
        <x:is>
          <x:t xml:space="preserve">上海市-上海市</x:t>
        </x:is>
      </x:c>
      <x:c r="H13" s="4" t="inlineStr">
        <x:is>
          <x:t xml:space="preserve">输配电气</x:t>
        </x:is>
      </x:c>
      <x:c r="I13" s="4" t="inlineStr">
        <x:is>
          <x:t xml:space="preserve">2004-08-05</x:t>
        </x:is>
      </x:c>
      <x:c r="J13" s="5" t="inlineStr">
        <x:is>
          <x:t xml:space="preserve">上海市闵行区金都路4399号</x:t>
        </x:is>
      </x:c>
      <x:c r="K13" s="12" t="str">
        <x:f>LEFT("91310000607671222U",18)</x:f>
        <x:v>91310000607671222U</x:v>
      </x:c>
    </x:row>
    <x:row r="14">
      <x:c r="A14" s="2" t="n">
        <x:v>13</x:v>
      </x:c>
      <x:c r="B14" s="2" t="inlineStr">
        <x:is>
          <x:t xml:space="preserve">002058</x:t>
        </x:is>
      </x:c>
      <x:c r="C14" s="3" t="inlineStr">
        <x:is>
          <x:t xml:space="preserve">威尔泰</x:t>
        </x:is>
      </x:c>
      <x:c r="D14" s="3" t="inlineStr">
        <x:is>
          <x:t xml:space="preserve">上海威尔泰工业自动化股份有限公司</x:t>
        </x:is>
      </x:c>
      <x:c r="E14" s="2" t="inlineStr">
        <x:is>
          <x:t xml:space="preserve">上海市</x:t>
        </x:is>
      </x:c>
      <x:c r="F14" s="2" t="inlineStr">
        <x:is>
          <x:t xml:space="preserve">上海市</x:t>
        </x:is>
      </x:c>
      <x:c r="G14" s="3" t="inlineStr">
        <x:is>
          <x:t xml:space="preserve">上海市-上海市</x:t>
        </x:is>
      </x:c>
      <x:c r="H14" s="2" t="inlineStr">
        <x:is>
          <x:t xml:space="preserve">电网设备</x:t>
        </x:is>
      </x:c>
      <x:c r="I14" s="2" t="inlineStr">
        <x:is>
          <x:t xml:space="preserve">2006-08-02</x:t>
        </x:is>
      </x:c>
      <x:c r="J14" s="3" t="inlineStr">
        <x:is>
          <x:t xml:space="preserve">上海市闵行区兰香湖南路1280号4层07室</x:t>
        </x:is>
      </x:c>
      <x:c r="K14" s="12" t="str">
        <x:f>LEFT("91310000607221766P",18)</x:f>
        <x:v>91310000607221766P</x:v>
      </x:c>
    </x:row>
    <x:row r="15">
      <x:c r="A15" s="4" t="n">
        <x:v>14</x:v>
      </x:c>
      <x:c r="B15" s="4" t="inlineStr">
        <x:is>
          <x:t xml:space="preserve">002116</x:t>
        </x:is>
      </x:c>
      <x:c r="C15" s="5" t="inlineStr">
        <x:is>
          <x:t xml:space="preserve">中国海诚</x:t>
        </x:is>
      </x:c>
      <x:c r="D15" s="5" t="inlineStr">
        <x:is>
          <x:t xml:space="preserve">中国海诚工程科技股份有限公司</x:t>
        </x:is>
      </x:c>
      <x:c r="E15" s="4" t="inlineStr">
        <x:is>
          <x:t xml:space="preserve">上海市</x:t>
        </x:is>
      </x:c>
      <x:c r="F15" s="4" t="inlineStr">
        <x:is>
          <x:t xml:space="preserve">上海市</x:t>
        </x:is>
      </x:c>
      <x:c r="G15" s="5" t="inlineStr">
        <x:is>
          <x:t xml:space="preserve">上海市-上海市</x:t>
        </x:is>
      </x:c>
      <x:c r="H15" s="4" t="inlineStr">
        <x:is>
          <x:t xml:space="preserve">工程咨询服务</x:t>
        </x:is>
      </x:c>
      <x:c r="I15" s="4" t="inlineStr">
        <x:is>
          <x:t xml:space="preserve">2007-02-15</x:t>
        </x:is>
      </x:c>
      <x:c r="J15" s="5" t="inlineStr">
        <x:is>
          <x:t xml:space="preserve">上海市宝庆路21号</x:t>
        </x:is>
      </x:c>
      <x:c r="K15" s="12" t="str">
        <x:f>LEFT("91310000425011944Y",18)</x:f>
        <x:v>91310000425011944Y</x:v>
      </x:c>
    </x:row>
    <x:row r="16">
      <x:c r="A16" s="2" t="n">
        <x:v>15</x:v>
      </x:c>
      <x:c r="B16" s="2" t="inlineStr">
        <x:is>
          <x:t xml:space="preserve">002158</x:t>
        </x:is>
      </x:c>
      <x:c r="C16" s="3" t="inlineStr">
        <x:is>
          <x:t xml:space="preserve">汉钟精机</x:t>
        </x:is>
      </x:c>
      <x:c r="D16" s="3" t="inlineStr">
        <x:is>
          <x:t xml:space="preserve">上海汉钟精机股份有限公司</x:t>
        </x:is>
      </x:c>
      <x:c r="E16" s="2" t="inlineStr">
        <x:is>
          <x:t xml:space="preserve">上海市</x:t>
        </x:is>
      </x:c>
      <x:c r="F16" s="2" t="inlineStr">
        <x:is>
          <x:t xml:space="preserve">上海市</x:t>
        </x:is>
      </x:c>
      <x:c r="G16" s="3" t="inlineStr">
        <x:is>
          <x:t xml:space="preserve">上海市-上海市</x:t>
        </x:is>
      </x:c>
      <x:c r="H16" s="2" t="inlineStr">
        <x:is>
          <x:t xml:space="preserve">机械行业</x:t>
        </x:is>
      </x:c>
      <x:c r="I16" s="2" t="inlineStr">
        <x:is>
          <x:t xml:space="preserve">2007-08-17</x:t>
        </x:is>
      </x:c>
      <x:c r="J16" s="3" t="inlineStr">
        <x:is>
          <x:t xml:space="preserve">上海市金山区枫泾镇建贡路108号</x:t>
        </x:is>
      </x:c>
      <x:c r="K16" s="12" t="str">
        <x:f>LEFT("91310000607386296K",18)</x:f>
        <x:v>91310000607386296K</x:v>
      </x:c>
    </x:row>
    <x:row r="17">
      <x:c r="A17" s="4" t="n">
        <x:v>16</x:v>
      </x:c>
      <x:c r="B17" s="4" t="inlineStr">
        <x:is>
          <x:t xml:space="preserve">002162</x:t>
        </x:is>
      </x:c>
      <x:c r="C17" s="5" t="inlineStr">
        <x:is>
          <x:t xml:space="preserve">悦心健康</x:t>
        </x:is>
      </x:c>
      <x:c r="D17" s="5" t="inlineStr">
        <x:is>
          <x:t xml:space="preserve">上海悦心健康集团股份有限公司</x:t>
        </x:is>
      </x:c>
      <x:c r="E17" s="4" t="inlineStr">
        <x:is>
          <x:t xml:space="preserve">上海市</x:t>
        </x:is>
      </x:c>
      <x:c r="F17" s="4" t="inlineStr">
        <x:is>
          <x:t xml:space="preserve">上海市</x:t>
        </x:is>
      </x:c>
      <x:c r="G17" s="5" t="inlineStr">
        <x:is>
          <x:t xml:space="preserve">上海市-上海市</x:t>
        </x:is>
      </x:c>
      <x:c r="H17" s="4" t="inlineStr">
        <x:is>
          <x:t xml:space="preserve">装修建材</x:t>
        </x:is>
      </x:c>
      <x:c r="I17" s="4" t="inlineStr">
        <x:is>
          <x:t xml:space="preserve">2007-08-23</x:t>
        </x:is>
      </x:c>
      <x:c r="J17" s="5" t="inlineStr">
        <x:is>
          <x:t xml:space="preserve">上海市闵行区浦江镇三鲁公路2121号</x:t>
        </x:is>
      </x:c>
      <x:c r="K17" s="12" t="str">
        <x:f>LEFT("91310000607254680E",18)</x:f>
        <x:v>91310000607254680E</x:v>
      </x:c>
    </x:row>
    <x:row r="18">
      <x:c r="A18" s="2" t="n">
        <x:v>17</x:v>
      </x:c>
      <x:c r="B18" s="2" t="inlineStr">
        <x:is>
          <x:t xml:space="preserve">002178</x:t>
        </x:is>
      </x:c>
      <x:c r="C18" s="3" t="inlineStr">
        <x:is>
          <x:t xml:space="preserve">延华智能</x:t>
        </x:is>
      </x:c>
      <x:c r="D18" s="3" t="inlineStr">
        <x:is>
          <x:t xml:space="preserve">上海延华智能科技(集团)股份有限公司</x:t>
        </x:is>
      </x:c>
      <x:c r="E18" s="2" t="inlineStr">
        <x:is>
          <x:t xml:space="preserve">上海市</x:t>
        </x:is>
      </x:c>
      <x:c r="F18" s="2" t="inlineStr">
        <x:is>
          <x:t xml:space="preserve">上海市</x:t>
        </x:is>
      </x:c>
      <x:c r="G18" s="3" t="inlineStr">
        <x:is>
          <x:t xml:space="preserve">上海市-上海市</x:t>
        </x:is>
      </x:c>
      <x:c r="H18" s="2" t="inlineStr">
        <x:is>
          <x:t xml:space="preserve">软件服务</x:t>
        </x:is>
      </x:c>
      <x:c r="I18" s="2" t="inlineStr">
        <x:is>
          <x:t xml:space="preserve">2007-11-01</x:t>
        </x:is>
      </x:c>
      <x:c r="J18" s="3" t="inlineStr">
        <x:is>
          <x:t xml:space="preserve">上海市普陀区西康路1255号6楼602</x:t>
        </x:is>
      </x:c>
      <x:c r="K18" s="12" t="str">
        <x:f>LEFT("91310000734057153P",18)</x:f>
        <x:v>91310000734057153P</x:v>
      </x:c>
    </x:row>
    <x:row r="19">
      <x:c r="A19" s="4" t="n">
        <x:v>18</x:v>
      </x:c>
      <x:c r="B19" s="4" t="inlineStr">
        <x:is>
          <x:t xml:space="preserve">002184</x:t>
        </x:is>
      </x:c>
      <x:c r="C19" s="5" t="inlineStr">
        <x:is>
          <x:t xml:space="preserve">海得控制</x:t>
        </x:is>
      </x:c>
      <x:c r="D19" s="5" t="inlineStr">
        <x:is>
          <x:t xml:space="preserve">上海海得控制系统股份有限公司</x:t>
        </x:is>
      </x:c>
      <x:c r="E19" s="4" t="inlineStr">
        <x:is>
          <x:t xml:space="preserve">上海市</x:t>
        </x:is>
      </x:c>
      <x:c r="F19" s="4" t="inlineStr">
        <x:is>
          <x:t xml:space="preserve">上海市</x:t>
        </x:is>
      </x:c>
      <x:c r="G19" s="5" t="inlineStr">
        <x:is>
          <x:t xml:space="preserve">上海市-上海市</x:t>
        </x:is>
      </x:c>
      <x:c r="H19" s="4" t="inlineStr">
        <x:is>
          <x:t xml:space="preserve">专用设备</x:t>
        </x:is>
      </x:c>
      <x:c r="I19" s="4" t="inlineStr">
        <x:is>
          <x:t xml:space="preserve">2007-11-16</x:t>
        </x:is>
      </x:c>
      <x:c r="J19" s="5" t="inlineStr">
        <x:is>
          <x:t xml:space="preserve">上海市闵行区新骏环路777号</x:t>
        </x:is>
      </x:c>
      <x:c r="K19" s="12" t="str">
        <x:f>LEFT("91310000133727203Q",18)</x:f>
        <x:v>91310000133727203Q</x:v>
      </x:c>
    </x:row>
    <x:row r="20">
      <x:c r="A20" s="2" t="n">
        <x:v>19</x:v>
      </x:c>
      <x:c r="B20" s="2" t="inlineStr">
        <x:is>
          <x:t xml:space="preserve">002195</x:t>
        </x:is>
      </x:c>
      <x:c r="C20" s="3" t="inlineStr">
        <x:is>
          <x:t xml:space="preserve">岩山科技</x:t>
        </x:is>
      </x:c>
      <x:c r="D20" s="3" t="inlineStr">
        <x:is>
          <x:t xml:space="preserve">上海岩山科技股份有限公司</x:t>
        </x:is>
      </x:c>
      <x:c r="E20" s="2" t="inlineStr">
        <x:is>
          <x:t xml:space="preserve">上海市</x:t>
        </x:is>
      </x:c>
      <x:c r="F20" s="2" t="inlineStr">
        <x:is>
          <x:t xml:space="preserve">上海市</x:t>
        </x:is>
      </x:c>
      <x:c r="G20" s="3" t="inlineStr">
        <x:is>
          <x:t xml:space="preserve">上海市-上海市</x:t>
        </x:is>
      </x:c>
      <x:c r="H20" s="2" t="inlineStr">
        <x:is>
          <x:t xml:space="preserve">电子信息</x:t>
        </x:is>
      </x:c>
      <x:c r="I20" s="2" t="inlineStr">
        <x:is>
          <x:t xml:space="preserve">2007-12-12</x:t>
        </x:is>
      </x:c>
      <x:c r="J20" s="3" t="inlineStr">
        <x:is>
          <x:t xml:space="preserve">中国(上海)自由贸易试验区张江路665号3层</x:t>
        </x:is>
      </x:c>
      <x:c r="K20" s="12" t="str">
        <x:f>LEFT("91310000607203699D",18)</x:f>
        <x:v>91310000607203699D</x:v>
      </x:c>
    </x:row>
    <x:row r="21">
      <x:c r="A21" s="4" t="n">
        <x:v>20</x:v>
      </x:c>
      <x:c r="B21" s="4" t="inlineStr">
        <x:is>
          <x:t xml:space="preserve">002211</x:t>
        </x:is>
      </x:c>
      <x:c r="C21" s="5" t="inlineStr">
        <x:is>
          <x:t xml:space="preserve">ST宏达</x:t>
        </x:is>
      </x:c>
      <x:c r="D21" s="5" t="inlineStr">
        <x:is>
          <x:t xml:space="preserve">上海宏达新材料股份有限公司</x:t>
        </x:is>
      </x:c>
      <x:c r="E21" s="4" t="inlineStr">
        <x:is>
          <x:t xml:space="preserve">上海市</x:t>
        </x:is>
      </x:c>
      <x:c r="F21" s="4" t="inlineStr">
        <x:is>
          <x:t xml:space="preserve">上海市</x:t>
        </x:is>
      </x:c>
      <x:c r="G21" s="5" t="inlineStr">
        <x:is>
          <x:t xml:space="preserve">上海市-上海市</x:t>
        </x:is>
      </x:c>
      <x:c r="H21" s="4" t="inlineStr">
        <x:is>
          <x:t xml:space="preserve">化学制品</x:t>
        </x:is>
      </x:c>
      <x:c r="I21" s="4" t="inlineStr">
        <x:is>
          <x:t xml:space="preserve">2008-02-01</x:t>
        </x:is>
      </x:c>
      <x:c r="J21" s="5" t="inlineStr">
        <x:is>
          <x:t xml:space="preserve">上海市闵行区春常路18号1幢2层A区</x:t>
        </x:is>
      </x:c>
      <x:c r="K21" s="12" t="str">
        <x:f>LEFT("913211007437119894",18)</x:f>
        <x:v>913211007437119900</x:v>
      </x:c>
    </x:row>
    <x:row r="22">
      <x:c r="A22" s="2" t="n">
        <x:v>21</x:v>
      </x:c>
      <x:c r="B22" s="2" t="inlineStr">
        <x:is>
          <x:t xml:space="preserve">002252</x:t>
        </x:is>
      </x:c>
      <x:c r="C22" s="3" t="inlineStr">
        <x:is>
          <x:t xml:space="preserve">上海莱士</x:t>
        </x:is>
      </x:c>
      <x:c r="D22" s="3" t="inlineStr">
        <x:is>
          <x:t xml:space="preserve">上海莱士血液制品股份有限公司</x:t>
        </x:is>
      </x:c>
      <x:c r="E22" s="2" t="inlineStr">
        <x:is>
          <x:t xml:space="preserve">上海市</x:t>
        </x:is>
      </x:c>
      <x:c r="F22" s="2" t="inlineStr">
        <x:is>
          <x:t xml:space="preserve">上海市</x:t>
        </x:is>
      </x:c>
      <x:c r="G22" s="3" t="inlineStr">
        <x:is>
          <x:t xml:space="preserve">上海市-上海市</x:t>
        </x:is>
      </x:c>
      <x:c r="H22" s="2" t="inlineStr">
        <x:is>
          <x:t xml:space="preserve">生物制品</x:t>
        </x:is>
      </x:c>
      <x:c r="I22" s="2" t="inlineStr">
        <x:is>
          <x:t xml:space="preserve">2008-06-23</x:t>
        </x:is>
      </x:c>
      <x:c r="J22" s="3" t="inlineStr">
        <x:is>
          <x:t xml:space="preserve">上海市奉贤区望园路2009号</x:t>
        </x:is>
      </x:c>
      <x:c r="K22" s="12" t="str">
        <x:f>LEFT("913100006072419512",18)</x:f>
        <x:v>913100006072419500</x:v>
      </x:c>
    </x:row>
    <x:row r="23">
      <x:c r="A23" s="4" t="n">
        <x:v>22</x:v>
      </x:c>
      <x:c r="B23" s="4" t="inlineStr">
        <x:is>
          <x:t xml:space="preserve">002269</x:t>
        </x:is>
      </x:c>
      <x:c r="C23" s="5" t="inlineStr">
        <x:is>
          <x:t xml:space="preserve">美邦服饰</x:t>
        </x:is>
      </x:c>
      <x:c r="D23" s="5" t="inlineStr">
        <x:is>
          <x:t xml:space="preserve">上海美特斯邦威服饰股份有限公司</x:t>
        </x:is>
      </x:c>
      <x:c r="E23" s="4" t="inlineStr">
        <x:is>
          <x:t xml:space="preserve">上海市</x:t>
        </x:is>
      </x:c>
      <x:c r="F23" s="4" t="inlineStr">
        <x:is>
          <x:t xml:space="preserve">上海市</x:t>
        </x:is>
      </x:c>
      <x:c r="G23" s="5" t="inlineStr">
        <x:is>
          <x:t xml:space="preserve">上海市-上海市</x:t>
        </x:is>
      </x:c>
      <x:c r="H23" s="4" t="inlineStr">
        <x:is>
          <x:t xml:space="preserve">纺织服装</x:t>
        </x:is>
      </x:c>
      <x:c r="I23" s="4" t="inlineStr">
        <x:is>
          <x:t xml:space="preserve">2008-08-28</x:t>
        </x:is>
      </x:c>
      <x:c r="J23" s="5" t="inlineStr">
        <x:is>
          <x:t xml:space="preserve">中国(上海)自由贸易试验区康桥东路800号</x:t>
        </x:is>
      </x:c>
      <x:c r="K23" s="12" t="str">
        <x:f>LEFT("913100001321787408",18)</x:f>
        <x:v>913100001321787400</x:v>
      </x:c>
    </x:row>
    <x:row r="24">
      <x:c r="A24" s="2" t="n">
        <x:v>23</x:v>
      </x:c>
      <x:c r="B24" s="2" t="inlineStr">
        <x:is>
          <x:t xml:space="preserve">002278</x:t>
        </x:is>
      </x:c>
      <x:c r="C24" s="3" t="inlineStr">
        <x:is>
          <x:t xml:space="preserve">神开股份</x:t>
        </x:is>
      </x:c>
      <x:c r="D24" s="3" t="inlineStr">
        <x:is>
          <x:t xml:space="preserve">上海神开石油化工装备股份有限公司</x:t>
        </x:is>
      </x:c>
      <x:c r="E24" s="2" t="inlineStr">
        <x:is>
          <x:t xml:space="preserve">上海市</x:t>
        </x:is>
      </x:c>
      <x:c r="F24" s="2" t="inlineStr">
        <x:is>
          <x:t xml:space="preserve">上海市</x:t>
        </x:is>
      </x:c>
      <x:c r="G24" s="3" t="inlineStr">
        <x:is>
          <x:t xml:space="preserve">上海市-上海市</x:t>
        </x:is>
      </x:c>
      <x:c r="H24" s="2" t="inlineStr">
        <x:is>
          <x:t xml:space="preserve">专用设备</x:t>
        </x:is>
      </x:c>
      <x:c r="I24" s="2" t="inlineStr">
        <x:is>
          <x:t xml:space="preserve">2009-08-11</x:t>
        </x:is>
      </x:c>
      <x:c r="J24" s="3" t="inlineStr">
        <x:is>
          <x:t xml:space="preserve">上海市闵行区浦星公路1769号</x:t>
        </x:is>
      </x:c>
      <x:c r="K24" s="12" t="str">
        <x:f>LEFT("91310000133385776B",18)</x:f>
        <x:v>91310000133385776B</x:v>
      </x:c>
    </x:row>
    <x:row r="25">
      <x:c r="A25" s="4" t="n">
        <x:v>24</x:v>
      </x:c>
      <x:c r="B25" s="4" t="inlineStr">
        <x:is>
          <x:t xml:space="preserve">002324</x:t>
        </x:is>
      </x:c>
      <x:c r="C25" s="5" t="inlineStr">
        <x:is>
          <x:t xml:space="preserve">普利特</x:t>
        </x:is>
      </x:c>
      <x:c r="D25" s="5" t="inlineStr">
        <x:is>
          <x:t xml:space="preserve">上海普利特复合材料股份有限公司</x:t>
        </x:is>
      </x:c>
      <x:c r="E25" s="4" t="inlineStr">
        <x:is>
          <x:t xml:space="preserve">上海市</x:t>
        </x:is>
      </x:c>
      <x:c r="F25" s="4" t="inlineStr">
        <x:is>
          <x:t xml:space="preserve">上海市</x:t>
        </x:is>
      </x:c>
      <x:c r="G25" s="5" t="inlineStr">
        <x:is>
          <x:t xml:space="preserve">上海市-上海市</x:t>
        </x:is>
      </x:c>
      <x:c r="H25" s="4" t="inlineStr">
        <x:is>
          <x:t xml:space="preserve">塑胶制品</x:t>
        </x:is>
      </x:c>
      <x:c r="I25" s="4" t="inlineStr">
        <x:is>
          <x:t xml:space="preserve">2009-12-18</x:t>
        </x:is>
      </x:c>
      <x:c r="J25" s="5" t="inlineStr">
        <x:is>
          <x:t xml:space="preserve">上海市青浦区赵巷镇沪青平公路2855弄1号12楼</x:t>
        </x:is>
      </x:c>
      <x:c r="K25" s="12" t="str">
        <x:f>LEFT("913100006316131618",18)</x:f>
        <x:v>913100006316131600</x:v>
      </x:c>
    </x:row>
    <x:row r="26">
      <x:c r="A26" s="2" t="n">
        <x:v>25</x:v>
      </x:c>
      <x:c r="B26" s="2" t="inlineStr">
        <x:is>
          <x:t xml:space="preserve">002328</x:t>
        </x:is>
      </x:c>
      <x:c r="C26" s="3" t="inlineStr">
        <x:is>
          <x:t xml:space="preserve">新朋股份</x:t>
        </x:is>
      </x:c>
      <x:c r="D26" s="3" t="inlineStr">
        <x:is>
          <x:t xml:space="preserve">上海新朋实业股份有限公司</x:t>
        </x:is>
      </x:c>
      <x:c r="E26" s="2" t="inlineStr">
        <x:is>
          <x:t xml:space="preserve">上海市</x:t>
        </x:is>
      </x:c>
      <x:c r="F26" s="2" t="inlineStr">
        <x:is>
          <x:t xml:space="preserve">上海市</x:t>
        </x:is>
      </x:c>
      <x:c r="G26" s="3" t="inlineStr">
        <x:is>
          <x:t xml:space="preserve">上海市-上海市</x:t>
        </x:is>
      </x:c>
      <x:c r="H26" s="2" t="inlineStr">
        <x:is>
          <x:t xml:space="preserve">汽车零部件</x:t>
        </x:is>
      </x:c>
      <x:c r="I26" s="2" t="inlineStr">
        <x:is>
          <x:t xml:space="preserve">2009-12-30</x:t>
        </x:is>
      </x:c>
      <x:c r="J26" s="3" t="inlineStr">
        <x:is>
          <x:t xml:space="preserve">上海市青浦区华新镇华隆路1698号</x:t>
        </x:is>
      </x:c>
      <x:c r="K26" s="12" t="str">
        <x:f>LEFT("91310000134307024Y",18)</x:f>
        <x:v>91310000134307024Y</x:v>
      </x:c>
    </x:row>
    <x:row r="27">
      <x:c r="A27" s="4" t="n">
        <x:v>26</x:v>
      </x:c>
      <x:c r="B27" s="4" t="inlineStr">
        <x:is>
          <x:t xml:space="preserve">002346</x:t>
        </x:is>
      </x:c>
      <x:c r="C27" s="5" t="inlineStr">
        <x:is>
          <x:t xml:space="preserve">柘中股份</x:t>
        </x:is>
      </x:c>
      <x:c r="D27" s="5" t="inlineStr">
        <x:is>
          <x:t xml:space="preserve">上海柘中集团股份有限公司</x:t>
        </x:is>
      </x:c>
      <x:c r="E27" s="4" t="inlineStr">
        <x:is>
          <x:t xml:space="preserve">上海市</x:t>
        </x:is>
      </x:c>
      <x:c r="F27" s="4" t="inlineStr">
        <x:is>
          <x:t xml:space="preserve">上海市</x:t>
        </x:is>
      </x:c>
      <x:c r="G27" s="5" t="inlineStr">
        <x:is>
          <x:t xml:space="preserve">上海市-上海市</x:t>
        </x:is>
      </x:c>
      <x:c r="H27" s="4" t="inlineStr">
        <x:is>
          <x:t xml:space="preserve">输配电气</x:t>
        </x:is>
      </x:c>
      <x:c r="I27" s="4" t="inlineStr">
        <x:is>
          <x:t xml:space="preserve">2010-01-28</x:t>
        </x:is>
      </x:c>
      <x:c r="J27" s="5" t="inlineStr">
        <x:is>
          <x:t xml:space="preserve">上海市奉贤区联合北路215号第5幢2501室</x:t>
        </x:is>
      </x:c>
      <x:c r="K27" s="12" t="str">
        <x:f>LEFT("91310000739768376E",18)</x:f>
        <x:v>91310000739768376E</x:v>
      </x:c>
    </x:row>
    <x:row r="28">
      <x:c r="A28" s="2" t="n">
        <x:v>27</x:v>
      </x:c>
      <x:c r="B28" s="2" t="inlineStr">
        <x:is>
          <x:t xml:space="preserve">002401</x:t>
        </x:is>
      </x:c>
      <x:c r="C28" s="3" t="inlineStr">
        <x:is>
          <x:t xml:space="preserve">中远海科</x:t>
        </x:is>
      </x:c>
      <x:c r="D28" s="3" t="inlineStr">
        <x:is>
          <x:t xml:space="preserve">中远海运科技股份有限公司</x:t>
        </x:is>
      </x:c>
      <x:c r="E28" s="2" t="inlineStr">
        <x:is>
          <x:t xml:space="preserve">上海市</x:t>
        </x:is>
      </x:c>
      <x:c r="F28" s="2" t="inlineStr">
        <x:is>
          <x:t xml:space="preserve">上海市</x:t>
        </x:is>
      </x:c>
      <x:c r="G28" s="3" t="inlineStr">
        <x:is>
          <x:t xml:space="preserve">上海市-上海市</x:t>
        </x:is>
      </x:c>
      <x:c r="H28" s="2" t="inlineStr">
        <x:is>
          <x:t xml:space="preserve">互联网服务</x:t>
        </x:is>
      </x:c>
      <x:c r="I28" s="2" t="inlineStr">
        <x:is>
          <x:t xml:space="preserve">2010-05-06</x:t>
        </x:is>
      </x:c>
      <x:c r="J28" s="3" t="inlineStr">
        <x:is>
          <x:t xml:space="preserve">中国(上海)自由贸易试验区沈家弄路738号</x:t>
        </x:is>
      </x:c>
      <x:c r="K28" s="12" t="str">
        <x:f>LEFT("91310000132226263L",18)</x:f>
        <x:v>91310000132226263L</x:v>
      </x:c>
    </x:row>
    <x:row r="29">
      <x:c r="A29" s="4" t="n">
        <x:v>28</x:v>
      </x:c>
      <x:c r="B29" s="4" t="inlineStr">
        <x:is>
          <x:t xml:space="preserve">002451</x:t>
        </x:is>
      </x:c>
      <x:c r="C29" s="5" t="inlineStr">
        <x:is>
          <x:t xml:space="preserve">摩恩电气</x:t>
        </x:is>
      </x:c>
      <x:c r="D29" s="5" t="inlineStr">
        <x:is>
          <x:t xml:space="preserve">上海摩恩电气股份有限公司</x:t>
        </x:is>
      </x:c>
      <x:c r="E29" s="4" t="inlineStr">
        <x:is>
          <x:t xml:space="preserve">上海市</x:t>
        </x:is>
      </x:c>
      <x:c r="F29" s="4" t="inlineStr">
        <x:is>
          <x:t xml:space="preserve">上海市</x:t>
        </x:is>
      </x:c>
      <x:c r="G29" s="5" t="inlineStr">
        <x:is>
          <x:t xml:space="preserve">上海市-上海市</x:t>
        </x:is>
      </x:c>
      <x:c r="H29" s="4" t="inlineStr">
        <x:is>
          <x:t xml:space="preserve">输配电气</x:t>
        </x:is>
      </x:c>
      <x:c r="I29" s="4" t="inlineStr">
        <x:is>
          <x:t xml:space="preserve">2010-07-20</x:t>
        </x:is>
      </x:c>
      <x:c r="J29" s="5" t="inlineStr">
        <x:is>
          <x:t xml:space="preserve">上海市浦东新区江山路2829号</x:t>
        </x:is>
      </x:c>
      <x:c r="K29" s="12" t="str">
        <x:f>LEFT("913100006073788946",18)</x:f>
        <x:v>913100006073788900</x:v>
      </x:c>
    </x:row>
    <x:row r="30">
      <x:c r="A30" s="2" t="n">
        <x:v>29</x:v>
      </x:c>
      <x:c r="B30" s="2" t="inlineStr">
        <x:is>
          <x:t xml:space="preserve">002454</x:t>
        </x:is>
      </x:c>
      <x:c r="C30" s="3" t="inlineStr">
        <x:is>
          <x:t xml:space="preserve">松芝股份</x:t>
        </x:is>
      </x:c>
      <x:c r="D30" s="3" t="inlineStr">
        <x:is>
          <x:t xml:space="preserve">上海加冷松芝汽车空调股份有限公司</x:t>
        </x:is>
      </x:c>
      <x:c r="E30" s="2" t="inlineStr">
        <x:is>
          <x:t xml:space="preserve">上海市</x:t>
        </x:is>
      </x:c>
      <x:c r="F30" s="2" t="inlineStr">
        <x:is>
          <x:t xml:space="preserve">上海市</x:t>
        </x:is>
      </x:c>
      <x:c r="G30" s="3" t="inlineStr">
        <x:is>
          <x:t xml:space="preserve">上海市-上海市</x:t>
        </x:is>
      </x:c>
      <x:c r="H30" s="2" t="inlineStr">
        <x:is>
          <x:t xml:space="preserve">汽车行业</x:t>
        </x:is>
      </x:c>
      <x:c r="I30" s="2" t="inlineStr">
        <x:is>
          <x:t xml:space="preserve">2010-07-20</x:t>
        </x:is>
      </x:c>
      <x:c r="J30" s="3" t="inlineStr">
        <x:is>
          <x:t xml:space="preserve">上海市莘庄工业区华宁路4999号</x:t>
        </x:is>
      </x:c>
      <x:c r="K30" s="12" t="str">
        <x:f>LEFT("913100007385475125",18)</x:f>
        <x:v>913100007385475100</x:v>
      </x:c>
    </x:row>
    <x:row r="31">
      <x:c r="A31" s="4" t="n">
        <x:v>30</x:v>
      </x:c>
      <x:c r="B31" s="4" t="inlineStr">
        <x:is>
          <x:t xml:space="preserve">002486</x:t>
        </x:is>
      </x:c>
      <x:c r="C31" s="5" t="inlineStr">
        <x:is>
          <x:t xml:space="preserve">嘉麟杰</x:t>
        </x:is>
      </x:c>
      <x:c r="D31" s="5" t="inlineStr">
        <x:is>
          <x:t xml:space="preserve">上海嘉麟杰纺织品股份有限公司</x:t>
        </x:is>
      </x:c>
      <x:c r="E31" s="4" t="inlineStr">
        <x:is>
          <x:t xml:space="preserve">上海市</x:t>
        </x:is>
      </x:c>
      <x:c r="F31" s="4" t="inlineStr">
        <x:is>
          <x:t xml:space="preserve">上海市</x:t>
        </x:is>
      </x:c>
      <x:c r="G31" s="5" t="inlineStr">
        <x:is>
          <x:t xml:space="preserve">上海市-上海市</x:t>
        </x:is>
      </x:c>
      <x:c r="H31" s="4" t="inlineStr">
        <x:is>
          <x:t xml:space="preserve">纺织服装</x:t>
        </x:is>
      </x:c>
      <x:c r="I31" s="4" t="inlineStr">
        <x:is>
          <x:t xml:space="preserve">2010-10-15</x:t>
        </x:is>
      </x:c>
      <x:c r="J31" s="5" t="inlineStr">
        <x:is>
          <x:t xml:space="preserve">上海市金山区亭林镇亭枫公路1918号</x:t>
        </x:is>
      </x:c>
      <x:c r="K31" s="12" t="str">
        <x:f>LEFT("913100006074274061",18)</x:f>
        <x:v>913100006074274000</x:v>
      </x:c>
    </x:row>
    <x:row r="32">
      <x:c r="A32" s="2" t="n">
        <x:v>31</x:v>
      </x:c>
      <x:c r="B32" s="2" t="inlineStr">
        <x:is>
          <x:t xml:space="preserve">002506</x:t>
        </x:is>
      </x:c>
      <x:c r="C32" s="3" t="inlineStr">
        <x:is>
          <x:t xml:space="preserve">协鑫集成</x:t>
        </x:is>
      </x:c>
      <x:c r="D32" s="3" t="inlineStr">
        <x:is>
          <x:t xml:space="preserve">协鑫集成科技股份有限公司</x:t>
        </x:is>
      </x:c>
      <x:c r="E32" s="2" t="inlineStr">
        <x:is>
          <x:t xml:space="preserve">上海市</x:t>
        </x:is>
      </x:c>
      <x:c r="F32" s="2" t="inlineStr">
        <x:is>
          <x:t xml:space="preserve">上海市</x:t>
        </x:is>
      </x:c>
      <x:c r="G32" s="3" t="inlineStr">
        <x:is>
          <x:t xml:space="preserve">上海市-上海市</x:t>
        </x:is>
      </x:c>
      <x:c r="H32" s="2" t="inlineStr">
        <x:is>
          <x:t xml:space="preserve">光伏设备</x:t>
        </x:is>
      </x:c>
      <x:c r="I32" s="2" t="inlineStr">
        <x:is>
          <x:t xml:space="preserve">2010-11-18</x:t>
        </x:is>
      </x:c>
      <x:c r="J32" s="3" t="inlineStr">
        <x:is>
          <x:t xml:space="preserve">上海市奉贤区南桥镇江海经济园区</x:t>
        </x:is>
      </x:c>
      <x:c r="K32" s="12" t="str">
        <x:f>LEFT("91310000751873021H",18)</x:f>
        <x:v>91310000751873021H</x:v>
      </x:c>
    </x:row>
    <x:row r="33">
      <x:c r="A33" s="4" t="n">
        <x:v>32</x:v>
      </x:c>
      <x:c r="B33" s="4" t="inlineStr">
        <x:is>
          <x:t xml:space="preserve">002527</x:t>
        </x:is>
      </x:c>
      <x:c r="C33" s="5" t="inlineStr">
        <x:is>
          <x:t xml:space="preserve">新时达</x:t>
        </x:is>
      </x:c>
      <x:c r="D33" s="5" t="inlineStr">
        <x:is>
          <x:t xml:space="preserve">上海新时达电气股份有限公司</x:t>
        </x:is>
      </x:c>
      <x:c r="E33" s="4" t="inlineStr">
        <x:is>
          <x:t xml:space="preserve">上海市</x:t>
        </x:is>
      </x:c>
      <x:c r="F33" s="4" t="inlineStr">
        <x:is>
          <x:t xml:space="preserve">上海市</x:t>
        </x:is>
      </x:c>
      <x:c r="G33" s="5" t="inlineStr">
        <x:is>
          <x:t xml:space="preserve">上海市-上海市</x:t>
        </x:is>
      </x:c>
      <x:c r="H33" s="4" t="inlineStr">
        <x:is>
          <x:t xml:space="preserve">专用设备</x:t>
        </x:is>
      </x:c>
      <x:c r="I33" s="4" t="inlineStr">
        <x:is>
          <x:t xml:space="preserve">2010-12-24</x:t>
        </x:is>
      </x:c>
      <x:c r="J33" s="5" t="inlineStr">
        <x:is>
          <x:t xml:space="preserve">上海市嘉定区思义路1560号</x:t>
        </x:is>
      </x:c>
      <x:c r="K33" s="12" t="str">
        <x:f>LEFT("9131000060751688XT",18)</x:f>
        <x:v>9131000060751688XT</x:v>
      </x:c>
    </x:row>
    <x:row r="34">
      <x:c r="A34" s="2" t="n">
        <x:v>33</x:v>
      </x:c>
      <x:c r="B34" s="2" t="inlineStr">
        <x:is>
          <x:t xml:space="preserve">002561</x:t>
        </x:is>
      </x:c>
      <x:c r="C34" s="3" t="inlineStr">
        <x:is>
          <x:t xml:space="preserve">徐家汇</x:t>
        </x:is>
      </x:c>
      <x:c r="D34" s="3" t="inlineStr">
        <x:is>
          <x:t xml:space="preserve">上海徐家汇商城股份有限公司</x:t>
        </x:is>
      </x:c>
      <x:c r="E34" s="2" t="inlineStr">
        <x:is>
          <x:t xml:space="preserve">上海市</x:t>
        </x:is>
      </x:c>
      <x:c r="F34" s="2" t="inlineStr">
        <x:is>
          <x:t xml:space="preserve">上海市</x:t>
        </x:is>
      </x:c>
      <x:c r="G34" s="3" t="inlineStr">
        <x:is>
          <x:t xml:space="preserve">上海市-上海市</x:t>
        </x:is>
      </x:c>
      <x:c r="H34" s="2" t="inlineStr">
        <x:is>
          <x:t xml:space="preserve">商业百货</x:t>
        </x:is>
      </x:c>
      <x:c r="I34" s="2" t="inlineStr">
        <x:is>
          <x:t xml:space="preserve">2011-03-03</x:t>
        </x:is>
      </x:c>
      <x:c r="J34" s="3" t="inlineStr">
        <x:is>
          <x:t xml:space="preserve">上海市徐汇区肇嘉浜路1068号</x:t>
        </x:is>
      </x:c>
      <x:c r="K34" s="12" t="str">
        <x:f>LEFT("91310000132650363G",18)</x:f>
        <x:v>91310000132650363G</x:v>
      </x:c>
    </x:row>
    <x:row r="35">
      <x:c r="A35" s="4" t="n">
        <x:v>34</x:v>
      </x:c>
      <x:c r="B35" s="4" t="inlineStr">
        <x:is>
          <x:t xml:space="preserve">002565</x:t>
        </x:is>
      </x:c>
      <x:c r="C35" s="5" t="inlineStr">
        <x:is>
          <x:t xml:space="preserve">顺灏股份</x:t>
        </x:is>
      </x:c>
      <x:c r="D35" s="5" t="inlineStr">
        <x:is>
          <x:t xml:space="preserve">上海顺灏新材料科技股份有限公司</x:t>
        </x:is>
      </x:c>
      <x:c r="E35" s="4" t="inlineStr">
        <x:is>
          <x:t xml:space="preserve">上海市</x:t>
        </x:is>
      </x:c>
      <x:c r="F35" s="4" t="inlineStr">
        <x:is>
          <x:t xml:space="preserve">上海市</x:t>
        </x:is>
      </x:c>
      <x:c r="G35" s="5" t="inlineStr">
        <x:is>
          <x:t xml:space="preserve">上海市-上海市</x:t>
        </x:is>
      </x:c>
      <x:c r="H35" s="4" t="inlineStr">
        <x:is>
          <x:t xml:space="preserve">包装材料</x:t>
        </x:is>
      </x:c>
      <x:c r="I35" s="4" t="inlineStr">
        <x:is>
          <x:t xml:space="preserve">2011-03-18</x:t>
        </x:is>
      </x:c>
      <x:c r="J35" s="5" t="inlineStr">
        <x:is>
          <x:t xml:space="preserve">上海市普陀区真陈路200号</x:t>
        </x:is>
      </x:c>
      <x:c r="K35" s="12" t="str">
        <x:f>LEFT("91310000768782097N",18)</x:f>
        <x:v>91310000768782097N</x:v>
      </x:c>
    </x:row>
    <x:row r="36">
      <x:c r="A36" s="2" t="n">
        <x:v>35</x:v>
      </x:c>
      <x:c r="B36" s="2" t="inlineStr">
        <x:is>
          <x:t xml:space="preserve">002568</x:t>
        </x:is>
      </x:c>
      <x:c r="C36" s="3" t="inlineStr">
        <x:is>
          <x:t xml:space="preserve">百润股份</x:t>
        </x:is>
      </x:c>
      <x:c r="D36" s="3" t="inlineStr">
        <x:is>
          <x:t xml:space="preserve">上海百润投资控股集团股份有限公司</x:t>
        </x:is>
      </x:c>
      <x:c r="E36" s="2" t="inlineStr">
        <x:is>
          <x:t xml:space="preserve">上海市</x:t>
        </x:is>
      </x:c>
      <x:c r="F36" s="2" t="inlineStr">
        <x:is>
          <x:t xml:space="preserve">上海市</x:t>
        </x:is>
      </x:c>
      <x:c r="G36" s="3" t="inlineStr">
        <x:is>
          <x:t xml:space="preserve">上海市-上海市</x:t>
        </x:is>
      </x:c>
      <x:c r="H36" s="2" t="inlineStr">
        <x:is>
          <x:t xml:space="preserve">酿酒行业</x:t>
        </x:is>
      </x:c>
      <x:c r="I36" s="2" t="inlineStr">
        <x:is>
          <x:t xml:space="preserve">2011-03-25</x:t>
        </x:is>
      </x:c>
      <x:c r="J36" s="3" t="inlineStr">
        <x:is>
          <x:t xml:space="preserve">上海市康桥工业区康桥东路558号</x:t>
        </x:is>
      </x:c>
      <x:c r="K36" s="12" t="str">
        <x:f>LEFT("91310000632005686K",18)</x:f>
        <x:v>91310000632005686K</x:v>
      </x:c>
    </x:row>
    <x:row r="37">
      <x:c r="A37" s="4" t="n">
        <x:v>36</x:v>
      </x:c>
      <x:c r="B37" s="4" t="inlineStr">
        <x:is>
          <x:t xml:space="preserve">002605</x:t>
        </x:is>
      </x:c>
      <x:c r="C37" s="5" t="inlineStr">
        <x:is>
          <x:t xml:space="preserve">姚记科技</x:t>
        </x:is>
      </x:c>
      <x:c r="D37" s="5" t="inlineStr">
        <x:is>
          <x:t xml:space="preserve">上海姚记科技股份有限公司</x:t>
        </x:is>
      </x:c>
      <x:c r="E37" s="4" t="inlineStr">
        <x:is>
          <x:t xml:space="preserve">上海市</x:t>
        </x:is>
      </x:c>
      <x:c r="F37" s="4" t="inlineStr">
        <x:is>
          <x:t xml:space="preserve">上海市</x:t>
        </x:is>
      </x:c>
      <x:c r="G37" s="5" t="inlineStr">
        <x:is>
          <x:t xml:space="preserve">上海市-上海市</x:t>
        </x:is>
      </x:c>
      <x:c r="H37" s="4" t="inlineStr">
        <x:is>
          <x:t xml:space="preserve">游戏</x:t>
        </x:is>
      </x:c>
      <x:c r="I37" s="4" t="inlineStr">
        <x:is>
          <x:t xml:space="preserve">2011-08-05</x:t>
        </x:is>
      </x:c>
      <x:c r="J37" s="5" t="inlineStr">
        <x:is>
          <x:t xml:space="preserve">上海市嘉定区黄渡镇曹安路4218号</x:t>
        </x:is>
      </x:c>
      <x:c r="K37" s="12" t="str">
        <x:f>LEFT("91310000133616132H",18)</x:f>
        <x:v>91310000133616132H</x:v>
      </x:c>
    </x:row>
    <x:row r="38">
      <x:c r="A38" s="2" t="n">
        <x:v>37</x:v>
      </x:c>
      <x:c r="B38" s="2" t="inlineStr">
        <x:is>
          <x:t xml:space="preserve">002636</x:t>
        </x:is>
      </x:c>
      <x:c r="C38" s="3" t="inlineStr">
        <x:is>
          <x:t xml:space="preserve">金安国纪</x:t>
        </x:is>
      </x:c>
      <x:c r="D38" s="3" t="inlineStr">
        <x:is>
          <x:t xml:space="preserve">金安国纪集团股份有限公司</x:t>
        </x:is>
      </x:c>
      <x:c r="E38" s="2" t="inlineStr">
        <x:is>
          <x:t xml:space="preserve">上海市</x:t>
        </x:is>
      </x:c>
      <x:c r="F38" s="2" t="inlineStr">
        <x:is>
          <x:t xml:space="preserve">上海市</x:t>
        </x:is>
      </x:c>
      <x:c r="G38" s="3" t="inlineStr">
        <x:is>
          <x:t xml:space="preserve">上海市-上海市</x:t>
        </x:is>
      </x:c>
      <x:c r="H38" s="2" t="inlineStr">
        <x:is>
          <x:t xml:space="preserve">电子元件</x:t>
        </x:is>
      </x:c>
      <x:c r="I38" s="2" t="inlineStr">
        <x:is>
          <x:t xml:space="preserve">2011-11-25</x:t>
        </x:is>
      </x:c>
      <x:c r="J38" s="3" t="inlineStr">
        <x:is>
          <x:t xml:space="preserve">上海市松江工业区宝胜路33号</x:t>
        </x:is>
      </x:c>
      <x:c r="K38" s="12" t="str">
        <x:f>LEFT("913100006074226723",18)</x:f>
        <x:v>913100006074226700</x:v>
      </x:c>
    </x:row>
    <x:row r="39">
      <x:c r="A39" s="4" t="n">
        <x:v>38</x:v>
      </x:c>
      <x:c r="B39" s="4" t="inlineStr">
        <x:is>
          <x:t xml:space="preserve">002669</x:t>
        </x:is>
      </x:c>
      <x:c r="C39" s="5" t="inlineStr">
        <x:is>
          <x:t xml:space="preserve">康达新材</x:t>
        </x:is>
      </x:c>
      <x:c r="D39" s="5" t="inlineStr">
        <x:is>
          <x:t xml:space="preserve">康达新材料(集团)股份有限公司</x:t>
        </x:is>
      </x:c>
      <x:c r="E39" s="4" t="inlineStr">
        <x:is>
          <x:t xml:space="preserve">上海市</x:t>
        </x:is>
      </x:c>
      <x:c r="F39" s="4" t="inlineStr">
        <x:is>
          <x:t xml:space="preserve">上海市</x:t>
        </x:is>
      </x:c>
      <x:c r="G39" s="5" t="inlineStr">
        <x:is>
          <x:t xml:space="preserve">上海市-上海市</x:t>
        </x:is>
      </x:c>
      <x:c r="H39" s="4" t="inlineStr">
        <x:is>
          <x:t xml:space="preserve">化学制品</x:t>
        </x:is>
      </x:c>
      <x:c r="I39" s="4" t="inlineStr">
        <x:is>
          <x:t xml:space="preserve">2012-04-16</x:t>
        </x:is>
      </x:c>
      <x:c r="J39" s="5" t="inlineStr">
        <x:is>
          <x:t xml:space="preserve">上海市奉贤区雷州路169号</x:t>
        </x:is>
      </x:c>
      <x:c r="K39" s="12" t="str">
        <x:f>LEFT("91310000133501183B",18)</x:f>
        <x:v>91310000133501183B</x:v>
      </x:c>
    </x:row>
    <x:row r="40">
      <x:c r="A40" s="2" t="n">
        <x:v>39</x:v>
      </x:c>
      <x:c r="B40" s="2" t="inlineStr">
        <x:is>
          <x:t xml:space="preserve">002706</x:t>
        </x:is>
      </x:c>
      <x:c r="C40" s="3" t="inlineStr">
        <x:is>
          <x:t xml:space="preserve">良信股份</x:t>
        </x:is>
      </x:c>
      <x:c r="D40" s="3" t="inlineStr">
        <x:is>
          <x:t xml:space="preserve">上海良信电器股份有限公司</x:t>
        </x:is>
      </x:c>
      <x:c r="E40" s="2" t="inlineStr">
        <x:is>
          <x:t xml:space="preserve">上海市</x:t>
        </x:is>
      </x:c>
      <x:c r="F40" s="2" t="inlineStr">
        <x:is>
          <x:t xml:space="preserve">上海市</x:t>
        </x:is>
      </x:c>
      <x:c r="G40" s="3" t="inlineStr">
        <x:is>
          <x:t xml:space="preserve">上海市-上海市</x:t>
        </x:is>
      </x:c>
      <x:c r="H40" s="2" t="inlineStr">
        <x:is>
          <x:t xml:space="preserve">输配电气</x:t>
        </x:is>
      </x:c>
      <x:c r="I40" s="2" t="inlineStr">
        <x:is>
          <x:t xml:space="preserve">2014-01-21</x:t>
        </x:is>
      </x:c>
      <x:c r="J40" s="3" t="inlineStr">
        <x:is>
          <x:t xml:space="preserve">上海市浦东新区申江南路2000号</x:t>
        </x:is>
      </x:c>
      <x:c r="K40" s="12" t="str">
        <x:f>LEFT("91310000631324319E",18)</x:f>
        <x:v>91310000631324319E</x:v>
      </x:c>
    </x:row>
    <x:row r="41">
      <x:c r="A41" s="4" t="n">
        <x:v>40</x:v>
      </x:c>
      <x:c r="B41" s="4" t="inlineStr">
        <x:is>
          <x:t xml:space="preserve">002825</x:t>
        </x:is>
      </x:c>
      <x:c r="C41" s="5" t="inlineStr">
        <x:is>
          <x:t xml:space="preserve">纳尔股份</x:t>
        </x:is>
      </x:c>
      <x:c r="D41" s="5" t="inlineStr">
        <x:is>
          <x:t xml:space="preserve">上海纳尔实业股份有限公司</x:t>
        </x:is>
      </x:c>
      <x:c r="E41" s="4" t="inlineStr">
        <x:is>
          <x:t xml:space="preserve">上海市</x:t>
        </x:is>
      </x:c>
      <x:c r="F41" s="4" t="inlineStr">
        <x:is>
          <x:t xml:space="preserve">上海市</x:t>
        </x:is>
      </x:c>
      <x:c r="G41" s="5" t="inlineStr">
        <x:is>
          <x:t xml:space="preserve">上海市-上海市</x:t>
        </x:is>
      </x:c>
      <x:c r="H41" s="4" t="inlineStr">
        <x:is>
          <x:t xml:space="preserve">塑胶制品</x:t>
        </x:is>
      </x:c>
      <x:c r="I41" s="4" t="inlineStr">
        <x:is>
          <x:t xml:space="preserve">2016-11-29</x:t>
        </x:is>
      </x:c>
      <x:c r="J41" s="5" t="inlineStr">
        <x:is>
          <x:t xml:space="preserve">上海市浦东新区新场镇新瀚路26号</x:t>
        </x:is>
      </x:c>
      <x:c r="K41" s="12" t="str">
        <x:f>LEFT("913100007824379352",18)</x:f>
        <x:v>913100007824379400</x:v>
      </x:c>
    </x:row>
    <x:row r="42">
      <x:c r="A42" s="2" t="n">
        <x:v>41</x:v>
      </x:c>
      <x:c r="B42" s="2" t="inlineStr">
        <x:is>
          <x:t xml:space="preserve">002858</x:t>
        </x:is>
      </x:c>
      <x:c r="C42" s="3" t="inlineStr">
        <x:is>
          <x:t xml:space="preserve">力盛体育</x:t>
        </x:is>
      </x:c>
      <x:c r="D42" s="3" t="inlineStr">
        <x:is>
          <x:t xml:space="preserve">力盛云动(上海)体育科技股份有限公司</x:t>
        </x:is>
      </x:c>
      <x:c r="E42" s="2" t="inlineStr">
        <x:is>
          <x:t xml:space="preserve">上海市</x:t>
        </x:is>
      </x:c>
      <x:c r="F42" s="2" t="inlineStr">
        <x:is>
          <x:t xml:space="preserve">上海市</x:t>
        </x:is>
      </x:c>
      <x:c r="G42" s="3" t="inlineStr">
        <x:is>
          <x:t xml:space="preserve">上海市-上海市</x:t>
        </x:is>
      </x:c>
      <x:c r="H42" s="2" t="inlineStr">
        <x:is>
          <x:t xml:space="preserve">文化传媒</x:t>
        </x:is>
      </x:c>
      <x:c r="I42" s="2" t="inlineStr">
        <x:is>
          <x:t xml:space="preserve">2017-03-24</x:t>
        </x:is>
      </x:c>
      <x:c r="J42" s="3" t="inlineStr">
        <x:is>
          <x:t xml:space="preserve">上海市松江区佘山镇沈砖公路3000号</x:t>
        </x:is>
      </x:c>
      <x:c r="K42" s="12" t="str">
        <x:f>LEFT("91310000743787270B",18)</x:f>
        <x:v>91310000743787270B</x:v>
      </x:c>
    </x:row>
    <x:row r="43">
      <x:c r="A43" s="4" t="n">
        <x:v>42</x:v>
      </x:c>
      <x:c r="B43" s="4" t="inlineStr">
        <x:is>
          <x:t xml:space="preserve">300008</x:t>
        </x:is>
      </x:c>
      <x:c r="C43" s="5" t="inlineStr">
        <x:is>
          <x:t xml:space="preserve">天海防务</x:t>
        </x:is>
      </x:c>
      <x:c r="D43" s="5" t="inlineStr">
        <x:is>
          <x:t xml:space="preserve">天海融合防务装备技术股份有限公司</x:t>
        </x:is>
      </x:c>
      <x:c r="E43" s="4" t="inlineStr">
        <x:is>
          <x:t xml:space="preserve">上海市</x:t>
        </x:is>
      </x:c>
      <x:c r="F43" s="4" t="inlineStr">
        <x:is>
          <x:t xml:space="preserve">上海市</x:t>
        </x:is>
      </x:c>
      <x:c r="G43" s="5" t="inlineStr">
        <x:is>
          <x:t xml:space="preserve">上海市-上海市</x:t>
        </x:is>
      </x:c>
      <x:c r="H43" s="4" t="inlineStr">
        <x:is>
          <x:t xml:space="preserve">船舶制造</x:t>
        </x:is>
      </x:c>
      <x:c r="I43" s="4" t="inlineStr">
        <x:is>
          <x:t xml:space="preserve">2009-10-30</x:t>
        </x:is>
      </x:c>
      <x:c r="J43" s="5" t="inlineStr">
        <x:is>
          <x:t xml:space="preserve">上海市松江区莘砖公路518号10幢8层</x:t>
        </x:is>
      </x:c>
      <x:c r="K43" s="12" t="str">
        <x:f>LEFT("9131000072942385X3",18)</x:f>
        <x:v>9131000072942385X3</x:v>
      </x:c>
    </x:row>
    <x:row r="44">
      <x:c r="A44" s="2" t="n">
        <x:v>43</x:v>
      </x:c>
      <x:c r="B44" s="2" t="inlineStr">
        <x:is>
          <x:t xml:space="preserve">300017</x:t>
        </x:is>
      </x:c>
      <x:c r="C44" s="3" t="inlineStr">
        <x:is>
          <x:t xml:space="preserve">网宿科技</x:t>
        </x:is>
      </x:c>
      <x:c r="D44" s="3" t="inlineStr">
        <x:is>
          <x:t xml:space="preserve">网宿科技股份有限公司</x:t>
        </x:is>
      </x:c>
      <x:c r="E44" s="2" t="inlineStr">
        <x:is>
          <x:t xml:space="preserve">上海市</x:t>
        </x:is>
      </x:c>
      <x:c r="F44" s="2" t="inlineStr">
        <x:is>
          <x:t xml:space="preserve">上海市</x:t>
        </x:is>
      </x:c>
      <x:c r="G44" s="3" t="inlineStr">
        <x:is>
          <x:t xml:space="preserve">上海市-上海市</x:t>
        </x:is>
      </x:c>
      <x:c r="H44" s="2" t="inlineStr">
        <x:is>
          <x:t xml:space="preserve">互联网服务</x:t>
        </x:is>
      </x:c>
      <x:c r="I44" s="2" t="inlineStr">
        <x:is>
          <x:t xml:space="preserve">2009-10-30</x:t>
        </x:is>
      </x:c>
      <x:c r="J44" s="3" t="inlineStr">
        <x:is>
          <x:t xml:space="preserve">上海嘉定环城路200号</x:t>
        </x:is>
      </x:c>
      <x:c r="K44" s="12" t="str">
        <x:f>LEFT("91310000631658829P",18)</x:f>
        <x:v>91310000631658829P</x:v>
      </x:c>
    </x:row>
    <x:row r="45">
      <x:c r="A45" s="4" t="n">
        <x:v>44</x:v>
      </x:c>
      <x:c r="B45" s="4" t="inlineStr">
        <x:is>
          <x:t xml:space="preserve">300039</x:t>
        </x:is>
      </x:c>
      <x:c r="C45" s="5" t="inlineStr">
        <x:is>
          <x:t xml:space="preserve">上海凯宝</x:t>
        </x:is>
      </x:c>
      <x:c r="D45" s="5" t="inlineStr">
        <x:is>
          <x:t xml:space="preserve">上海凯宝药业股份有限公司</x:t>
        </x:is>
      </x:c>
      <x:c r="E45" s="4" t="inlineStr">
        <x:is>
          <x:t xml:space="preserve">上海市</x:t>
        </x:is>
      </x:c>
      <x:c r="F45" s="4" t="inlineStr">
        <x:is>
          <x:t xml:space="preserve">上海市</x:t>
        </x:is>
      </x:c>
      <x:c r="G45" s="5" t="inlineStr">
        <x:is>
          <x:t xml:space="preserve">上海市-上海市</x:t>
        </x:is>
      </x:c>
      <x:c r="H45" s="4" t="inlineStr">
        <x:is>
          <x:t xml:space="preserve">中药</x:t>
        </x:is>
      </x:c>
      <x:c r="I45" s="4" t="inlineStr">
        <x:is>
          <x:t xml:space="preserve">2010-01-08</x:t>
        </x:is>
      </x:c>
      <x:c r="J45" s="5" t="inlineStr">
        <x:is>
          <x:t xml:space="preserve">上海市工业综合开发区程普路88号</x:t>
        </x:is>
      </x:c>
      <x:c r="K45" s="12" t="str">
        <x:f>LEFT("91310000630948912G",18)</x:f>
        <x:v>91310000630948912G</x:v>
      </x:c>
    </x:row>
    <x:row r="46">
      <x:c r="A46" s="2" t="n">
        <x:v>45</x:v>
      </x:c>
      <x:c r="B46" s="2" t="inlineStr">
        <x:is>
          <x:t xml:space="preserve">300059</x:t>
        </x:is>
      </x:c>
      <x:c r="C46" s="3" t="inlineStr">
        <x:is>
          <x:t xml:space="preserve">东方财富</x:t>
        </x:is>
      </x:c>
      <x:c r="D46" s="3" t="inlineStr">
        <x:is>
          <x:t xml:space="preserve">东方财富信息股份有限公司</x:t>
        </x:is>
      </x:c>
      <x:c r="E46" s="2" t="inlineStr">
        <x:is>
          <x:t xml:space="preserve">上海市</x:t>
        </x:is>
      </x:c>
      <x:c r="F46" s="2" t="inlineStr">
        <x:is>
          <x:t xml:space="preserve">上海市</x:t>
        </x:is>
      </x:c>
      <x:c r="G46" s="3" t="inlineStr">
        <x:is>
          <x:t xml:space="preserve">上海市-上海市</x:t>
        </x:is>
      </x:c>
      <x:c r="H46" s="2" t="inlineStr">
        <x:is>
          <x:t xml:space="preserve">电子信息</x:t>
        </x:is>
      </x:c>
      <x:c r="I46" s="2" t="inlineStr">
        <x:is>
          <x:t xml:space="preserve">2010-03-19</x:t>
        </x:is>
      </x:c>
      <x:c r="J46" s="3" t="inlineStr">
        <x:is>
          <x:t xml:space="preserve">上海市嘉定区宝安公路2999号1幢</x:t>
        </x:is>
      </x:c>
      <x:c r="K46" s="12" t="str">
        <x:f>LEFT("913100007714584745",18)</x:f>
        <x:v>913100007714584700</x:v>
      </x:c>
    </x:row>
    <x:row r="47">
      <x:c r="A47" s="4" t="n">
        <x:v>46</x:v>
      </x:c>
      <x:c r="B47" s="4" t="inlineStr">
        <x:is>
          <x:t xml:space="preserve">300061</x:t>
        </x:is>
      </x:c>
      <x:c r="C47" s="5" t="inlineStr">
        <x:is>
          <x:t xml:space="preserve">旗天科技</x:t>
        </x:is>
      </x:c>
      <x:c r="D47" s="5" t="inlineStr">
        <x:is>
          <x:t xml:space="preserve">旗天科技集团股份有限公司</x:t>
        </x:is>
      </x:c>
      <x:c r="E47" s="4" t="inlineStr">
        <x:is>
          <x:t xml:space="preserve">上海市</x:t>
        </x:is>
      </x:c>
      <x:c r="F47" s="4" t="inlineStr">
        <x:is>
          <x:t xml:space="preserve">上海市</x:t>
        </x:is>
      </x:c>
      <x:c r="G47" s="5" t="inlineStr">
        <x:is>
          <x:t xml:space="preserve">上海市-上海市</x:t>
        </x:is>
      </x:c>
      <x:c r="H47" s="4" t="inlineStr">
        <x:is>
          <x:t xml:space="preserve">文化传媒</x:t>
        </x:is>
      </x:c>
      <x:c r="I47" s="4" t="inlineStr">
        <x:is>
          <x:t xml:space="preserve">2010-03-19</x:t>
        </x:is>
      </x:c>
      <x:c r="J47" s="5" t="inlineStr">
        <x:is>
          <x:t xml:space="preserve">上海市金山区山阳镇亭卫公路1000号2幢203室</x:t>
        </x:is>
      </x:c>
      <x:c r="K47" s="12" t="str">
        <x:f>LEFT("913100006073633775",18)</x:f>
        <x:v>913100006073633800</x:v>
      </x:c>
    </x:row>
    <x:row r="48">
      <x:c r="A48" s="2" t="n">
        <x:v>47</x:v>
      </x:c>
      <x:c r="B48" s="2" t="inlineStr">
        <x:is>
          <x:t xml:space="preserve">300067</x:t>
        </x:is>
      </x:c>
      <x:c r="C48" s="3" t="inlineStr">
        <x:is>
          <x:t xml:space="preserve">安诺其</x:t>
        </x:is>
      </x:c>
      <x:c r="D48" s="3" t="inlineStr">
        <x:is>
          <x:t xml:space="preserve">上海安诺其集团股份有限公司</x:t>
        </x:is>
      </x:c>
      <x:c r="E48" s="2" t="inlineStr">
        <x:is>
          <x:t xml:space="preserve">上海市</x:t>
        </x:is>
      </x:c>
      <x:c r="F48" s="2" t="inlineStr">
        <x:is>
          <x:t xml:space="preserve">上海市</x:t>
        </x:is>
      </x:c>
      <x:c r="G48" s="3" t="inlineStr">
        <x:is>
          <x:t xml:space="preserve">上海市-上海市</x:t>
        </x:is>
      </x:c>
      <x:c r="H48" s="2" t="inlineStr">
        <x:is>
          <x:t xml:space="preserve">化工行业</x:t>
        </x:is>
      </x:c>
      <x:c r="I48" s="2" t="inlineStr">
        <x:is>
          <x:t xml:space="preserve">2010-04-21</x:t>
        </x:is>
      </x:c>
      <x:c r="J48" s="3" t="inlineStr">
        <x:is>
          <x:t xml:space="preserve">上海市青浦区崧华路881号</x:t>
        </x:is>
      </x:c>
      <x:c r="K48" s="12" t="str">
        <x:f>LEFT("913100006315207744",18)</x:f>
        <x:v>913100006315207700</x:v>
      </x:c>
    </x:row>
    <x:row r="49">
      <x:c r="A49" s="4" t="n">
        <x:v>48</x:v>
      </x:c>
      <x:c r="B49" s="4" t="inlineStr">
        <x:is>
          <x:t xml:space="preserve">300074</x:t>
        </x:is>
      </x:c>
      <x:c r="C49" s="5" t="inlineStr">
        <x:is>
          <x:t xml:space="preserve">华平股份</x:t>
        </x:is>
      </x:c>
      <x:c r="D49" s="5" t="inlineStr">
        <x:is>
          <x:t xml:space="preserve">华平信息技术股份有限公司</x:t>
        </x:is>
      </x:c>
      <x:c r="E49" s="4" t="inlineStr">
        <x:is>
          <x:t xml:space="preserve">上海市</x:t>
        </x:is>
      </x:c>
      <x:c r="F49" s="4" t="inlineStr">
        <x:is>
          <x:t xml:space="preserve">上海市</x:t>
        </x:is>
      </x:c>
      <x:c r="G49" s="5" t="inlineStr">
        <x:is>
          <x:t xml:space="preserve">上海市-上海市</x:t>
        </x:is>
      </x:c>
      <x:c r="H49" s="4" t="inlineStr">
        <x:is>
          <x:t xml:space="preserve">软件服务</x:t>
        </x:is>
      </x:c>
      <x:c r="I49" s="4" t="inlineStr">
        <x:is>
          <x:t xml:space="preserve">2010-04-27</x:t>
        </x:is>
      </x:c>
      <x:c r="J49" s="5" t="inlineStr">
        <x:is>
          <x:t xml:space="preserve">上海市杨浦区国权北路1688弄A6座</x:t>
        </x:is>
      </x:c>
      <x:c r="K49" s="12" t="str">
        <x:f>LEFT("91310000754771530D",18)</x:f>
        <x:v>91310000754771530D</x:v>
      </x:c>
    </x:row>
    <x:row r="50">
      <x:c r="A50" s="2" t="n">
        <x:v>49</x:v>
      </x:c>
      <x:c r="B50" s="2" t="inlineStr">
        <x:is>
          <x:t xml:space="preserve">300126</x:t>
        </x:is>
      </x:c>
      <x:c r="C50" s="3" t="inlineStr">
        <x:is>
          <x:t xml:space="preserve">锐奇股份</x:t>
        </x:is>
      </x:c>
      <x:c r="D50" s="3" t="inlineStr">
        <x:is>
          <x:t xml:space="preserve">锐奇控股股份有限公司</x:t>
        </x:is>
      </x:c>
      <x:c r="E50" s="2" t="inlineStr">
        <x:is>
          <x:t xml:space="preserve">上海市</x:t>
        </x:is>
      </x:c>
      <x:c r="F50" s="2" t="inlineStr">
        <x:is>
          <x:t xml:space="preserve">上海市</x:t>
        </x:is>
      </x:c>
      <x:c r="G50" s="3" t="inlineStr">
        <x:is>
          <x:t xml:space="preserve">上海市-上海市</x:t>
        </x:is>
      </x:c>
      <x:c r="H50" s="2" t="inlineStr">
        <x:is>
          <x:t xml:space="preserve">机械行业</x:t>
        </x:is>
      </x:c>
      <x:c r="I50" s="2" t="inlineStr">
        <x:is>
          <x:t xml:space="preserve">2010-10-13</x:t>
        </x:is>
      </x:c>
      <x:c r="J50" s="3" t="inlineStr">
        <x:is>
          <x:t xml:space="preserve">上海市松江区新桥镇新茸路5号</x:t>
        </x:is>
      </x:c>
      <x:c r="K50" s="12" t="str">
        <x:f>LEFT("91310000631755944W",18)</x:f>
        <x:v>91310000631755944W</x:v>
      </x:c>
    </x:row>
    <x:row r="51">
      <x:c r="A51" s="4" t="n">
        <x:v>50</x:v>
      </x:c>
      <x:c r="B51" s="4" t="inlineStr">
        <x:is>
          <x:t xml:space="preserve">300129</x:t>
        </x:is>
      </x:c>
      <x:c r="C51" s="5" t="inlineStr">
        <x:is>
          <x:t xml:space="preserve">泰胜风能</x:t>
        </x:is>
      </x:c>
      <x:c r="D51" s="5" t="inlineStr">
        <x:is>
          <x:t xml:space="preserve">泰胜风能集团股份有限公司</x:t>
        </x:is>
      </x:c>
      <x:c r="E51" s="4" t="inlineStr">
        <x:is>
          <x:t xml:space="preserve">上海市</x:t>
        </x:is>
      </x:c>
      <x:c r="F51" s="4" t="inlineStr">
        <x:is>
          <x:t xml:space="preserve">上海市</x:t>
        </x:is>
      </x:c>
      <x:c r="G51" s="5" t="inlineStr">
        <x:is>
          <x:t xml:space="preserve">上海市-上海市</x:t>
        </x:is>
      </x:c>
      <x:c r="H51" s="4" t="inlineStr">
        <x:is>
          <x:t xml:space="preserve">风电设备</x:t>
        </x:is>
      </x:c>
      <x:c r="I51" s="4" t="inlineStr">
        <x:is>
          <x:t xml:space="preserve">2010-10-19</x:t>
        </x:is>
      </x:c>
      <x:c r="J51" s="5" t="inlineStr">
        <x:is>
          <x:t xml:space="preserve">上海市金山区卫清东路1988号</x:t>
        </x:is>
      </x:c>
      <x:c r="K51" s="12" t="str">
        <x:f>LEFT("9131000070327821X9",18)</x:f>
        <x:v>9131000070327821X9</x:v>
      </x:c>
    </x:row>
    <x:row r="52">
      <x:c r="A52" s="2" t="n">
        <x:v>51</x:v>
      </x:c>
      <x:c r="B52" s="2" t="inlineStr">
        <x:is>
          <x:t xml:space="preserve">300153</x:t>
        </x:is>
      </x:c>
      <x:c r="C52" s="3" t="inlineStr">
        <x:is>
          <x:t xml:space="preserve">科泰电源</x:t>
        </x:is>
      </x:c>
      <x:c r="D52" s="3" t="inlineStr">
        <x:is>
          <x:t xml:space="preserve">上海科泰电源股份有限公司</x:t>
        </x:is>
      </x:c>
      <x:c r="E52" s="2" t="inlineStr">
        <x:is>
          <x:t xml:space="preserve">上海市</x:t>
        </x:is>
      </x:c>
      <x:c r="F52" s="2" t="inlineStr">
        <x:is>
          <x:t xml:space="preserve">上海市</x:t>
        </x:is>
      </x:c>
      <x:c r="G52" s="3" t="inlineStr">
        <x:is>
          <x:t xml:space="preserve">上海市-上海市</x:t>
        </x:is>
      </x:c>
      <x:c r="H52" s="2" t="inlineStr">
        <x:is>
          <x:t xml:space="preserve">电源设备</x:t>
        </x:is>
      </x:c>
      <x:c r="I52" s="2" t="inlineStr">
        <x:is>
          <x:t xml:space="preserve">2010-12-29</x:t>
        </x:is>
      </x:c>
      <x:c r="J52" s="3" t="inlineStr">
        <x:is>
          <x:t xml:space="preserve">上海市青浦区天辰路1633号</x:t>
        </x:is>
      </x:c>
      <x:c r="K52" s="12" t="str">
        <x:f>LEFT("913100007397880003",18)</x:f>
        <x:v>913100007397880000</x:v>
      </x:c>
    </x:row>
    <x:row r="53">
      <x:c r="A53" s="4" t="n">
        <x:v>52</x:v>
      </x:c>
      <x:c r="B53" s="4" t="inlineStr">
        <x:is>
          <x:t xml:space="preserve">300168</x:t>
        </x:is>
      </x:c>
      <x:c r="C53" s="5" t="inlineStr">
        <x:is>
          <x:t xml:space="preserve">万达信息</x:t>
        </x:is>
      </x:c>
      <x:c r="D53" s="5" t="inlineStr">
        <x:is>
          <x:t xml:space="preserve">万达信息股份有限公司</x:t>
        </x:is>
      </x:c>
      <x:c r="E53" s="4" t="inlineStr">
        <x:is>
          <x:t xml:space="preserve">上海市</x:t>
        </x:is>
      </x:c>
      <x:c r="F53" s="4" t="inlineStr">
        <x:is>
          <x:t xml:space="preserve">上海市</x:t>
        </x:is>
      </x:c>
      <x:c r="G53" s="5" t="inlineStr">
        <x:is>
          <x:t xml:space="preserve">上海市-上海市</x:t>
        </x:is>
      </x:c>
      <x:c r="H53" s="4" t="inlineStr">
        <x:is>
          <x:t xml:space="preserve">互联网服务</x:t>
        </x:is>
      </x:c>
      <x:c r="I53" s="4" t="inlineStr">
        <x:is>
          <x:t xml:space="preserve">2011-01-25</x:t>
        </x:is>
      </x:c>
      <x:c r="J53" s="5" t="inlineStr">
        <x:is>
          <x:t xml:space="preserve">上海市桂平路481号20号楼5层</x:t>
        </x:is>
      </x:c>
      <x:c r="K53" s="12" t="str">
        <x:f>LEFT("91310000132653687M",18)</x:f>
        <x:v>91310000132653687M</x:v>
      </x:c>
    </x:row>
    <x:row r="54">
      <x:c r="A54" s="2" t="n">
        <x:v>53</x:v>
      </x:c>
      <x:c r="B54" s="2" t="inlineStr">
        <x:is>
          <x:t xml:space="preserve">300170</x:t>
        </x:is>
      </x:c>
      <x:c r="C54" s="3" t="inlineStr">
        <x:is>
          <x:t xml:space="preserve">汉得信息</x:t>
        </x:is>
      </x:c>
      <x:c r="D54" s="3" t="inlineStr">
        <x:is>
          <x:t xml:space="preserve">上海汉得信息技术股份有限公司</x:t>
        </x:is>
      </x:c>
      <x:c r="E54" s="2" t="inlineStr">
        <x:is>
          <x:t xml:space="preserve">上海市</x:t>
        </x:is>
      </x:c>
      <x:c r="F54" s="2" t="inlineStr">
        <x:is>
          <x:t xml:space="preserve">上海市</x:t>
        </x:is>
      </x:c>
      <x:c r="G54" s="3" t="inlineStr">
        <x:is>
          <x:t xml:space="preserve">上海市-上海市</x:t>
        </x:is>
      </x:c>
      <x:c r="H54" s="2" t="inlineStr">
        <x:is>
          <x:t xml:space="preserve">互联网服务</x:t>
        </x:is>
      </x:c>
      <x:c r="I54" s="2" t="inlineStr">
        <x:is>
          <x:t xml:space="preserve">2011-02-01</x:t>
        </x:is>
      </x:c>
      <x:c r="J54" s="3" t="inlineStr">
        <x:is>
          <x:t xml:space="preserve">中国上海市青浦区汇联路33号</x:t>
        </x:is>
      </x:c>
      <x:c r="K54" s="12" t="str">
        <x:f>LEFT("9131000074027295XF",18)</x:f>
        <x:v>9131000074027295XF</x:v>
      </x:c>
    </x:row>
    <x:row r="55">
      <x:c r="A55" s="4" t="n">
        <x:v>54</x:v>
      </x:c>
      <x:c r="B55" s="4" t="inlineStr">
        <x:is>
          <x:t xml:space="preserve">300171</x:t>
        </x:is>
      </x:c>
      <x:c r="C55" s="5" t="inlineStr">
        <x:is>
          <x:t xml:space="preserve">东富龙</x:t>
        </x:is>
      </x:c>
      <x:c r="D55" s="5" t="inlineStr">
        <x:is>
          <x:t xml:space="preserve">东富龙科技集团股份有限公司</x:t>
        </x:is>
      </x:c>
      <x:c r="E55" s="4" t="inlineStr">
        <x:is>
          <x:t xml:space="preserve">上海市</x:t>
        </x:is>
      </x:c>
      <x:c r="F55" s="4" t="inlineStr">
        <x:is>
          <x:t xml:space="preserve">上海市</x:t>
        </x:is>
      </x:c>
      <x:c r="G55" s="5" t="inlineStr">
        <x:is>
          <x:t xml:space="preserve">上海市-上海市</x:t>
        </x:is>
      </x:c>
      <x:c r="H55" s="4" t="inlineStr">
        <x:is>
          <x:t xml:space="preserve">医疗器械</x:t>
        </x:is>
      </x:c>
      <x:c r="I55" s="4" t="inlineStr">
        <x:is>
          <x:t xml:space="preserve">2011-02-01</x:t>
        </x:is>
      </x:c>
      <x:c r="J55" s="5" t="inlineStr">
        <x:is>
          <x:t xml:space="preserve">上海市闵行区都会路1509号4幢</x:t>
        </x:is>
      </x:c>
      <x:c r="K55" s="12" t="str">
        <x:f>LEFT("91310000607601064L",18)</x:f>
        <x:v>91310000607601064L</x:v>
      </x:c>
    </x:row>
    <x:row r="56">
      <x:c r="A56" s="2" t="n">
        <x:v>55</x:v>
      </x:c>
      <x:c r="B56" s="2" t="inlineStr">
        <x:is>
          <x:t xml:space="preserve">300180</x:t>
        </x:is>
      </x:c>
      <x:c r="C56" s="3" t="inlineStr">
        <x:is>
          <x:t xml:space="preserve">华峰超纤</x:t>
        </x:is>
      </x:c>
      <x:c r="D56" s="3" t="inlineStr">
        <x:is>
          <x:t xml:space="preserve">上海华峰超纤科技股份有限公司</x:t>
        </x:is>
      </x:c>
      <x:c r="E56" s="2" t="inlineStr">
        <x:is>
          <x:t xml:space="preserve">上海市</x:t>
        </x:is>
      </x:c>
      <x:c r="F56" s="2" t="inlineStr">
        <x:is>
          <x:t xml:space="preserve">上海市</x:t>
        </x:is>
      </x:c>
      <x:c r="G56" s="3" t="inlineStr">
        <x:is>
          <x:t xml:space="preserve">上海市-上海市</x:t>
        </x:is>
      </x:c>
      <x:c r="H56" s="2" t="inlineStr">
        <x:is>
          <x:t xml:space="preserve">塑胶制品</x:t>
        </x:is>
      </x:c>
      <x:c r="I56" s="2" t="inlineStr">
        <x:is>
          <x:t xml:space="preserve">2011-02-22</x:t>
        </x:is>
      </x:c>
      <x:c r="J56" s="3" t="inlineStr">
        <x:is>
          <x:t xml:space="preserve">上海市金山区亭卫南路888号</x:t>
        </x:is>
      </x:c>
      <x:c r="K56" s="12" t="str">
        <x:f>LEFT("91310000744207135C",18)</x:f>
        <x:v>91310000744207135C</x:v>
      </x:c>
    </x:row>
    <x:row r="57">
      <x:c r="A57" s="4" t="n">
        <x:v>56</x:v>
      </x:c>
      <x:c r="B57" s="4" t="inlineStr">
        <x:is>
          <x:t xml:space="preserve">300222</x:t>
        </x:is>
      </x:c>
      <x:c r="C57" s="5" t="inlineStr">
        <x:is>
          <x:t xml:space="preserve">科大智能</x:t>
        </x:is>
      </x:c>
      <x:c r="D57" s="5" t="inlineStr">
        <x:is>
          <x:t xml:space="preserve">科大智能科技股份有限公司</x:t>
        </x:is>
      </x:c>
      <x:c r="E57" s="4" t="inlineStr">
        <x:is>
          <x:t xml:space="preserve">上海市</x:t>
        </x:is>
      </x:c>
      <x:c r="F57" s="4" t="inlineStr">
        <x:is>
          <x:t xml:space="preserve">上海市</x:t>
        </x:is>
      </x:c>
      <x:c r="G57" s="5" t="inlineStr">
        <x:is>
          <x:t xml:space="preserve">上海市-上海市</x:t>
        </x:is>
      </x:c>
      <x:c r="H57" s="4" t="inlineStr">
        <x:is>
          <x:t xml:space="preserve">输配电气</x:t>
        </x:is>
      </x:c>
      <x:c r="I57" s="4" t="inlineStr">
        <x:is>
          <x:t xml:space="preserve">2011-05-25</x:t>
        </x:is>
      </x:c>
      <x:c r="J57" s="5" t="inlineStr">
        <x:is>
          <x:t xml:space="preserve">上海市松江区泗砖路777号1幢503室</x:t>
        </x:is>
      </x:c>
      <x:c r="K57" s="12" t="str">
        <x:f>LEFT("9131000074494301X3",18)</x:f>
        <x:v>9131000074494301X3</x:v>
      </x:c>
    </x:row>
    <x:row r="58">
      <x:c r="A58" s="2" t="n">
        <x:v>57</x:v>
      </x:c>
      <x:c r="B58" s="2" t="inlineStr">
        <x:is>
          <x:t xml:space="preserve">300225</x:t>
        </x:is>
      </x:c>
      <x:c r="C58" s="3" t="inlineStr">
        <x:is>
          <x:t xml:space="preserve">*ST金泰</x:t>
        </x:is>
      </x:c>
      <x:c r="D58" s="3" t="inlineStr">
        <x:is>
          <x:t xml:space="preserve">上海金力泰化工股份有限公司</x:t>
        </x:is>
      </x:c>
      <x:c r="E58" s="2" t="inlineStr">
        <x:is>
          <x:t xml:space="preserve">上海市</x:t>
        </x:is>
      </x:c>
      <x:c r="F58" s="2" t="inlineStr">
        <x:is>
          <x:t xml:space="preserve">上海市</x:t>
        </x:is>
      </x:c>
      <x:c r="G58" s="3" t="inlineStr">
        <x:is>
          <x:t xml:space="preserve">上海市-上海市</x:t>
        </x:is>
      </x:c>
      <x:c r="H58" s="2" t="inlineStr">
        <x:is>
          <x:t xml:space="preserve">化工行业</x:t>
        </x:is>
      </x:c>
      <x:c r="I58" s="2" t="inlineStr">
        <x:is>
          <x:t xml:space="preserve">2011-05-31</x:t>
        </x:is>
      </x:c>
      <x:c r="J58" s="3" t="inlineStr">
        <x:is>
          <x:t xml:space="preserve">上海市奉贤区楚工路139号</x:t>
        </x:is>
      </x:c>
      <x:c r="K58" s="12" t="str">
        <x:f>LEFT("91310000631789714J",18)</x:f>
        <x:v>91310000631789714J</x:v>
      </x:c>
    </x:row>
    <x:row r="59">
      <x:c r="A59" s="4" t="n">
        <x:v>58</x:v>
      </x:c>
      <x:c r="B59" s="4" t="inlineStr">
        <x:is>
          <x:t xml:space="preserve">300226</x:t>
        </x:is>
      </x:c>
      <x:c r="C59" s="5" t="inlineStr">
        <x:is>
          <x:t xml:space="preserve">上海钢联</x:t>
        </x:is>
      </x:c>
      <x:c r="D59" s="5" t="inlineStr">
        <x:is>
          <x:t xml:space="preserve">上海钢联电子商务股份有限公司</x:t>
        </x:is>
      </x:c>
      <x:c r="E59" s="4" t="inlineStr">
        <x:is>
          <x:t xml:space="preserve">上海市</x:t>
        </x:is>
      </x:c>
      <x:c r="F59" s="4" t="inlineStr">
        <x:is>
          <x:t xml:space="preserve">上海市</x:t>
        </x:is>
      </x:c>
      <x:c r="G59" s="5" t="inlineStr">
        <x:is>
          <x:t xml:space="preserve">上海市-上海市</x:t>
        </x:is>
      </x:c>
      <x:c r="H59" s="4" t="inlineStr">
        <x:is>
          <x:t xml:space="preserve">电子信息</x:t>
        </x:is>
      </x:c>
      <x:c r="I59" s="4" t="inlineStr">
        <x:is>
          <x:t xml:space="preserve">2011-06-08</x:t>
        </x:is>
      </x:c>
      <x:c r="J59" s="5" t="inlineStr">
        <x:is>
          <x:t xml:space="preserve">上海市宝山区园丰路68号</x:t>
        </x:is>
      </x:c>
      <x:c r="K59" s="12" t="str">
        <x:f>LEFT("913100006317557680",18)</x:f>
        <x:v>913100006317557600</x:v>
      </x:c>
    </x:row>
    <x:row r="60">
      <x:c r="A60" s="2" t="n">
        <x:v>59</x:v>
      </x:c>
      <x:c r="B60" s="2" t="inlineStr">
        <x:is>
          <x:t xml:space="preserve">300230</x:t>
        </x:is>
      </x:c>
      <x:c r="C60" s="3" t="inlineStr">
        <x:is>
          <x:t xml:space="preserve">永利股份</x:t>
        </x:is>
      </x:c>
      <x:c r="D60" s="3" t="inlineStr">
        <x:is>
          <x:t xml:space="preserve">上海永利带业股份有限公司</x:t>
        </x:is>
      </x:c>
      <x:c r="E60" s="2" t="inlineStr">
        <x:is>
          <x:t xml:space="preserve">上海市</x:t>
        </x:is>
      </x:c>
      <x:c r="F60" s="2" t="inlineStr">
        <x:is>
          <x:t xml:space="preserve">上海市</x:t>
        </x:is>
      </x:c>
      <x:c r="G60" s="3" t="inlineStr">
        <x:is>
          <x:t xml:space="preserve">上海市-上海市</x:t>
        </x:is>
      </x:c>
      <x:c r="H60" s="2" t="inlineStr">
        <x:is>
          <x:t xml:space="preserve">塑胶制品</x:t>
        </x:is>
      </x:c>
      <x:c r="I60" s="2" t="inlineStr">
        <x:is>
          <x:t xml:space="preserve">2011-06-15</x:t>
        </x:is>
      </x:c>
      <x:c r="J60" s="3" t="inlineStr">
        <x:is>
          <x:t xml:space="preserve">上海市青浦区徐泾镇徐旺路58号</x:t>
        </x:is>
      </x:c>
      <x:c r="K60" s="12" t="str">
        <x:f>LEFT("91310000734582791P",18)</x:f>
        <x:v>91310000734582791P</x:v>
      </x:c>
    </x:row>
    <x:row r="61">
      <x:c r="A61" s="4" t="n">
        <x:v>60</x:v>
      </x:c>
      <x:c r="B61" s="4" t="inlineStr">
        <x:is>
          <x:t xml:space="preserve">300236</x:t>
        </x:is>
      </x:c>
      <x:c r="C61" s="5" t="inlineStr">
        <x:is>
          <x:t xml:space="preserve">上海新阳</x:t>
        </x:is>
      </x:c>
      <x:c r="D61" s="5" t="inlineStr">
        <x:is>
          <x:t xml:space="preserve">上海新阳半导体材料股份有限公司</x:t>
        </x:is>
      </x:c>
      <x:c r="E61" s="4" t="inlineStr">
        <x:is>
          <x:t xml:space="preserve">上海市</x:t>
        </x:is>
      </x:c>
      <x:c r="F61" s="4" t="inlineStr">
        <x:is>
          <x:t xml:space="preserve">上海市</x:t>
        </x:is>
      </x:c>
      <x:c r="G61" s="5" t="inlineStr">
        <x:is>
          <x:t xml:space="preserve">上海市-上海市</x:t>
        </x:is>
      </x:c>
      <x:c r="H61" s="4" t="inlineStr">
        <x:is>
          <x:t xml:space="preserve">电子化学品</x:t>
        </x:is>
      </x:c>
      <x:c r="I61" s="4" t="inlineStr">
        <x:is>
          <x:t xml:space="preserve">2011-06-29</x:t>
        </x:is>
      </x:c>
      <x:c r="J61" s="5" t="inlineStr">
        <x:is>
          <x:t xml:space="preserve">上海市松江区思贤路3600号</x:t>
        </x:is>
      </x:c>
      <x:c r="K61" s="12" t="str">
        <x:f>LEFT("91310000761605688L",18)</x:f>
        <x:v>91310000761605688L</x:v>
      </x:c>
    </x:row>
    <x:row r="62">
      <x:c r="A62" s="2" t="n">
        <x:v>61</x:v>
      </x:c>
      <x:c r="B62" s="2" t="inlineStr">
        <x:is>
          <x:t xml:space="preserve">300245</x:t>
        </x:is>
      </x:c>
      <x:c r="C62" s="3" t="inlineStr">
        <x:is>
          <x:t xml:space="preserve">天玑科技</x:t>
        </x:is>
      </x:c>
      <x:c r="D62" s="3" t="inlineStr">
        <x:is>
          <x:t xml:space="preserve">上海天玑科技股份有限公司</x:t>
        </x:is>
      </x:c>
      <x:c r="E62" s="2" t="inlineStr">
        <x:is>
          <x:t xml:space="preserve">上海市</x:t>
        </x:is>
      </x:c>
      <x:c r="F62" s="2" t="inlineStr">
        <x:is>
          <x:t xml:space="preserve">上海市</x:t>
        </x:is>
      </x:c>
      <x:c r="G62" s="3" t="inlineStr">
        <x:is>
          <x:t xml:space="preserve">上海市-上海市</x:t>
        </x:is>
      </x:c>
      <x:c r="H62" s="2" t="inlineStr">
        <x:is>
          <x:t xml:space="preserve">互联网服务</x:t>
        </x:is>
      </x:c>
      <x:c r="I62" s="2" t="inlineStr">
        <x:is>
          <x:t xml:space="preserve">2011-07-19</x:t>
        </x:is>
      </x:c>
      <x:c r="J62" s="3" t="inlineStr">
        <x:is>
          <x:t xml:space="preserve">上海市闵行区田林路1016号科技绿洲三期6号楼</x:t>
        </x:is>
      </x:c>
      <x:c r="K62" s="12" t="str">
        <x:f>LEFT("91310000703400561X",18)</x:f>
        <x:v>91310000703400561X</x:v>
      </x:c>
    </x:row>
    <x:row r="63">
      <x:c r="A63" s="4" t="n">
        <x:v>62</x:v>
      </x:c>
      <x:c r="B63" s="4" t="inlineStr">
        <x:is>
          <x:t xml:space="preserve">300253</x:t>
        </x:is>
      </x:c>
      <x:c r="C63" s="5" t="inlineStr">
        <x:is>
          <x:t xml:space="preserve">卫宁健康</x:t>
        </x:is>
      </x:c>
      <x:c r="D63" s="5" t="inlineStr">
        <x:is>
          <x:t xml:space="preserve">卫宁健康科技集团股份有限公司</x:t>
        </x:is>
      </x:c>
      <x:c r="E63" s="4" t="inlineStr">
        <x:is>
          <x:t xml:space="preserve">上海市</x:t>
        </x:is>
      </x:c>
      <x:c r="F63" s="4" t="inlineStr">
        <x:is>
          <x:t xml:space="preserve">上海市</x:t>
        </x:is>
      </x:c>
      <x:c r="G63" s="5" t="inlineStr">
        <x:is>
          <x:t xml:space="preserve">上海市-上海市</x:t>
        </x:is>
      </x:c>
      <x:c r="H63" s="4" t="inlineStr">
        <x:is>
          <x:t xml:space="preserve">软件服务</x:t>
        </x:is>
      </x:c>
      <x:c r="I63" s="4" t="inlineStr">
        <x:is>
          <x:t xml:space="preserve">2011-08-18</x:t>
        </x:is>
      </x:c>
      <x:c r="J63" s="5" t="inlineStr">
        <x:is>
          <x:t xml:space="preserve">上海市浦东新区东育路255弄4号3楼B29</x:t>
        </x:is>
      </x:c>
      <x:c r="K63" s="12" t="str">
        <x:f>LEFT("91310000759874061E",18)</x:f>
        <x:v>91310000759874061E</x:v>
      </x:c>
    </x:row>
    <x:row r="64">
      <x:c r="A64" s="2" t="n">
        <x:v>63</x:v>
      </x:c>
      <x:c r="B64" s="2" t="inlineStr">
        <x:is>
          <x:t xml:space="preserve">300257</x:t>
        </x:is>
      </x:c>
      <x:c r="C64" s="3" t="inlineStr">
        <x:is>
          <x:t xml:space="preserve">开山股份</x:t>
        </x:is>
      </x:c>
      <x:c r="D64" s="3" t="inlineStr">
        <x:is>
          <x:t xml:space="preserve">开山集团股份有限公司</x:t>
        </x:is>
      </x:c>
      <x:c r="E64" s="2" t="inlineStr">
        <x:is>
          <x:t xml:space="preserve">上海市</x:t>
        </x:is>
      </x:c>
      <x:c r="F64" s="2" t="inlineStr">
        <x:is>
          <x:t xml:space="preserve">上海市</x:t>
        </x:is>
      </x:c>
      <x:c r="G64" s="3" t="inlineStr">
        <x:is>
          <x:t xml:space="preserve">上海市-上海市</x:t>
        </x:is>
      </x:c>
      <x:c r="H64" s="2" t="inlineStr">
        <x:is>
          <x:t xml:space="preserve">机械行业</x:t>
        </x:is>
      </x:c>
      <x:c r="I64" s="2" t="inlineStr">
        <x:is>
          <x:t xml:space="preserve">2011-08-19</x:t>
        </x:is>
      </x:c>
      <x:c r="J64" s="3" t="inlineStr">
        <x:is>
          <x:t xml:space="preserve">中国(上海)自由贸易试验区临港新片区飞渡路851号</x:t>
        </x:is>
      </x:c>
      <x:c r="K64" s="12" t="str">
        <x:f>LEFT("9133000074100296XK",18)</x:f>
        <x:v>9133000074100296XK</x:v>
      </x:c>
    </x:row>
    <x:row r="65">
      <x:c r="A65" s="4" t="n">
        <x:v>64</x:v>
      </x:c>
      <x:c r="B65" s="4" t="inlineStr">
        <x:is>
          <x:t xml:space="preserve">300272</x:t>
        </x:is>
      </x:c>
      <x:c r="C65" s="5" t="inlineStr">
        <x:is>
          <x:t xml:space="preserve">开能健康</x:t>
        </x:is>
      </x:c>
      <x:c r="D65" s="5" t="inlineStr">
        <x:is>
          <x:t xml:space="preserve">开能健康科技集团股份有限公司</x:t>
        </x:is>
      </x:c>
      <x:c r="E65" s="4" t="inlineStr">
        <x:is>
          <x:t xml:space="preserve">上海市</x:t>
        </x:is>
      </x:c>
      <x:c r="F65" s="4" t="inlineStr">
        <x:is>
          <x:t xml:space="preserve">上海市</x:t>
        </x:is>
      </x:c>
      <x:c r="G65" s="5" t="inlineStr">
        <x:is>
          <x:t xml:space="preserve">上海市-上海市</x:t>
        </x:is>
      </x:c>
      <x:c r="H65" s="4" t="inlineStr">
        <x:is>
          <x:t xml:space="preserve">家电行业</x:t>
        </x:is>
      </x:c>
      <x:c r="I65" s="4" t="inlineStr">
        <x:is>
          <x:t xml:space="preserve">2011-11-02</x:t>
        </x:is>
      </x:c>
      <x:c r="J65" s="5" t="inlineStr">
        <x:is>
          <x:t xml:space="preserve">上海市浦东新区川沙镇川大路508、518号</x:t>
        </x:is>
      </x:c>
      <x:c r="K65" s="12" t="str">
        <x:f>LEFT("91310000703199757R",18)</x:f>
        <x:v>91310000703199757R</x:v>
      </x:c>
    </x:row>
    <x:row r="66">
      <x:c r="A66" s="2" t="n">
        <x:v>65</x:v>
      </x:c>
      <x:c r="B66" s="2" t="inlineStr">
        <x:is>
          <x:t xml:space="preserve">300286</x:t>
        </x:is>
      </x:c>
      <x:c r="C66" s="3" t="inlineStr">
        <x:is>
          <x:t xml:space="preserve">安科瑞</x:t>
        </x:is>
      </x:c>
      <x:c r="D66" s="3" t="inlineStr">
        <x:is>
          <x:t xml:space="preserve">安科瑞电气股份有限公司</x:t>
        </x:is>
      </x:c>
      <x:c r="E66" s="2" t="inlineStr">
        <x:is>
          <x:t xml:space="preserve">上海市</x:t>
        </x:is>
      </x:c>
      <x:c r="F66" s="2" t="inlineStr">
        <x:is>
          <x:t xml:space="preserve">上海市</x:t>
        </x:is>
      </x:c>
      <x:c r="G66" s="3" t="inlineStr">
        <x:is>
          <x:t xml:space="preserve">上海市-上海市</x:t>
        </x:is>
      </x:c>
      <x:c r="H66" s="2" t="inlineStr">
        <x:is>
          <x:t xml:space="preserve">输配电气</x:t>
        </x:is>
      </x:c>
      <x:c r="I66" s="2" t="inlineStr">
        <x:is>
          <x:t xml:space="preserve">2012-01-13</x:t>
        </x:is>
      </x:c>
      <x:c r="J66" s="3" t="inlineStr">
        <x:is>
          <x:t xml:space="preserve">上海市嘉定区育绿路253号</x:t>
        </x:is>
      </x:c>
      <x:c r="K66" s="12" t="str">
        <x:f>LEFT("91310000751864205N",18)</x:f>
        <x:v>91310000751864205N</x:v>
      </x:c>
    </x:row>
    <x:row r="67">
      <x:c r="A67" s="4" t="n">
        <x:v>66</x:v>
      </x:c>
      <x:c r="B67" s="4" t="inlineStr">
        <x:is>
          <x:t xml:space="preserve">300326</x:t>
        </x:is>
      </x:c>
      <x:c r="C67" s="5" t="inlineStr">
        <x:is>
          <x:t xml:space="preserve">凯利泰</x:t>
        </x:is>
      </x:c>
      <x:c r="D67" s="5" t="inlineStr">
        <x:is>
          <x:t xml:space="preserve">上海凯利泰医疗科技股份有限公司</x:t>
        </x:is>
      </x:c>
      <x:c r="E67" s="4" t="inlineStr">
        <x:is>
          <x:t xml:space="preserve">上海市</x:t>
        </x:is>
      </x:c>
      <x:c r="F67" s="4" t="inlineStr">
        <x:is>
          <x:t xml:space="preserve">上海市</x:t>
        </x:is>
      </x:c>
      <x:c r="G67" s="5" t="inlineStr">
        <x:is>
          <x:t xml:space="preserve">上海市-上海市</x:t>
        </x:is>
      </x:c>
      <x:c r="H67" s="4" t="inlineStr">
        <x:is>
          <x:t xml:space="preserve">医疗器械</x:t>
        </x:is>
      </x:c>
      <x:c r="I67" s="4" t="inlineStr">
        <x:is>
          <x:t xml:space="preserve">2012-06-13</x:t>
        </x:is>
      </x:c>
      <x:c r="J67" s="5" t="inlineStr">
        <x:is>
          <x:t xml:space="preserve">上海市张江高科技园东区瑞庆路528号23幢</x:t>
        </x:is>
      </x:c>
      <x:c r="K67" s="12" t="str">
        <x:f>LEFT("913100007728924912",18)</x:f>
        <x:v>913100007728924900</x:v>
      </x:c>
    </x:row>
    <x:row r="68">
      <x:c r="A68" s="2" t="n">
        <x:v>67</x:v>
      </x:c>
      <x:c r="B68" s="2" t="inlineStr">
        <x:is>
          <x:t xml:space="preserve">300327</x:t>
        </x:is>
      </x:c>
      <x:c r="C68" s="3" t="inlineStr">
        <x:is>
          <x:t xml:space="preserve">中颖电子</x:t>
        </x:is>
      </x:c>
      <x:c r="D68" s="3" t="inlineStr">
        <x:is>
          <x:t xml:space="preserve">中颖电子股份有限公司</x:t>
        </x:is>
      </x:c>
      <x:c r="E68" s="2" t="inlineStr">
        <x:is>
          <x:t xml:space="preserve">上海市</x:t>
        </x:is>
      </x:c>
      <x:c r="F68" s="2" t="inlineStr">
        <x:is>
          <x:t xml:space="preserve">上海市</x:t>
        </x:is>
      </x:c>
      <x:c r="G68" s="3" t="inlineStr">
        <x:is>
          <x:t xml:space="preserve">上海市-上海市</x:t>
        </x:is>
      </x:c>
      <x:c r="H68" s="2" t="inlineStr">
        <x:is>
          <x:t xml:space="preserve">半导体</x:t>
        </x:is>
      </x:c>
      <x:c r="I68" s="2" t="inlineStr">
        <x:is>
          <x:t xml:space="preserve">2012-06-13</x:t>
        </x:is>
      </x:c>
      <x:c r="J68" s="3" t="inlineStr">
        <x:is>
          <x:t xml:space="preserve">上海市长宁区临空经济园区金钟路767弄3号</x:t>
        </x:is>
      </x:c>
      <x:c r="K68" s="12" t="str">
        <x:f>LEFT("91310000607272280Q",18)</x:f>
        <x:v>91310000607272280Q</x:v>
      </x:c>
    </x:row>
    <x:row r="69">
      <x:c r="A69" s="4" t="n">
        <x:v>68</x:v>
      </x:c>
      <x:c r="B69" s="4" t="inlineStr">
        <x:is>
          <x:t xml:space="preserve">300378</x:t>
        </x:is>
      </x:c>
      <x:c r="C69" s="5" t="inlineStr">
        <x:is>
          <x:t xml:space="preserve">鼎捷数智</x:t>
        </x:is>
      </x:c>
      <x:c r="D69" s="5" t="inlineStr">
        <x:is>
          <x:t xml:space="preserve">鼎捷数智股份有限公司</x:t>
        </x:is>
      </x:c>
      <x:c r="E69" s="4" t="inlineStr">
        <x:is>
          <x:t xml:space="preserve">上海市</x:t>
        </x:is>
      </x:c>
      <x:c r="F69" s="4" t="inlineStr">
        <x:is>
          <x:t xml:space="preserve">上海市</x:t>
        </x:is>
      </x:c>
      <x:c r="G69" s="5" t="inlineStr">
        <x:is>
          <x:t xml:space="preserve">上海市-上海市</x:t>
        </x:is>
      </x:c>
      <x:c r="H69" s="4" t="inlineStr">
        <x:is>
          <x:t xml:space="preserve">软件服务</x:t>
        </x:is>
      </x:c>
      <x:c r="I69" s="4" t="inlineStr">
        <x:is>
          <x:t xml:space="preserve">2014-01-27</x:t>
        </x:is>
      </x:c>
      <x:c r="J69" s="5" t="inlineStr">
        <x:is>
          <x:t xml:space="preserve">上海市静安区江场路1377弄7号20层</x:t>
        </x:is>
      </x:c>
      <x:c r="K69" s="12" t="str">
        <x:f>LEFT("91310000734084709Q",18)</x:f>
        <x:v>91310000734084709Q</x:v>
      </x:c>
    </x:row>
    <x:row r="70">
      <x:c r="A70" s="2" t="n">
        <x:v>69</x:v>
      </x:c>
      <x:c r="B70" s="2" t="inlineStr">
        <x:is>
          <x:t xml:space="preserve">300380</x:t>
        </x:is>
      </x:c>
      <x:c r="C70" s="3" t="inlineStr">
        <x:is>
          <x:t xml:space="preserve">安硕信息</x:t>
        </x:is>
      </x:c>
      <x:c r="D70" s="3" t="inlineStr">
        <x:is>
          <x:t xml:space="preserve">上海安硕信息技术股份有限公司</x:t>
        </x:is>
      </x:c>
      <x:c r="E70" s="2" t="inlineStr">
        <x:is>
          <x:t xml:space="preserve">上海市</x:t>
        </x:is>
      </x:c>
      <x:c r="F70" s="2" t="inlineStr">
        <x:is>
          <x:t xml:space="preserve">上海市</x:t>
        </x:is>
      </x:c>
      <x:c r="G70" s="3" t="inlineStr">
        <x:is>
          <x:t xml:space="preserve">上海市-上海市</x:t>
        </x:is>
      </x:c>
      <x:c r="H70" s="2" t="inlineStr">
        <x:is>
          <x:t xml:space="preserve">软件开发</x:t>
        </x:is>
      </x:c>
      <x:c r="I70" s="2" t="inlineStr">
        <x:is>
          <x:t xml:space="preserve">2014-01-28</x:t>
        </x:is>
      </x:c>
      <x:c r="J70" s="3" t="inlineStr">
        <x:is>
          <x:t xml:space="preserve">上海市杨浦区国泰路11号2308室</x:t>
        </x:is>
      </x:c>
      <x:c r="K70" s="12" t="str">
        <x:f>LEFT("913100007294735903",18)</x:f>
        <x:v>913100007294735900</x:v>
      </x:c>
    </x:row>
    <x:row r="71">
      <x:c r="A71" s="4" t="n">
        <x:v>70</x:v>
      </x:c>
      <x:c r="B71" s="4" t="inlineStr">
        <x:is>
          <x:t xml:space="preserve">300398</x:t>
        </x:is>
      </x:c>
      <x:c r="C71" s="5" t="inlineStr">
        <x:is>
          <x:t xml:space="preserve">飞凯材料</x:t>
        </x:is>
      </x:c>
      <x:c r="D71" s="5" t="inlineStr">
        <x:is>
          <x:t xml:space="preserve">上海飞凯材料科技股份有限公司</x:t>
        </x:is>
      </x:c>
      <x:c r="E71" s="4" t="inlineStr">
        <x:is>
          <x:t xml:space="preserve">上海市</x:t>
        </x:is>
      </x:c>
      <x:c r="F71" s="4" t="inlineStr">
        <x:is>
          <x:t xml:space="preserve">上海市</x:t>
        </x:is>
      </x:c>
      <x:c r="G71" s="5" t="inlineStr">
        <x:is>
          <x:t xml:space="preserve">上海市-上海市</x:t>
        </x:is>
      </x:c>
      <x:c r="H71" s="4" t="inlineStr">
        <x:is>
          <x:t xml:space="preserve">电子化学品</x:t>
        </x:is>
      </x:c>
      <x:c r="I71" s="4" t="inlineStr">
        <x:is>
          <x:t xml:space="preserve">2014-10-09</x:t>
        </x:is>
      </x:c>
      <x:c r="J71" s="5" t="inlineStr">
        <x:is>
          <x:t xml:space="preserve">上海市宝山区潘泾路2999号</x:t>
        </x:is>
      </x:c>
      <x:c r="K71" s="12" t="str">
        <x:f>LEFT("913100007381411253",18)</x:f>
        <x:v>913100007381411200</x:v>
      </x:c>
    </x:row>
    <x:row r="72">
      <x:c r="A72" s="2" t="n">
        <x:v>71</x:v>
      </x:c>
      <x:c r="B72" s="2" t="inlineStr">
        <x:is>
          <x:t xml:space="preserve">300462</x:t>
        </x:is>
      </x:c>
      <x:c r="C72" s="3" t="inlineStr">
        <x:is>
          <x:t xml:space="preserve">ST华铭</x:t>
        </x:is>
      </x:c>
      <x:c r="D72" s="3" t="inlineStr">
        <x:is>
          <x:t xml:space="preserve">上海华铭智能终端设备股份有限公司</x:t>
        </x:is>
      </x:c>
      <x:c r="E72" s="2" t="inlineStr">
        <x:is>
          <x:t xml:space="preserve">上海市</x:t>
        </x:is>
      </x:c>
      <x:c r="F72" s="2" t="inlineStr">
        <x:is>
          <x:t xml:space="preserve">上海市</x:t>
        </x:is>
      </x:c>
      <x:c r="G72" s="3" t="inlineStr">
        <x:is>
          <x:t xml:space="preserve">上海市-上海市</x:t>
        </x:is>
      </x:c>
      <x:c r="H72" s="2" t="inlineStr">
        <x:is>
          <x:t xml:space="preserve">交运设备</x:t>
        </x:is>
      </x:c>
      <x:c r="I72" s="2" t="inlineStr">
        <x:is>
          <x:t xml:space="preserve">2015-05-27</x:t>
        </x:is>
      </x:c>
      <x:c r="J72" s="3" t="inlineStr">
        <x:is>
          <x:t xml:space="preserve">上海市松江区茸梅路895号</x:t>
        </x:is>
      </x:c>
      <x:c r="K72" s="12" t="str">
        <x:f>LEFT("9131000072938976XM",18)</x:f>
        <x:v>9131000072938976XM</x:v>
      </x:c>
    </x:row>
    <x:row r="73">
      <x:c r="A73" s="4" t="n">
        <x:v>72</x:v>
      </x:c>
      <x:c r="B73" s="4" t="inlineStr">
        <x:is>
          <x:t xml:space="preserve">300483</x:t>
        </x:is>
      </x:c>
      <x:c r="C73" s="5" t="inlineStr">
        <x:is>
          <x:t xml:space="preserve">首华燃气</x:t>
        </x:is>
      </x:c>
      <x:c r="D73" s="5" t="inlineStr">
        <x:is>
          <x:t xml:space="preserve">首华燃气科技(上海)股份有限公司</x:t>
        </x:is>
      </x:c>
      <x:c r="E73" s="4" t="inlineStr">
        <x:is>
          <x:t xml:space="preserve">上海市</x:t>
        </x:is>
      </x:c>
      <x:c r="F73" s="4" t="inlineStr">
        <x:is>
          <x:t xml:space="preserve">上海市</x:t>
        </x:is>
      </x:c>
      <x:c r="G73" s="5" t="inlineStr">
        <x:is>
          <x:t xml:space="preserve">上海市-上海市</x:t>
        </x:is>
      </x:c>
      <x:c r="H73" s="4" t="inlineStr">
        <x:is>
          <x:t xml:space="preserve">燃气</x:t>
        </x:is>
      </x:c>
      <x:c r="I73" s="4" t="inlineStr">
        <x:is>
          <x:t xml:space="preserve">2015-06-30</x:t>
        </x:is>
      </x:c>
      <x:c r="J73" s="5" t="inlineStr">
        <x:is>
          <x:t xml:space="preserve">上海闵行区元江路5000号</x:t>
        </x:is>
      </x:c>
      <x:c r="K73" s="12" t="str">
        <x:f>LEFT("9131000074617658XB",18)</x:f>
        <x:v>9131000074617658XB</x:v>
      </x:c>
    </x:row>
    <x:row r="74">
      <x:c r="A74" s="2" t="n">
        <x:v>73</x:v>
      </x:c>
      <x:c r="B74" s="2" t="inlineStr">
        <x:is>
          <x:t xml:space="preserve">300493</x:t>
        </x:is>
      </x:c>
      <x:c r="C74" s="3" t="inlineStr">
        <x:is>
          <x:t xml:space="preserve">润欣科技</x:t>
        </x:is>
      </x:c>
      <x:c r="D74" s="3" t="inlineStr">
        <x:is>
          <x:t xml:space="preserve">上海润欣科技股份有限公司</x:t>
        </x:is>
      </x:c>
      <x:c r="E74" s="2" t="inlineStr">
        <x:is>
          <x:t xml:space="preserve">上海市</x:t>
        </x:is>
      </x:c>
      <x:c r="F74" s="2" t="inlineStr">
        <x:is>
          <x:t xml:space="preserve">上海市</x:t>
        </x:is>
      </x:c>
      <x:c r="G74" s="3" t="inlineStr">
        <x:is>
          <x:t xml:space="preserve">上海市-上海市</x:t>
        </x:is>
      </x:c>
      <x:c r="H74" s="2" t="inlineStr">
        <x:is>
          <x:t xml:space="preserve">贸易行业</x:t>
        </x:is>
      </x:c>
      <x:c r="I74" s="2" t="inlineStr">
        <x:is>
          <x:t xml:space="preserve">2015-12-10</x:t>
        </x:is>
      </x:c>
      <x:c r="J74" s="3" t="inlineStr">
        <x:is>
          <x:t xml:space="preserve">上海市徐汇区田林路200号A号楼301室</x:t>
        </x:is>
      </x:c>
      <x:c r="K74" s="12" t="str">
        <x:f>LEFT("91310000703034995X",18)</x:f>
        <x:v>91310000703034995X</x:v>
      </x:c>
    </x:row>
    <x:row r="75">
      <x:c r="A75" s="4" t="n">
        <x:v>74</x:v>
      </x:c>
      <x:c r="B75" s="4" t="inlineStr">
        <x:is>
          <x:t xml:space="preserve">300501</x:t>
        </x:is>
      </x:c>
      <x:c r="C75" s="5" t="inlineStr">
        <x:is>
          <x:t xml:space="preserve">海顺新材</x:t>
        </x:is>
      </x:c>
      <x:c r="D75" s="5" t="inlineStr">
        <x:is>
          <x:t xml:space="preserve">上海海顺新型药用包装材料股份有限公司</x:t>
        </x:is>
      </x:c>
      <x:c r="E75" s="4" t="inlineStr">
        <x:is>
          <x:t xml:space="preserve">上海市</x:t>
        </x:is>
      </x:c>
      <x:c r="F75" s="4" t="inlineStr">
        <x:is>
          <x:t xml:space="preserve">上海市</x:t>
        </x:is>
      </x:c>
      <x:c r="G75" s="5" t="inlineStr">
        <x:is>
          <x:t xml:space="preserve">上海市-上海市</x:t>
        </x:is>
      </x:c>
      <x:c r="H75" s="4" t="inlineStr">
        <x:is>
          <x:t xml:space="preserve">包装材料</x:t>
        </x:is>
      </x:c>
      <x:c r="I75" s="4" t="inlineStr">
        <x:is>
          <x:t xml:space="preserve">2016-02-04</x:t>
        </x:is>
      </x:c>
      <x:c r="J75" s="5" t="inlineStr">
        <x:is>
          <x:t xml:space="preserve">上海市松江区莘砖公路3456弄</x:t>
        </x:is>
      </x:c>
      <x:c r="K75" s="12" t="str">
        <x:f>LEFT("91310000770943355B",18)</x:f>
        <x:v>91310000770943355B</x:v>
      </x:c>
    </x:row>
    <x:row r="76">
      <x:c r="A76" s="2" t="n">
        <x:v>75</x:v>
      </x:c>
      <x:c r="B76" s="2" t="inlineStr">
        <x:is>
          <x:t xml:space="preserve">300508</x:t>
        </x:is>
      </x:c>
      <x:c r="C76" s="3" t="inlineStr">
        <x:is>
          <x:t xml:space="preserve">维宏股份</x:t>
        </x:is>
      </x:c>
      <x:c r="D76" s="3" t="inlineStr">
        <x:is>
          <x:t xml:space="preserve">上海维宏电子科技股份有限公司</x:t>
        </x:is>
      </x:c>
      <x:c r="E76" s="2" t="inlineStr">
        <x:is>
          <x:t xml:space="preserve">上海市</x:t>
        </x:is>
      </x:c>
      <x:c r="F76" s="2" t="inlineStr">
        <x:is>
          <x:t xml:space="preserve">上海市</x:t>
        </x:is>
      </x:c>
      <x:c r="G76" s="3" t="inlineStr">
        <x:is>
          <x:t xml:space="preserve">上海市-上海市</x:t>
        </x:is>
      </x:c>
      <x:c r="H76" s="2" t="inlineStr">
        <x:is>
          <x:t xml:space="preserve">互联网服务</x:t>
        </x:is>
      </x:c>
      <x:c r="I76" s="2" t="inlineStr">
        <x:is>
          <x:t xml:space="preserve">2016-04-19</x:t>
        </x:is>
      </x:c>
      <x:c r="J76" s="3" t="inlineStr">
        <x:is>
          <x:t xml:space="preserve">上海市闵行区都会路975弄119号1幢5楼501室</x:t>
        </x:is>
      </x:c>
      <x:c r="K76" s="12" t="str">
        <x:f>LEFT("91310000662437084H",18)</x:f>
        <x:v>91310000662437084H</x:v>
      </x:c>
    </x:row>
    <x:row r="77">
      <x:c r="A77" s="4" t="n">
        <x:v>76</x:v>
      </x:c>
      <x:c r="B77" s="4" t="inlineStr">
        <x:is>
          <x:t xml:space="preserve">300511</x:t>
        </x:is>
      </x:c>
      <x:c r="C77" s="5" t="inlineStr">
        <x:is>
          <x:t xml:space="preserve">雪榕生物</x:t>
        </x:is>
      </x:c>
      <x:c r="D77" s="5" t="inlineStr">
        <x:is>
          <x:t xml:space="preserve">上海雪榕生物科技股份有限公司</x:t>
        </x:is>
      </x:c>
      <x:c r="E77" s="4" t="inlineStr">
        <x:is>
          <x:t xml:space="preserve">上海市</x:t>
        </x:is>
      </x:c>
      <x:c r="F77" s="4" t="inlineStr">
        <x:is>
          <x:t xml:space="preserve">上海市</x:t>
        </x:is>
      </x:c>
      <x:c r="G77" s="5" t="inlineStr">
        <x:is>
          <x:t xml:space="preserve">上海市-上海市</x:t>
        </x:is>
      </x:c>
      <x:c r="H77" s="4" t="inlineStr">
        <x:is>
          <x:t xml:space="preserve">农牧饲渔</x:t>
        </x:is>
      </x:c>
      <x:c r="I77" s="4" t="inlineStr">
        <x:is>
          <x:t xml:space="preserve">2016-05-04</x:t>
        </x:is>
      </x:c>
      <x:c r="J77" s="5" t="inlineStr">
        <x:is>
          <x:t xml:space="preserve">上海市青浦区徐民路525号6层、7层</x:t>
        </x:is>
      </x:c>
      <x:c r="K77" s="12" t="str">
        <x:f>LEFT("91310000607382324Y",18)</x:f>
        <x:v>91310000607382324Y</x:v>
      </x:c>
    </x:row>
    <x:row r="78">
      <x:c r="A78" s="2" t="n">
        <x:v>77</x:v>
      </x:c>
      <x:c r="B78" s="2" t="inlineStr">
        <x:is>
          <x:t xml:space="preserve">300551</x:t>
        </x:is>
      </x:c>
      <x:c r="C78" s="3" t="inlineStr">
        <x:is>
          <x:t xml:space="preserve">古鳌科技</x:t>
        </x:is>
      </x:c>
      <x:c r="D78" s="3" t="inlineStr">
        <x:is>
          <x:t xml:space="preserve">上海古鳌电子科技股份有限公司</x:t>
        </x:is>
      </x:c>
      <x:c r="E78" s="2" t="inlineStr">
        <x:is>
          <x:t xml:space="preserve">上海市</x:t>
        </x:is>
      </x:c>
      <x:c r="F78" s="2" t="inlineStr">
        <x:is>
          <x:t xml:space="preserve">上海市</x:t>
        </x:is>
      </x:c>
      <x:c r="G78" s="3" t="inlineStr">
        <x:is>
          <x:t xml:space="preserve">上海市-上海市</x:t>
        </x:is>
      </x:c>
      <x:c r="H78" s="2" t="inlineStr">
        <x:is>
          <x:t xml:space="preserve">计算机设备</x:t>
        </x:is>
      </x:c>
      <x:c r="I78" s="2" t="inlineStr">
        <x:is>
          <x:t xml:space="preserve">2016-10-18</x:t>
        </x:is>
      </x:c>
      <x:c r="J78" s="3" t="inlineStr">
        <x:is>
          <x:t xml:space="preserve">上海市普陀区同普路1225弄6号</x:t>
        </x:is>
      </x:c>
      <x:c r="K78" s="12" t="str">
        <x:f>LEFT("91310000630452159C",18)</x:f>
        <x:v>91310000630452159C</x:v>
      </x:c>
    </x:row>
    <x:row r="79">
      <x:c r="A79" s="4" t="n">
        <x:v>78</x:v>
      </x:c>
      <x:c r="B79" s="4" t="inlineStr">
        <x:is>
          <x:t xml:space="preserve">300578</x:t>
        </x:is>
      </x:c>
      <x:c r="C79" s="5" t="inlineStr">
        <x:is>
          <x:t xml:space="preserve">会畅通讯</x:t>
        </x:is>
      </x:c>
      <x:c r="D79" s="5" t="inlineStr">
        <x:is>
          <x:t xml:space="preserve">上海会畅通讯股份有限公司</x:t>
        </x:is>
      </x:c>
      <x:c r="E79" s="4" t="inlineStr">
        <x:is>
          <x:t xml:space="preserve">上海市</x:t>
        </x:is>
      </x:c>
      <x:c r="F79" s="4" t="inlineStr">
        <x:is>
          <x:t xml:space="preserve">上海市</x:t>
        </x:is>
      </x:c>
      <x:c r="G79" s="5" t="inlineStr">
        <x:is>
          <x:t xml:space="preserve">上海市-上海市</x:t>
        </x:is>
      </x:c>
      <x:c r="H79" s="4" t="inlineStr">
        <x:is>
          <x:t xml:space="preserve">通信服务</x:t>
        </x:is>
      </x:c>
      <x:c r="I79" s="4" t="inlineStr">
        <x:is>
          <x:t xml:space="preserve">2017-01-25</x:t>
        </x:is>
      </x:c>
      <x:c r="J79" s="5" t="inlineStr">
        <x:is>
          <x:t xml:space="preserve">上海市金山区吕巷镇红光路4200-4201号2757室</x:t>
        </x:is>
      </x:c>
      <x:c r="K79" s="12" t="str">
        <x:f>LEFT("913100007851962411",18)</x:f>
        <x:v>913100007851962400</x:v>
      </x:c>
    </x:row>
    <x:row r="80">
      <x:c r="A80" s="2" t="n">
        <x:v>79</x:v>
      </x:c>
      <x:c r="B80" s="2" t="inlineStr">
        <x:is>
          <x:t xml:space="preserve">300590</x:t>
        </x:is>
      </x:c>
      <x:c r="C80" s="3" t="inlineStr">
        <x:is>
          <x:t xml:space="preserve">移为通信</x:t>
        </x:is>
      </x:c>
      <x:c r="D80" s="3" t="inlineStr">
        <x:is>
          <x:t xml:space="preserve">上海移为通信技术股份有限公司</x:t>
        </x:is>
      </x:c>
      <x:c r="E80" s="2" t="inlineStr">
        <x:is>
          <x:t xml:space="preserve">上海市</x:t>
        </x:is>
      </x:c>
      <x:c r="F80" s="2" t="inlineStr">
        <x:is>
          <x:t xml:space="preserve">上海市</x:t>
        </x:is>
      </x:c>
      <x:c r="G80" s="3" t="inlineStr">
        <x:is>
          <x:t xml:space="preserve">上海市-上海市</x:t>
        </x:is>
      </x:c>
      <x:c r="H80" s="2" t="inlineStr">
        <x:is>
          <x:t xml:space="preserve">通讯行业</x:t>
        </x:is>
      </x:c>
      <x:c r="I80" s="2" t="inlineStr">
        <x:is>
          <x:t xml:space="preserve">2017-01-11</x:t>
        </x:is>
      </x:c>
      <x:c r="J80" s="3" t="inlineStr">
        <x:is>
          <x:t xml:space="preserve">上海市闵行区新龙路500弄30号</x:t>
        </x:is>
      </x:c>
      <x:c r="K80" s="12" t="str">
        <x:f>LEFT("91310000690154751Q",18)</x:f>
        <x:v>91310000690154751Q</x:v>
      </x:c>
    </x:row>
    <x:row r="81">
      <x:c r="A81" s="4" t="n">
        <x:v>80</x:v>
      </x:c>
      <x:c r="B81" s="4" t="inlineStr">
        <x:is>
          <x:t xml:space="preserve">300609</x:t>
        </x:is>
      </x:c>
      <x:c r="C81" s="5" t="inlineStr">
        <x:is>
          <x:t xml:space="preserve">汇纳科技</x:t>
        </x:is>
      </x:c>
      <x:c r="D81" s="5" t="inlineStr">
        <x:is>
          <x:t xml:space="preserve">汇纳科技股份有限公司</x:t>
        </x:is>
      </x:c>
      <x:c r="E81" s="4" t="inlineStr">
        <x:is>
          <x:t xml:space="preserve">上海市</x:t>
        </x:is>
      </x:c>
      <x:c r="F81" s="4" t="inlineStr">
        <x:is>
          <x:t xml:space="preserve">上海市</x:t>
        </x:is>
      </x:c>
      <x:c r="G81" s="5" t="inlineStr">
        <x:is>
          <x:t xml:space="preserve">上海市-上海市</x:t>
        </x:is>
      </x:c>
      <x:c r="H81" s="4" t="inlineStr">
        <x:is>
          <x:t xml:space="preserve">电子信息</x:t>
        </x:is>
      </x:c>
      <x:c r="I81" s="4" t="inlineStr">
        <x:is>
          <x:t xml:space="preserve">2017-02-15</x:t>
        </x:is>
      </x:c>
      <x:c r="J81" s="5" t="inlineStr">
        <x:is>
          <x:t xml:space="preserve">上海市宝山区美康路27弄10号3层</x:t>
        </x:is>
      </x:c>
      <x:c r="K81" s="12" t="str">
        <x:f>LEFT("913100007653010244",18)</x:f>
        <x:v>913100007653010300</x:v>
      </x:c>
    </x:row>
    <x:row r="82">
      <x:c r="A82" s="2" t="n">
        <x:v>81</x:v>
      </x:c>
      <x:c r="B82" s="2" t="inlineStr">
        <x:is>
          <x:t xml:space="preserve">300613</x:t>
        </x:is>
      </x:c>
      <x:c r="C82" s="3" t="inlineStr">
        <x:is>
          <x:t xml:space="preserve">富瀚微</x:t>
        </x:is>
      </x:c>
      <x:c r="D82" s="3" t="inlineStr">
        <x:is>
          <x:t xml:space="preserve">上海富瀚微电子股份有限公司</x:t>
        </x:is>
      </x:c>
      <x:c r="E82" s="2" t="inlineStr">
        <x:is>
          <x:t xml:space="preserve">上海市</x:t>
        </x:is>
      </x:c>
      <x:c r="F82" s="2" t="inlineStr">
        <x:is>
          <x:t xml:space="preserve">上海市</x:t>
        </x:is>
      </x:c>
      <x:c r="G82" s="3" t="inlineStr">
        <x:is>
          <x:t xml:space="preserve">上海市-上海市</x:t>
        </x:is>
      </x:c>
      <x:c r="H82" s="2" t="inlineStr">
        <x:is>
          <x:t xml:space="preserve">半导体</x:t>
        </x:is>
      </x:c>
      <x:c r="I82" s="2" t="inlineStr">
        <x:is>
          <x:t xml:space="preserve">2017-02-20</x:t>
        </x:is>
      </x:c>
      <x:c r="J82" s="3" t="inlineStr">
        <x:is>
          <x:t xml:space="preserve">上海市徐汇区宜山路717号6楼</x:t>
        </x:is>
      </x:c>
      <x:c r="K82" s="12" t="str">
        <x:f>LEFT("91310000761199691M",18)</x:f>
        <x:v>91310000761199691M</x:v>
      </x:c>
    </x:row>
    <x:row r="83">
      <x:c r="A83" s="4" t="n">
        <x:v>82</x:v>
      </x:c>
      <x:c r="B83" s="4" t="inlineStr">
        <x:is>
          <x:t xml:space="preserve">300627</x:t>
        </x:is>
      </x:c>
      <x:c r="C83" s="5" t="inlineStr">
        <x:is>
          <x:t xml:space="preserve">华测导航</x:t>
        </x:is>
      </x:c>
      <x:c r="D83" s="5" t="inlineStr">
        <x:is>
          <x:t xml:space="preserve">上海华测导航技术股份有限公司</x:t>
        </x:is>
      </x:c>
      <x:c r="E83" s="4" t="inlineStr">
        <x:is>
          <x:t xml:space="preserve">上海市</x:t>
        </x:is>
      </x:c>
      <x:c r="F83" s="4" t="inlineStr">
        <x:is>
          <x:t xml:space="preserve">上海市</x:t>
        </x:is>
      </x:c>
      <x:c r="G83" s="5" t="inlineStr">
        <x:is>
          <x:t xml:space="preserve">上海市-上海市</x:t>
        </x:is>
      </x:c>
      <x:c r="H83" s="4" t="inlineStr">
        <x:is>
          <x:t xml:space="preserve">通信设备</x:t>
        </x:is>
      </x:c>
      <x:c r="I83" s="4" t="inlineStr">
        <x:is>
          <x:t xml:space="preserve">2017-03-21</x:t>
        </x:is>
      </x:c>
      <x:c r="J83" s="5" t="inlineStr">
        <x:is>
          <x:t xml:space="preserve">上海市青浦区徐泾镇高泾路599号C座</x:t>
        </x:is>
      </x:c>
      <x:c r="K83" s="12" t="str">
        <x:f>LEFT("91310000754343149G",18)</x:f>
        <x:v>91310000754343149G</x:v>
      </x:c>
    </x:row>
    <x:row r="84">
      <x:c r="A84" s="2" t="n">
        <x:v>83</x:v>
      </x:c>
      <x:c r="B84" s="2" t="inlineStr">
        <x:is>
          <x:t xml:space="preserve">300642</x:t>
        </x:is>
      </x:c>
      <x:c r="C84" s="3" t="inlineStr">
        <x:is>
          <x:t xml:space="preserve">透景生命</x:t>
        </x:is>
      </x:c>
      <x:c r="D84" s="3" t="inlineStr">
        <x:is>
          <x:t xml:space="preserve">上海透景生命科技股份有限公司</x:t>
        </x:is>
      </x:c>
      <x:c r="E84" s="2" t="inlineStr">
        <x:is>
          <x:t xml:space="preserve">上海市</x:t>
        </x:is>
      </x:c>
      <x:c r="F84" s="2" t="inlineStr">
        <x:is>
          <x:t xml:space="preserve">上海市</x:t>
        </x:is>
      </x:c>
      <x:c r="G84" s="3" t="inlineStr">
        <x:is>
          <x:t xml:space="preserve">上海市-上海市</x:t>
        </x:is>
      </x:c>
      <x:c r="H84" s="2" t="inlineStr">
        <x:is>
          <x:t xml:space="preserve">医疗器械</x:t>
        </x:is>
      </x:c>
      <x:c r="I84" s="2" t="inlineStr">
        <x:is>
          <x:t xml:space="preserve">2017-04-21</x:t>
        </x:is>
      </x:c>
      <x:c r="J84" s="3" t="inlineStr">
        <x:is>
          <x:t xml:space="preserve">上海市浦东新区汇庆路412号</x:t>
        </x:is>
      </x:c>
      <x:c r="K84" s="12" t="str">
        <x:f>LEFT("91310000756110429R",18)</x:f>
        <x:v>91310000756110429R</x:v>
      </x:c>
    </x:row>
    <x:row r="85">
      <x:c r="A85" s="4" t="n">
        <x:v>84</x:v>
      </x:c>
      <x:c r="B85" s="4" t="inlineStr">
        <x:is>
          <x:t xml:space="preserve">300762</x:t>
        </x:is>
      </x:c>
      <x:c r="C85" s="5" t="inlineStr">
        <x:is>
          <x:t xml:space="preserve">上海瀚讯</x:t>
        </x:is>
      </x:c>
      <x:c r="D85" s="5" t="inlineStr">
        <x:is>
          <x:t xml:space="preserve">上海瀚讯信息技术股份有限公司</x:t>
        </x:is>
      </x:c>
      <x:c r="E85" s="4" t="inlineStr">
        <x:is>
          <x:t xml:space="preserve">上海市</x:t>
        </x:is>
      </x:c>
      <x:c r="F85" s="4" t="inlineStr">
        <x:is>
          <x:t xml:space="preserve">上海市</x:t>
        </x:is>
      </x:c>
      <x:c r="G85" s="5" t="inlineStr">
        <x:is>
          <x:t xml:space="preserve">上海市-上海市</x:t>
        </x:is>
      </x:c>
      <x:c r="H85" s="4" t="inlineStr">
        <x:is>
          <x:t xml:space="preserve">通讯行业</x:t>
        </x:is>
      </x:c>
      <x:c r="I85" s="4" t="inlineStr">
        <x:is>
          <x:t xml:space="preserve">2019-03-14</x:t>
        </x:is>
      </x:c>
      <x:c r="J85" s="5" t="inlineStr">
        <x:is>
          <x:t xml:space="preserve">上海市嘉定区鹤友路258号</x:t>
        </x:is>
      </x:c>
      <x:c r="K85" s="12" t="str">
        <x:f>LEFT("91310105786708165M",18)</x:f>
        <x:v>91310105786708165M</x:v>
      </x:c>
    </x:row>
    <x:row r="86">
      <x:c r="A86" s="2" t="n">
        <x:v>85</x:v>
      </x:c>
      <x:c r="B86" s="2" t="inlineStr">
        <x:is>
          <x:t xml:space="preserve">300802</x:t>
        </x:is>
      </x:c>
      <x:c r="C86" s="3" t="inlineStr">
        <x:is>
          <x:t xml:space="preserve">矩子科技</x:t>
        </x:is>
      </x:c>
      <x:c r="D86" s="3" t="inlineStr">
        <x:is>
          <x:t xml:space="preserve">上海矩子科技股份有限公司</x:t>
        </x:is>
      </x:c>
      <x:c r="E86" s="2" t="inlineStr">
        <x:is>
          <x:t xml:space="preserve">上海市</x:t>
        </x:is>
      </x:c>
      <x:c r="F86" s="2" t="inlineStr">
        <x:is>
          <x:t xml:space="preserve">上海市</x:t>
        </x:is>
      </x:c>
      <x:c r="G86" s="3" t="inlineStr">
        <x:is>
          <x:t xml:space="preserve">上海市-上海市</x:t>
        </x:is>
      </x:c>
      <x:c r="H86" s="2" t="inlineStr">
        <x:is>
          <x:t xml:space="preserve">专用设备</x:t>
        </x:is>
      </x:c>
      <x:c r="I86" s="2" t="inlineStr">
        <x:is>
          <x:t xml:space="preserve">2019-11-14</x:t>
        </x:is>
      </x:c>
      <x:c r="J86" s="3" t="inlineStr">
        <x:is>
          <x:t xml:space="preserve">上海市徐汇区云锦路701号33层3301单元(实际29层)</x:t>
        </x:is>
      </x:c>
      <x:c r="K86" s="12" t="str">
        <x:f>LEFT("91310000667825748L",18)</x:f>
        <x:v>91310000667825748L</x:v>
      </x:c>
    </x:row>
    <x:row r="87">
      <x:c r="A87" s="4" t="n">
        <x:v>86</x:v>
      </x:c>
      <x:c r="B87" s="4" t="inlineStr">
        <x:is>
          <x:t xml:space="preserve">300890</x:t>
        </x:is>
      </x:c>
      <x:c r="C87" s="5" t="inlineStr">
        <x:is>
          <x:t xml:space="preserve">翔丰华</x:t>
        </x:is>
      </x:c>
      <x:c r="D87" s="5" t="inlineStr">
        <x:is>
          <x:t xml:space="preserve">上海市翔丰华科技股份有限公司</x:t>
        </x:is>
      </x:c>
      <x:c r="E87" s="4" t="inlineStr">
        <x:is>
          <x:t xml:space="preserve">上海市</x:t>
        </x:is>
      </x:c>
      <x:c r="F87" s="4" t="inlineStr">
        <x:is>
          <x:t xml:space="preserve">上海市</x:t>
        </x:is>
      </x:c>
      <x:c r="G87" s="5" t="inlineStr">
        <x:is>
          <x:t xml:space="preserve">上海市-上海市</x:t>
        </x:is>
      </x:c>
      <x:c r="H87" s="4" t="inlineStr">
        <x:is>
          <x:t xml:space="preserve">电池</x:t>
        </x:is>
      </x:c>
      <x:c r="I87" s="4" t="inlineStr">
        <x:is>
          <x:t xml:space="preserve">2020-09-17</x:t>
        </x:is>
      </x:c>
      <x:c r="J87" s="5" t="inlineStr">
        <x:is>
          <x:t xml:space="preserve">上海市宝山区萧云路635弄11号一层</x:t>
        </x:is>
      </x:c>
      <x:c r="K87" s="12" t="str">
        <x:f>LEFT("91440300689414114W",18)</x:f>
        <x:v>91440300689414114W</x:v>
      </x:c>
    </x:row>
    <x:row r="88">
      <x:c r="A88" s="2" t="n">
        <x:v>87</x:v>
      </x:c>
      <x:c r="B88" s="2" t="inlineStr">
        <x:is>
          <x:t xml:space="preserve">300892</x:t>
        </x:is>
      </x:c>
      <x:c r="C88" s="3" t="inlineStr">
        <x:is>
          <x:t xml:space="preserve">品渥食品</x:t>
        </x:is>
      </x:c>
      <x:c r="D88" s="3" t="inlineStr">
        <x:is>
          <x:t xml:space="preserve">品渥食品股份有限公司</x:t>
        </x:is>
      </x:c>
      <x:c r="E88" s="2" t="inlineStr">
        <x:is>
          <x:t xml:space="preserve">上海市</x:t>
        </x:is>
      </x:c>
      <x:c r="F88" s="2" t="inlineStr">
        <x:is>
          <x:t xml:space="preserve">上海市</x:t>
        </x:is>
      </x:c>
      <x:c r="G88" s="3" t="inlineStr">
        <x:is>
          <x:t xml:space="preserve">上海市-上海市</x:t>
        </x:is>
      </x:c>
      <x:c r="H88" s="2" t="inlineStr">
        <x:is>
          <x:t xml:space="preserve">食品饮料</x:t>
        </x:is>
      </x:c>
      <x:c r="I88" s="2" t="inlineStr">
        <x:is>
          <x:t xml:space="preserve">2020-09-24</x:t>
        </x:is>
      </x:c>
      <x:c r="J88" s="3" t="inlineStr">
        <x:is>
          <x:t xml:space="preserve">上海市松江区佘山镇新宅路777弄3号</x:t>
        </x:is>
      </x:c>
      <x:c r="K88" s="12" t="str">
        <x:f>LEFT("91310117631825949H",18)</x:f>
        <x:v>91310117631825949H</x:v>
      </x:c>
    </x:row>
    <x:row r="89">
      <x:c r="A89" s="4" t="n">
        <x:v>88</x:v>
      </x:c>
      <x:c r="B89" s="4" t="inlineStr">
        <x:is>
          <x:t xml:space="preserve">300899</x:t>
        </x:is>
      </x:c>
      <x:c r="C89" s="5" t="inlineStr">
        <x:is>
          <x:t xml:space="preserve">上海凯鑫</x:t>
        </x:is>
      </x:c>
      <x:c r="D89" s="5" t="inlineStr">
        <x:is>
          <x:t xml:space="preserve">上海凯鑫分离技术股份有限公司</x:t>
        </x:is>
      </x:c>
      <x:c r="E89" s="4" t="inlineStr">
        <x:is>
          <x:t xml:space="preserve">上海市</x:t>
        </x:is>
      </x:c>
      <x:c r="F89" s="4" t="inlineStr">
        <x:is>
          <x:t xml:space="preserve">上海市</x:t>
        </x:is>
      </x:c>
      <x:c r="G89" s="5" t="inlineStr">
        <x:is>
          <x:t xml:space="preserve">上海市-上海市</x:t>
        </x:is>
      </x:c>
      <x:c r="H89" s="4" t="inlineStr">
        <x:is>
          <x:t xml:space="preserve">环保工程</x:t>
        </x:is>
      </x:c>
      <x:c r="I89" s="4" t="inlineStr">
        <x:is>
          <x:t xml:space="preserve">2020-10-16</x:t>
        </x:is>
      </x:c>
      <x:c r="J89" s="5" t="inlineStr">
        <x:is>
          <x:t xml:space="preserve">中国(上海)自由贸易试验区张江路665号3层</x:t>
        </x:is>
      </x:c>
      <x:c r="K89" s="12" t="str">
        <x:f>LEFT("91310000579169883U",18)</x:f>
        <x:v>91310000579169883U</x:v>
      </x:c>
    </x:row>
    <x:row r="90">
      <x:c r="A90" s="2" t="n">
        <x:v>89</x:v>
      </x:c>
      <x:c r="B90" s="2" t="inlineStr">
        <x:is>
          <x:t xml:space="preserve">300915</x:t>
        </x:is>
      </x:c>
      <x:c r="C90" s="3" t="inlineStr">
        <x:is>
          <x:t xml:space="preserve">海融科技</x:t>
        </x:is>
      </x:c>
      <x:c r="D90" s="3" t="inlineStr">
        <x:is>
          <x:t xml:space="preserve">上海海融食品科技股份有限公司</x:t>
        </x:is>
      </x:c>
      <x:c r="E90" s="2" t="inlineStr">
        <x:is>
          <x:t xml:space="preserve">上海市</x:t>
        </x:is>
      </x:c>
      <x:c r="F90" s="2" t="inlineStr">
        <x:is>
          <x:t xml:space="preserve">上海市</x:t>
        </x:is>
      </x:c>
      <x:c r="G90" s="3" t="inlineStr">
        <x:is>
          <x:t xml:space="preserve">上海市-上海市</x:t>
        </x:is>
      </x:c>
      <x:c r="H90" s="2" t="inlineStr">
        <x:is>
          <x:t xml:space="preserve">食品饮料</x:t>
        </x:is>
      </x:c>
      <x:c r="I90" s="2" t="inlineStr">
        <x:is>
          <x:t xml:space="preserve">2020-12-02</x:t>
        </x:is>
      </x:c>
      <x:c r="J90" s="3" t="inlineStr">
        <x:is>
          <x:t xml:space="preserve">上海市奉贤区金汇镇金斗路666号</x:t>
        </x:is>
      </x:c>
      <x:c r="K90" s="12" t="str">
        <x:f>LEFT("91310000755021424G",18)</x:f>
        <x:v>91310000755021424G</x:v>
      </x:c>
    </x:row>
    <x:row r="91">
      <x:c r="A91" s="4" t="n">
        <x:v>90</x:v>
      </x:c>
      <x:c r="B91" s="4" t="inlineStr">
        <x:is>
          <x:t xml:space="preserve">300947</x:t>
        </x:is>
      </x:c>
      <x:c r="C91" s="5" t="inlineStr">
        <x:is>
          <x:t xml:space="preserve">德必集团</x:t>
        </x:is>
      </x:c>
      <x:c r="D91" s="5" t="inlineStr">
        <x:is>
          <x:t xml:space="preserve">上海德必文化创意产业发展(集团)股份有限公司</x:t>
        </x:is>
      </x:c>
      <x:c r="E91" s="4" t="inlineStr">
        <x:is>
          <x:t xml:space="preserve">上海市</x:t>
        </x:is>
      </x:c>
      <x:c r="F91" s="4" t="inlineStr">
        <x:is>
          <x:t xml:space="preserve">上海市</x:t>
        </x:is>
      </x:c>
      <x:c r="G91" s="5" t="inlineStr">
        <x:is>
          <x:t xml:space="preserve">上海市-上海市</x:t>
        </x:is>
      </x:c>
      <x:c r="H91" s="4" t="inlineStr">
        <x:is>
          <x:t xml:space="preserve">文化传媒</x:t>
        </x:is>
      </x:c>
      <x:c r="I91" s="4" t="inlineStr">
        <x:is>
          <x:t xml:space="preserve">2021-02-10</x:t>
        </x:is>
      </x:c>
      <x:c r="J91" s="5" t="inlineStr">
        <x:is>
          <x:t xml:space="preserve">上海市长宁区安化路492号1幢707室</x:t>
        </x:is>
      </x:c>
      <x:c r="K91" s="12" t="str">
        <x:f>LEFT("91310000572698184Q",18)</x:f>
        <x:v>91310000572698184Q</x:v>
      </x:c>
    </x:row>
    <x:row r="92">
      <x:c r="A92" s="2" t="n">
        <x:v>91</x:v>
      </x:c>
      <x:c r="B92" s="2" t="inlineStr">
        <x:is>
          <x:t xml:space="preserve">300963</x:t>
        </x:is>
      </x:c>
      <x:c r="C92" s="3" t="inlineStr">
        <x:is>
          <x:t xml:space="preserve">中洲特材</x:t>
        </x:is>
      </x:c>
      <x:c r="D92" s="3" t="inlineStr">
        <x:is>
          <x:t xml:space="preserve">上海中洲特种合金材料股份有限公司</x:t>
        </x:is>
      </x:c>
      <x:c r="E92" s="2" t="inlineStr">
        <x:is>
          <x:t xml:space="preserve">上海市</x:t>
        </x:is>
      </x:c>
      <x:c r="F92" s="2" t="inlineStr">
        <x:is>
          <x:t xml:space="preserve">上海市</x:t>
        </x:is>
      </x:c>
      <x:c r="G92" s="3" t="inlineStr">
        <x:is>
          <x:t xml:space="preserve">上海市-上海市</x:t>
        </x:is>
      </x:c>
      <x:c r="H92" s="2" t="inlineStr">
        <x:is>
          <x:t xml:space="preserve">有色金属</x:t>
        </x:is>
      </x:c>
      <x:c r="I92" s="2" t="inlineStr">
        <x:is>
          <x:t xml:space="preserve">2021-04-09</x:t>
        </x:is>
      </x:c>
      <x:c r="J92" s="3" t="inlineStr">
        <x:is>
          <x:t xml:space="preserve">上海市嘉定工业区世盛路580号</x:t>
        </x:is>
      </x:c>
      <x:c r="K92" s="12" t="str">
        <x:f>LEFT("91310000740597762W",18)</x:f>
        <x:v>91310000740597762W</x:v>
      </x:c>
    </x:row>
    <x:row r="93">
      <x:c r="A93" s="4" t="n">
        <x:v>92</x:v>
      </x:c>
      <x:c r="B93" s="4" t="inlineStr">
        <x:is>
          <x:t xml:space="preserve">300983</x:t>
        </x:is>
      </x:c>
      <x:c r="C93" s="5" t="inlineStr">
        <x:is>
          <x:t xml:space="preserve">尤安设计</x:t>
        </x:is>
      </x:c>
      <x:c r="D93" s="5" t="inlineStr">
        <x:is>
          <x:t xml:space="preserve">上海尤安建筑设计股份有限公司</x:t>
        </x:is>
      </x:c>
      <x:c r="E93" s="4" t="inlineStr">
        <x:is>
          <x:t xml:space="preserve">上海市</x:t>
        </x:is>
      </x:c>
      <x:c r="F93" s="4" t="inlineStr">
        <x:is>
          <x:t xml:space="preserve">上海市</x:t>
        </x:is>
      </x:c>
      <x:c r="G93" s="5" t="inlineStr">
        <x:is>
          <x:t xml:space="preserve">上海市-上海市</x:t>
        </x:is>
      </x:c>
      <x:c r="H93" s="4" t="inlineStr">
        <x:is>
          <x:t xml:space="preserve">工程咨询服务</x:t>
        </x:is>
      </x:c>
      <x:c r="I93" s="4" t="inlineStr">
        <x:is>
          <x:t xml:space="preserve">2021-04-20</x:t>
        </x:is>
      </x:c>
      <x:c r="J93" s="5" t="inlineStr">
        <x:is>
          <x:t xml:space="preserve">上海市宝山区一二八纪念路968号1618室</x:t>
        </x:is>
      </x:c>
      <x:c r="K93" s="12" t="str">
        <x:f>LEFT("91310110757926286X",18)</x:f>
        <x:v>91310110757926286X</x:v>
      </x:c>
    </x:row>
    <x:row r="94">
      <x:c r="A94" s="2" t="n">
        <x:v>93</x:v>
      </x:c>
      <x:c r="B94" s="2" t="inlineStr">
        <x:is>
          <x:t xml:space="preserve">300999</x:t>
        </x:is>
      </x:c>
      <x:c r="C94" s="3" t="inlineStr">
        <x:is>
          <x:t xml:space="preserve">金龙鱼</x:t>
        </x:is>
      </x:c>
      <x:c r="D94" s="3" t="inlineStr">
        <x:is>
          <x:t xml:space="preserve">益海嘉里金龙鱼食品集团股份有限公司</x:t>
        </x:is>
      </x:c>
      <x:c r="E94" s="2" t="inlineStr">
        <x:is>
          <x:t xml:space="preserve">上海市</x:t>
        </x:is>
      </x:c>
      <x:c r="F94" s="2" t="inlineStr">
        <x:is>
          <x:t xml:space="preserve">上海市</x:t>
        </x:is>
      </x:c>
      <x:c r="G94" s="3" t="inlineStr">
        <x:is>
          <x:t xml:space="preserve">上海市-上海市</x:t>
        </x:is>
      </x:c>
      <x:c r="H94" s="2" t="inlineStr">
        <x:is>
          <x:t xml:space="preserve">食品饮料</x:t>
        </x:is>
      </x:c>
      <x:c r="I94" s="2" t="inlineStr">
        <x:is>
          <x:t xml:space="preserve">2020-10-15</x:t>
        </x:is>
      </x:c>
      <x:c r="J94" s="3" t="inlineStr">
        <x:is>
          <x:t xml:space="preserve">中国(上海)自由贸易试验区博成路1379号15层</x:t>
        </x:is>
      </x:c>
      <x:c r="K94" s="12" t="str">
        <x:f>LEFT("913100007178563164",18)</x:f>
        <x:v>913100007178563200</x:v>
      </x:c>
    </x:row>
    <x:row r="95">
      <x:c r="A95" s="4" t="n">
        <x:v>94</x:v>
      </x:c>
      <x:c r="B95" s="4" t="inlineStr">
        <x:is>
          <x:t xml:space="preserve">301000</x:t>
        </x:is>
      </x:c>
      <x:c r="C95" s="5" t="inlineStr">
        <x:is>
          <x:t xml:space="preserve">肇民科技</x:t>
        </x:is>
      </x:c>
      <x:c r="D95" s="5" t="inlineStr">
        <x:is>
          <x:t xml:space="preserve">上海肇民新材料科技股份有限公司</x:t>
        </x:is>
      </x:c>
      <x:c r="E95" s="4" t="inlineStr">
        <x:is>
          <x:t xml:space="preserve">上海市</x:t>
        </x:is>
      </x:c>
      <x:c r="F95" s="4" t="inlineStr">
        <x:is>
          <x:t xml:space="preserve">上海市</x:t>
        </x:is>
      </x:c>
      <x:c r="G95" s="5" t="inlineStr">
        <x:is>
          <x:t xml:space="preserve">上海市-上海市</x:t>
        </x:is>
      </x:c>
      <x:c r="H95" s="4" t="inlineStr">
        <x:is>
          <x:t xml:space="preserve">塑胶制品</x:t>
        </x:is>
      </x:c>
      <x:c r="I95" s="4" t="inlineStr">
        <x:is>
          <x:t xml:space="preserve">2021-05-28</x:t>
        </x:is>
      </x:c>
      <x:c r="J95" s="5" t="inlineStr">
        <x:is>
          <x:t xml:space="preserve">上海市金山区金山卫镇秦弯路633号</x:t>
        </x:is>
      </x:c>
      <x:c r="K95" s="12" t="str">
        <x:f>LEFT("91310116585243154G",18)</x:f>
        <x:v>91310116585243154G</x:v>
      </x:c>
    </x:row>
    <x:row r="96">
      <x:c r="A96" s="2" t="n">
        <x:v>95</x:v>
      </x:c>
      <x:c r="B96" s="2" t="inlineStr">
        <x:is>
          <x:t xml:space="preserve">301001</x:t>
        </x:is>
      </x:c>
      <x:c r="C96" s="3" t="inlineStr">
        <x:is>
          <x:t xml:space="preserve">凯淳股份</x:t>
        </x:is>
      </x:c>
      <x:c r="D96" s="3" t="inlineStr">
        <x:is>
          <x:t xml:space="preserve">上海凯淳实业股份有限公司</x:t>
        </x:is>
      </x:c>
      <x:c r="E96" s="2" t="inlineStr">
        <x:is>
          <x:t xml:space="preserve">上海市</x:t>
        </x:is>
      </x:c>
      <x:c r="F96" s="2" t="inlineStr">
        <x:is>
          <x:t xml:space="preserve">上海市</x:t>
        </x:is>
      </x:c>
      <x:c r="G96" s="3" t="inlineStr">
        <x:is>
          <x:t xml:space="preserve">上海市-上海市</x:t>
        </x:is>
      </x:c>
      <x:c r="H96" s="2" t="inlineStr">
        <x:is>
          <x:t xml:space="preserve">电子信息</x:t>
        </x:is>
      </x:c>
      <x:c r="I96" s="2" t="inlineStr">
        <x:is>
          <x:t xml:space="preserve">2021-05-28</x:t>
        </x:is>
      </x:c>
      <x:c r="J96" s="3" t="inlineStr">
        <x:is>
          <x:t xml:space="preserve">上海市金山工业区天工路857号2幢2401室</x:t>
        </x:is>
      </x:c>
      <x:c r="K96" s="12" t="str">
        <x:f>LEFT("91310118682255907X",18)</x:f>
        <x:v>91310118682255907X</x:v>
      </x:c>
    </x:row>
    <x:row r="97">
      <x:c r="A97" s="4" t="n">
        <x:v>96</x:v>
      </x:c>
      <x:c r="B97" s="4" t="inlineStr">
        <x:is>
          <x:t xml:space="preserve">301005</x:t>
        </x:is>
      </x:c>
      <x:c r="C97" s="5" t="inlineStr">
        <x:is>
          <x:t xml:space="preserve">超捷股份</x:t>
        </x:is>
      </x:c>
      <x:c r="D97" s="5" t="inlineStr">
        <x:is>
          <x:t xml:space="preserve">超捷紧固系统(上海)股份有限公司</x:t>
        </x:is>
      </x:c>
      <x:c r="E97" s="4" t="inlineStr">
        <x:is>
          <x:t xml:space="preserve">上海市</x:t>
        </x:is>
      </x:c>
      <x:c r="F97" s="4" t="inlineStr">
        <x:is>
          <x:t xml:space="preserve">上海市</x:t>
        </x:is>
      </x:c>
      <x:c r="G97" s="5" t="inlineStr">
        <x:is>
          <x:t xml:space="preserve">上海市-上海市</x:t>
        </x:is>
      </x:c>
      <x:c r="H97" s="4" t="inlineStr">
        <x:is>
          <x:t xml:space="preserve">汽车行业</x:t>
        </x:is>
      </x:c>
      <x:c r="I97" s="4" t="inlineStr">
        <x:is>
          <x:t xml:space="preserve">2021-06-01</x:t>
        </x:is>
      </x:c>
      <x:c r="J97" s="5" t="inlineStr">
        <x:is>
          <x:t xml:space="preserve">上海市嘉定区丰硕路100弄39号</x:t>
        </x:is>
      </x:c>
      <x:c r="K97" s="12" t="str">
        <x:f>LEFT("91310000729528125L",18)</x:f>
        <x:v>91310000729528125L</x:v>
      </x:c>
    </x:row>
    <x:row r="98">
      <x:c r="A98" s="2" t="n">
        <x:v>97</x:v>
      </x:c>
      <x:c r="B98" s="2" t="inlineStr">
        <x:is>
          <x:t xml:space="preserve">301024</x:t>
        </x:is>
      </x:c>
      <x:c r="C98" s="3" t="inlineStr">
        <x:is>
          <x:t xml:space="preserve">霍普股份</x:t>
        </x:is>
      </x:c>
      <x:c r="D98" s="3" t="inlineStr">
        <x:is>
          <x:t xml:space="preserve">上海霍普建筑设计事务所股份有限公司</x:t>
        </x:is>
      </x:c>
      <x:c r="E98" s="2" t="inlineStr">
        <x:is>
          <x:t xml:space="preserve">上海市</x:t>
        </x:is>
      </x:c>
      <x:c r="F98" s="2" t="inlineStr">
        <x:is>
          <x:t xml:space="preserve">上海市</x:t>
        </x:is>
      </x:c>
      <x:c r="G98" s="3" t="inlineStr">
        <x:is>
          <x:t xml:space="preserve">上海市-上海市</x:t>
        </x:is>
      </x:c>
      <x:c r="H98" s="2" t="inlineStr">
        <x:is>
          <x:t xml:space="preserve">工程建设</x:t>
        </x:is>
      </x:c>
      <x:c r="I98" s="2" t="inlineStr">
        <x:is>
          <x:t xml:space="preserve">2021-07-28</x:t>
        </x:is>
      </x:c>
      <x:c r="J98" s="3" t="inlineStr">
        <x:is>
          <x:t xml:space="preserve">中国(上海)自由贸易试验区滨江大道469号5层、10层(实际楼层4层、9层)</x:t>
        </x:is>
      </x:c>
      <x:c r="K98" s="12" t="str">
        <x:f>LEFT("913100006762867235",18)</x:f>
        <x:v>913100006762867200</x:v>
      </x:c>
    </x:row>
    <x:row r="99">
      <x:c r="A99" s="4" t="n">
        <x:v>98</x:v>
      </x:c>
      <x:c r="B99" s="4" t="inlineStr">
        <x:is>
          <x:t xml:space="preserve">301025</x:t>
        </x:is>
      </x:c>
      <x:c r="C99" s="5" t="inlineStr">
        <x:is>
          <x:t xml:space="preserve">读客文化</x:t>
        </x:is>
      </x:c>
      <x:c r="D99" s="5" t="inlineStr">
        <x:is>
          <x:t xml:space="preserve">读客文化股份有限公司</x:t>
        </x:is>
      </x:c>
      <x:c r="E99" s="4" t="inlineStr">
        <x:is>
          <x:t xml:space="preserve">上海市</x:t>
        </x:is>
      </x:c>
      <x:c r="F99" s="4" t="inlineStr">
        <x:is>
          <x:t xml:space="preserve">上海市</x:t>
        </x:is>
      </x:c>
      <x:c r="G99" s="5" t="inlineStr">
        <x:is>
          <x:t xml:space="preserve">上海市-上海市</x:t>
        </x:is>
      </x:c>
      <x:c r="H99" s="4" t="inlineStr">
        <x:is>
          <x:t xml:space="preserve">文化传媒</x:t>
        </x:is>
      </x:c>
      <x:c r="I99" s="4" t="inlineStr">
        <x:is>
          <x:t xml:space="preserve">2021-07-19</x:t>
        </x:is>
      </x:c>
      <x:c r="J99" s="5" t="inlineStr">
        <x:is>
          <x:t xml:space="preserve">上海市金山区枫泾镇枫湾路531、535号1幢1层103室</x:t>
        </x:is>
      </x:c>
      <x:c r="K99" s="12" t="str">
        <x:f>LEFT("91310116690106151R",18)</x:f>
        <x:v>91310116690106151R</x:v>
      </x:c>
    </x:row>
    <x:row r="100">
      <x:c r="A100" s="2" t="n">
        <x:v>99</x:v>
      </x:c>
      <x:c r="B100" s="2" t="inlineStr">
        <x:is>
          <x:t xml:space="preserve">301037</x:t>
        </x:is>
      </x:c>
      <x:c r="C100" s="3" t="inlineStr">
        <x:is>
          <x:t xml:space="preserve">保立佳</x:t>
        </x:is>
      </x:c>
      <x:c r="D100" s="3" t="inlineStr">
        <x:is>
          <x:t xml:space="preserve">上海保立佳化工股份有限公司</x:t>
        </x:is>
      </x:c>
      <x:c r="E100" s="2" t="inlineStr">
        <x:is>
          <x:t xml:space="preserve">上海市</x:t>
        </x:is>
      </x:c>
      <x:c r="F100" s="2" t="inlineStr">
        <x:is>
          <x:t xml:space="preserve">上海市</x:t>
        </x:is>
      </x:c>
      <x:c r="G100" s="3" t="inlineStr">
        <x:is>
          <x:t xml:space="preserve">上海市-上海市</x:t>
        </x:is>
      </x:c>
      <x:c r="H100" s="2" t="inlineStr">
        <x:is>
          <x:t xml:space="preserve">化工行业</x:t>
        </x:is>
      </x:c>
      <x:c r="I100" s="2" t="inlineStr">
        <x:is>
          <x:t xml:space="preserve">2021-07-30</x:t>
        </x:is>
      </x:c>
      <x:c r="J100" s="3" t="inlineStr">
        <x:is>
          <x:t xml:space="preserve">上海市奉贤区泰日镇大叶公路6828号</x:t>
        </x:is>
      </x:c>
      <x:c r="K100" s="12" t="str">
        <x:f>LEFT("91310000729349653F",18)</x:f>
        <x:v>91310000729349653F</x:v>
      </x:c>
    </x:row>
    <x:row r="101">
      <x:c r="A101" s="4" t="n">
        <x:v>100</x:v>
      </x:c>
      <x:c r="B101" s="4" t="inlineStr">
        <x:is>
          <x:t xml:space="preserve">301046</x:t>
        </x:is>
      </x:c>
      <x:c r="C101" s="5" t="inlineStr">
        <x:is>
          <x:t xml:space="preserve">能辉科技</x:t>
        </x:is>
      </x:c>
      <x:c r="D101" s="5" t="inlineStr">
        <x:is>
          <x:t xml:space="preserve">上海能辉科技股份有限公司</x:t>
        </x:is>
      </x:c>
      <x:c r="E101" s="4" t="inlineStr">
        <x:is>
          <x:t xml:space="preserve">上海市</x:t>
        </x:is>
      </x:c>
      <x:c r="F101" s="4" t="inlineStr">
        <x:is>
          <x:t xml:space="preserve">上海市</x:t>
        </x:is>
      </x:c>
      <x:c r="G101" s="5" t="inlineStr">
        <x:is>
          <x:t xml:space="preserve">上海市-上海市</x:t>
        </x:is>
      </x:c>
      <x:c r="H101" s="4" t="inlineStr">
        <x:is>
          <x:t xml:space="preserve">光伏设备</x:t>
        </x:is>
      </x:c>
      <x:c r="I101" s="4" t="inlineStr">
        <x:is>
          <x:t xml:space="preserve">2021-08-17</x:t>
        </x:is>
      </x:c>
      <x:c r="J101" s="5" t="inlineStr">
        <x:is>
          <x:t xml:space="preserve">上海市普陀区金通路799、899、999号17幢3层307室</x:t>
        </x:is>
      </x:c>
      <x:c r="K101" s="12" t="str">
        <x:f>LEFT("91310000685457643J",18)</x:f>
        <x:v>91310000685457643J</x:v>
      </x:c>
    </x:row>
    <x:row r="102">
      <x:c r="A102" s="2" t="n">
        <x:v>101</x:v>
      </x:c>
      <x:c r="B102" s="2" t="inlineStr">
        <x:is>
          <x:t xml:space="preserve">301060</x:t>
        </x:is>
      </x:c>
      <x:c r="C102" s="3" t="inlineStr">
        <x:is>
          <x:t xml:space="preserve">兰卫医学</x:t>
        </x:is>
      </x:c>
      <x:c r="D102" s="3" t="inlineStr">
        <x:is>
          <x:t xml:space="preserve">上海兰卫医学检验所股份有限公司</x:t>
        </x:is>
      </x:c>
      <x:c r="E102" s="2" t="inlineStr">
        <x:is>
          <x:t xml:space="preserve">上海市</x:t>
        </x:is>
      </x:c>
      <x:c r="F102" s="2" t="inlineStr">
        <x:is>
          <x:t xml:space="preserve">上海市</x:t>
        </x:is>
      </x:c>
      <x:c r="G102" s="3" t="inlineStr">
        <x:is>
          <x:t xml:space="preserve">上海市-上海市</x:t>
        </x:is>
      </x:c>
      <x:c r="H102" s="2" t="inlineStr">
        <x:is>
          <x:t xml:space="preserve">医疗器械</x:t>
        </x:is>
      </x:c>
      <x:c r="I102" s="2" t="inlineStr">
        <x:is>
          <x:t xml:space="preserve">2021-09-13</x:t>
        </x:is>
      </x:c>
      <x:c r="J102" s="3" t="inlineStr">
        <x:is>
          <x:t xml:space="preserve">上海市长宁区临新路268弄1号楼4-9层</x:t>
        </x:is>
      </x:c>
      <x:c r="K102" s="12" t="str">
        <x:f>LEFT("91310000669421384T",18)</x:f>
        <x:v>91310000669421384T</x:v>
      </x:c>
    </x:row>
    <x:row r="103">
      <x:c r="A103" s="4" t="n">
        <x:v>102</x:v>
      </x:c>
      <x:c r="B103" s="4" t="inlineStr">
        <x:is>
          <x:t xml:space="preserve">301062</x:t>
        </x:is>
      </x:c>
      <x:c r="C103" s="5" t="inlineStr">
        <x:is>
          <x:t xml:space="preserve">上海艾录</x:t>
        </x:is>
      </x:c>
      <x:c r="D103" s="5" t="inlineStr">
        <x:is>
          <x:t xml:space="preserve">上海艾录包装股份有限公司</x:t>
        </x:is>
      </x:c>
      <x:c r="E103" s="4" t="inlineStr">
        <x:is>
          <x:t xml:space="preserve">上海市</x:t>
        </x:is>
      </x:c>
      <x:c r="F103" s="4" t="inlineStr">
        <x:is>
          <x:t xml:space="preserve">上海市</x:t>
        </x:is>
      </x:c>
      <x:c r="G103" s="5" t="inlineStr">
        <x:is>
          <x:t xml:space="preserve">上海市-上海市</x:t>
        </x:is>
      </x:c>
      <x:c r="H103" s="4" t="inlineStr">
        <x:is>
          <x:t xml:space="preserve">包装材料</x:t>
        </x:is>
      </x:c>
      <x:c r="I103" s="4" t="inlineStr">
        <x:is>
          <x:t xml:space="preserve">2021-09-14</x:t>
        </x:is>
      </x:c>
      <x:c r="J103" s="5" t="inlineStr">
        <x:is>
          <x:t xml:space="preserve">上海市金山区山阳镇阳乐路88号</x:t>
        </x:is>
      </x:c>
      <x:c r="K103" s="12" t="str">
        <x:f>LEFT("913100007927010822",18)</x:f>
        <x:v>913100007927010800</x:v>
      </x:c>
    </x:row>
    <x:row r="104">
      <x:c r="A104" s="2" t="n">
        <x:v>103</x:v>
      </x:c>
      <x:c r="B104" s="2" t="inlineStr">
        <x:is>
          <x:t xml:space="preserve">301070</x:t>
        </x:is>
      </x:c>
      <x:c r="C104" s="3" t="inlineStr">
        <x:is>
          <x:t xml:space="preserve">开勒股份</x:t>
        </x:is>
      </x:c>
      <x:c r="D104" s="3" t="inlineStr">
        <x:is>
          <x:t xml:space="preserve">开勒环境科技(上海)股份有限公司</x:t>
        </x:is>
      </x:c>
      <x:c r="E104" s="2" t="inlineStr">
        <x:is>
          <x:t xml:space="preserve">上海市</x:t>
        </x:is>
      </x:c>
      <x:c r="F104" s="2" t="inlineStr">
        <x:is>
          <x:t xml:space="preserve">上海市</x:t>
        </x:is>
      </x:c>
      <x:c r="G104" s="3" t="inlineStr">
        <x:is>
          <x:t xml:space="preserve">上海市-上海市</x:t>
        </x:is>
      </x:c>
      <x:c r="H104" s="2" t="inlineStr">
        <x:is>
          <x:t xml:space="preserve">专用设备</x:t>
        </x:is>
      </x:c>
      <x:c r="I104" s="2" t="inlineStr">
        <x:is>
          <x:t xml:space="preserve">2021-09-23</x:t>
        </x:is>
      </x:c>
      <x:c r="J104" s="3" t="inlineStr">
        <x:is>
          <x:t xml:space="preserve">上海市松江区新桥镇新格路505号3幢2楼南5区</x:t>
        </x:is>
      </x:c>
      <x:c r="K104" s="12" t="str">
        <x:f>LEFT("91310000551515561K",18)</x:f>
        <x:v>91310000551515561K</x:v>
      </x:c>
    </x:row>
    <x:row r="105">
      <x:c r="A105" s="4" t="n">
        <x:v>104</x:v>
      </x:c>
      <x:c r="B105" s="4" t="inlineStr">
        <x:is>
          <x:t xml:space="preserve">301099</x:t>
        </x:is>
      </x:c>
      <x:c r="C105" s="5" t="inlineStr">
        <x:is>
          <x:t xml:space="preserve">雅创电子</x:t>
        </x:is>
      </x:c>
      <x:c r="D105" s="5" t="inlineStr">
        <x:is>
          <x:t xml:space="preserve">上海雅创电子集团股份有限公司</x:t>
        </x:is>
      </x:c>
      <x:c r="E105" s="4" t="inlineStr">
        <x:is>
          <x:t xml:space="preserve">上海市</x:t>
        </x:is>
      </x:c>
      <x:c r="F105" s="4" t="inlineStr">
        <x:is>
          <x:t xml:space="preserve">上海市</x:t>
        </x:is>
      </x:c>
      <x:c r="G105" s="5" t="inlineStr">
        <x:is>
          <x:t xml:space="preserve">上海市-上海市</x:t>
        </x:is>
      </x:c>
      <x:c r="H105" s="4" t="inlineStr">
        <x:is>
          <x:t xml:space="preserve">国际贸易</x:t>
        </x:is>
      </x:c>
      <x:c r="I105" s="4" t="inlineStr">
        <x:is>
          <x:t xml:space="preserve">2021-11-22</x:t>
        </x:is>
      </x:c>
      <x:c r="J105" s="5" t="inlineStr">
        <x:is>
          <x:t xml:space="preserve">上海市闵行区春光路99弄62号2-3楼及402-405室</x:t>
        </x:is>
      </x:c>
      <x:c r="K105" s="12" t="str">
        <x:f>LEFT("913101206711142879",18)</x:f>
        <x:v>913101206711142900</x:v>
      </x:c>
    </x:row>
    <x:row r="106">
      <x:c r="A106" s="2" t="n">
        <x:v>105</x:v>
      </x:c>
      <x:c r="B106" s="2" t="inlineStr">
        <x:is>
          <x:t xml:space="preserve">301151</x:t>
        </x:is>
      </x:c>
      <x:c r="C106" s="3" t="inlineStr">
        <x:is>
          <x:t xml:space="preserve">冠龙节能</x:t>
        </x:is>
      </x:c>
      <x:c r="D106" s="3" t="inlineStr">
        <x:is>
          <x:t xml:space="preserve">上海冠龙阀门节能设备股份有限公司</x:t>
        </x:is>
      </x:c>
      <x:c r="E106" s="2" t="inlineStr">
        <x:is>
          <x:t xml:space="preserve">上海市</x:t>
        </x:is>
      </x:c>
      <x:c r="F106" s="2" t="inlineStr">
        <x:is>
          <x:t xml:space="preserve">上海市</x:t>
        </x:is>
      </x:c>
      <x:c r="G106" s="3" t="inlineStr">
        <x:is>
          <x:t xml:space="preserve">上海市-上海市</x:t>
        </x:is>
      </x:c>
      <x:c r="H106" s="2" t="inlineStr">
        <x:is>
          <x:t xml:space="preserve">通用设备</x:t>
        </x:is>
      </x:c>
      <x:c r="I106" s="2" t="inlineStr">
        <x:is>
          <x:t xml:space="preserve">2022-04-11</x:t>
        </x:is>
      </x:c>
      <x:c r="J106" s="3" t="inlineStr">
        <x:is>
          <x:t xml:space="preserve">上海市嘉定区南翔镇顺达路999号</x:t>
        </x:is>
      </x:c>
      <x:c r="K106" s="12" t="str">
        <x:f>LEFT("91310000607206531E",18)</x:f>
        <x:v>91310000607206531E</x:v>
      </x:c>
    </x:row>
    <x:row r="107">
      <x:c r="A107" s="4" t="n">
        <x:v>106</x:v>
      </x:c>
      <x:c r="B107" s="4" t="inlineStr">
        <x:is>
          <x:t xml:space="preserve">301156</x:t>
        </x:is>
      </x:c>
      <x:c r="C107" s="5" t="inlineStr">
        <x:is>
          <x:t xml:space="preserve">美农生物</x:t>
        </x:is>
      </x:c>
      <x:c r="D107" s="5" t="inlineStr">
        <x:is>
          <x:t xml:space="preserve">上海美农生物科技股份有限公司</x:t>
        </x:is>
      </x:c>
      <x:c r="E107" s="4" t="inlineStr">
        <x:is>
          <x:t xml:space="preserve">上海市</x:t>
        </x:is>
      </x:c>
      <x:c r="F107" s="4" t="inlineStr">
        <x:is>
          <x:t xml:space="preserve">上海市</x:t>
        </x:is>
      </x:c>
      <x:c r="G107" s="5" t="inlineStr">
        <x:is>
          <x:t xml:space="preserve">上海市-上海市</x:t>
        </x:is>
      </x:c>
      <x:c r="H107" s="4" t="inlineStr">
        <x:is>
          <x:t xml:space="preserve">农牧饲渔</x:t>
        </x:is>
      </x:c>
      <x:c r="I107" s="4" t="inlineStr">
        <x:is>
          <x:t xml:space="preserve">2022-06-17</x:t>
        </x:is>
      </x:c>
      <x:c r="J107" s="5" t="inlineStr">
        <x:is>
          <x:t xml:space="preserve">上海市嘉定区沥红路151号</x:t>
        </x:is>
      </x:c>
      <x:c r="K107" s="12" t="str">
        <x:f>LEFT("9131000063081624X7",18)</x:f>
        <x:v>9131000063081624X7</x:v>
      </x:c>
    </x:row>
    <x:row r="108">
      <x:c r="A108" s="2" t="n">
        <x:v>107</x:v>
      </x:c>
      <x:c r="B108" s="2" t="inlineStr">
        <x:is>
          <x:t xml:space="preserve">301161</x:t>
        </x:is>
      </x:c>
      <x:c r="C108" s="3" t="inlineStr">
        <x:is>
          <x:t xml:space="preserve">唯万密封</x:t>
        </x:is>
      </x:c>
      <x:c r="D108" s="3" t="inlineStr">
        <x:is>
          <x:t xml:space="preserve">上海唯万密封科技股份有限公司</x:t>
        </x:is>
      </x:c>
      <x:c r="E108" s="2" t="inlineStr">
        <x:is>
          <x:t xml:space="preserve">上海市</x:t>
        </x:is>
      </x:c>
      <x:c r="F108" s="2" t="inlineStr">
        <x:is>
          <x:t xml:space="preserve">上海市</x:t>
        </x:is>
      </x:c>
      <x:c r="G108" s="3" t="inlineStr">
        <x:is>
          <x:t xml:space="preserve">上海市-上海市</x:t>
        </x:is>
      </x:c>
      <x:c r="H108" s="2" t="inlineStr">
        <x:is>
          <x:t xml:space="preserve">塑料制品</x:t>
        </x:is>
      </x:c>
      <x:c r="I108" s="2" t="inlineStr">
        <x:is>
          <x:t xml:space="preserve">2022-09-14</x:t>
        </x:is>
      </x:c>
      <x:c r="J108" s="3" t="inlineStr">
        <x:is>
          <x:t xml:space="preserve">上海市浦东新区龙东大道6111号1幢2层B216室</x:t>
        </x:is>
      </x:c>
      <x:c r="K108" s="12" t="str">
        <x:f>LEFT("913101156822157531",18)</x:f>
        <x:v>913101156822157600</x:v>
      </x:c>
    </x:row>
    <x:row r="109">
      <x:c r="A109" s="4" t="n">
        <x:v>108</x:v>
      </x:c>
      <x:c r="B109" s="4" t="inlineStr">
        <x:is>
          <x:t xml:space="preserve">301166</x:t>
        </x:is>
      </x:c>
      <x:c r="C109" s="5" t="inlineStr">
        <x:is>
          <x:t xml:space="preserve">优宁维</x:t>
        </x:is>
      </x:c>
      <x:c r="D109" s="5" t="inlineStr">
        <x:is>
          <x:t xml:space="preserve">上海优宁维生物科技股份有限公司</x:t>
        </x:is>
      </x:c>
      <x:c r="E109" s="4" t="inlineStr">
        <x:is>
          <x:t xml:space="preserve">上海市</x:t>
        </x:is>
      </x:c>
      <x:c r="F109" s="4" t="inlineStr">
        <x:is>
          <x:t xml:space="preserve">上海市</x:t>
        </x:is>
      </x:c>
      <x:c r="G109" s="5" t="inlineStr">
        <x:is>
          <x:t xml:space="preserve">上海市-上海市</x:t>
        </x:is>
      </x:c>
      <x:c r="H109" s="4" t="inlineStr">
        <x:is>
          <x:t xml:space="preserve">生物制品</x:t>
        </x:is>
      </x:c>
      <x:c r="I109" s="4" t="inlineStr">
        <x:is>
          <x:t xml:space="preserve">2021-12-28</x:t>
        </x:is>
      </x:c>
      <x:c r="J109" s="5" t="inlineStr">
        <x:is>
          <x:t xml:space="preserve">上海市杨浦区控江路1690号1505室</x:t>
        </x:is>
      </x:c>
      <x:c r="K109" s="12" t="str">
        <x:f>LEFT("91310000768354199F",18)</x:f>
        <x:v>91310000768354199F</x:v>
      </x:c>
    </x:row>
    <x:row r="110">
      <x:c r="A110" s="2" t="n">
        <x:v>109</x:v>
      </x:c>
      <x:c r="B110" s="2" t="inlineStr">
        <x:is>
          <x:t xml:space="preserve">301173</x:t>
        </x:is>
      </x:c>
      <x:c r="C110" s="3" t="inlineStr">
        <x:is>
          <x:t xml:space="preserve">毓恬冠佳</x:t>
        </x:is>
      </x:c>
      <x:c r="D110" s="3" t="inlineStr">
        <x:is>
          <x:t xml:space="preserve">上海毓恬冠佳科技股份有限公司</x:t>
        </x:is>
      </x:c>
      <x:c r="E110" s="2" t="inlineStr">
        <x:is>
          <x:t xml:space="preserve">上海市</x:t>
        </x:is>
      </x:c>
      <x:c r="F110" s="2" t="inlineStr">
        <x:is>
          <x:t xml:space="preserve">上海市</x:t>
        </x:is>
      </x:c>
      <x:c r="G110" s="3" t="inlineStr">
        <x:is>
          <x:t xml:space="preserve">上海市-上海市</x:t>
        </x:is>
      </x:c>
      <x:c r="H110" s="2" t="inlineStr">
        <x:is>
          <x:t xml:space="preserve">汽车零部件</x:t>
        </x:is>
      </x:c>
      <x:c r="I110" s="2" t="inlineStr">
        <x:is>
          <x:t xml:space="preserve">2025-03-03</x:t>
        </x:is>
      </x:c>
      <x:c r="J110" s="3" t="inlineStr">
        <x:is>
          <x:t xml:space="preserve">上海青浦工业园区崧煌路580号</x:t>
        </x:is>
      </x:c>
      <x:c r="K110" s="12" t="str">
        <x:f>LEFT("91310000769442035R",18)</x:f>
        <x:v>91310000769442035R</x:v>
      </x:c>
    </x:row>
    <x:row r="111">
      <x:c r="A111" s="4" t="n">
        <x:v>110</x:v>
      </x:c>
      <x:c r="B111" s="4" t="inlineStr">
        <x:is>
          <x:t xml:space="preserve">301228</x:t>
        </x:is>
      </x:c>
      <x:c r="C111" s="5" t="inlineStr">
        <x:is>
          <x:t xml:space="preserve">实朴检测</x:t>
        </x:is>
      </x:c>
      <x:c r="D111" s="5" t="inlineStr">
        <x:is>
          <x:t xml:space="preserve">实朴检测技术(上海)股份有限公司</x:t>
        </x:is>
      </x:c>
      <x:c r="E111" s="4" t="inlineStr">
        <x:is>
          <x:t xml:space="preserve">上海市</x:t>
        </x:is>
      </x:c>
      <x:c r="F111" s="4" t="inlineStr">
        <x:is>
          <x:t xml:space="preserve">上海市</x:t>
        </x:is>
      </x:c>
      <x:c r="G111" s="5" t="inlineStr">
        <x:is>
          <x:t xml:space="preserve">上海市-上海市</x:t>
        </x:is>
      </x:c>
      <x:c r="H111" s="4" t="inlineStr">
        <x:is>
          <x:t xml:space="preserve">专业服务</x:t>
        </x:is>
      </x:c>
      <x:c r="I111" s="4" t="inlineStr">
        <x:is>
          <x:t xml:space="preserve">2022-01-28</x:t>
        </x:is>
      </x:c>
      <x:c r="J111" s="5" t="inlineStr">
        <x:is>
          <x:t xml:space="preserve">上海市闵行区中春路1288号34幢3层301室、4层401室</x:t>
        </x:is>
      </x:c>
      <x:c r="K111" s="12" t="str">
        <x:f>LEFT("91310116671156516L",18)</x:f>
        <x:v>91310116671156516L</x:v>
      </x:c>
    </x:row>
    <x:row r="112">
      <x:c r="A112" s="2" t="n">
        <x:v>111</x:v>
      </x:c>
      <x:c r="B112" s="2" t="inlineStr">
        <x:is>
          <x:t xml:space="preserve">301230</x:t>
        </x:is>
      </x:c>
      <x:c r="C112" s="3" t="inlineStr">
        <x:is>
          <x:t xml:space="preserve">泓博医药</x:t>
        </x:is>
      </x:c>
      <x:c r="D112" s="3" t="inlineStr">
        <x:is>
          <x:t xml:space="preserve">上海泓博智源医药股份有限公司</x:t>
        </x:is>
      </x:c>
      <x:c r="E112" s="2" t="inlineStr">
        <x:is>
          <x:t xml:space="preserve">上海市</x:t>
        </x:is>
      </x:c>
      <x:c r="F112" s="2" t="inlineStr">
        <x:is>
          <x:t xml:space="preserve">上海市</x:t>
        </x:is>
      </x:c>
      <x:c r="G112" s="3" t="inlineStr">
        <x:is>
          <x:t xml:space="preserve">上海市-上海市</x:t>
        </x:is>
      </x:c>
      <x:c r="H112" s="2" t="inlineStr">
        <x:is>
          <x:t xml:space="preserve">生物制品</x:t>
        </x:is>
      </x:c>
      <x:c r="I112" s="2" t="inlineStr">
        <x:is>
          <x:t xml:space="preserve">2022-11-01</x:t>
        </x:is>
      </x:c>
      <x:c r="J112" s="3" t="inlineStr">
        <x:is>
          <x:t xml:space="preserve">上海市浦东新区庆达路315号23幢</x:t>
        </x:is>
      </x:c>
      <x:c r="K112" s="12" t="str">
        <x:f>LEFT("91310000669391074C",18)</x:f>
        <x:v>91310000669391074C</x:v>
      </x:c>
    </x:row>
    <x:row r="113">
      <x:c r="A113" s="4" t="n">
        <x:v>112</x:v>
      </x:c>
      <x:c r="B113" s="4" t="inlineStr">
        <x:is>
          <x:t xml:space="preserve">301257</x:t>
        </x:is>
      </x:c>
      <x:c r="C113" s="5" t="inlineStr">
        <x:is>
          <x:t xml:space="preserve">普蕊斯</x:t>
        </x:is>
      </x:c>
      <x:c r="D113" s="5" t="inlineStr">
        <x:is>
          <x:t xml:space="preserve">普蕊斯(上海)医药科技开发股份有限公司</x:t>
        </x:is>
      </x:c>
      <x:c r="E113" s="4" t="inlineStr">
        <x:is>
          <x:t xml:space="preserve">上海市</x:t>
        </x:is>
      </x:c>
      <x:c r="F113" s="4" t="inlineStr">
        <x:is>
          <x:t xml:space="preserve">上海市</x:t>
        </x:is>
      </x:c>
      <x:c r="G113" s="5" t="inlineStr">
        <x:is>
          <x:t xml:space="preserve">上海市-上海市</x:t>
        </x:is>
      </x:c>
      <x:c r="H113" s="4" t="inlineStr">
        <x:is>
          <x:t xml:space="preserve">医疗服务</x:t>
        </x:is>
      </x:c>
      <x:c r="I113" s="4" t="inlineStr">
        <x:is>
          <x:t xml:space="preserve">2022-05-17</x:t>
        </x:is>
      </x:c>
      <x:c r="J113" s="5" t="inlineStr">
        <x:is>
          <x:t xml:space="preserve">上海市黄浦区思南路105号1号楼108室</x:t>
        </x:is>
      </x:c>
      <x:c r="K113" s="12" t="str">
        <x:f>LEFT("913100000625748002",18)</x:f>
        <x:v>913100000625748000</x:v>
      </x:c>
    </x:row>
    <x:row r="114">
      <x:c r="A114" s="2" t="n">
        <x:v>113</x:v>
      </x:c>
      <x:c r="B114" s="2" t="inlineStr">
        <x:is>
          <x:t xml:space="preserve">301273</x:t>
        </x:is>
      </x:c>
      <x:c r="C114" s="3" t="inlineStr">
        <x:is>
          <x:t xml:space="preserve">瑞晨环保</x:t>
        </x:is>
      </x:c>
      <x:c r="D114" s="3" t="inlineStr">
        <x:is>
          <x:t xml:space="preserve">上海瑞晨环保科技股份有限公司</x:t>
        </x:is>
      </x:c>
      <x:c r="E114" s="2" t="inlineStr">
        <x:is>
          <x:t xml:space="preserve">上海市</x:t>
        </x:is>
      </x:c>
      <x:c r="F114" s="2" t="inlineStr">
        <x:is>
          <x:t xml:space="preserve">上海市</x:t>
        </x:is>
      </x:c>
      <x:c r="G114" s="3" t="inlineStr">
        <x:is>
          <x:t xml:space="preserve">上海市-上海市</x:t>
        </x:is>
      </x:c>
      <x:c r="H114" s="2" t="inlineStr">
        <x:is>
          <x:t xml:space="preserve">通用设备</x:t>
        </x:is>
      </x:c>
      <x:c r="I114" s="2" t="inlineStr">
        <x:is>
          <x:t xml:space="preserve">2022-10-25</x:t>
        </x:is>
      </x:c>
      <x:c r="J114" s="3" t="inlineStr">
        <x:is>
          <x:t xml:space="preserve">上海市嘉定区申霞路358号3幢C区</x:t>
        </x:is>
      </x:c>
      <x:c r="K114" s="12" t="str">
        <x:f>LEFT("91310114563130984K",18)</x:f>
        <x:v>91310114563130984K</x:v>
      </x:c>
    </x:row>
    <x:row r="115">
      <x:c r="A115" s="4" t="n">
        <x:v>114</x:v>
      </x:c>
      <x:c r="B115" s="4" t="inlineStr">
        <x:is>
          <x:t xml:space="preserve">301289</x:t>
        </x:is>
      </x:c>
      <x:c r="C115" s="5" t="inlineStr">
        <x:is>
          <x:t xml:space="preserve">国缆检测</x:t>
        </x:is>
      </x:c>
      <x:c r="D115" s="5" t="inlineStr">
        <x:is>
          <x:t xml:space="preserve">上海国缆检测股份有限公司</x:t>
        </x:is>
      </x:c>
      <x:c r="E115" s="4" t="inlineStr">
        <x:is>
          <x:t xml:space="preserve">上海市</x:t>
        </x:is>
      </x:c>
      <x:c r="F115" s="4" t="inlineStr">
        <x:is>
          <x:t xml:space="preserve">上海市</x:t>
        </x:is>
      </x:c>
      <x:c r="G115" s="5" t="inlineStr">
        <x:is>
          <x:t xml:space="preserve">上海市-上海市</x:t>
        </x:is>
      </x:c>
      <x:c r="H115" s="4" t="inlineStr">
        <x:is>
          <x:t xml:space="preserve">专业服务</x:t>
        </x:is>
      </x:c>
      <x:c r="I115" s="4" t="inlineStr">
        <x:is>
          <x:t xml:space="preserve">2022-06-22</x:t>
        </x:is>
      </x:c>
      <x:c r="J115" s="5" t="inlineStr">
        <x:is>
          <x:t xml:space="preserve">上海市宝山区真陈路888号</x:t>
        </x:is>
      </x:c>
      <x:c r="K115" s="12" t="str">
        <x:f>LEFT("91310113759006977Q",18)</x:f>
        <x:v>91310113759006977Q</x:v>
      </x:c>
    </x:row>
    <x:row r="116">
      <x:c r="A116" s="2" t="n">
        <x:v>115</x:v>
      </x:c>
      <x:c r="B116" s="2" t="inlineStr">
        <x:is>
          <x:t xml:space="preserve">301303</x:t>
        </x:is>
      </x:c>
      <x:c r="C116" s="3" t="inlineStr">
        <x:is>
          <x:t xml:space="preserve">真兰仪表</x:t>
        </x:is>
      </x:c>
      <x:c r="D116" s="3" t="inlineStr">
        <x:is>
          <x:t xml:space="preserve">上海真兰仪表科技股份有限公司</x:t>
        </x:is>
      </x:c>
      <x:c r="E116" s="2" t="inlineStr">
        <x:is>
          <x:t xml:space="preserve">上海市</x:t>
        </x:is>
      </x:c>
      <x:c r="F116" s="2" t="inlineStr">
        <x:is>
          <x:t xml:space="preserve">上海市</x:t>
        </x:is>
      </x:c>
      <x:c r="G116" s="3" t="inlineStr">
        <x:is>
          <x:t xml:space="preserve">上海市-上海市</x:t>
        </x:is>
      </x:c>
      <x:c r="H116" s="2" t="inlineStr">
        <x:is>
          <x:t xml:space="preserve">仪器仪表</x:t>
        </x:is>
      </x:c>
      <x:c r="I116" s="2" t="inlineStr">
        <x:is>
          <x:t xml:space="preserve">2023-02-20</x:t>
        </x:is>
      </x:c>
      <x:c r="J116" s="3" t="inlineStr">
        <x:is>
          <x:t xml:space="preserve">上海市青浦区崧达路800号</x:t>
        </x:is>
      </x:c>
      <x:c r="K116" s="12" t="str">
        <x:f>LEFT("91310000586778185R",18)</x:f>
        <x:v>91310000586778185R</x:v>
      </x:c>
    </x:row>
    <x:row r="117">
      <x:c r="A117" s="4" t="n">
        <x:v>116</x:v>
      </x:c>
      <x:c r="B117" s="4" t="inlineStr">
        <x:is>
          <x:t xml:space="preserve">301315</x:t>
        </x:is>
      </x:c>
      <x:c r="C117" s="5" t="inlineStr">
        <x:is>
          <x:t xml:space="preserve">威士顿</x:t>
        </x:is>
      </x:c>
      <x:c r="D117" s="5" t="inlineStr">
        <x:is>
          <x:t xml:space="preserve">上海威士顿信息技术股份有限公司</x:t>
        </x:is>
      </x:c>
      <x:c r="E117" s="4" t="inlineStr">
        <x:is>
          <x:t xml:space="preserve">上海市</x:t>
        </x:is>
      </x:c>
      <x:c r="F117" s="4" t="inlineStr">
        <x:is>
          <x:t xml:space="preserve">上海市</x:t>
        </x:is>
      </x:c>
      <x:c r="G117" s="5" t="inlineStr">
        <x:is>
          <x:t xml:space="preserve">上海市-上海市</x:t>
        </x:is>
      </x:c>
      <x:c r="H117" s="4" t="inlineStr">
        <x:is>
          <x:t xml:space="preserve">软件开发</x:t>
        </x:is>
      </x:c>
      <x:c r="I117" s="4" t="inlineStr">
        <x:is>
          <x:t xml:space="preserve">2023-06-21</x:t>
        </x:is>
      </x:c>
      <x:c r="J117" s="5" t="inlineStr">
        <x:is>
          <x:t xml:space="preserve">上海市长宁区长宁路999号643室</x:t>
        </x:is>
      </x:c>
      <x:c r="K117" s="12" t="str">
        <x:f>LEFT("9131000070326044X6",18)</x:f>
        <x:v>9131000070326044X6</x:v>
      </x:c>
    </x:row>
    <x:row r="118">
      <x:c r="A118" s="2" t="n">
        <x:v>117</x:v>
      </x:c>
      <x:c r="B118" s="2" t="inlineStr">
        <x:is>
          <x:t xml:space="preserve">301419</x:t>
        </x:is>
      </x:c>
      <x:c r="C118" s="3" t="inlineStr">
        <x:is>
          <x:t xml:space="preserve">阿莱德</x:t>
        </x:is>
      </x:c>
      <x:c r="D118" s="3" t="inlineStr">
        <x:is>
          <x:t xml:space="preserve">上海阿莱德实业集团股份有限公司</x:t>
        </x:is>
      </x:c>
      <x:c r="E118" s="2" t="inlineStr">
        <x:is>
          <x:t xml:space="preserve">上海市</x:t>
        </x:is>
      </x:c>
      <x:c r="F118" s="2" t="inlineStr">
        <x:is>
          <x:t xml:space="preserve">上海市</x:t>
        </x:is>
      </x:c>
      <x:c r="G118" s="3" t="inlineStr">
        <x:is>
          <x:t xml:space="preserve">上海市-上海市</x:t>
        </x:is>
      </x:c>
      <x:c r="H118" s="2" t="inlineStr">
        <x:is>
          <x:t xml:space="preserve">通信设备</x:t>
        </x:is>
      </x:c>
      <x:c r="I118" s="2" t="inlineStr">
        <x:is>
          <x:t xml:space="preserve">2023-02-09</x:t>
        </x:is>
      </x:c>
      <x:c r="J118" s="3" t="inlineStr">
        <x:is>
          <x:t xml:space="preserve">上海市奉贤区奉炮公路1368号6栋</x:t>
        </x:is>
      </x:c>
      <x:c r="K118" s="12" t="str">
        <x:f>LEFT("913101207630426718",18)</x:f>
        <x:v>913101207630426800</x:v>
      </x:c>
    </x:row>
    <x:row r="119">
      <x:c r="A119" s="4" t="n">
        <x:v>118</x:v>
      </x:c>
      <x:c r="B119" s="4" t="inlineStr">
        <x:is>
          <x:t xml:space="preserve">301499</x:t>
        </x:is>
      </x:c>
      <x:c r="C119" s="5" t="inlineStr">
        <x:is>
          <x:t xml:space="preserve">维科精密</x:t>
        </x:is>
      </x:c>
      <x:c r="D119" s="5" t="inlineStr">
        <x:is>
          <x:t xml:space="preserve">上海维科精密模塑股份有限公司</x:t>
        </x:is>
      </x:c>
      <x:c r="E119" s="4" t="inlineStr">
        <x:is>
          <x:t xml:space="preserve">上海市</x:t>
        </x:is>
      </x:c>
      <x:c r="F119" s="4" t="inlineStr">
        <x:is>
          <x:t xml:space="preserve">上海市</x:t>
        </x:is>
      </x:c>
      <x:c r="G119" s="5" t="inlineStr">
        <x:is>
          <x:t xml:space="preserve">上海市-上海市</x:t>
        </x:is>
      </x:c>
      <x:c r="H119" s="4" t="inlineStr">
        <x:is>
          <x:t xml:space="preserve">汽车零部件</x:t>
        </x:is>
      </x:c>
      <x:c r="I119" s="4" t="inlineStr">
        <x:is>
          <x:t xml:space="preserve">2023-07-21</x:t>
        </x:is>
      </x:c>
      <x:c r="J119" s="5" t="inlineStr">
        <x:is>
          <x:t xml:space="preserve">上海市闵行区北横沙河路598号</x:t>
        </x:is>
      </x:c>
      <x:c r="K119" s="12" t="str">
        <x:f>LEFT("91310000607404087G",18)</x:f>
        <x:v>91310000607404087G</x:v>
      </x:c>
    </x:row>
    <x:row r="120">
      <x:c r="A120" s="2" t="n">
        <x:v>119</x:v>
      </x:c>
      <x:c r="B120" s="2" t="inlineStr">
        <x:is>
          <x:t xml:space="preserve">301525</x:t>
        </x:is>
      </x:c>
      <x:c r="C120" s="3" t="inlineStr">
        <x:is>
          <x:t xml:space="preserve">儒竞科技</x:t>
        </x:is>
      </x:c>
      <x:c r="D120" s="3" t="inlineStr">
        <x:is>
          <x:t xml:space="preserve">上海儒竞科技股份有限公司</x:t>
        </x:is>
      </x:c>
      <x:c r="E120" s="2" t="inlineStr">
        <x:is>
          <x:t xml:space="preserve">上海市</x:t>
        </x:is>
      </x:c>
      <x:c r="F120" s="2" t="inlineStr">
        <x:is>
          <x:t xml:space="preserve">上海市</x:t>
        </x:is>
      </x:c>
      <x:c r="G120" s="3" t="inlineStr">
        <x:is>
          <x:t xml:space="preserve">上海市-上海市</x:t>
        </x:is>
      </x:c>
      <x:c r="H120" s="2" t="inlineStr">
        <x:is>
          <x:t xml:space="preserve">通用设备</x:t>
        </x:is>
      </x:c>
      <x:c r="I120" s="2" t="inlineStr">
        <x:is>
          <x:t xml:space="preserve">2023-08-30</x:t>
        </x:is>
      </x:c>
      <x:c r="J120" s="3" t="inlineStr">
        <x:is>
          <x:t xml:space="preserve">上海市杨浦区国权北路1688弄75号1204A室</x:t>
        </x:is>
      </x:c>
      <x:c r="K120" s="12" t="str">
        <x:f>LEFT("913101107529100749",18)</x:f>
        <x:v>913101107529100800</x:v>
      </x:c>
    </x:row>
    <x:row r="121">
      <x:c r="A121" s="4" t="n">
        <x:v>120</x:v>
      </x:c>
      <x:c r="B121" s="4" t="inlineStr">
        <x:is>
          <x:t xml:space="preserve">301555</x:t>
        </x:is>
      </x:c>
      <x:c r="C121" s="5" t="inlineStr">
        <x:is>
          <x:t xml:space="preserve">惠柏新材</x:t>
        </x:is>
      </x:c>
      <x:c r="D121" s="5" t="inlineStr">
        <x:is>
          <x:t xml:space="preserve">惠柏新材料科技(上海)股份有限公司</x:t>
        </x:is>
      </x:c>
      <x:c r="E121" s="4" t="inlineStr">
        <x:is>
          <x:t xml:space="preserve">上海市</x:t>
        </x:is>
      </x:c>
      <x:c r="F121" s="4" t="inlineStr">
        <x:is>
          <x:t xml:space="preserve">上海市</x:t>
        </x:is>
      </x:c>
      <x:c r="G121" s="5" t="inlineStr">
        <x:is>
          <x:t xml:space="preserve">上海市-上海市</x:t>
        </x:is>
      </x:c>
      <x:c r="H121" s="4" t="inlineStr">
        <x:is>
          <x:t xml:space="preserve">化学制品</x:t>
        </x:is>
      </x:c>
      <x:c r="I121" s="4" t="inlineStr">
        <x:is>
          <x:t xml:space="preserve">2023-10-31</x:t>
        </x:is>
      </x:c>
      <x:c r="J121" s="5" t="inlineStr">
        <x:is>
          <x:t xml:space="preserve">上海市嘉定区江桥镇博园路558号第2幢</x:t>
        </x:is>
      </x:c>
      <x:c r="K121" s="12" t="str">
        <x:f>LEFT("91310000564823184X",18)</x:f>
        <x:v>91310000564823184X</x:v>
      </x:c>
    </x:row>
    <x:row r="122">
      <x:c r="A122" s="2" t="n">
        <x:v>121</x:v>
      </x:c>
      <x:c r="B122" s="2" t="inlineStr">
        <x:is>
          <x:t xml:space="preserve">301563</x:t>
        </x:is>
      </x:c>
      <x:c r="C122" s="3" t="inlineStr">
        <x:is>
          <x:t xml:space="preserve">云汉芯城</x:t>
        </x:is>
      </x:c>
      <x:c r="D122" s="3" t="inlineStr">
        <x:is>
          <x:t xml:space="preserve">云汉芯城(上海)互联网科技股份有限公司</x:t>
        </x:is>
      </x:c>
      <x:c r="E122" s="2" t="inlineStr">
        <x:is>
          <x:t xml:space="preserve">上海市</x:t>
        </x:is>
      </x:c>
      <x:c r="F122" s="2" t="inlineStr">
        <x:is>
          <x:t xml:space="preserve">上海市</x:t>
        </x:is>
      </x:c>
      <x:c r="G122" s="3" t="inlineStr">
        <x:is>
          <x:t xml:space="preserve">上海市-上海市</x:t>
        </x:is>
      </x:c>
      <x:c r="H122" s="2" t="inlineStr">
        <x:is>
          <x:t xml:space="preserve">电子元件</x:t>
        </x:is>
      </x:c>
      <x:c r="I122" s="2" t="inlineStr">
        <x:is>
          <x:t xml:space="preserve">2025-09-30</x:t>
        </x:is>
      </x:c>
      <x:c r="J122" s="3" t="inlineStr">
        <x:is>
          <x:t xml:space="preserve">上海漕河泾开发区松江高科技园莘砖公路258号32幢1101室</x:t>
        </x:is>
      </x:c>
      <x:c r="K122" s="12" t="str">
        <x:f>LEFT("913100006746031318",18)</x:f>
        <x:v>913100006746031400</x:v>
      </x:c>
    </x:row>
    <x:row r="123">
      <x:c r="A123" s="4" t="n">
        <x:v>122</x:v>
      </x:c>
      <x:c r="B123" s="4" t="inlineStr">
        <x:is>
          <x:t xml:space="preserve">301584</x:t>
        </x:is>
      </x:c>
      <x:c r="C123" s="5" t="inlineStr">
        <x:is>
          <x:t xml:space="preserve">建发致新</x:t>
        </x:is>
      </x:c>
      <x:c r="D123" s="5" t="inlineStr">
        <x:is>
          <x:t xml:space="preserve">上海建发致新医疗科技集团股份有限公司</x:t>
        </x:is>
      </x:c>
      <x:c r="E123" s="4" t="inlineStr">
        <x:is>
          <x:t xml:space="preserve">上海市</x:t>
        </x:is>
      </x:c>
      <x:c r="F123" s="4" t="inlineStr">
        <x:is>
          <x:t xml:space="preserve">上海市</x:t>
        </x:is>
      </x:c>
      <x:c r="G123" s="5" t="inlineStr">
        <x:is>
          <x:t xml:space="preserve">上海市-上海市</x:t>
        </x:is>
      </x:c>
      <x:c r="H123" s="4" t="inlineStr">
        <x:is>
          <x:t xml:space="preserve">医药商业</x:t>
        </x:is>
      </x:c>
      <x:c r="I123" s="4" t="inlineStr">
        <x:is>
          <x:t xml:space="preserve">2025-09-25</x:t>
        </x:is>
      </x:c>
      <x:c r="J123" s="5" t="inlineStr">
        <x:is>
          <x:t xml:space="preserve">上海市杨浦区杨树浦路288号9层</x:t>
        </x:is>
      </x:c>
      <x:c r="K123" s="12" t="str">
        <x:f>LEFT("91310104560199492F",18)</x:f>
        <x:v>91310104560199492F</x:v>
      </x:c>
    </x:row>
    <x:row r="124">
      <x:c r="A124" s="2" t="n">
        <x:v>123</x:v>
      </x:c>
      <x:c r="B124" s="2" t="inlineStr">
        <x:is>
          <x:t xml:space="preserve">600000</x:t>
        </x:is>
      </x:c>
      <x:c r="C124" s="3" t="inlineStr">
        <x:is>
          <x:t xml:space="preserve">浦发银行</x:t>
        </x:is>
      </x:c>
      <x:c r="D124" s="3" t="inlineStr">
        <x:is>
          <x:t xml:space="preserve">上海浦东发展银行股份有限公司</x:t>
        </x:is>
      </x:c>
      <x:c r="E124" s="2" t="inlineStr">
        <x:is>
          <x:t xml:space="preserve">上海市</x:t>
        </x:is>
      </x:c>
      <x:c r="F124" s="2" t="inlineStr">
        <x:is>
          <x:t xml:space="preserve">上海市</x:t>
        </x:is>
      </x:c>
      <x:c r="G124" s="3" t="inlineStr">
        <x:is>
          <x:t xml:space="preserve">上海市-上海市</x:t>
        </x:is>
      </x:c>
      <x:c r="H124" s="2" t="inlineStr">
        <x:is>
          <x:t xml:space="preserve">银行</x:t>
        </x:is>
      </x:c>
      <x:c r="I124" s="2" t="inlineStr">
        <x:is>
          <x:t xml:space="preserve">1999-11-10</x:t>
        </x:is>
      </x:c>
      <x:c r="J124" s="3" t="inlineStr">
        <x:is>
          <x:t xml:space="preserve">上海市中山东一路12号</x:t>
        </x:is>
      </x:c>
      <x:c r="K124" s="12" t="str">
        <x:f>LEFT("9131000013221158XC",18)</x:f>
        <x:v>9131000013221158XC</x:v>
      </x:c>
    </x:row>
    <x:row r="125">
      <x:c r="A125" s="4" t="n">
        <x:v>124</x:v>
      </x:c>
      <x:c r="B125" s="4" t="inlineStr">
        <x:is>
          <x:t xml:space="preserve">600009</x:t>
        </x:is>
      </x:c>
      <x:c r="C125" s="5" t="inlineStr">
        <x:is>
          <x:t xml:space="preserve">上海机场</x:t>
        </x:is>
      </x:c>
      <x:c r="D125" s="5" t="inlineStr">
        <x:is>
          <x:t xml:space="preserve">上海国际机场股份有限公司</x:t>
        </x:is>
      </x:c>
      <x:c r="E125" s="4" t="inlineStr">
        <x:is>
          <x:t xml:space="preserve">上海市</x:t>
        </x:is>
      </x:c>
      <x:c r="F125" s="4" t="inlineStr">
        <x:is>
          <x:t xml:space="preserve">上海市</x:t>
        </x:is>
      </x:c>
      <x:c r="G125" s="5" t="inlineStr">
        <x:is>
          <x:t xml:space="preserve">上海市-上海市</x:t>
        </x:is>
      </x:c>
      <x:c r="H125" s="4" t="inlineStr">
        <x:is>
          <x:t xml:space="preserve">民航机场</x:t>
        </x:is>
      </x:c>
      <x:c r="I125" s="4" t="inlineStr">
        <x:is>
          <x:t xml:space="preserve">1998-02-18</x:t>
        </x:is>
      </x:c>
      <x:c r="J125" s="5" t="inlineStr">
        <x:is>
          <x:t xml:space="preserve">上海市浦东新区启航路900号</x:t>
        </x:is>
      </x:c>
      <x:c r="K125" s="12" t="str">
        <x:f>LEFT("91310000134616599A",18)</x:f>
        <x:v>91310000134616599A</x:v>
      </x:c>
    </x:row>
    <x:row r="126">
      <x:c r="A126" s="2" t="n">
        <x:v>125</x:v>
      </x:c>
      <x:c r="B126" s="2" t="inlineStr">
        <x:is>
          <x:t xml:space="preserve">600018</x:t>
        </x:is>
      </x:c>
      <x:c r="C126" s="3" t="inlineStr">
        <x:is>
          <x:t xml:space="preserve">上港集团</x:t>
        </x:is>
      </x:c>
      <x:c r="D126" s="3" t="inlineStr">
        <x:is>
          <x:t xml:space="preserve">上海国际港务(集团)股份有限公司</x:t>
        </x:is>
      </x:c>
      <x:c r="E126" s="2" t="inlineStr">
        <x:is>
          <x:t xml:space="preserve">上海市</x:t>
        </x:is>
      </x:c>
      <x:c r="F126" s="2" t="inlineStr">
        <x:is>
          <x:t xml:space="preserve">上海市</x:t>
        </x:is>
      </x:c>
      <x:c r="G126" s="3" t="inlineStr">
        <x:is>
          <x:t xml:space="preserve">上海市-上海市</x:t>
        </x:is>
      </x:c>
      <x:c r="H126" s="2" t="inlineStr">
        <x:is>
          <x:t xml:space="preserve">港口水运</x:t>
        </x:is>
      </x:c>
      <x:c r="I126" s="2" t="inlineStr">
        <x:is>
          <x:t xml:space="preserve">2006-10-26</x:t>
        </x:is>
      </x:c>
      <x:c r="J126" s="3" t="inlineStr">
        <x:is>
          <x:t xml:space="preserve">中国(上海)自由贸易试验区临港新片区同汇路1号综合大楼A区4楼</x:t>
        </x:is>
      </x:c>
      <x:c r="K126" s="12" t="str">
        <x:f>LEFT("913100001322075806",18)</x:f>
        <x:v>913100001322075800</x:v>
      </x:c>
    </x:row>
    <x:row r="127">
      <x:c r="A127" s="4" t="n">
        <x:v>126</x:v>
      </x:c>
      <x:c r="B127" s="4" t="inlineStr">
        <x:is>
          <x:t xml:space="preserve">600019</x:t>
        </x:is>
      </x:c>
      <x:c r="C127" s="5" t="inlineStr">
        <x:is>
          <x:t xml:space="preserve">宝钢股份</x:t>
        </x:is>
      </x:c>
      <x:c r="D127" s="5" t="inlineStr">
        <x:is>
          <x:t xml:space="preserve">宝山钢铁股份有限公司</x:t>
        </x:is>
      </x:c>
      <x:c r="E127" s="4" t="inlineStr">
        <x:is>
          <x:t xml:space="preserve">上海市</x:t>
        </x:is>
      </x:c>
      <x:c r="F127" s="4" t="inlineStr">
        <x:is>
          <x:t xml:space="preserve">上海市</x:t>
        </x:is>
      </x:c>
      <x:c r="G127" s="5" t="inlineStr">
        <x:is>
          <x:t xml:space="preserve">上海市-上海市</x:t>
        </x:is>
      </x:c>
      <x:c r="H127" s="4" t="inlineStr">
        <x:is>
          <x:t xml:space="preserve">钢铁行业</x:t>
        </x:is>
      </x:c>
      <x:c r="I127" s="4" t="inlineStr">
        <x:is>
          <x:t xml:space="preserve">2000-12-12</x:t>
        </x:is>
      </x:c>
      <x:c r="J127" s="5" t="inlineStr">
        <x:is>
          <x:t xml:space="preserve">上海市宝山区富锦路885号</x:t>
        </x:is>
      </x:c>
      <x:c r="K127" s="12" t="str">
        <x:f>LEFT("91310000631696382C",18)</x:f>
        <x:v>91310000631696382C</x:v>
      </x:c>
    </x:row>
    <x:row r="128">
      <x:c r="A128" s="2" t="n">
        <x:v>127</x:v>
      </x:c>
      <x:c r="B128" s="2" t="inlineStr">
        <x:is>
          <x:t xml:space="preserve">600021</x:t>
        </x:is>
      </x:c>
      <x:c r="C128" s="3" t="inlineStr">
        <x:is>
          <x:t xml:space="preserve">上海电力</x:t>
        </x:is>
      </x:c>
      <x:c r="D128" s="3" t="inlineStr">
        <x:is>
          <x:t xml:space="preserve">上海电力股份有限公司</x:t>
        </x:is>
      </x:c>
      <x:c r="E128" s="2" t="inlineStr">
        <x:is>
          <x:t xml:space="preserve">上海市</x:t>
        </x:is>
      </x:c>
      <x:c r="F128" s="2" t="inlineStr">
        <x:is>
          <x:t xml:space="preserve">上海市</x:t>
        </x:is>
      </x:c>
      <x:c r="G128" s="3" t="inlineStr">
        <x:is>
          <x:t xml:space="preserve">上海市-上海市</x:t>
        </x:is>
      </x:c>
      <x:c r="H128" s="2" t="inlineStr">
        <x:is>
          <x:t xml:space="preserve">电力行业</x:t>
        </x:is>
      </x:c>
      <x:c r="I128" s="2" t="inlineStr">
        <x:is>
          <x:t xml:space="preserve">2003-10-29</x:t>
        </x:is>
      </x:c>
      <x:c r="J128" s="3" t="inlineStr">
        <x:is>
          <x:t xml:space="preserve">上海市浦东新区高科西路1号</x:t>
        </x:is>
      </x:c>
      <x:c r="K128" s="12" t="str">
        <x:f>LEFT("913100006311887755",18)</x:f>
        <x:v>913100006311887700</x:v>
      </x:c>
    </x:row>
    <x:row r="129">
      <x:c r="A129" s="4" t="n">
        <x:v>128</x:v>
      </x:c>
      <x:c r="B129" s="4" t="inlineStr">
        <x:is>
          <x:t xml:space="preserve">600026</x:t>
        </x:is>
      </x:c>
      <x:c r="C129" s="5" t="inlineStr">
        <x:is>
          <x:t xml:space="preserve">中远海能</x:t>
        </x:is>
      </x:c>
      <x:c r="D129" s="5" t="inlineStr">
        <x:is>
          <x:t xml:space="preserve">中远海运能源运输股份有限公司</x:t>
        </x:is>
      </x:c>
      <x:c r="E129" s="4" t="inlineStr">
        <x:is>
          <x:t xml:space="preserve">上海市</x:t>
        </x:is>
      </x:c>
      <x:c r="F129" s="4" t="inlineStr">
        <x:is>
          <x:t xml:space="preserve">上海市</x:t>
        </x:is>
      </x:c>
      <x:c r="G129" s="5" t="inlineStr">
        <x:is>
          <x:t xml:space="preserve">上海市-上海市</x:t>
        </x:is>
      </x:c>
      <x:c r="H129" s="4" t="inlineStr">
        <x:is>
          <x:t xml:space="preserve">港口水运</x:t>
        </x:is>
      </x:c>
      <x:c r="I129" s="4" t="inlineStr">
        <x:is>
          <x:t xml:space="preserve">2002-05-23</x:t>
        </x:is>
      </x:c>
      <x:c r="J129" s="5" t="inlineStr">
        <x:is>
          <x:t xml:space="preserve">中国(上海)自由贸易试验区临港新片区业盛路188号A-1015室</x:t>
        </x:is>
      </x:c>
      <x:c r="K129" s="12" t="str">
        <x:f>LEFT("91310000132212734C",18)</x:f>
        <x:v>91310000132212734C</x:v>
      </x:c>
    </x:row>
    <x:row r="130">
      <x:c r="A130" s="2" t="n">
        <x:v>129</x:v>
      </x:c>
      <x:c r="B130" s="2" t="inlineStr">
        <x:is>
          <x:t xml:space="preserve">600061</x:t>
        </x:is>
      </x:c>
      <x:c r="C130" s="3" t="inlineStr">
        <x:is>
          <x:t xml:space="preserve">国投资本</x:t>
        </x:is>
      </x:c>
      <x:c r="D130" s="3" t="inlineStr">
        <x:is>
          <x:t xml:space="preserve">国投资本股份有限公司</x:t>
        </x:is>
      </x:c>
      <x:c r="E130" s="2" t="inlineStr">
        <x:is>
          <x:t xml:space="preserve">上海市</x:t>
        </x:is>
      </x:c>
      <x:c r="F130" s="2" t="inlineStr">
        <x:is>
          <x:t xml:space="preserve">上海市</x:t>
        </x:is>
      </x:c>
      <x:c r="G130" s="3" t="inlineStr">
        <x:is>
          <x:t xml:space="preserve">上海市-上海市</x:t>
        </x:is>
      </x:c>
      <x:c r="H130" s="2" t="inlineStr">
        <x:is>
          <x:t xml:space="preserve">券商信托</x:t>
        </x:is>
      </x:c>
      <x:c r="I130" s="2" t="inlineStr">
        <x:is>
          <x:t xml:space="preserve">1997-05-19</x:t>
        </x:is>
      </x:c>
      <x:c r="J130" s="3" t="inlineStr">
        <x:is>
          <x:t xml:space="preserve">中国(上海)自由贸易试验区北张家浜路128号204-3、204-4、204-5室</x:t>
        </x:is>
      </x:c>
      <x:c r="K130" s="12" t="str">
        <x:f>LEFT("91310000132284105Y",18)</x:f>
        <x:v>91310000132284105Y</x:v>
      </x:c>
    </x:row>
    <x:row r="131">
      <x:c r="A131" s="4" t="n">
        <x:v>130</x:v>
      </x:c>
      <x:c r="B131" s="4" t="inlineStr">
        <x:is>
          <x:t xml:space="preserve">600072</x:t>
        </x:is>
      </x:c>
      <x:c r="C131" s="5" t="inlineStr">
        <x:is>
          <x:t xml:space="preserve">中船科技</x:t>
        </x:is>
      </x:c>
      <x:c r="D131" s="5" t="inlineStr">
        <x:is>
          <x:t xml:space="preserve">中船科技股份有限公司</x:t>
        </x:is>
      </x:c>
      <x:c r="E131" s="4" t="inlineStr">
        <x:is>
          <x:t xml:space="preserve">上海市</x:t>
        </x:is>
      </x:c>
      <x:c r="F131" s="4" t="inlineStr">
        <x:is>
          <x:t xml:space="preserve">上海市</x:t>
        </x:is>
      </x:c>
      <x:c r="G131" s="5" t="inlineStr">
        <x:is>
          <x:t xml:space="preserve">上海市-上海市</x:t>
        </x:is>
      </x:c>
      <x:c r="H131" s="4" t="inlineStr">
        <x:is>
          <x:t xml:space="preserve">风电设备</x:t>
        </x:is>
      </x:c>
      <x:c r="I131" s="4" t="inlineStr">
        <x:is>
          <x:t xml:space="preserve">1997-06-03</x:t>
        </x:is>
      </x:c>
      <x:c r="J131" s="5" t="inlineStr">
        <x:is>
          <x:t xml:space="preserve">上海市周家嘴路3255号10楼</x:t>
        </x:is>
      </x:c>
      <x:c r="K131" s="12" t="str">
        <x:f>LEFT("913100001322836634",18)</x:f>
        <x:v>913100001322836600</x:v>
      </x:c>
    </x:row>
    <x:row r="132">
      <x:c r="A132" s="2" t="n">
        <x:v>131</x:v>
      </x:c>
      <x:c r="B132" s="2" t="inlineStr">
        <x:is>
          <x:t xml:space="preserve">600073</x:t>
        </x:is>
      </x:c>
      <x:c r="C132" s="3" t="inlineStr">
        <x:is>
          <x:t xml:space="preserve">光明肉业</x:t>
        </x:is>
      </x:c>
      <x:c r="D132" s="3" t="inlineStr">
        <x:is>
          <x:t xml:space="preserve">上海光明肉业集团股份有限公司</x:t>
        </x:is>
      </x:c>
      <x:c r="E132" s="2" t="inlineStr">
        <x:is>
          <x:t xml:space="preserve">上海市</x:t>
        </x:is>
      </x:c>
      <x:c r="F132" s="2" t="inlineStr">
        <x:is>
          <x:t xml:space="preserve">上海市</x:t>
        </x:is>
      </x:c>
      <x:c r="G132" s="3" t="inlineStr">
        <x:is>
          <x:t xml:space="preserve">上海市-上海市</x:t>
        </x:is>
      </x:c>
      <x:c r="H132" s="2" t="inlineStr">
        <x:is>
          <x:t xml:space="preserve">食品饮料</x:t>
        </x:is>
      </x:c>
      <x:c r="I132" s="2" t="inlineStr">
        <x:is>
          <x:t xml:space="preserve">1997-07-04</x:t>
        </x:is>
      </x:c>
      <x:c r="J132" s="3" t="inlineStr">
        <x:is>
          <x:t xml:space="preserve">中国(上海)自由贸易试验区川桥路1501号7幢101室</x:t>
        </x:is>
      </x:c>
      <x:c r="K132" s="12" t="str">
        <x:f>LEFT("91310000132285976X",18)</x:f>
        <x:v>91310000132285976X</x:v>
      </x:c>
    </x:row>
    <x:row r="133">
      <x:c r="A133" s="4" t="n">
        <x:v>132</x:v>
      </x:c>
      <x:c r="B133" s="4" t="inlineStr">
        <x:is>
          <x:t xml:space="preserve">600081</x:t>
        </x:is>
      </x:c>
      <x:c r="C133" s="5" t="inlineStr">
        <x:is>
          <x:t xml:space="preserve">东风科技</x:t>
        </x:is>
      </x:c>
      <x:c r="D133" s="5" t="inlineStr">
        <x:is>
          <x:t xml:space="preserve">东风电子科技股份有限公司</x:t>
        </x:is>
      </x:c>
      <x:c r="E133" s="4" t="inlineStr">
        <x:is>
          <x:t xml:space="preserve">上海市</x:t>
        </x:is>
      </x:c>
      <x:c r="F133" s="4" t="inlineStr">
        <x:is>
          <x:t xml:space="preserve">上海市</x:t>
        </x:is>
      </x:c>
      <x:c r="G133" s="5" t="inlineStr">
        <x:is>
          <x:t xml:space="preserve">上海市-上海市</x:t>
        </x:is>
      </x:c>
      <x:c r="H133" s="4" t="inlineStr">
        <x:is>
          <x:t xml:space="preserve">汽车行业</x:t>
        </x:is>
      </x:c>
      <x:c r="I133" s="4" t="inlineStr">
        <x:is>
          <x:t xml:space="preserve">1997-07-03</x:t>
        </x:is>
      </x:c>
      <x:c r="J133" s="5" t="inlineStr">
        <x:is>
          <x:t xml:space="preserve">上海市闵行区浦江镇新骏环路88号13幢203室</x:t>
        </x:is>
      </x:c>
      <x:c r="K133" s="12" t="str">
        <x:f>LEFT("91310000132285386W",18)</x:f>
        <x:v>91310000132285386W</x:v>
      </x:c>
    </x:row>
    <x:row r="134">
      <x:c r="A134" s="2" t="n">
        <x:v>133</x:v>
      </x:c>
      <x:c r="B134" s="2" t="inlineStr">
        <x:is>
          <x:t xml:space="preserve">600088</x:t>
        </x:is>
      </x:c>
      <x:c r="C134" s="3" t="inlineStr">
        <x:is>
          <x:t xml:space="preserve">中视传媒</x:t>
        </x:is>
      </x:c>
      <x:c r="D134" s="3" t="inlineStr">
        <x:is>
          <x:t xml:space="preserve">中视传媒股份有限公司</x:t>
        </x:is>
      </x:c>
      <x:c r="E134" s="2" t="inlineStr">
        <x:is>
          <x:t xml:space="preserve">上海市</x:t>
        </x:is>
      </x:c>
      <x:c r="F134" s="2" t="inlineStr">
        <x:is>
          <x:t xml:space="preserve">上海市</x:t>
        </x:is>
      </x:c>
      <x:c r="G134" s="3" t="inlineStr">
        <x:is>
          <x:t xml:space="preserve">上海市-上海市</x:t>
        </x:is>
      </x:c>
      <x:c r="H134" s="2" t="inlineStr">
        <x:is>
          <x:t xml:space="preserve">文化传媒</x:t>
        </x:is>
      </x:c>
      <x:c r="I134" s="2" t="inlineStr">
        <x:is>
          <x:t xml:space="preserve">1997-06-16</x:t>
        </x:is>
      </x:c>
      <x:c r="J134" s="3" t="inlineStr">
        <x:is>
          <x:t xml:space="preserve">中国(上海)自由贸易试验区福山路450号新天国际大厦17层A座</x:t>
        </x:is>
      </x:c>
      <x:c r="K134" s="12" t="str">
        <x:f>LEFT("91310000739764252D",18)</x:f>
        <x:v>91310000739764252D</x:v>
      </x:c>
    </x:row>
    <x:row r="135">
      <x:c r="A135" s="4" t="n">
        <x:v>134</x:v>
      </x:c>
      <x:c r="B135" s="4" t="inlineStr">
        <x:is>
          <x:t xml:space="preserve">600094</x:t>
        </x:is>
      </x:c>
      <x:c r="C135" s="5" t="inlineStr">
        <x:is>
          <x:t xml:space="preserve">大名城</x:t>
        </x:is>
      </x:c>
      <x:c r="D135" s="5" t="inlineStr">
        <x:is>
          <x:t xml:space="preserve">上海大名城企业股份有限公司</x:t>
        </x:is>
      </x:c>
      <x:c r="E135" s="4" t="inlineStr">
        <x:is>
          <x:t xml:space="preserve">上海市</x:t>
        </x:is>
      </x:c>
      <x:c r="F135" s="4" t="inlineStr">
        <x:is>
          <x:t xml:space="preserve">上海市</x:t>
        </x:is>
      </x:c>
      <x:c r="G135" s="5" t="inlineStr">
        <x:is>
          <x:t xml:space="preserve">上海市-上海市</x:t>
        </x:is>
      </x:c>
      <x:c r="H135" s="4" t="inlineStr">
        <x:is>
          <x:t xml:space="preserve">房地产</x:t>
        </x:is>
      </x:c>
      <x:c r="I135" s="4" t="inlineStr">
        <x:is>
          <x:t xml:space="preserve">1997-07-03</x:t>
        </x:is>
      </x:c>
      <x:c r="J135" s="5" t="inlineStr">
        <x:is>
          <x:t xml:space="preserve">上海市闵行区红松东路1116号1幢5楼A区</x:t>
        </x:is>
      </x:c>
      <x:c r="K135" s="12" t="str">
        <x:f>LEFT("913100006073563962",18)</x:f>
        <x:v>913100006073563900</x:v>
      </x:c>
    </x:row>
    <x:row r="136">
      <x:c r="A136" s="2" t="n">
        <x:v>135</x:v>
      </x:c>
      <x:c r="B136" s="2" t="inlineStr">
        <x:is>
          <x:t xml:space="preserve">600097</x:t>
        </x:is>
      </x:c>
      <x:c r="C136" s="3" t="inlineStr">
        <x:is>
          <x:t xml:space="preserve">开创国际</x:t>
        </x:is>
      </x:c>
      <x:c r="D136" s="3" t="inlineStr">
        <x:is>
          <x:t xml:space="preserve">上海开创国际海洋资源股份有限公司</x:t>
        </x:is>
      </x:c>
      <x:c r="E136" s="2" t="inlineStr">
        <x:is>
          <x:t xml:space="preserve">上海市</x:t>
        </x:is>
      </x:c>
      <x:c r="F136" s="2" t="inlineStr">
        <x:is>
          <x:t xml:space="preserve">上海市</x:t>
        </x:is>
      </x:c>
      <x:c r="G136" s="3" t="inlineStr">
        <x:is>
          <x:t xml:space="preserve">上海市-上海市</x:t>
        </x:is>
      </x:c>
      <x:c r="H136" s="2" t="inlineStr">
        <x:is>
          <x:t xml:space="preserve">农牧饲渔</x:t>
        </x:is>
      </x:c>
      <x:c r="I136" s="2" t="inlineStr">
        <x:is>
          <x:t xml:space="preserve">1997-06-19</x:t>
        </x:is>
      </x:c>
      <x:c r="J136" s="3" t="inlineStr">
        <x:is>
          <x:t xml:space="preserve">中国(上海)自由贸易试验区新灵路118号1201A室</x:t>
        </x:is>
      </x:c>
      <x:c r="K136" s="12" t="str">
        <x:f>LEFT("91310000294188888N",18)</x:f>
        <x:v>91310000294188888N</x:v>
      </x:c>
    </x:row>
    <x:row r="137">
      <x:c r="A137" s="4" t="n">
        <x:v>136</x:v>
      </x:c>
      <x:c r="B137" s="4" t="inlineStr">
        <x:is>
          <x:t xml:space="preserve">600104</x:t>
        </x:is>
      </x:c>
      <x:c r="C137" s="5" t="inlineStr">
        <x:is>
          <x:t xml:space="preserve">上汽集团</x:t>
        </x:is>
      </x:c>
      <x:c r="D137" s="5" t="inlineStr">
        <x:is>
          <x:t xml:space="preserve">上海汽车集团股份有限公司</x:t>
        </x:is>
      </x:c>
      <x:c r="E137" s="4" t="inlineStr">
        <x:is>
          <x:t xml:space="preserve">上海市</x:t>
        </x:is>
      </x:c>
      <x:c r="F137" s="4" t="inlineStr">
        <x:is>
          <x:t xml:space="preserve">上海市</x:t>
        </x:is>
      </x:c>
      <x:c r="G137" s="5" t="inlineStr">
        <x:is>
          <x:t xml:space="preserve">上海市-上海市</x:t>
        </x:is>
      </x:c>
      <x:c r="H137" s="4" t="inlineStr">
        <x:is>
          <x:t xml:space="preserve">汽车整车</x:t>
        </x:is>
      </x:c>
      <x:c r="I137" s="4" t="inlineStr">
        <x:is>
          <x:t xml:space="preserve">1997-11-25</x:t>
        </x:is>
      </x:c>
      <x:c r="J137" s="5" t="inlineStr">
        <x:is>
          <x:t xml:space="preserve">中国(上海)自由贸易试验区松涛路563号1号楼509室</x:t>
        </x:is>
      </x:c>
      <x:c r="K137" s="12" t="str">
        <x:f>LEFT("91310000132260250X",18)</x:f>
        <x:v>91310000132260250X</x:v>
      </x:c>
    </x:row>
    <x:row r="138">
      <x:c r="A138" s="2" t="n">
        <x:v>137</x:v>
      </x:c>
      <x:c r="B138" s="2" t="inlineStr">
        <x:is>
          <x:t xml:space="preserve">600115</x:t>
        </x:is>
      </x:c>
      <x:c r="C138" s="3" t="inlineStr">
        <x:is>
          <x:t xml:space="preserve">中国东航</x:t>
        </x:is>
      </x:c>
      <x:c r="D138" s="3" t="inlineStr">
        <x:is>
          <x:t xml:space="preserve">中国东方航空股份有限公司</x:t>
        </x:is>
      </x:c>
      <x:c r="E138" s="2" t="inlineStr">
        <x:is>
          <x:t xml:space="preserve">上海市</x:t>
        </x:is>
      </x:c>
      <x:c r="F138" s="2" t="inlineStr">
        <x:is>
          <x:t xml:space="preserve">上海市</x:t>
        </x:is>
      </x:c>
      <x:c r="G138" s="3" t="inlineStr">
        <x:is>
          <x:t xml:space="preserve">上海市-上海市</x:t>
        </x:is>
      </x:c>
      <x:c r="H138" s="2" t="inlineStr">
        <x:is>
          <x:t xml:space="preserve">民航机场</x:t>
        </x:is>
      </x:c>
      <x:c r="I138" s="2" t="inlineStr">
        <x:is>
          <x:t xml:space="preserve">1997-11-05</x:t>
        </x:is>
      </x:c>
      <x:c r="J138" s="3" t="inlineStr">
        <x:is>
          <x:t xml:space="preserve">上海市浦东国际机场机场大道66号</x:t>
        </x:is>
      </x:c>
      <x:c r="K138" s="12" t="str">
        <x:f>LEFT("913100007416029816",18)</x:f>
        <x:v>913100007416029800</x:v>
      </x:c>
    </x:row>
    <x:row r="139">
      <x:c r="A139" s="4" t="n">
        <x:v>138</x:v>
      </x:c>
      <x:c r="B139" s="4" t="inlineStr">
        <x:is>
          <x:t xml:space="preserve">600119</x:t>
        </x:is>
      </x:c>
      <x:c r="C139" s="5" t="inlineStr">
        <x:is>
          <x:t xml:space="preserve">长江投资</x:t>
        </x:is>
      </x:c>
      <x:c r="D139" s="5" t="inlineStr">
        <x:is>
          <x:t xml:space="preserve">长发集团长江投资实业股份有限公司</x:t>
        </x:is>
      </x:c>
      <x:c r="E139" s="4" t="inlineStr">
        <x:is>
          <x:t xml:space="preserve">上海市</x:t>
        </x:is>
      </x:c>
      <x:c r="F139" s="4" t="inlineStr">
        <x:is>
          <x:t xml:space="preserve">上海市</x:t>
        </x:is>
      </x:c>
      <x:c r="G139" s="5" t="inlineStr">
        <x:is>
          <x:t xml:space="preserve">上海市-上海市</x:t>
        </x:is>
      </x:c>
      <x:c r="H139" s="4" t="inlineStr">
        <x:is>
          <x:t xml:space="preserve">交运物流</x:t>
        </x:is>
      </x:c>
      <x:c r="I139" s="4" t="inlineStr">
        <x:is>
          <x:t xml:space="preserve">1998-01-15</x:t>
        </x:is>
      </x:c>
      <x:c r="J139" s="5" t="inlineStr">
        <x:is>
          <x:t xml:space="preserve">中国(上海)自由贸易试验区世纪大道1500号</x:t>
        </x:is>
      </x:c>
      <x:c r="K139" s="12" t="str">
        <x:f>LEFT("9131000013229432XE",18)</x:f>
        <x:v>9131000013229432XE</x:v>
      </x:c>
    </x:row>
    <x:row r="140">
      <x:c r="A140" s="2" t="n">
        <x:v>139</x:v>
      </x:c>
      <x:c r="B140" s="2" t="inlineStr">
        <x:is>
          <x:t xml:space="preserve">600150</x:t>
        </x:is>
      </x:c>
      <x:c r="C140" s="3" t="inlineStr">
        <x:is>
          <x:t xml:space="preserve">中国船舶</x:t>
        </x:is>
      </x:c>
      <x:c r="D140" s="3" t="inlineStr">
        <x:is>
          <x:t xml:space="preserve">中国船舶工业股份有限公司</x:t>
        </x:is>
      </x:c>
      <x:c r="E140" s="2" t="inlineStr">
        <x:is>
          <x:t xml:space="preserve">上海市</x:t>
        </x:is>
      </x:c>
      <x:c r="F140" s="2" t="inlineStr">
        <x:is>
          <x:t xml:space="preserve">上海市</x:t>
        </x:is>
      </x:c>
      <x:c r="G140" s="3" t="inlineStr">
        <x:is>
          <x:t xml:space="preserve">上海市-上海市</x:t>
        </x:is>
      </x:c>
      <x:c r="H140" s="2" t="inlineStr">
        <x:is>
          <x:t xml:space="preserve">船舶制造</x:t>
        </x:is>
      </x:c>
      <x:c r="I140" s="2" t="inlineStr">
        <x:is>
          <x:t xml:space="preserve">1998-05-20</x:t>
        </x:is>
      </x:c>
      <x:c r="J140" s="3" t="inlineStr">
        <x:is>
          <x:t xml:space="preserve">中国(上海)自由贸易试验区浦东大道1号</x:t>
        </x:is>
      </x:c>
      <x:c r="K140" s="12" t="str">
        <x:f>LEFT("91310000631899761Q",18)</x:f>
        <x:v>91310000631899761Q</x:v>
      </x:c>
    </x:row>
    <x:row r="141">
      <x:c r="A141" s="4" t="n">
        <x:v>140</x:v>
      </x:c>
      <x:c r="B141" s="4" t="inlineStr">
        <x:is>
          <x:t xml:space="preserve">600151</x:t>
        </x:is>
      </x:c>
      <x:c r="C141" s="5" t="inlineStr">
        <x:is>
          <x:t xml:space="preserve">航天机电</x:t>
        </x:is>
      </x:c>
      <x:c r="D141" s="5" t="inlineStr">
        <x:is>
          <x:t xml:space="preserve">上海航天汽车机电股份有限公司</x:t>
        </x:is>
      </x:c>
      <x:c r="E141" s="4" t="inlineStr">
        <x:is>
          <x:t xml:space="preserve">上海市</x:t>
        </x:is>
      </x:c>
      <x:c r="F141" s="4" t="inlineStr">
        <x:is>
          <x:t xml:space="preserve">上海市</x:t>
        </x:is>
      </x:c>
      <x:c r="G141" s="5" t="inlineStr">
        <x:is>
          <x:t xml:space="preserve">上海市-上海市</x:t>
        </x:is>
      </x:c>
      <x:c r="H141" s="4" t="inlineStr">
        <x:is>
          <x:t xml:space="preserve">光伏设备</x:t>
        </x:is>
      </x:c>
      <x:c r="I141" s="4" t="inlineStr">
        <x:is>
          <x:t xml:space="preserve">1998-06-05</x:t>
        </x:is>
      </x:c>
      <x:c r="J141" s="5" t="inlineStr">
        <x:is>
          <x:t xml:space="preserve">中国(上海)自由贸易试验区浦东新区榕桥路661号</x:t>
        </x:is>
      </x:c>
      <x:c r="K141" s="12" t="str">
        <x:f>LEFT("913100006311341449",18)</x:f>
        <x:v>913100006311341400</x:v>
      </x:c>
    </x:row>
    <x:row r="142">
      <x:c r="A142" s="2" t="n">
        <x:v>141</x:v>
      </x:c>
      <x:c r="B142" s="2" t="inlineStr">
        <x:is>
          <x:t xml:space="preserve">600170</x:t>
        </x:is>
      </x:c>
      <x:c r="C142" s="3" t="inlineStr">
        <x:is>
          <x:t xml:space="preserve">上海建工</x:t>
        </x:is>
      </x:c>
      <x:c r="D142" s="3" t="inlineStr">
        <x:is>
          <x:t xml:space="preserve">上海建工集团股份有限公司</x:t>
        </x:is>
      </x:c>
      <x:c r="E142" s="2" t="inlineStr">
        <x:is>
          <x:t xml:space="preserve">上海市</x:t>
        </x:is>
      </x:c>
      <x:c r="F142" s="2" t="inlineStr">
        <x:is>
          <x:t xml:space="preserve">上海市</x:t>
        </x:is>
      </x:c>
      <x:c r="G142" s="3" t="inlineStr">
        <x:is>
          <x:t xml:space="preserve">上海市-上海市</x:t>
        </x:is>
      </x:c>
      <x:c r="H142" s="2" t="inlineStr">
        <x:is>
          <x:t xml:space="preserve">工程建设</x:t>
        </x:is>
      </x:c>
      <x:c r="I142" s="2" t="inlineStr">
        <x:is>
          <x:t xml:space="preserve">1998-06-23</x:t>
        </x:is>
      </x:c>
      <x:c r="J142" s="3" t="inlineStr">
        <x:is>
          <x:t xml:space="preserve">中国(上海)自由贸易试验区福山路33号</x:t>
        </x:is>
      </x:c>
      <x:c r="K142" s="12" t="str">
        <x:f>LEFT("91310000631189305E",18)</x:f>
        <x:v>91310000631189305E</x:v>
      </x:c>
    </x:row>
    <x:row r="143">
      <x:c r="A143" s="4" t="n">
        <x:v>142</x:v>
      </x:c>
      <x:c r="B143" s="4" t="inlineStr">
        <x:is>
          <x:t xml:space="preserve">600171</x:t>
        </x:is>
      </x:c>
      <x:c r="C143" s="5" t="inlineStr">
        <x:is>
          <x:t xml:space="preserve">上海贝岭</x:t>
        </x:is>
      </x:c>
      <x:c r="D143" s="5" t="inlineStr">
        <x:is>
          <x:t xml:space="preserve">上海贝岭股份有限公司</x:t>
        </x:is>
      </x:c>
      <x:c r="E143" s="4" t="inlineStr">
        <x:is>
          <x:t xml:space="preserve">上海市</x:t>
        </x:is>
      </x:c>
      <x:c r="F143" s="4" t="inlineStr">
        <x:is>
          <x:t xml:space="preserve">上海市</x:t>
        </x:is>
      </x:c>
      <x:c r="G143" s="5" t="inlineStr">
        <x:is>
          <x:t xml:space="preserve">上海市-上海市</x:t>
        </x:is>
      </x:c>
      <x:c r="H143" s="4" t="inlineStr">
        <x:is>
          <x:t xml:space="preserve">半导体</x:t>
        </x:is>
      </x:c>
      <x:c r="I143" s="4" t="inlineStr">
        <x:is>
          <x:t xml:space="preserve">1998-09-24</x:t>
        </x:is>
      </x:c>
      <x:c r="J143" s="5" t="inlineStr">
        <x:is>
          <x:t xml:space="preserve">上海市宜山路810号</x:t>
        </x:is>
      </x:c>
      <x:c r="K143" s="12" t="str">
        <x:f>LEFT("91310000607220587A",18)</x:f>
        <x:v>91310000607220587A</x:v>
      </x:c>
    </x:row>
    <x:row r="144">
      <x:c r="A144" s="2" t="n">
        <x:v>143</x:v>
      </x:c>
      <x:c r="B144" s="2" t="inlineStr">
        <x:is>
          <x:t xml:space="preserve">600193</x:t>
        </x:is>
      </x:c>
      <x:c r="C144" s="3" t="inlineStr">
        <x:is>
          <x:t xml:space="preserve">创兴资源</x:t>
        </x:is>
      </x:c>
      <x:c r="D144" s="3" t="inlineStr">
        <x:is>
          <x:t xml:space="preserve">上海创兴资源开发股份有限公司</x:t>
        </x:is>
      </x:c>
      <x:c r="E144" s="2" t="inlineStr">
        <x:is>
          <x:t xml:space="preserve">上海市</x:t>
        </x:is>
      </x:c>
      <x:c r="F144" s="2" t="inlineStr">
        <x:is>
          <x:t xml:space="preserve">上海市</x:t>
        </x:is>
      </x:c>
      <x:c r="G144" s="3" t="inlineStr">
        <x:is>
          <x:t xml:space="preserve">上海市-上海市</x:t>
        </x:is>
      </x:c>
      <x:c r="H144" s="2" t="inlineStr">
        <x:is>
          <x:t xml:space="preserve">装修装饰</x:t>
        </x:is>
      </x:c>
      <x:c r="I144" s="2" t="inlineStr">
        <x:is>
          <x:t xml:space="preserve">1999-05-27</x:t>
        </x:is>
      </x:c>
      <x:c r="J144" s="3" t="inlineStr">
        <x:is>
          <x:t xml:space="preserve">上海市浦东新区康桥路1388号3楼A</x:t>
        </x:is>
      </x:c>
      <x:c r="K144" s="12" t="str">
        <x:f>LEFT("913100001551810371",18)</x:f>
        <x:v>913100001551810400</x:v>
      </x:c>
    </x:row>
    <x:row r="145">
      <x:c r="A145" s="4" t="n">
        <x:v>144</x:v>
      </x:c>
      <x:c r="B145" s="4" t="inlineStr">
        <x:is>
          <x:t xml:space="preserve">600196</x:t>
        </x:is>
      </x:c>
      <x:c r="C145" s="5" t="inlineStr">
        <x:is>
          <x:t xml:space="preserve">复星医药</x:t>
        </x:is>
      </x:c>
      <x:c r="D145" s="5" t="inlineStr">
        <x:is>
          <x:t xml:space="preserve">上海复星医药(集团)股份有限公司</x:t>
        </x:is>
      </x:c>
      <x:c r="E145" s="4" t="inlineStr">
        <x:is>
          <x:t xml:space="preserve">上海市</x:t>
        </x:is>
      </x:c>
      <x:c r="F145" s="4" t="inlineStr">
        <x:is>
          <x:t xml:space="preserve">上海市</x:t>
        </x:is>
      </x:c>
      <x:c r="G145" s="5" t="inlineStr">
        <x:is>
          <x:t xml:space="preserve">上海市-上海市</x:t>
        </x:is>
      </x:c>
      <x:c r="H145" s="4" t="inlineStr">
        <x:is>
          <x:t xml:space="preserve">医药制造</x:t>
        </x:is>
      </x:c>
      <x:c r="I145" s="4" t="inlineStr">
        <x:is>
          <x:t xml:space="preserve">1998-08-07</x:t>
        </x:is>
      </x:c>
      <x:c r="J145" s="5" t="inlineStr">
        <x:is>
          <x:t xml:space="preserve">上海市曹杨路510号9楼</x:t>
        </x:is>
      </x:c>
      <x:c r="K145" s="12" t="str">
        <x:f>LEFT("913100001330605412",18)</x:f>
        <x:v>913100001330605400</x:v>
      </x:c>
    </x:row>
    <x:row r="146">
      <x:c r="A146" s="2" t="n">
        <x:v>145</x:v>
      </x:c>
      <x:c r="B146" s="2" t="inlineStr">
        <x:is>
          <x:t xml:space="preserve">600210</x:t>
        </x:is>
      </x:c>
      <x:c r="C146" s="3" t="inlineStr">
        <x:is>
          <x:t xml:space="preserve">紫江企业</x:t>
        </x:is>
      </x:c>
      <x:c r="D146" s="3" t="inlineStr">
        <x:is>
          <x:t xml:space="preserve">上海紫江企业集团股份有限公司</x:t>
        </x:is>
      </x:c>
      <x:c r="E146" s="2" t="inlineStr">
        <x:is>
          <x:t xml:space="preserve">上海市</x:t>
        </x:is>
      </x:c>
      <x:c r="F146" s="2" t="inlineStr">
        <x:is>
          <x:t xml:space="preserve">上海市</x:t>
        </x:is>
      </x:c>
      <x:c r="G146" s="3" t="inlineStr">
        <x:is>
          <x:t xml:space="preserve">上海市-上海市</x:t>
        </x:is>
      </x:c>
      <x:c r="H146" s="2" t="inlineStr">
        <x:is>
          <x:t xml:space="preserve">包装材料</x:t>
        </x:is>
      </x:c>
      <x:c r="I146" s="2" t="inlineStr">
        <x:is>
          <x:t xml:space="preserve">1999-08-24</x:t>
        </x:is>
      </x:c>
      <x:c r="J146" s="3" t="inlineStr">
        <x:is>
          <x:t xml:space="preserve">上海市莘庄工业区申富路618号</x:t>
        </x:is>
      </x:c>
      <x:c r="K146" s="12" t="str">
        <x:f>LEFT("913100006072212052",18)</x:f>
        <x:v>913100006072212100</x:v>
      </x:c>
    </x:row>
    <x:row r="147">
      <x:c r="A147" s="4" t="n">
        <x:v>146</x:v>
      </x:c>
      <x:c r="B147" s="4" t="inlineStr">
        <x:is>
          <x:t xml:space="preserve">600272</x:t>
        </x:is>
      </x:c>
      <x:c r="C147" s="5" t="inlineStr">
        <x:is>
          <x:t xml:space="preserve">开开实业</x:t>
        </x:is>
      </x:c>
      <x:c r="D147" s="5" t="inlineStr">
        <x:is>
          <x:t xml:space="preserve">上海开开实业股份有限公司</x:t>
        </x:is>
      </x:c>
      <x:c r="E147" s="4" t="inlineStr">
        <x:is>
          <x:t xml:space="preserve">上海市</x:t>
        </x:is>
      </x:c>
      <x:c r="F147" s="4" t="inlineStr">
        <x:is>
          <x:t xml:space="preserve">上海市</x:t>
        </x:is>
      </x:c>
      <x:c r="G147" s="5" t="inlineStr">
        <x:is>
          <x:t xml:space="preserve">上海市-上海市</x:t>
        </x:is>
      </x:c>
      <x:c r="H147" s="4" t="inlineStr">
        <x:is>
          <x:t xml:space="preserve">医药商业</x:t>
        </x:is>
      </x:c>
      <x:c r="I147" s="4" t="inlineStr">
        <x:is>
          <x:t xml:space="preserve">2001-02-28</x:t>
        </x:is>
      </x:c>
      <x:c r="J147" s="5" t="inlineStr">
        <x:is>
          <x:t xml:space="preserve">中国上海市静安区新闸路921号201室K02</x:t>
        </x:is>
      </x:c>
      <x:c r="K147" s="12" t="str">
        <x:f>LEFT("913100001322312146",18)</x:f>
        <x:v>913100001322312200</x:v>
      </x:c>
    </x:row>
    <x:row r="148">
      <x:c r="A148" s="2" t="n">
        <x:v>147</x:v>
      </x:c>
      <x:c r="B148" s="2" t="inlineStr">
        <x:is>
          <x:t xml:space="preserve">600278</x:t>
        </x:is>
      </x:c>
      <x:c r="C148" s="3" t="inlineStr">
        <x:is>
          <x:t xml:space="preserve">东方创业</x:t>
        </x:is>
      </x:c>
      <x:c r="D148" s="3" t="inlineStr">
        <x:is>
          <x:t xml:space="preserve">东方国际创业股份有限公司</x:t>
        </x:is>
      </x:c>
      <x:c r="E148" s="2" t="inlineStr">
        <x:is>
          <x:t xml:space="preserve">上海市</x:t>
        </x:is>
      </x:c>
      <x:c r="F148" s="2" t="inlineStr">
        <x:is>
          <x:t xml:space="preserve">上海市</x:t>
        </x:is>
      </x:c>
      <x:c r="G148" s="3" t="inlineStr">
        <x:is>
          <x:t xml:space="preserve">上海市-上海市</x:t>
        </x:is>
      </x:c>
      <x:c r="H148" s="2" t="inlineStr">
        <x:is>
          <x:t xml:space="preserve">国际贸易</x:t>
        </x:is>
      </x:c>
      <x:c r="I148" s="2" t="inlineStr">
        <x:is>
          <x:t xml:space="preserve">2000-07-12</x:t>
        </x:is>
      </x:c>
      <x:c r="J148" s="3" t="inlineStr">
        <x:is>
          <x:t xml:space="preserve">中国(上海)自由贸易试验区张杨路707号2221室</x:t>
        </x:is>
      </x:c>
      <x:c r="K148" s="12" t="str">
        <x:f>LEFT("91310000132212080D",18)</x:f>
        <x:v>91310000132212080D</x:v>
      </x:c>
    </x:row>
    <x:row r="149">
      <x:c r="A149" s="4" t="n">
        <x:v>148</x:v>
      </x:c>
      <x:c r="B149" s="4" t="inlineStr">
        <x:is>
          <x:t xml:space="preserve">600284</x:t>
        </x:is>
      </x:c>
      <x:c r="C149" s="5" t="inlineStr">
        <x:is>
          <x:t xml:space="preserve">浦东建设</x:t>
        </x:is>
      </x:c>
      <x:c r="D149" s="5" t="inlineStr">
        <x:is>
          <x:t xml:space="preserve">上海浦东建设股份有限公司</x:t>
        </x:is>
      </x:c>
      <x:c r="E149" s="4" t="inlineStr">
        <x:is>
          <x:t xml:space="preserve">上海市</x:t>
        </x:is>
      </x:c>
      <x:c r="F149" s="4" t="inlineStr">
        <x:is>
          <x:t xml:space="preserve">上海市</x:t>
        </x:is>
      </x:c>
      <x:c r="G149" s="5" t="inlineStr">
        <x:is>
          <x:t xml:space="preserve">上海市-上海市</x:t>
        </x:is>
      </x:c>
      <x:c r="H149" s="4" t="inlineStr">
        <x:is>
          <x:t xml:space="preserve">工程建设</x:t>
        </x:is>
      </x:c>
      <x:c r="I149" s="4" t="inlineStr">
        <x:is>
          <x:t xml:space="preserve">2004-03-16</x:t>
        </x:is>
      </x:c>
      <x:c r="J149" s="5" t="inlineStr">
        <x:is>
          <x:t xml:space="preserve">中国(上海)自由贸易试验区川桥路701弄3号7楼</x:t>
        </x:is>
      </x:c>
      <x:c r="K149" s="12" t="str">
        <x:f>LEFT("913100001322971339",18)</x:f>
        <x:v>913100001322971400</x:v>
      </x:c>
    </x:row>
    <x:row r="150">
      <x:c r="A150" s="2" t="n">
        <x:v>149</x:v>
      </x:c>
      <x:c r="B150" s="2" t="inlineStr">
        <x:is>
          <x:t xml:space="preserve">600315</x:t>
        </x:is>
      </x:c>
      <x:c r="C150" s="3" t="inlineStr">
        <x:is>
          <x:t xml:space="preserve">上海家化</x:t>
        </x:is>
      </x:c>
      <x:c r="D150" s="3" t="inlineStr">
        <x:is>
          <x:t xml:space="preserve">上海家化联合股份有限公司</x:t>
        </x:is>
      </x:c>
      <x:c r="E150" s="2" t="inlineStr">
        <x:is>
          <x:t xml:space="preserve">上海市</x:t>
        </x:is>
      </x:c>
      <x:c r="F150" s="2" t="inlineStr">
        <x:is>
          <x:t xml:space="preserve">上海市</x:t>
        </x:is>
      </x:c>
      <x:c r="G150" s="3" t="inlineStr">
        <x:is>
          <x:t xml:space="preserve">上海市-上海市</x:t>
        </x:is>
      </x:c>
      <x:c r="H150" s="2" t="inlineStr">
        <x:is>
          <x:t xml:space="preserve">美容护理</x:t>
        </x:is>
      </x:c>
      <x:c r="I150" s="2" t="inlineStr">
        <x:is>
          <x:t xml:space="preserve">2001-03-15</x:t>
        </x:is>
      </x:c>
      <x:c r="J150" s="3" t="inlineStr">
        <x:is>
          <x:t xml:space="preserve">上海市保定路527号</x:t>
        </x:is>
      </x:c>
      <x:c r="K150" s="12" t="str">
        <x:f>LEFT("913100006073349399",18)</x:f>
        <x:v>913100006073349400</x:v>
      </x:c>
    </x:row>
    <x:row r="151">
      <x:c r="A151" s="4" t="n">
        <x:v>150</x:v>
      </x:c>
      <x:c r="B151" s="4" t="inlineStr">
        <x:is>
          <x:t xml:space="preserve">600320</x:t>
        </x:is>
      </x:c>
      <x:c r="C151" s="5" t="inlineStr">
        <x:is>
          <x:t xml:space="preserve">振华重工</x:t>
        </x:is>
      </x:c>
      <x:c r="D151" s="5" t="inlineStr">
        <x:is>
          <x:t xml:space="preserve">上海振华重工(集团)股份有限公司</x:t>
        </x:is>
      </x:c>
      <x:c r="E151" s="4" t="inlineStr">
        <x:is>
          <x:t xml:space="preserve">上海市</x:t>
        </x:is>
      </x:c>
      <x:c r="F151" s="4" t="inlineStr">
        <x:is>
          <x:t xml:space="preserve">上海市</x:t>
        </x:is>
      </x:c>
      <x:c r="G151" s="5" t="inlineStr">
        <x:is>
          <x:t xml:space="preserve">上海市-上海市</x:t>
        </x:is>
      </x:c>
      <x:c r="H151" s="4" t="inlineStr">
        <x:is>
          <x:t xml:space="preserve">专用设备</x:t>
        </x:is>
      </x:c>
      <x:c r="I151" s="4" t="inlineStr">
        <x:is>
          <x:t xml:space="preserve">2000-12-21</x:t>
        </x:is>
      </x:c>
      <x:c r="J151" s="5" t="inlineStr">
        <x:is>
          <x:t xml:space="preserve">上海市浦东南路3470号</x:t>
        </x:is>
      </x:c>
      <x:c r="K151" s="12" t="str">
        <x:f>LEFT("91310000607206953D",18)</x:f>
        <x:v>91310000607206953D</x:v>
      </x:c>
    </x:row>
    <x:row r="152">
      <x:c r="A152" s="2" t="n">
        <x:v>151</x:v>
      </x:c>
      <x:c r="B152" s="2" t="inlineStr">
        <x:is>
          <x:t xml:space="preserve">600420</x:t>
        </x:is>
      </x:c>
      <x:c r="C152" s="3" t="inlineStr">
        <x:is>
          <x:t xml:space="preserve">国药现代</x:t>
        </x:is>
      </x:c>
      <x:c r="D152" s="3" t="inlineStr">
        <x:is>
          <x:t xml:space="preserve">上海现代制药股份有限公司</x:t>
        </x:is>
      </x:c>
      <x:c r="E152" s="2" t="inlineStr">
        <x:is>
          <x:t xml:space="preserve">上海市</x:t>
        </x:is>
      </x:c>
      <x:c r="F152" s="2" t="inlineStr">
        <x:is>
          <x:t xml:space="preserve">上海市</x:t>
        </x:is>
      </x:c>
      <x:c r="G152" s="3" t="inlineStr">
        <x:is>
          <x:t xml:space="preserve">上海市-上海市</x:t>
        </x:is>
      </x:c>
      <x:c r="H152" s="2" t="inlineStr">
        <x:is>
          <x:t xml:space="preserve">医药制造</x:t>
        </x:is>
      </x:c>
      <x:c r="I152" s="2" t="inlineStr">
        <x:is>
          <x:t xml:space="preserve">2004-06-16</x:t>
        </x:is>
      </x:c>
      <x:c r="J152" s="3" t="inlineStr">
        <x:is>
          <x:t xml:space="preserve">上海市浦东新区建陆路378号</x:t>
        </x:is>
      </x:c>
      <x:c r="K152" s="12" t="str">
        <x:f>LEFT("91310000630459924R",18)</x:f>
        <x:v>91310000630459924R</x:v>
      </x:c>
    </x:row>
    <x:row r="153">
      <x:c r="A153" s="4" t="n">
        <x:v>152</x:v>
      </x:c>
      <x:c r="B153" s="4" t="inlineStr">
        <x:is>
          <x:t xml:space="preserve">600490</x:t>
        </x:is>
      </x:c>
      <x:c r="C153" s="5" t="inlineStr">
        <x:is>
          <x:t xml:space="preserve">鹏欣资源</x:t>
        </x:is>
      </x:c>
      <x:c r="D153" s="5" t="inlineStr">
        <x:is>
          <x:t xml:space="preserve">鹏欣环球资源股份有限公司</x:t>
        </x:is>
      </x:c>
      <x:c r="E153" s="4" t="inlineStr">
        <x:is>
          <x:t xml:space="preserve">上海市</x:t>
        </x:is>
      </x:c>
      <x:c r="F153" s="4" t="inlineStr">
        <x:is>
          <x:t xml:space="preserve">上海市</x:t>
        </x:is>
      </x:c>
      <x:c r="G153" s="5" t="inlineStr">
        <x:is>
          <x:t xml:space="preserve">上海市-上海市</x:t>
        </x:is>
      </x:c>
      <x:c r="H153" s="4" t="inlineStr">
        <x:is>
          <x:t xml:space="preserve">有色金属</x:t>
        </x:is>
      </x:c>
      <x:c r="I153" s="4" t="inlineStr">
        <x:is>
          <x:t xml:space="preserve">2003-06-26</x:t>
        </x:is>
      </x:c>
      <x:c r="J153" s="5" t="inlineStr">
        <x:is>
          <x:t xml:space="preserve">上海市普陀区曹杨路1888弄11号11楼1102室-70</x:t>
        </x:is>
      </x:c>
      <x:c r="K153" s="12" t="str">
        <x:f>LEFT("91310000703036659K",18)</x:f>
        <x:v>91310000703036659K</x:v>
      </x:c>
    </x:row>
    <x:row r="154">
      <x:c r="A154" s="2" t="n">
        <x:v>153</x:v>
      </x:c>
      <x:c r="B154" s="2" t="inlineStr">
        <x:is>
          <x:t xml:space="preserve">600500</x:t>
        </x:is>
      </x:c>
      <x:c r="C154" s="3" t="inlineStr">
        <x:is>
          <x:t xml:space="preserve">中化国际</x:t>
        </x:is>
      </x:c>
      <x:c r="D154" s="3" t="inlineStr">
        <x:is>
          <x:t xml:space="preserve">中化国际(控股)股份有限公司</x:t>
        </x:is>
      </x:c>
      <x:c r="E154" s="2" t="inlineStr">
        <x:is>
          <x:t xml:space="preserve">上海市</x:t>
        </x:is>
      </x:c>
      <x:c r="F154" s="2" t="inlineStr">
        <x:is>
          <x:t xml:space="preserve">上海市</x:t>
        </x:is>
      </x:c>
      <x:c r="G154" s="3" t="inlineStr">
        <x:is>
          <x:t xml:space="preserve">上海市-上海市</x:t>
        </x:is>
      </x:c>
      <x:c r="H154" s="2" t="inlineStr">
        <x:is>
          <x:t xml:space="preserve">化工行业</x:t>
        </x:is>
      </x:c>
      <x:c r="I154" s="2" t="inlineStr">
        <x:is>
          <x:t xml:space="preserve">2000-03-01</x:t>
        </x:is>
      </x:c>
      <x:c r="J154" s="3" t="inlineStr">
        <x:is>
          <x:t xml:space="preserve">中国(上海)自由贸易试验区长清北路233号12层</x:t>
        </x:is>
      </x:c>
      <x:c r="K154" s="12" t="str">
        <x:f>LEFT("913100007109235395",18)</x:f>
        <x:v>913100007109235500</x:v>
      </x:c>
    </x:row>
    <x:row r="155">
      <x:c r="A155" s="4" t="n">
        <x:v>154</x:v>
      </x:c>
      <x:c r="B155" s="4" t="inlineStr">
        <x:is>
          <x:t xml:space="preserve">600503</x:t>
        </x:is>
      </x:c>
      <x:c r="C155" s="5" t="inlineStr">
        <x:is>
          <x:t xml:space="preserve">华丽家族</x:t>
        </x:is>
      </x:c>
      <x:c r="D155" s="5" t="inlineStr">
        <x:is>
          <x:t xml:space="preserve">华丽家族股份有限公司</x:t>
        </x:is>
      </x:c>
      <x:c r="E155" s="4" t="inlineStr">
        <x:is>
          <x:t xml:space="preserve">上海市</x:t>
        </x:is>
      </x:c>
      <x:c r="F155" s="4" t="inlineStr">
        <x:is>
          <x:t xml:space="preserve">上海市</x:t>
        </x:is>
      </x:c>
      <x:c r="G155" s="5" t="inlineStr">
        <x:is>
          <x:t xml:space="preserve">上海市-上海市</x:t>
        </x:is>
      </x:c>
      <x:c r="H155" s="4" t="inlineStr">
        <x:is>
          <x:t xml:space="preserve">房地产</x:t>
        </x:is>
      </x:c>
      <x:c r="I155" s="4" t="inlineStr">
        <x:is>
          <x:t xml:space="preserve">2002-07-09</x:t>
        </x:is>
      </x:c>
      <x:c r="J155" s="5" t="inlineStr">
        <x:is>
          <x:t xml:space="preserve">上海市奉贤区星火开发区阳明路1号8幢1层105室</x:t>
        </x:is>
      </x:c>
      <x:c r="K155" s="12" t="str">
        <x:f>LEFT("913100001581638383",18)</x:f>
        <x:v>913100001581638400</x:v>
      </x:c>
    </x:row>
    <x:row r="156">
      <x:c r="A156" s="2" t="n">
        <x:v>155</x:v>
      </x:c>
      <x:c r="B156" s="2" t="inlineStr">
        <x:is>
          <x:t xml:space="preserve">600508</x:t>
        </x:is>
      </x:c>
      <x:c r="C156" s="3" t="inlineStr">
        <x:is>
          <x:t xml:space="preserve">上海能源</x:t>
        </x:is>
      </x:c>
      <x:c r="D156" s="3" t="inlineStr">
        <x:is>
          <x:t xml:space="preserve">上海大屯能源股份有限公司</x:t>
        </x:is>
      </x:c>
      <x:c r="E156" s="2" t="inlineStr">
        <x:is>
          <x:t xml:space="preserve">上海市</x:t>
        </x:is>
      </x:c>
      <x:c r="F156" s="2" t="inlineStr">
        <x:is>
          <x:t xml:space="preserve">上海市</x:t>
        </x:is>
      </x:c>
      <x:c r="G156" s="3" t="inlineStr">
        <x:is>
          <x:t xml:space="preserve">上海市-上海市</x:t>
        </x:is>
      </x:c>
      <x:c r="H156" s="2" t="inlineStr">
        <x:is>
          <x:t xml:space="preserve">煤炭采选</x:t>
        </x:is>
      </x:c>
      <x:c r="I156" s="2" t="inlineStr">
        <x:is>
          <x:t xml:space="preserve">2001-08-29</x:t>
        </x:is>
      </x:c>
      <x:c r="J156" s="3" t="inlineStr">
        <x:is>
          <x:t xml:space="preserve">中国(上海)自由贸易试验区浦东南路256号</x:t>
        </x:is>
      </x:c>
      <x:c r="K156" s="12" t="str">
        <x:f>LEFT("91310000631587477D",18)</x:f>
        <x:v>91310000631587477D</x:v>
      </x:c>
    </x:row>
    <x:row r="157">
      <x:c r="A157" s="4" t="n">
        <x:v>156</x:v>
      </x:c>
      <x:c r="B157" s="4" t="inlineStr">
        <x:is>
          <x:t xml:space="preserve">600517</x:t>
        </x:is>
      </x:c>
      <x:c r="C157" s="5" t="inlineStr">
        <x:is>
          <x:t xml:space="preserve">国网英大</x:t>
        </x:is>
      </x:c>
      <x:c r="D157" s="5" t="inlineStr">
        <x:is>
          <x:t xml:space="preserve">国网英大股份有限公司</x:t>
        </x:is>
      </x:c>
      <x:c r="E157" s="4" t="inlineStr">
        <x:is>
          <x:t xml:space="preserve">上海市</x:t>
        </x:is>
      </x:c>
      <x:c r="F157" s="4" t="inlineStr">
        <x:is>
          <x:t xml:space="preserve">上海市</x:t>
        </x:is>
      </x:c>
      <x:c r="G157" s="5" t="inlineStr">
        <x:is>
          <x:t xml:space="preserve">上海市-上海市</x:t>
        </x:is>
      </x:c>
      <x:c r="H157" s="4" t="inlineStr">
        <x:is>
          <x:t xml:space="preserve">多元金融</x:t>
        </x:is>
      </x:c>
      <x:c r="I157" s="4" t="inlineStr">
        <x:is>
          <x:t xml:space="preserve">2003-10-10</x:t>
        </x:is>
      </x:c>
      <x:c r="J157" s="5" t="inlineStr">
        <x:is>
          <x:t xml:space="preserve">中国(上海)自由贸易试验区国耀路211号C座9层</x:t>
        </x:is>
      </x:c>
      <x:c r="K157" s="12" t="str">
        <x:f>LEFT("91310000134645920X",18)</x:f>
        <x:v>91310000134645920X</x:v>
      </x:c>
    </x:row>
    <x:row r="158">
      <x:c r="A158" s="2" t="n">
        <x:v>157</x:v>
      </x:c>
      <x:c r="B158" s="2" t="inlineStr">
        <x:is>
          <x:t xml:space="preserve">600530</x:t>
        </x:is>
      </x:c>
      <x:c r="C158" s="3" t="inlineStr">
        <x:is>
          <x:t xml:space="preserve">交大昂立</x:t>
        </x:is>
      </x:c>
      <x:c r="D158" s="3" t="inlineStr">
        <x:is>
          <x:t xml:space="preserve">上海交大昂立股份有限公司</x:t>
        </x:is>
      </x:c>
      <x:c r="E158" s="2" t="inlineStr">
        <x:is>
          <x:t xml:space="preserve">上海市</x:t>
        </x:is>
      </x:c>
      <x:c r="F158" s="2" t="inlineStr">
        <x:is>
          <x:t xml:space="preserve">上海市</x:t>
        </x:is>
      </x:c>
      <x:c r="G158" s="3" t="inlineStr">
        <x:is>
          <x:t xml:space="preserve">上海市-上海市</x:t>
        </x:is>
      </x:c>
      <x:c r="H158" s="2" t="inlineStr">
        <x:is>
          <x:t xml:space="preserve">生物制品</x:t>
        </x:is>
      </x:c>
      <x:c r="I158" s="2" t="inlineStr">
        <x:is>
          <x:t xml:space="preserve">2001-07-02</x:t>
        </x:is>
      </x:c>
      <x:c r="J158" s="3" t="inlineStr">
        <x:is>
          <x:t xml:space="preserve">上海市松江区环城路666号</x:t>
        </x:is>
      </x:c>
      <x:c r="K158" s="12" t="str">
        <x:f>LEFT("9131000013412536XD",18)</x:f>
        <x:v>9131000013412536XD</x:v>
      </x:c>
    </x:row>
    <x:row r="159">
      <x:c r="A159" s="4" t="n">
        <x:v>158</x:v>
      </x:c>
      <x:c r="B159" s="4" t="inlineStr">
        <x:is>
          <x:t xml:space="preserve">600597</x:t>
        </x:is>
      </x:c>
      <x:c r="C159" s="5" t="inlineStr">
        <x:is>
          <x:t xml:space="preserve">光明乳业</x:t>
        </x:is>
      </x:c>
      <x:c r="D159" s="5" t="inlineStr">
        <x:is>
          <x:t xml:space="preserve">光明乳业股份有限公司</x:t>
        </x:is>
      </x:c>
      <x:c r="E159" s="4" t="inlineStr">
        <x:is>
          <x:t xml:space="preserve">上海市</x:t>
        </x:is>
      </x:c>
      <x:c r="F159" s="4" t="inlineStr">
        <x:is>
          <x:t xml:space="preserve">上海市</x:t>
        </x:is>
      </x:c>
      <x:c r="G159" s="5" t="inlineStr">
        <x:is>
          <x:t xml:space="preserve">上海市-上海市</x:t>
        </x:is>
      </x:c>
      <x:c r="H159" s="4" t="inlineStr">
        <x:is>
          <x:t xml:space="preserve">食品饮料</x:t>
        </x:is>
      </x:c>
      <x:c r="I159" s="4" t="inlineStr">
        <x:is>
          <x:t xml:space="preserve">2002-08-28</x:t>
        </x:is>
      </x:c>
      <x:c r="J159" s="5" t="inlineStr">
        <x:is>
          <x:t xml:space="preserve">上海市闵行区合川路2680号</x:t>
        </x:is>
      </x:c>
      <x:c r="K159" s="12" t="str">
        <x:f>LEFT("913100006073602992",18)</x:f>
        <x:v>913100006073603000</x:v>
      </x:c>
    </x:row>
    <x:row r="160">
      <x:c r="A160" s="2" t="n">
        <x:v>159</x:v>
      </x:c>
      <x:c r="B160" s="2" t="inlineStr">
        <x:is>
          <x:t xml:space="preserve">600601</x:t>
        </x:is>
      </x:c>
      <x:c r="C160" s="3" t="inlineStr">
        <x:is>
          <x:t xml:space="preserve">方正科技</x:t>
        </x:is>
      </x:c>
      <x:c r="D160" s="3" t="inlineStr">
        <x:is>
          <x:t xml:space="preserve">方正科技集团股份有限公司</x:t>
        </x:is>
      </x:c>
      <x:c r="E160" s="2" t="inlineStr">
        <x:is>
          <x:t xml:space="preserve">上海市</x:t>
        </x:is>
      </x:c>
      <x:c r="F160" s="2" t="inlineStr">
        <x:is>
          <x:t xml:space="preserve">上海市</x:t>
        </x:is>
      </x:c>
      <x:c r="G160" s="3" t="inlineStr">
        <x:is>
          <x:t xml:space="preserve">上海市-上海市</x:t>
        </x:is>
      </x:c>
      <x:c r="H160" s="2" t="inlineStr">
        <x:is>
          <x:t xml:space="preserve">电子元件</x:t>
        </x:is>
      </x:c>
      <x:c r="I160" s="2" t="inlineStr">
        <x:is>
          <x:t xml:space="preserve">1990-12-19</x:t>
        </x:is>
      </x:c>
      <x:c r="J160" s="3" t="inlineStr">
        <x:is>
          <x:t xml:space="preserve">上海市南京西路1515号嘉里商务中心9楼</x:t>
        </x:is>
      </x:c>
      <x:c r="K160" s="12" t="str">
        <x:f>LEFT("913100001323659093",18)</x:f>
        <x:v>913100001323659100</x:v>
      </x:c>
    </x:row>
    <x:row r="161">
      <x:c r="A161" s="4" t="n">
        <x:v>160</x:v>
      </x:c>
      <x:c r="B161" s="4" t="inlineStr">
        <x:is>
          <x:t xml:space="preserve">600602</x:t>
        </x:is>
      </x:c>
      <x:c r="C161" s="5" t="inlineStr">
        <x:is>
          <x:t xml:space="preserve">云赛智联</x:t>
        </x:is>
      </x:c>
      <x:c r="D161" s="5" t="inlineStr">
        <x:is>
          <x:t xml:space="preserve">云赛智联股份有限公司</x:t>
        </x:is>
      </x:c>
      <x:c r="E161" s="4" t="inlineStr">
        <x:is>
          <x:t xml:space="preserve">上海市</x:t>
        </x:is>
      </x:c>
      <x:c r="F161" s="4" t="inlineStr">
        <x:is>
          <x:t xml:space="preserve">上海市</x:t>
        </x:is>
      </x:c>
      <x:c r="G161" s="5" t="inlineStr">
        <x:is>
          <x:t xml:space="preserve">上海市-上海市</x:t>
        </x:is>
      </x:c>
      <x:c r="H161" s="4" t="inlineStr">
        <x:is>
          <x:t xml:space="preserve">软件开发</x:t>
        </x:is>
      </x:c>
      <x:c r="I161" s="4" t="inlineStr">
        <x:is>
          <x:t xml:space="preserve">1990-12-19</x:t>
        </x:is>
      </x:c>
      <x:c r="J161" s="5" t="inlineStr">
        <x:is>
          <x:t xml:space="preserve">中国(上海)自由贸易试验区张衡路200号1号楼2楼</x:t>
        </x:is>
      </x:c>
      <x:c r="K161" s="12" t="str">
        <x:f>LEFT("91310000607200236H",18)</x:f>
        <x:v>91310000607200236H</x:v>
      </x:c>
    </x:row>
    <x:row r="162">
      <x:c r="A162" s="2" t="n">
        <x:v>161</x:v>
      </x:c>
      <x:c r="B162" s="2" t="inlineStr">
        <x:is>
          <x:t xml:space="preserve">600604</x:t>
        </x:is>
      </x:c>
      <x:c r="C162" s="3" t="inlineStr">
        <x:is>
          <x:t xml:space="preserve">市北高新</x:t>
        </x:is>
      </x:c>
      <x:c r="D162" s="3" t="inlineStr">
        <x:is>
          <x:t xml:space="preserve">上海市北高新股份有限公司</x:t>
        </x:is>
      </x:c>
      <x:c r="E162" s="2" t="inlineStr">
        <x:is>
          <x:t xml:space="preserve">上海市</x:t>
        </x:is>
      </x:c>
      <x:c r="F162" s="2" t="inlineStr">
        <x:is>
          <x:t xml:space="preserve">上海市</x:t>
        </x:is>
      </x:c>
      <x:c r="G162" s="3" t="inlineStr">
        <x:is>
          <x:t xml:space="preserve">上海市-上海市</x:t>
        </x:is>
      </x:c>
      <x:c r="H162" s="2" t="inlineStr">
        <x:is>
          <x:t xml:space="preserve">房地产服务</x:t>
        </x:is>
      </x:c>
      <x:c r="I162" s="2" t="inlineStr">
        <x:is>
          <x:t xml:space="preserve">1992-03-27</x:t>
        </x:is>
      </x:c>
      <x:c r="J162" s="3" t="inlineStr">
        <x:is>
          <x:t xml:space="preserve">上海市共和新路3088弄2号1008室</x:t>
        </x:is>
      </x:c>
      <x:c r="K162" s="12" t="str">
        <x:f>LEFT("913100006072255050",18)</x:f>
        <x:v>913100006072255100</x:v>
      </x:c>
    </x:row>
    <x:row r="163">
      <x:c r="A163" s="4" t="n">
        <x:v>162</x:v>
      </x:c>
      <x:c r="B163" s="4" t="inlineStr">
        <x:is>
          <x:t xml:space="preserve">600605</x:t>
        </x:is>
      </x:c>
      <x:c r="C163" s="5" t="inlineStr">
        <x:is>
          <x:t xml:space="preserve">汇通能源</x:t>
        </x:is>
      </x:c>
      <x:c r="D163" s="5" t="inlineStr">
        <x:is>
          <x:t xml:space="preserve">上海汇通能源股份有限公司</x:t>
        </x:is>
      </x:c>
      <x:c r="E163" s="4" t="inlineStr">
        <x:is>
          <x:t xml:space="preserve">上海市</x:t>
        </x:is>
      </x:c>
      <x:c r="F163" s="4" t="inlineStr">
        <x:is>
          <x:t xml:space="preserve">上海市</x:t>
        </x:is>
      </x:c>
      <x:c r="G163" s="5" t="inlineStr">
        <x:is>
          <x:t xml:space="preserve">上海市-上海市</x:t>
        </x:is>
      </x:c>
      <x:c r="H163" s="4" t="inlineStr">
        <x:is>
          <x:t xml:space="preserve">房地产服务</x:t>
        </x:is>
      </x:c>
      <x:c r="I163" s="4" t="inlineStr">
        <x:is>
          <x:t xml:space="preserve">1992-03-27</x:t>
        </x:is>
      </x:c>
      <x:c r="J163" s="5" t="inlineStr">
        <x:is>
          <x:t xml:space="preserve">上海市浦东新区康桥路1100号</x:t>
        </x:is>
      </x:c>
      <x:c r="K163" s="12" t="str">
        <x:f>LEFT("91310000132200944J",18)</x:f>
        <x:v>91310000132200944J</x:v>
      </x:c>
    </x:row>
    <x:row r="164">
      <x:c r="A164" s="2" t="n">
        <x:v>163</x:v>
      </x:c>
      <x:c r="B164" s="2" t="inlineStr">
        <x:is>
          <x:t xml:space="preserve">600606</x:t>
        </x:is>
      </x:c>
      <x:c r="C164" s="3" t="inlineStr">
        <x:is>
          <x:t xml:space="preserve">绿地控股</x:t>
        </x:is>
      </x:c>
      <x:c r="D164" s="3" t="inlineStr">
        <x:is>
          <x:t xml:space="preserve">绿地控股集团股份有限公司</x:t>
        </x:is>
      </x:c>
      <x:c r="E164" s="2" t="inlineStr">
        <x:is>
          <x:t xml:space="preserve">上海市</x:t>
        </x:is>
      </x:c>
      <x:c r="F164" s="2" t="inlineStr">
        <x:is>
          <x:t xml:space="preserve">上海市</x:t>
        </x:is>
      </x:c>
      <x:c r="G164" s="3" t="inlineStr">
        <x:is>
          <x:t xml:space="preserve">上海市-上海市</x:t>
        </x:is>
      </x:c>
      <x:c r="H164" s="2" t="inlineStr">
        <x:is>
          <x:t xml:space="preserve">房地产</x:t>
        </x:is>
      </x:c>
      <x:c r="I164" s="2" t="inlineStr">
        <x:is>
          <x:t xml:space="preserve">1992-03-27</x:t>
        </x:is>
      </x:c>
      <x:c r="J164" s="3" t="inlineStr">
        <x:is>
          <x:t xml:space="preserve">上海市黄浦区打浦路700号</x:t>
        </x:is>
      </x:c>
      <x:c r="K164" s="12" t="str">
        <x:f>LEFT("913100006311370032",18)</x:f>
        <x:v>913100006311370000</x:v>
      </x:c>
    </x:row>
    <x:row r="165">
      <x:c r="A165" s="4" t="n">
        <x:v>164</x:v>
      </x:c>
      <x:c r="B165" s="4" t="inlineStr">
        <x:is>
          <x:t xml:space="preserve">600608</x:t>
        </x:is>
      </x:c>
      <x:c r="C165" s="5" t="inlineStr">
        <x:is>
          <x:t xml:space="preserve">ST沪科</x:t>
        </x:is>
      </x:c>
      <x:c r="D165" s="5" t="inlineStr">
        <x:is>
          <x:t xml:space="preserve">上海宽频科技股份有限公司</x:t>
        </x:is>
      </x:c>
      <x:c r="E165" s="4" t="inlineStr">
        <x:is>
          <x:t xml:space="preserve">上海市</x:t>
        </x:is>
      </x:c>
      <x:c r="F165" s="4" t="inlineStr">
        <x:is>
          <x:t xml:space="preserve">上海市</x:t>
        </x:is>
      </x:c>
      <x:c r="G165" s="5" t="inlineStr">
        <x:is>
          <x:t xml:space="preserve">上海市-上海市</x:t>
        </x:is>
      </x:c>
      <x:c r="H165" s="4" t="inlineStr">
        <x:is>
          <x:t xml:space="preserve">贸易行业</x:t>
        </x:is>
      </x:c>
      <x:c r="I165" s="4" t="inlineStr">
        <x:is>
          <x:t xml:space="preserve">1992-03-27</x:t>
        </x:is>
      </x:c>
      <x:c r="J165" s="5" t="inlineStr">
        <x:is>
          <x:t xml:space="preserve">上海市闵行区东川路555号丙楼5110室</x:t>
        </x:is>
      </x:c>
      <x:c r="K165" s="12" t="str">
        <x:f>LEFT("91310000132207732J",18)</x:f>
        <x:v>91310000132207732J</x:v>
      </x:c>
    </x:row>
    <x:row r="166">
      <x:c r="A166" s="2" t="n">
        <x:v>165</x:v>
      </x:c>
      <x:c r="B166" s="2" t="inlineStr">
        <x:is>
          <x:t xml:space="preserve">600611</x:t>
        </x:is>
      </x:c>
      <x:c r="C166" s="3" t="inlineStr">
        <x:is>
          <x:t xml:space="preserve">大众交通</x:t>
        </x:is>
      </x:c>
      <x:c r="D166" s="3" t="inlineStr">
        <x:is>
          <x:t xml:space="preserve">大众交通(集团)股份有限公司</x:t>
        </x:is>
      </x:c>
      <x:c r="E166" s="2" t="inlineStr">
        <x:is>
          <x:t xml:space="preserve">上海市</x:t>
        </x:is>
      </x:c>
      <x:c r="F166" s="2" t="inlineStr">
        <x:is>
          <x:t xml:space="preserve">上海市</x:t>
        </x:is>
      </x:c>
      <x:c r="G166" s="3" t="inlineStr">
        <x:is>
          <x:t xml:space="preserve">上海市-上海市</x:t>
        </x:is>
      </x:c>
      <x:c r="H166" s="2" t="inlineStr">
        <x:is>
          <x:t xml:space="preserve">高速公路</x:t>
        </x:is>
      </x:c>
      <x:c r="I166" s="2" t="inlineStr">
        <x:is>
          <x:t xml:space="preserve">1992-08-07</x:t>
        </x:is>
      </x:c>
      <x:c r="J166" s="3" t="inlineStr">
        <x:is>
          <x:t xml:space="preserve">上海市徐汇区中山西路1515号12楼</x:t>
        </x:is>
      </x:c>
      <x:c r="K166" s="12" t="str">
        <x:f>LEFT("91310000607216596U",18)</x:f>
        <x:v>91310000607216596U</x:v>
      </x:c>
    </x:row>
    <x:row r="167">
      <x:c r="A167" s="4" t="n">
        <x:v>166</x:v>
      </x:c>
      <x:c r="B167" s="4" t="inlineStr">
        <x:is>
          <x:t xml:space="preserve">600612</x:t>
        </x:is>
      </x:c>
      <x:c r="C167" s="5" t="inlineStr">
        <x:is>
          <x:t xml:space="preserve">老凤祥</x:t>
        </x:is>
      </x:c>
      <x:c r="D167" s="5" t="inlineStr">
        <x:is>
          <x:t xml:space="preserve">老凤祥股份有限公司</x:t>
        </x:is>
      </x:c>
      <x:c r="E167" s="4" t="inlineStr">
        <x:is>
          <x:t xml:space="preserve">上海市</x:t>
        </x:is>
      </x:c>
      <x:c r="F167" s="4" t="inlineStr">
        <x:is>
          <x:t xml:space="preserve">上海市</x:t>
        </x:is>
      </x:c>
      <x:c r="G167" s="5" t="inlineStr">
        <x:is>
          <x:t xml:space="preserve">上海市-上海市</x:t>
        </x:is>
      </x:c>
      <x:c r="H167" s="4" t="inlineStr">
        <x:is>
          <x:t xml:space="preserve">珠宝首饰</x:t>
        </x:is>
      </x:c>
      <x:c r="I167" s="4" t="inlineStr">
        <x:is>
          <x:t xml:space="preserve">1992-08-14</x:t>
        </x:is>
      </x:c>
      <x:c r="J167" s="5" t="inlineStr">
        <x:is>
          <x:t xml:space="preserve">上海市黄浦区南京西路190号四层、五层</x:t>
        </x:is>
      </x:c>
      <x:c r="K167" s="12" t="str">
        <x:f>LEFT("9131000060720072X4",18)</x:f>
        <x:v>9131000060720072X4</x:v>
      </x:c>
    </x:row>
    <x:row r="168">
      <x:c r="A168" s="2" t="n">
        <x:v>167</x:v>
      </x:c>
      <x:c r="B168" s="2" t="inlineStr">
        <x:is>
          <x:t xml:space="preserve">600613</x:t>
        </x:is>
      </x:c>
      <x:c r="C168" s="3" t="inlineStr">
        <x:is>
          <x:t xml:space="preserve">神奇制药</x:t>
        </x:is>
      </x:c>
      <x:c r="D168" s="3" t="inlineStr">
        <x:is>
          <x:t xml:space="preserve">上海神奇制药投资管理股份有限公司</x:t>
        </x:is>
      </x:c>
      <x:c r="E168" s="2" t="inlineStr">
        <x:is>
          <x:t xml:space="preserve">上海市</x:t>
        </x:is>
      </x:c>
      <x:c r="F168" s="2" t="inlineStr">
        <x:is>
          <x:t xml:space="preserve">上海市</x:t>
        </x:is>
      </x:c>
      <x:c r="G168" s="3" t="inlineStr">
        <x:is>
          <x:t xml:space="preserve">上海市-上海市</x:t>
        </x:is>
      </x:c>
      <x:c r="H168" s="2" t="inlineStr">
        <x:is>
          <x:t xml:space="preserve">医药制造</x:t>
        </x:is>
      </x:c>
      <x:c r="I168" s="2" t="inlineStr">
        <x:is>
          <x:t xml:space="preserve">1992-08-20</x:t>
        </x:is>
      </x:c>
      <x:c r="J168" s="3" t="inlineStr">
        <x:is>
          <x:t xml:space="preserve">上海市浦东新区上川路995号</x:t>
        </x:is>
      </x:c>
      <x:c r="K168" s="12" t="str">
        <x:f>LEFT("91310000607228626G",18)</x:f>
        <x:v>91310000607228626G</x:v>
      </x:c>
    </x:row>
    <x:row r="169">
      <x:c r="A169" s="4" t="n">
        <x:v>168</x:v>
      </x:c>
      <x:c r="B169" s="4" t="inlineStr">
        <x:is>
          <x:t xml:space="preserve">600616</x:t>
        </x:is>
      </x:c>
      <x:c r="C169" s="5" t="inlineStr">
        <x:is>
          <x:t xml:space="preserve">金枫酒业</x:t>
        </x:is>
      </x:c>
      <x:c r="D169" s="5" t="inlineStr">
        <x:is>
          <x:t xml:space="preserve">上海金枫酒业股份有限公司</x:t>
        </x:is>
      </x:c>
      <x:c r="E169" s="4" t="inlineStr">
        <x:is>
          <x:t xml:space="preserve">上海市</x:t>
        </x:is>
      </x:c>
      <x:c r="F169" s="4" t="inlineStr">
        <x:is>
          <x:t xml:space="preserve">上海市</x:t>
        </x:is>
      </x:c>
      <x:c r="G169" s="5" t="inlineStr">
        <x:is>
          <x:t xml:space="preserve">上海市-上海市</x:t>
        </x:is>
      </x:c>
      <x:c r="H169" s="4" t="inlineStr">
        <x:is>
          <x:t xml:space="preserve">酿酒行业</x:t>
        </x:is>
      </x:c>
      <x:c r="I169" s="4" t="inlineStr">
        <x:is>
          <x:t xml:space="preserve">1992-09-29</x:t>
        </x:is>
      </x:c>
      <x:c r="J169" s="5" t="inlineStr">
        <x:is>
          <x:t xml:space="preserve">中国(上海)自由贸易试验区张杨路579号(三鑫大厦内)</x:t>
        </x:is>
      </x:c>
      <x:c r="K169" s="12" t="str">
        <x:f>LEFT("91310000132203723P",18)</x:f>
        <x:v>91310000132203723P</x:v>
      </x:c>
    </x:row>
    <x:row r="170">
      <x:c r="A170" s="2" t="n">
        <x:v>169</x:v>
      </x:c>
      <x:c r="B170" s="2" t="inlineStr">
        <x:is>
          <x:t xml:space="preserve">600618</x:t>
        </x:is>
      </x:c>
      <x:c r="C170" s="3" t="inlineStr">
        <x:is>
          <x:t xml:space="preserve">氯碱化工</x:t>
        </x:is>
      </x:c>
      <x:c r="D170" s="3" t="inlineStr">
        <x:is>
          <x:t xml:space="preserve">上海氯碱化工股份有限公司</x:t>
        </x:is>
      </x:c>
      <x:c r="E170" s="2" t="inlineStr">
        <x:is>
          <x:t xml:space="preserve">上海市</x:t>
        </x:is>
      </x:c>
      <x:c r="F170" s="2" t="inlineStr">
        <x:is>
          <x:t xml:space="preserve">上海市</x:t>
        </x:is>
      </x:c>
      <x:c r="G170" s="3" t="inlineStr">
        <x:is>
          <x:t xml:space="preserve">上海市-上海市</x:t>
        </x:is>
      </x:c>
      <x:c r="H170" s="2" t="inlineStr">
        <x:is>
          <x:t xml:space="preserve">化学原料</x:t>
        </x:is>
      </x:c>
      <x:c r="I170" s="2" t="inlineStr">
        <x:is>
          <x:t xml:space="preserve">1992-11-13</x:t>
        </x:is>
      </x:c>
      <x:c r="J170" s="3" t="inlineStr">
        <x:is>
          <x:t xml:space="preserve">上海市化学工业区神工路200号</x:t>
        </x:is>
      </x:c>
      <x:c r="K170" s="12" t="str">
        <x:f>LEFT("91310000607200180E",18)</x:f>
        <x:v>91310000607200180E</x:v>
      </x:c>
    </x:row>
    <x:row r="171">
      <x:c r="A171" s="4" t="n">
        <x:v>170</x:v>
      </x:c>
      <x:c r="B171" s="4" t="inlineStr">
        <x:is>
          <x:t xml:space="preserve">600619</x:t>
        </x:is>
      </x:c>
      <x:c r="C171" s="5" t="inlineStr">
        <x:is>
          <x:t xml:space="preserve">海立股份</x:t>
        </x:is>
      </x:c>
      <x:c r="D171" s="5" t="inlineStr">
        <x:is>
          <x:t xml:space="preserve">上海海立(集团)股份有限公司</x:t>
        </x:is>
      </x:c>
      <x:c r="E171" s="4" t="inlineStr">
        <x:is>
          <x:t xml:space="preserve">上海市</x:t>
        </x:is>
      </x:c>
      <x:c r="F171" s="4" t="inlineStr">
        <x:is>
          <x:t xml:space="preserve">上海市</x:t>
        </x:is>
      </x:c>
      <x:c r="G171" s="5" t="inlineStr">
        <x:is>
          <x:t xml:space="preserve">上海市-上海市</x:t>
        </x:is>
      </x:c>
      <x:c r="H171" s="4" t="inlineStr">
        <x:is>
          <x:t xml:space="preserve">家电行业</x:t>
        </x:is>
      </x:c>
      <x:c r="I171" s="4" t="inlineStr">
        <x:is>
          <x:t xml:space="preserve">1992-11-16</x:t>
        </x:is>
      </x:c>
      <x:c r="J171" s="5" t="inlineStr">
        <x:is>
          <x:t xml:space="preserve">中国(上海)自由贸易试验区宁桥路888号</x:t>
        </x:is>
      </x:c>
      <x:c r="K171" s="12" t="str">
        <x:f>LEFT("91310000607232705D",18)</x:f>
        <x:v>91310000607232705D</x:v>
      </x:c>
    </x:row>
    <x:row r="172">
      <x:c r="A172" s="2" t="n">
        <x:v>171</x:v>
      </x:c>
      <x:c r="B172" s="2" t="inlineStr">
        <x:is>
          <x:t xml:space="preserve">600620</x:t>
        </x:is>
      </x:c>
      <x:c r="C172" s="3" t="inlineStr">
        <x:is>
          <x:t xml:space="preserve">天宸股份</x:t>
        </x:is>
      </x:c>
      <x:c r="D172" s="3" t="inlineStr">
        <x:is>
          <x:t xml:space="preserve">上海市天宸股份有限公司</x:t>
        </x:is>
      </x:c>
      <x:c r="E172" s="2" t="inlineStr">
        <x:is>
          <x:t xml:space="preserve">上海市</x:t>
        </x:is>
      </x:c>
      <x:c r="F172" s="2" t="inlineStr">
        <x:is>
          <x:t xml:space="preserve">上海市</x:t>
        </x:is>
      </x:c>
      <x:c r="G172" s="3" t="inlineStr">
        <x:is>
          <x:t xml:space="preserve">上海市-上海市</x:t>
        </x:is>
      </x:c>
      <x:c r="H172" s="2" t="inlineStr">
        <x:is>
          <x:t xml:space="preserve">综合行业</x:t>
        </x:is>
      </x:c>
      <x:c r="I172" s="2" t="inlineStr">
        <x:is>
          <x:t xml:space="preserve">1992-11-17</x:t>
        </x:is>
      </x:c>
      <x:c r="J172" s="3" t="inlineStr">
        <x:is>
          <x:t xml:space="preserve">上海市长宁区延安西路2067号29楼</x:t>
        </x:is>
      </x:c>
      <x:c r="K172" s="12" t="str">
        <x:f>LEFT("91310000132210173W",18)</x:f>
        <x:v>91310000132210173W</x:v>
      </x:c>
    </x:row>
    <x:row r="173">
      <x:c r="A173" s="4" t="n">
        <x:v>172</x:v>
      </x:c>
      <x:c r="B173" s="4" t="inlineStr">
        <x:is>
          <x:t xml:space="preserve">600621</x:t>
        </x:is>
      </x:c>
      <x:c r="C173" s="5" t="inlineStr">
        <x:is>
          <x:t xml:space="preserve">华鑫股份</x:t>
        </x:is>
      </x:c>
      <x:c r="D173" s="5" t="inlineStr">
        <x:is>
          <x:t xml:space="preserve">上海华鑫股份有限公司</x:t>
        </x:is>
      </x:c>
      <x:c r="E173" s="4" t="inlineStr">
        <x:is>
          <x:t xml:space="preserve">上海市</x:t>
        </x:is>
      </x:c>
      <x:c r="F173" s="4" t="inlineStr">
        <x:is>
          <x:t xml:space="preserve">上海市</x:t>
        </x:is>
      </x:c>
      <x:c r="G173" s="5" t="inlineStr">
        <x:is>
          <x:t xml:space="preserve">上海市-上海市</x:t>
        </x:is>
      </x:c>
      <x:c r="H173" s="4" t="inlineStr">
        <x:is>
          <x:t xml:space="preserve">券商信托</x:t>
        </x:is>
      </x:c>
      <x:c r="I173" s="4" t="inlineStr">
        <x:is>
          <x:t xml:space="preserve">1992-12-02</x:t>
        </x:is>
      </x:c>
      <x:c r="J173" s="5" t="inlineStr">
        <x:is>
          <x:t xml:space="preserve">上海市徐汇区云锦路277号20层</x:t>
        </x:is>
      </x:c>
      <x:c r="K173" s="12" t="str">
        <x:f>LEFT("9131000013220382XX",18)</x:f>
        <x:v>9131000013220382XX</x:v>
      </x:c>
    </x:row>
    <x:row r="174">
      <x:c r="A174" s="2" t="n">
        <x:v>173</x:v>
      </x:c>
      <x:c r="B174" s="2" t="inlineStr">
        <x:is>
          <x:t xml:space="preserve">600622</x:t>
        </x:is>
      </x:c>
      <x:c r="C174" s="3" t="inlineStr">
        <x:is>
          <x:t xml:space="preserve">光大嘉宝</x:t>
        </x:is>
      </x:c>
      <x:c r="D174" s="3" t="inlineStr">
        <x:is>
          <x:t xml:space="preserve">光大嘉宝股份有限公司</x:t>
        </x:is>
      </x:c>
      <x:c r="E174" s="2" t="inlineStr">
        <x:is>
          <x:t xml:space="preserve">上海市</x:t>
        </x:is>
      </x:c>
      <x:c r="F174" s="2" t="inlineStr">
        <x:is>
          <x:t xml:space="preserve">上海市</x:t>
        </x:is>
      </x:c>
      <x:c r="G174" s="3" t="inlineStr">
        <x:is>
          <x:t xml:space="preserve">上海市-上海市</x:t>
        </x:is>
      </x:c>
      <x:c r="H174" s="2" t="inlineStr">
        <x:is>
          <x:t xml:space="preserve">房地产</x:t>
        </x:is>
      </x:c>
      <x:c r="I174" s="2" t="inlineStr">
        <x:is>
          <x:t xml:space="preserve">1992-12-03</x:t>
        </x:is>
      </x:c>
      <x:c r="J174" s="3" t="inlineStr">
        <x:is>
          <x:t xml:space="preserve">上海市嘉定区清河路55号嘉宝商厦6-7楼</x:t>
        </x:is>
      </x:c>
      <x:c r="K174" s="12" t="str">
        <x:f>LEFT("913100001336360028",18)</x:f>
        <x:v>913100001336360100</x:v>
      </x:c>
    </x:row>
    <x:row r="175">
      <x:c r="A175" s="4" t="n">
        <x:v>174</x:v>
      </x:c>
      <x:c r="B175" s="4" t="inlineStr">
        <x:is>
          <x:t xml:space="preserve">600623</x:t>
        </x:is>
      </x:c>
      <x:c r="C175" s="5" t="inlineStr">
        <x:is>
          <x:t xml:space="preserve">华谊集团</x:t>
        </x:is>
      </x:c>
      <x:c r="D175" s="5" t="inlineStr">
        <x:is>
          <x:t xml:space="preserve">上海华谊集团股份有限公司</x:t>
        </x:is>
      </x:c>
      <x:c r="E175" s="4" t="inlineStr">
        <x:is>
          <x:t xml:space="preserve">上海市</x:t>
        </x:is>
      </x:c>
      <x:c r="F175" s="4" t="inlineStr">
        <x:is>
          <x:t xml:space="preserve">上海市</x:t>
        </x:is>
      </x:c>
      <x:c r="G175" s="5" t="inlineStr">
        <x:is>
          <x:t xml:space="preserve">上海市-上海市</x:t>
        </x:is>
      </x:c>
      <x:c r="H175" s="4" t="inlineStr">
        <x:is>
          <x:t xml:space="preserve">化学原料</x:t>
        </x:is>
      </x:c>
      <x:c r="I175" s="4" t="inlineStr">
        <x:is>
          <x:t xml:space="preserve">1992-12-04</x:t>
        </x:is>
      </x:c>
      <x:c r="J175" s="5" t="inlineStr">
        <x:is>
          <x:t xml:space="preserve">上海市常德路809号</x:t>
        </x:is>
      </x:c>
      <x:c r="K175" s="12" t="str">
        <x:f>LEFT("913100006072189974",18)</x:f>
        <x:v>913100006072190000</x:v>
      </x:c>
    </x:row>
    <x:row r="176">
      <x:c r="A176" s="2" t="n">
        <x:v>175</x:v>
      </x:c>
      <x:c r="B176" s="2" t="inlineStr">
        <x:is>
          <x:t xml:space="preserve">600624</x:t>
        </x:is>
      </x:c>
      <x:c r="C176" s="3" t="inlineStr">
        <x:is>
          <x:t xml:space="preserve">ST复华</x:t>
        </x:is>
      </x:c>
      <x:c r="D176" s="3" t="inlineStr">
        <x:is>
          <x:t xml:space="preserve">上海复旦复华科技股份有限公司</x:t>
        </x:is>
      </x:c>
      <x:c r="E176" s="2" t="inlineStr">
        <x:is>
          <x:t xml:space="preserve">上海市</x:t>
        </x:is>
      </x:c>
      <x:c r="F176" s="2" t="inlineStr">
        <x:is>
          <x:t xml:space="preserve">上海市</x:t>
        </x:is>
      </x:c>
      <x:c r="G176" s="3" t="inlineStr">
        <x:is>
          <x:t xml:space="preserve">上海市-上海市</x:t>
        </x:is>
      </x:c>
      <x:c r="H176" s="2" t="inlineStr">
        <x:is>
          <x:t xml:space="preserve">综合行业</x:t>
        </x:is>
      </x:c>
      <x:c r="I176" s="2" t="inlineStr">
        <x:is>
          <x:t xml:space="preserve">1993-01-05</x:t>
        </x:is>
      </x:c>
      <x:c r="J176" s="3" t="inlineStr">
        <x:is>
          <x:t xml:space="preserve">上海市奉贤区汇丰北路1515弄1号2幢107室</x:t>
        </x:is>
      </x:c>
      <x:c r="K176" s="12" t="str">
        <x:f>LEFT("91310000132209607P",18)</x:f>
        <x:v>91310000132209607P</x:v>
      </x:c>
    </x:row>
    <x:row r="177">
      <x:c r="A177" s="4" t="n">
        <x:v>176</x:v>
      </x:c>
      <x:c r="B177" s="4" t="inlineStr">
        <x:is>
          <x:t xml:space="preserve">600626</x:t>
        </x:is>
      </x:c>
      <x:c r="C177" s="5" t="inlineStr">
        <x:is>
          <x:t xml:space="preserve">申达股份</x:t>
        </x:is>
      </x:c>
      <x:c r="D177" s="5" t="inlineStr">
        <x:is>
          <x:t xml:space="preserve">上海申达股份有限公司</x:t>
        </x:is>
      </x:c>
      <x:c r="E177" s="4" t="inlineStr">
        <x:is>
          <x:t xml:space="preserve">上海市</x:t>
        </x:is>
      </x:c>
      <x:c r="F177" s="4" t="inlineStr">
        <x:is>
          <x:t xml:space="preserve">上海市</x:t>
        </x:is>
      </x:c>
      <x:c r="G177" s="5" t="inlineStr">
        <x:is>
          <x:t xml:space="preserve">上海市-上海市</x:t>
        </x:is>
      </x:c>
      <x:c r="H177" s="4" t="inlineStr">
        <x:is>
          <x:t xml:space="preserve">汽车零部件</x:t>
        </x:is>
      </x:c>
      <x:c r="I177" s="4" t="inlineStr">
        <x:is>
          <x:t xml:space="preserve">1993-01-07</x:t>
        </x:is>
      </x:c>
      <x:c r="J177" s="5" t="inlineStr">
        <x:is>
          <x:t xml:space="preserve">中国(上海)自由贸易试验区世博村路231号2单元3层328室</x:t>
        </x:is>
      </x:c>
      <x:c r="K177" s="12" t="str">
        <x:f>LEFT("91310000132214537Q",18)</x:f>
        <x:v>91310000132214537Q</x:v>
      </x:c>
    </x:row>
    <x:row r="178">
      <x:c r="A178" s="2" t="n">
        <x:v>177</x:v>
      </x:c>
      <x:c r="B178" s="2" t="inlineStr">
        <x:is>
          <x:t xml:space="preserve">600628</x:t>
        </x:is>
      </x:c>
      <x:c r="C178" s="3" t="inlineStr">
        <x:is>
          <x:t xml:space="preserve">新世界</x:t>
        </x:is>
      </x:c>
      <x:c r="D178" s="3" t="inlineStr">
        <x:is>
          <x:t xml:space="preserve">上海新世界股份有限公司</x:t>
        </x:is>
      </x:c>
      <x:c r="E178" s="2" t="inlineStr">
        <x:is>
          <x:t xml:space="preserve">上海市</x:t>
        </x:is>
      </x:c>
      <x:c r="F178" s="2" t="inlineStr">
        <x:is>
          <x:t xml:space="preserve">上海市</x:t>
        </x:is>
      </x:c>
      <x:c r="G178" s="3" t="inlineStr">
        <x:is>
          <x:t xml:space="preserve">上海市-上海市</x:t>
        </x:is>
      </x:c>
      <x:c r="H178" s="2" t="inlineStr">
        <x:is>
          <x:t xml:space="preserve">商业百货</x:t>
        </x:is>
      </x:c>
      <x:c r="I178" s="2" t="inlineStr">
        <x:is>
          <x:t xml:space="preserve">1993-01-19</x:t>
        </x:is>
      </x:c>
      <x:c r="J178" s="3" t="inlineStr">
        <x:is>
          <x:t xml:space="preserve">上海市南京西路2-88号</x:t>
        </x:is>
      </x:c>
      <x:c r="K178" s="12" t="str">
        <x:f>LEFT("91310000132329342D",18)</x:f>
        <x:v>91310000132329342D</x:v>
      </x:c>
    </x:row>
    <x:row r="179">
      <x:c r="A179" s="4" t="n">
        <x:v>178</x:v>
      </x:c>
      <x:c r="B179" s="4" t="inlineStr">
        <x:is>
          <x:t xml:space="preserve">600629</x:t>
        </x:is>
      </x:c>
      <x:c r="C179" s="5" t="inlineStr">
        <x:is>
          <x:t xml:space="preserve">华建集团</x:t>
        </x:is>
      </x:c>
      <x:c r="D179" s="5" t="inlineStr">
        <x:is>
          <x:t xml:space="preserve">华东建筑集团股份有限公司</x:t>
        </x:is>
      </x:c>
      <x:c r="E179" s="4" t="inlineStr">
        <x:is>
          <x:t xml:space="preserve">上海市</x:t>
        </x:is>
      </x:c>
      <x:c r="F179" s="4" t="inlineStr">
        <x:is>
          <x:t xml:space="preserve">上海市</x:t>
        </x:is>
      </x:c>
      <x:c r="G179" s="5" t="inlineStr">
        <x:is>
          <x:t xml:space="preserve">上海市-上海市</x:t>
        </x:is>
      </x:c>
      <x:c r="H179" s="4" t="inlineStr">
        <x:is>
          <x:t xml:space="preserve">工程咨询服务</x:t>
        </x:is>
      </x:c>
      <x:c r="I179" s="4" t="inlineStr">
        <x:is>
          <x:t xml:space="preserve">1993-02-09</x:t>
        </x:is>
      </x:c>
      <x:c r="J179" s="5" t="inlineStr">
        <x:is>
          <x:t xml:space="preserve">上海市黄浦区汉口路151号</x:t>
        </x:is>
      </x:c>
      <x:c r="K179" s="12" t="str">
        <x:f>LEFT("91310000132209789U",18)</x:f>
        <x:v>91310000132209789U</x:v>
      </x:c>
    </x:row>
    <x:row r="180">
      <x:c r="A180" s="2" t="n">
        <x:v>179</x:v>
      </x:c>
      <x:c r="B180" s="2" t="inlineStr">
        <x:is>
          <x:t xml:space="preserve">600630</x:t>
        </x:is>
      </x:c>
      <x:c r="C180" s="3" t="inlineStr">
        <x:is>
          <x:t xml:space="preserve">龙头股份</x:t>
        </x:is>
      </x:c>
      <x:c r="D180" s="3" t="inlineStr">
        <x:is>
          <x:t xml:space="preserve">上海龙头(集团)股份有限公司</x:t>
        </x:is>
      </x:c>
      <x:c r="E180" s="2" t="inlineStr">
        <x:is>
          <x:t xml:space="preserve">上海市</x:t>
        </x:is>
      </x:c>
      <x:c r="F180" s="2" t="inlineStr">
        <x:is>
          <x:t xml:space="preserve">上海市</x:t>
        </x:is>
      </x:c>
      <x:c r="G180" s="3" t="inlineStr">
        <x:is>
          <x:t xml:space="preserve">上海市-上海市</x:t>
        </x:is>
      </x:c>
      <x:c r="H180" s="2" t="inlineStr">
        <x:is>
          <x:t xml:space="preserve">纺织服装</x:t>
        </x:is>
      </x:c>
      <x:c r="I180" s="2" t="inlineStr">
        <x:is>
          <x:t xml:space="preserve">1993-02-09</x:t>
        </x:is>
      </x:c>
      <x:c r="J180" s="3" t="inlineStr">
        <x:is>
          <x:t xml:space="preserve">上海市黄浦区制造局路584号8号楼2楼201室</x:t>
        </x:is>
      </x:c>
      <x:c r="K180" s="12" t="str">
        <x:f>LEFT("91310000132219346F",18)</x:f>
        <x:v>91310000132219346F</x:v>
      </x:c>
    </x:row>
    <x:row r="181">
      <x:c r="A181" s="4" t="n">
        <x:v>180</x:v>
      </x:c>
      <x:c r="B181" s="4" t="inlineStr">
        <x:is>
          <x:t xml:space="preserve">600635</x:t>
        </x:is>
      </x:c>
      <x:c r="C181" s="5" t="inlineStr">
        <x:is>
          <x:t xml:space="preserve">大众公用</x:t>
        </x:is>
      </x:c>
      <x:c r="D181" s="5" t="inlineStr">
        <x:is>
          <x:t xml:space="preserve">上海大众公用事业(集团)股份有限公司</x:t>
        </x:is>
      </x:c>
      <x:c r="E181" s="4" t="inlineStr">
        <x:is>
          <x:t xml:space="preserve">上海市</x:t>
        </x:is>
      </x:c>
      <x:c r="F181" s="4" t="inlineStr">
        <x:is>
          <x:t xml:space="preserve">上海市</x:t>
        </x:is>
      </x:c>
      <x:c r="G181" s="5" t="inlineStr">
        <x:is>
          <x:t xml:space="preserve">上海市-上海市</x:t>
        </x:is>
      </x:c>
      <x:c r="H181" s="4" t="inlineStr">
        <x:is>
          <x:t xml:space="preserve">燃气</x:t>
        </x:is>
      </x:c>
      <x:c r="I181" s="4" t="inlineStr">
        <x:is>
          <x:t xml:space="preserve">1993-03-04</x:t>
        </x:is>
      </x:c>
      <x:c r="J181" s="5" t="inlineStr">
        <x:is>
          <x:t xml:space="preserve">中国(上海)自由贸易试验区浦东新区商城路518号</x:t>
        </x:is>
      </x:c>
      <x:c r="K181" s="12" t="str">
        <x:f>LEFT("91310000132208778G",18)</x:f>
        <x:v>91310000132208778G</x:v>
      </x:c>
    </x:row>
    <x:row r="182">
      <x:c r="A182" s="2" t="n">
        <x:v>181</x:v>
      </x:c>
      <x:c r="B182" s="2" t="inlineStr">
        <x:is>
          <x:t xml:space="preserve">600636</x:t>
        </x:is>
      </x:c>
      <x:c r="C182" s="3" t="inlineStr">
        <x:is>
          <x:t xml:space="preserve">*ST国化</x:t>
        </x:is>
      </x:c>
      <x:c r="D182" s="3" t="inlineStr">
        <x:is>
          <x:t xml:space="preserve">国新文化控股股份有限公司</x:t>
        </x:is>
      </x:c>
      <x:c r="E182" s="2" t="inlineStr">
        <x:is>
          <x:t xml:space="preserve">上海市</x:t>
        </x:is>
      </x:c>
      <x:c r="F182" s="2" t="inlineStr">
        <x:is>
          <x:t xml:space="preserve">上海市</x:t>
        </x:is>
      </x:c>
      <x:c r="G182" s="3" t="inlineStr">
        <x:is>
          <x:t xml:space="preserve">上海市-上海市</x:t>
        </x:is>
      </x:c>
      <x:c r="H182" s="2" t="inlineStr">
        <x:is>
          <x:t xml:space="preserve">文教休闲</x:t>
        </x:is>
      </x:c>
      <x:c r="I182" s="2" t="inlineStr">
        <x:is>
          <x:t xml:space="preserve">1993-03-16</x:t>
        </x:is>
      </x:c>
      <x:c r="J182" s="3" t="inlineStr">
        <x:is>
          <x:t xml:space="preserve">上海市龙吴路4411号</x:t>
        </x:is>
      </x:c>
      <x:c r="K182" s="12" t="str">
        <x:f>LEFT("91310000132208321Y",18)</x:f>
        <x:v>91310000132208321Y</x:v>
      </x:c>
    </x:row>
    <x:row r="183">
      <x:c r="A183" s="4" t="n">
        <x:v>182</x:v>
      </x:c>
      <x:c r="B183" s="4" t="inlineStr">
        <x:is>
          <x:t xml:space="preserve">600637</x:t>
        </x:is>
      </x:c>
      <x:c r="C183" s="5" t="inlineStr">
        <x:is>
          <x:t xml:space="preserve">东方明珠</x:t>
        </x:is>
      </x:c>
      <x:c r="D183" s="5" t="inlineStr">
        <x:is>
          <x:t xml:space="preserve">东方明珠新媒体股份有限公司</x:t>
        </x:is>
      </x:c>
      <x:c r="E183" s="4" t="inlineStr">
        <x:is>
          <x:t xml:space="preserve">上海市</x:t>
        </x:is>
      </x:c>
      <x:c r="F183" s="4" t="inlineStr">
        <x:is>
          <x:t xml:space="preserve">上海市</x:t>
        </x:is>
      </x:c>
      <x:c r="G183" s="5" t="inlineStr">
        <x:is>
          <x:t xml:space="preserve">上海市-上海市</x:t>
        </x:is>
      </x:c>
      <x:c r="H183" s="4" t="inlineStr">
        <x:is>
          <x:t xml:space="preserve">文化传媒</x:t>
        </x:is>
      </x:c>
      <x:c r="I183" s="4" t="inlineStr">
        <x:is>
          <x:t xml:space="preserve">1993-03-16</x:t>
        </x:is>
      </x:c>
      <x:c r="J183" s="5" t="inlineStr">
        <x:is>
          <x:t xml:space="preserve">上海市徐汇区宜山路757号</x:t>
        </x:is>
      </x:c>
      <x:c r="K183" s="12" t="str">
        <x:f>LEFT("913100001322114836",18)</x:f>
        <x:v>913100001322114800</x:v>
      </x:c>
    </x:row>
    <x:row r="184">
      <x:c r="A184" s="2" t="n">
        <x:v>183</x:v>
      </x:c>
      <x:c r="B184" s="2" t="inlineStr">
        <x:is>
          <x:t xml:space="preserve">600638</x:t>
        </x:is>
      </x:c>
      <x:c r="C184" s="3" t="inlineStr">
        <x:is>
          <x:t xml:space="preserve">新黄浦</x:t>
        </x:is>
      </x:c>
      <x:c r="D184" s="3" t="inlineStr">
        <x:is>
          <x:t xml:space="preserve">上海新黄浦实业集团股份有限公司</x:t>
        </x:is>
      </x:c>
      <x:c r="E184" s="2" t="inlineStr">
        <x:is>
          <x:t xml:space="preserve">上海市</x:t>
        </x:is>
      </x:c>
      <x:c r="F184" s="2" t="inlineStr">
        <x:is>
          <x:t xml:space="preserve">上海市</x:t>
        </x:is>
      </x:c>
      <x:c r="G184" s="3" t="inlineStr">
        <x:is>
          <x:t xml:space="preserve">上海市-上海市</x:t>
        </x:is>
      </x:c>
      <x:c r="H184" s="2" t="inlineStr">
        <x:is>
          <x:t xml:space="preserve">房地产</x:t>
        </x:is>
      </x:c>
      <x:c r="I184" s="2" t="inlineStr">
        <x:is>
          <x:t xml:space="preserve">1993-03-26</x:t>
        </x:is>
      </x:c>
      <x:c r="J184" s="3" t="inlineStr">
        <x:is>
          <x:t xml:space="preserve">上海市黄浦区北京东路668号东楼32层</x:t>
        </x:is>
      </x:c>
      <x:c r="K184" s="12" t="str">
        <x:f>LEFT("91310000132345908G",18)</x:f>
        <x:v>91310000132345908G</x:v>
      </x:c>
    </x:row>
    <x:row r="185">
      <x:c r="A185" s="4" t="n">
        <x:v>184</x:v>
      </x:c>
      <x:c r="B185" s="4" t="inlineStr">
        <x:is>
          <x:t xml:space="preserve">600639</x:t>
        </x:is>
      </x:c>
      <x:c r="C185" s="5" t="inlineStr">
        <x:is>
          <x:t xml:space="preserve">浦东金桥</x:t>
        </x:is>
      </x:c>
      <x:c r="D185" s="5" t="inlineStr">
        <x:is>
          <x:t xml:space="preserve">上海金桥出口加工区开发股份有限公司</x:t>
        </x:is>
      </x:c>
      <x:c r="E185" s="4" t="inlineStr">
        <x:is>
          <x:t xml:space="preserve">上海市</x:t>
        </x:is>
      </x:c>
      <x:c r="F185" s="4" t="inlineStr">
        <x:is>
          <x:t xml:space="preserve">上海市</x:t>
        </x:is>
      </x:c>
      <x:c r="G185" s="5" t="inlineStr">
        <x:is>
          <x:t xml:space="preserve">上海市-上海市</x:t>
        </x:is>
      </x:c>
      <x:c r="H185" s="4" t="inlineStr">
        <x:is>
          <x:t xml:space="preserve">房地产</x:t>
        </x:is>
      </x:c>
      <x:c r="I185" s="4" t="inlineStr">
        <x:is>
          <x:t xml:space="preserve">1993-03-26</x:t>
        </x:is>
      </x:c>
      <x:c r="J185" s="5" t="inlineStr">
        <x:is>
          <x:t xml:space="preserve">中国(上海)自由贸易试验区新金桥路27号10号楼107室</x:t>
        </x:is>
      </x:c>
      <x:c r="K185" s="12" t="str">
        <x:f>LEFT("913100001322093592",18)</x:f>
        <x:v>913100001322093600</x:v>
      </x:c>
    </x:row>
    <x:row r="186">
      <x:c r="A186" s="2" t="n">
        <x:v>185</x:v>
      </x:c>
      <x:c r="B186" s="2" t="inlineStr">
        <x:is>
          <x:t xml:space="preserve">600640</x:t>
        </x:is>
      </x:c>
      <x:c r="C186" s="3" t="inlineStr">
        <x:is>
          <x:t xml:space="preserve">国脉文化</x:t>
        </x:is>
      </x:c>
      <x:c r="D186" s="3" t="inlineStr">
        <x:is>
          <x:t xml:space="preserve">新国脉数字文化股份有限公司</x:t>
        </x:is>
      </x:c>
      <x:c r="E186" s="2" t="inlineStr">
        <x:is>
          <x:t xml:space="preserve">上海市</x:t>
        </x:is>
      </x:c>
      <x:c r="F186" s="2" t="inlineStr">
        <x:is>
          <x:t xml:space="preserve">上海市</x:t>
        </x:is>
      </x:c>
      <x:c r="G186" s="3" t="inlineStr">
        <x:is>
          <x:t xml:space="preserve">上海市-上海市</x:t>
        </x:is>
      </x:c>
      <x:c r="H186" s="2" t="inlineStr">
        <x:is>
          <x:t xml:space="preserve">文化传媒</x:t>
        </x:is>
      </x:c>
      <x:c r="I186" s="2" t="inlineStr">
        <x:is>
          <x:t xml:space="preserve">1993-04-07</x:t>
        </x:is>
      </x:c>
      <x:c r="J186" s="3" t="inlineStr">
        <x:is>
          <x:t xml:space="preserve">上海市普陀区江宁路1207号4、18、20-21楼</x:t>
        </x:is>
      </x:c>
      <x:c r="K186" s="12" t="str">
        <x:f>LEFT("91310000132209439M",18)</x:f>
        <x:v>91310000132209439M</x:v>
      </x:c>
    </x:row>
    <x:row r="187">
      <x:c r="A187" s="4" t="n">
        <x:v>186</x:v>
      </x:c>
      <x:c r="B187" s="4" t="inlineStr">
        <x:is>
          <x:t xml:space="preserve">600641</x:t>
        </x:is>
      </x:c>
      <x:c r="C187" s="5" t="inlineStr">
        <x:is>
          <x:t xml:space="preserve">先导基电</x:t>
        </x:is>
      </x:c>
      <x:c r="D187" s="5" t="inlineStr">
        <x:is>
          <x:t xml:space="preserve">上海先导基电科技股份有限公司</x:t>
        </x:is>
      </x:c>
      <x:c r="E187" s="4" t="inlineStr">
        <x:is>
          <x:t xml:space="preserve">上海市</x:t>
        </x:is>
      </x:c>
      <x:c r="F187" s="4" t="inlineStr">
        <x:is>
          <x:t xml:space="preserve">上海市</x:t>
        </x:is>
      </x:c>
      <x:c r="G187" s="5" t="inlineStr">
        <x:is>
          <x:t xml:space="preserve">上海市-上海市</x:t>
        </x:is>
      </x:c>
      <x:c r="H187" s="4" t="inlineStr">
        <x:is>
          <x:t xml:space="preserve">半导体</x:t>
        </x:is>
      </x:c>
      <x:c r="I187" s="4" t="inlineStr">
        <x:is>
          <x:t xml:space="preserve">1993-04-07</x:t>
        </x:is>
      </x:c>
      <x:c r="J187" s="5" t="inlineStr">
        <x:is>
          <x:t xml:space="preserve">中国(上海)自由贸易试验区张杨路707号二层西区220室</x:t>
        </x:is>
      </x:c>
      <x:c r="K187" s="12" t="str">
        <x:f>LEFT("91310000132204523K",18)</x:f>
        <x:v>91310000132204523K</x:v>
      </x:c>
    </x:row>
    <x:row r="188">
      <x:c r="A188" s="2" t="n">
        <x:v>187</x:v>
      </x:c>
      <x:c r="B188" s="2" t="inlineStr">
        <x:is>
          <x:t xml:space="preserve">600642</x:t>
        </x:is>
      </x:c>
      <x:c r="C188" s="3" t="inlineStr">
        <x:is>
          <x:t xml:space="preserve">申能股份</x:t>
        </x:is>
      </x:c>
      <x:c r="D188" s="3" t="inlineStr">
        <x:is>
          <x:t xml:space="preserve">申能股份有限公司</x:t>
        </x:is>
      </x:c>
      <x:c r="E188" s="2" t="inlineStr">
        <x:is>
          <x:t xml:space="preserve">上海市</x:t>
        </x:is>
      </x:c>
      <x:c r="F188" s="2" t="inlineStr">
        <x:is>
          <x:t xml:space="preserve">上海市</x:t>
        </x:is>
      </x:c>
      <x:c r="G188" s="3" t="inlineStr">
        <x:is>
          <x:t xml:space="preserve">上海市-上海市</x:t>
        </x:is>
      </x:c>
      <x:c r="H188" s="2" t="inlineStr">
        <x:is>
          <x:t xml:space="preserve">电力行业</x:t>
        </x:is>
      </x:c>
      <x:c r="I188" s="2" t="inlineStr">
        <x:is>
          <x:t xml:space="preserve">1993-04-16</x:t>
        </x:is>
      </x:c>
      <x:c r="J188" s="3" t="inlineStr">
        <x:is>
          <x:t xml:space="preserve">上海市闵行区虹井路159号5楼</x:t>
        </x:is>
      </x:c>
      <x:c r="K188" s="12" t="str">
        <x:f>LEFT("913100001322084958",18)</x:f>
        <x:v>913100001322085000</x:v>
      </x:c>
    </x:row>
    <x:row r="189">
      <x:c r="A189" s="4" t="n">
        <x:v>188</x:v>
      </x:c>
      <x:c r="B189" s="4" t="inlineStr">
        <x:is>
          <x:t xml:space="preserve">600643</x:t>
        </x:is>
      </x:c>
      <x:c r="C189" s="5" t="inlineStr">
        <x:is>
          <x:t xml:space="preserve">爱建集团</x:t>
        </x:is>
      </x:c>
      <x:c r="D189" s="5" t="inlineStr">
        <x:is>
          <x:t xml:space="preserve">上海爱建集团股份有限公司</x:t>
        </x:is>
      </x:c>
      <x:c r="E189" s="4" t="inlineStr">
        <x:is>
          <x:t xml:space="preserve">上海市</x:t>
        </x:is>
      </x:c>
      <x:c r="F189" s="4" t="inlineStr">
        <x:is>
          <x:t xml:space="preserve">上海市</x:t>
        </x:is>
      </x:c>
      <x:c r="G189" s="5" t="inlineStr">
        <x:is>
          <x:t xml:space="preserve">上海市-上海市</x:t>
        </x:is>
      </x:c>
      <x:c r="H189" s="4" t="inlineStr">
        <x:is>
          <x:t xml:space="preserve">多元金融</x:t>
        </x:is>
      </x:c>
      <x:c r="I189" s="4" t="inlineStr">
        <x:is>
          <x:t xml:space="preserve">1993-04-26</x:t>
        </x:is>
      </x:c>
      <x:c r="J189" s="5" t="inlineStr">
        <x:is>
          <x:t xml:space="preserve">上海市浦东新区泰谷路168号</x:t>
        </x:is>
      </x:c>
      <x:c r="K189" s="12" t="str">
        <x:f>LEFT("91310000132206393X",18)</x:f>
        <x:v>91310000132206393X</x:v>
      </x:c>
    </x:row>
    <x:row r="190">
      <x:c r="A190" s="2" t="n">
        <x:v>189</x:v>
      </x:c>
      <x:c r="B190" s="2" t="inlineStr">
        <x:is>
          <x:t xml:space="preserve">600648</x:t>
        </x:is>
      </x:c>
      <x:c r="C190" s="3" t="inlineStr">
        <x:is>
          <x:t xml:space="preserve">外高桥</x:t>
        </x:is>
      </x:c>
      <x:c r="D190" s="3" t="inlineStr">
        <x:is>
          <x:t xml:space="preserve">上海外高桥集团股份有限公司</x:t>
        </x:is>
      </x:c>
      <x:c r="E190" s="2" t="inlineStr">
        <x:is>
          <x:t xml:space="preserve">上海市</x:t>
        </x:is>
      </x:c>
      <x:c r="F190" s="2" t="inlineStr">
        <x:is>
          <x:t xml:space="preserve">上海市</x:t>
        </x:is>
      </x:c>
      <x:c r="G190" s="3" t="inlineStr">
        <x:is>
          <x:t xml:space="preserve">上海市-上海市</x:t>
        </x:is>
      </x:c>
      <x:c r="H190" s="2" t="inlineStr">
        <x:is>
          <x:t xml:space="preserve">房地产</x:t>
        </x:is>
      </x:c>
      <x:c r="I190" s="2" t="inlineStr">
        <x:is>
          <x:t xml:space="preserve">1993-05-04</x:t>
        </x:is>
      </x:c>
      <x:c r="J190" s="3" t="inlineStr">
        <x:is>
          <x:t xml:space="preserve">上海市浦东新区外高桥保税区杨高北路889号</x:t>
        </x:is>
      </x:c>
      <x:c r="K190" s="12" t="str">
        <x:f>LEFT("91310000132226001W",18)</x:f>
        <x:v>91310000132226001W</x:v>
      </x:c>
    </x:row>
    <x:row r="191">
      <x:c r="A191" s="4" t="n">
        <x:v>190</x:v>
      </x:c>
      <x:c r="B191" s="4" t="inlineStr">
        <x:is>
          <x:t xml:space="preserve">600649</x:t>
        </x:is>
      </x:c>
      <x:c r="C191" s="5" t="inlineStr">
        <x:is>
          <x:t xml:space="preserve">城投控股</x:t>
        </x:is>
      </x:c>
      <x:c r="D191" s="5" t="inlineStr">
        <x:is>
          <x:t xml:space="preserve">上海城投控股股份有限公司</x:t>
        </x:is>
      </x:c>
      <x:c r="E191" s="4" t="inlineStr">
        <x:is>
          <x:t xml:space="preserve">上海市</x:t>
        </x:is>
      </x:c>
      <x:c r="F191" s="4" t="inlineStr">
        <x:is>
          <x:t xml:space="preserve">上海市</x:t>
        </x:is>
      </x:c>
      <x:c r="G191" s="5" t="inlineStr">
        <x:is>
          <x:t xml:space="preserve">上海市-上海市</x:t>
        </x:is>
      </x:c>
      <x:c r="H191" s="4" t="inlineStr">
        <x:is>
          <x:t xml:space="preserve">房地产</x:t>
        </x:is>
      </x:c>
      <x:c r="I191" s="4" t="inlineStr">
        <x:is>
          <x:t xml:space="preserve">1993-05-18</x:t>
        </x:is>
      </x:c>
      <x:c r="J191" s="5" t="inlineStr">
        <x:is>
          <x:t xml:space="preserve">上海市浦东新区北艾路1540号</x:t>
        </x:is>
      </x:c>
      <x:c r="K191" s="12" t="str">
        <x:f>LEFT("91310000132207927C",18)</x:f>
        <x:v>91310000132207927C</x:v>
      </x:c>
    </x:row>
    <x:row r="192">
      <x:c r="A192" s="2" t="n">
        <x:v>191</x:v>
      </x:c>
      <x:c r="B192" s="2" t="inlineStr">
        <x:is>
          <x:t xml:space="preserve">600650</x:t>
        </x:is>
      </x:c>
      <x:c r="C192" s="3" t="inlineStr">
        <x:is>
          <x:t xml:space="preserve">锦江在线</x:t>
        </x:is>
      </x:c>
      <x:c r="D192" s="3" t="inlineStr">
        <x:is>
          <x:t xml:space="preserve">上海锦江在线网络服务股份有限公司</x:t>
        </x:is>
      </x:c>
      <x:c r="E192" s="2" t="inlineStr">
        <x:is>
          <x:t xml:space="preserve">上海市</x:t>
        </x:is>
      </x:c>
      <x:c r="F192" s="2" t="inlineStr">
        <x:is>
          <x:t xml:space="preserve">上海市</x:t>
        </x:is>
      </x:c>
      <x:c r="G192" s="3" t="inlineStr">
        <x:is>
          <x:t xml:space="preserve">上海市-上海市</x:t>
        </x:is>
      </x:c>
      <x:c r="H192" s="2" t="inlineStr">
        <x:is>
          <x:t xml:space="preserve">高速公路</x:t>
        </x:is>
      </x:c>
      <x:c r="I192" s="2" t="inlineStr">
        <x:is>
          <x:t xml:space="preserve">1993-06-07</x:t>
        </x:is>
      </x:c>
      <x:c r="J192" s="3" t="inlineStr">
        <x:is>
          <x:t xml:space="preserve">中国(上海)自由贸易试验区浦东大道1号</x:t>
        </x:is>
      </x:c>
      <x:c r="K192" s="12" t="str">
        <x:f>LEFT("91310000607200690U",18)</x:f>
        <x:v>91310000607200690U</x:v>
      </x:c>
    </x:row>
    <x:row r="193">
      <x:c r="A193" s="4" t="n">
        <x:v>192</x:v>
      </x:c>
      <x:c r="B193" s="4" t="inlineStr">
        <x:is>
          <x:t xml:space="preserve">600651</x:t>
        </x:is>
      </x:c>
      <x:c r="C193" s="5" t="inlineStr">
        <x:is>
          <x:t xml:space="preserve">飞乐音响</x:t>
        </x:is>
      </x:c>
      <x:c r="D193" s="5" t="inlineStr">
        <x:is>
          <x:t xml:space="preserve">上海飞乐音响股份有限公司</x:t>
        </x:is>
      </x:c>
      <x:c r="E193" s="4" t="inlineStr">
        <x:is>
          <x:t xml:space="preserve">上海市</x:t>
        </x:is>
      </x:c>
      <x:c r="F193" s="4" t="inlineStr">
        <x:is>
          <x:t xml:space="preserve">上海市</x:t>
        </x:is>
      </x:c>
      <x:c r="G193" s="5" t="inlineStr">
        <x:is>
          <x:t xml:space="preserve">上海市-上海市</x:t>
        </x:is>
      </x:c>
      <x:c r="H193" s="4" t="inlineStr">
        <x:is>
          <x:t xml:space="preserve">光学光电子</x:t>
        </x:is>
      </x:c>
      <x:c r="I193" s="4" t="inlineStr">
        <x:is>
          <x:t xml:space="preserve">1990-12-19</x:t>
        </x:is>
      </x:c>
      <x:c r="J193" s="5" t="inlineStr">
        <x:is>
          <x:t xml:space="preserve">上海市嘉定区嘉新公路1001号第七幢</x:t>
        </x:is>
      </x:c>
      <x:c r="K193" s="12" t="str">
        <x:f>LEFT("91310000132805038E",18)</x:f>
        <x:v>91310000132805038E</x:v>
      </x:c>
    </x:row>
    <x:row r="194">
      <x:c r="A194" s="2" t="n">
        <x:v>193</x:v>
      </x:c>
      <x:c r="B194" s="2" t="inlineStr">
        <x:is>
          <x:t xml:space="preserve">600655</x:t>
        </x:is>
      </x:c>
      <x:c r="C194" s="3" t="inlineStr">
        <x:is>
          <x:t xml:space="preserve">豫园股份</x:t>
        </x:is>
      </x:c>
      <x:c r="D194" s="3" t="inlineStr">
        <x:is>
          <x:t xml:space="preserve">上海豫园旅游商城(集团)股份有限公司</x:t>
        </x:is>
      </x:c>
      <x:c r="E194" s="2" t="inlineStr">
        <x:is>
          <x:t xml:space="preserve">上海市</x:t>
        </x:is>
      </x:c>
      <x:c r="F194" s="2" t="inlineStr">
        <x:is>
          <x:t xml:space="preserve">上海市</x:t>
        </x:is>
      </x:c>
      <x:c r="G194" s="3" t="inlineStr">
        <x:is>
          <x:t xml:space="preserve">上海市-上海市</x:t>
        </x:is>
      </x:c>
      <x:c r="H194" s="2" t="inlineStr">
        <x:is>
          <x:t xml:space="preserve">珠宝首饰</x:t>
        </x:is>
      </x:c>
      <x:c r="I194" s="2" t="inlineStr">
        <x:is>
          <x:t xml:space="preserve">1992-09-02</x:t>
        </x:is>
      </x:c>
      <x:c r="J194" s="3" t="inlineStr">
        <x:is>
          <x:t xml:space="preserve">上海市黄浦区复兴东路2号1幢1111室</x:t>
        </x:is>
      </x:c>
      <x:c r="K194" s="12" t="str">
        <x:f>LEFT("91310000132200223M",18)</x:f>
        <x:v>91310000132200223M</x:v>
      </x:c>
    </x:row>
    <x:row r="195">
      <x:c r="A195" s="4" t="n">
        <x:v>194</x:v>
      </x:c>
      <x:c r="B195" s="4" t="inlineStr">
        <x:is>
          <x:t xml:space="preserve">600661</x:t>
        </x:is>
      </x:c>
      <x:c r="C195" s="5" t="inlineStr">
        <x:is>
          <x:t xml:space="preserve">昂立教育</x:t>
        </x:is>
      </x:c>
      <x:c r="D195" s="5" t="inlineStr">
        <x:is>
          <x:t xml:space="preserve">上海新南洋昂立教育科技股份有限公司</x:t>
        </x:is>
      </x:c>
      <x:c r="E195" s="4" t="inlineStr">
        <x:is>
          <x:t xml:space="preserve">上海市</x:t>
        </x:is>
      </x:c>
      <x:c r="F195" s="4" t="inlineStr">
        <x:is>
          <x:t xml:space="preserve">上海市</x:t>
        </x:is>
      </x:c>
      <x:c r="G195" s="5" t="inlineStr">
        <x:is>
          <x:t xml:space="preserve">上海市-上海市</x:t>
        </x:is>
      </x:c>
      <x:c r="H195" s="4" t="inlineStr">
        <x:is>
          <x:t xml:space="preserve">文教休闲</x:t>
        </x:is>
      </x:c>
      <x:c r="I195" s="4" t="inlineStr">
        <x:is>
          <x:t xml:space="preserve">1993-06-14</x:t>
        </x:is>
      </x:c>
      <x:c r="J195" s="5" t="inlineStr">
        <x:is>
          <x:t xml:space="preserve">上海市淮海西路55号申通信息广场11C</x:t>
        </x:is>
      </x:c>
      <x:c r="K195" s="12" t="str">
        <x:f>LEFT("913100001322131129",18)</x:f>
        <x:v>913100001322131100</x:v>
      </x:c>
    </x:row>
    <x:row r="196">
      <x:c r="A196" s="2" t="n">
        <x:v>195</x:v>
      </x:c>
      <x:c r="B196" s="2" t="inlineStr">
        <x:is>
          <x:t xml:space="preserve">600662</x:t>
        </x:is>
      </x:c>
      <x:c r="C196" s="3" t="inlineStr">
        <x:is>
          <x:t xml:space="preserve">外服控股</x:t>
        </x:is>
      </x:c>
      <x:c r="D196" s="3" t="inlineStr">
        <x:is>
          <x:t xml:space="preserve">上海外服控股集团股份有限公司</x:t>
        </x:is>
      </x:c>
      <x:c r="E196" s="2" t="inlineStr">
        <x:is>
          <x:t xml:space="preserve">上海市</x:t>
        </x:is>
      </x:c>
      <x:c r="F196" s="2" t="inlineStr">
        <x:is>
          <x:t xml:space="preserve">上海市</x:t>
        </x:is>
      </x:c>
      <x:c r="G196" s="3" t="inlineStr">
        <x:is>
          <x:t xml:space="preserve">上海市-上海市</x:t>
        </x:is>
      </x:c>
      <x:c r="H196" s="2" t="inlineStr">
        <x:is>
          <x:t xml:space="preserve">专业服务</x:t>
        </x:is>
      </x:c>
      <x:c r="I196" s="2" t="inlineStr">
        <x:is>
          <x:t xml:space="preserve">1993-06-14</x:t>
        </x:is>
      </x:c>
      <x:c r="J196" s="3" t="inlineStr">
        <x:is>
          <x:t xml:space="preserve">中国(上海)自由贸易试验区张杨路655号707室</x:t>
        </x:is>
      </x:c>
      <x:c r="K196" s="12" t="str">
        <x:f>LEFT("91310000132210595U",18)</x:f>
        <x:v>91310000132210595U</x:v>
      </x:c>
    </x:row>
    <x:row r="197">
      <x:c r="A197" s="4" t="n">
        <x:v>196</x:v>
      </x:c>
      <x:c r="B197" s="4" t="inlineStr">
        <x:is>
          <x:t xml:space="preserve">600663</x:t>
        </x:is>
      </x:c>
      <x:c r="C197" s="5" t="inlineStr">
        <x:is>
          <x:t xml:space="preserve">陆家嘴</x:t>
        </x:is>
      </x:c>
      <x:c r="D197" s="5" t="inlineStr">
        <x:is>
          <x:t xml:space="preserve">上海陆家嘴金融贸易区开发股份有限公司</x:t>
        </x:is>
      </x:c>
      <x:c r="E197" s="4" t="inlineStr">
        <x:is>
          <x:t xml:space="preserve">上海市</x:t>
        </x:is>
      </x:c>
      <x:c r="F197" s="4" t="inlineStr">
        <x:is>
          <x:t xml:space="preserve">上海市</x:t>
        </x:is>
      </x:c>
      <x:c r="G197" s="5" t="inlineStr">
        <x:is>
          <x:t xml:space="preserve">上海市-上海市</x:t>
        </x:is>
      </x:c>
      <x:c r="H197" s="4" t="inlineStr">
        <x:is>
          <x:t xml:space="preserve">房地产</x:t>
        </x:is>
      </x:c>
      <x:c r="I197" s="4" t="inlineStr">
        <x:is>
          <x:t xml:space="preserve">1993-06-28</x:t>
        </x:is>
      </x:c>
      <x:c r="J197" s="5" t="inlineStr">
        <x:is>
          <x:t xml:space="preserve">中国(上海)自由贸易试验区浦东大道981号</x:t>
        </x:is>
      </x:c>
      <x:c r="K197" s="12" t="str">
        <x:f>LEFT("91310000132214887Y",18)</x:f>
        <x:v>91310000132214887Y</x:v>
      </x:c>
    </x:row>
    <x:row r="198">
      <x:c r="A198" s="2" t="n">
        <x:v>197</x:v>
      </x:c>
      <x:c r="B198" s="2" t="inlineStr">
        <x:is>
          <x:t xml:space="preserve">600675</x:t>
        </x:is>
      </x:c>
      <x:c r="C198" s="3" t="inlineStr">
        <x:is>
          <x:t xml:space="preserve">中华企业</x:t>
        </x:is>
      </x:c>
      <x:c r="D198" s="3" t="inlineStr">
        <x:is>
          <x:t xml:space="preserve">中华企业股份有限公司</x:t>
        </x:is>
      </x:c>
      <x:c r="E198" s="2" t="inlineStr">
        <x:is>
          <x:t xml:space="preserve">上海市</x:t>
        </x:is>
      </x:c>
      <x:c r="F198" s="2" t="inlineStr">
        <x:is>
          <x:t xml:space="preserve">上海市</x:t>
        </x:is>
      </x:c>
      <x:c r="G198" s="3" t="inlineStr">
        <x:is>
          <x:t xml:space="preserve">上海市-上海市</x:t>
        </x:is>
      </x:c>
      <x:c r="H198" s="2" t="inlineStr">
        <x:is>
          <x:t xml:space="preserve">房地产</x:t>
        </x:is>
      </x:c>
      <x:c r="I198" s="2" t="inlineStr">
        <x:is>
          <x:t xml:space="preserve">1993-09-24</x:t>
        </x:is>
      </x:c>
      <x:c r="J198" s="3" t="inlineStr">
        <x:is>
          <x:t xml:space="preserve">上海市华山路2号</x:t>
        </x:is>
      </x:c>
      <x:c r="K198" s="12" t="str">
        <x:f>LEFT("913100001323409633",18)</x:f>
        <x:v>913100001323409700</x:v>
      </x:c>
    </x:row>
    <x:row r="199">
      <x:c r="A199" s="4" t="n">
        <x:v>198</x:v>
      </x:c>
      <x:c r="B199" s="4" t="inlineStr">
        <x:is>
          <x:t xml:space="preserve">600676</x:t>
        </x:is>
      </x:c>
      <x:c r="C199" s="5" t="inlineStr">
        <x:is>
          <x:t xml:space="preserve">交运股份</x:t>
        </x:is>
      </x:c>
      <x:c r="D199" s="5" t="inlineStr">
        <x:is>
          <x:t xml:space="preserve">上海交运集团股份有限公司</x:t>
        </x:is>
      </x:c>
      <x:c r="E199" s="4" t="inlineStr">
        <x:is>
          <x:t xml:space="preserve">上海市</x:t>
        </x:is>
      </x:c>
      <x:c r="F199" s="4" t="inlineStr">
        <x:is>
          <x:t xml:space="preserve">上海市</x:t>
        </x:is>
      </x:c>
      <x:c r="G199" s="5" t="inlineStr">
        <x:is>
          <x:t xml:space="preserve">上海市-上海市</x:t>
        </x:is>
      </x:c>
      <x:c r="H199" s="4" t="inlineStr">
        <x:is>
          <x:t xml:space="preserve">汽车行业</x:t>
        </x:is>
      </x:c>
      <x:c r="I199" s="4" t="inlineStr">
        <x:is>
          <x:t xml:space="preserve">1993-09-28</x:t>
        </x:is>
      </x:c>
      <x:c r="J199" s="5" t="inlineStr">
        <x:is>
          <x:t xml:space="preserve">上海市浦东新区曹路工业园区民冬路239号6幢101室</x:t>
        </x:is>
      </x:c>
      <x:c r="K199" s="12" t="str">
        <x:f>LEFT("913100001334143114",18)</x:f>
        <x:v>913100001334143100</x:v>
      </x:c>
    </x:row>
    <x:row r="200">
      <x:c r="A200" s="2" t="n">
        <x:v>199</x:v>
      </x:c>
      <x:c r="B200" s="2" t="inlineStr">
        <x:is>
          <x:t xml:space="preserve">600679</x:t>
        </x:is>
      </x:c>
      <x:c r="C200" s="3" t="inlineStr">
        <x:is>
          <x:t xml:space="preserve">上海凤凰</x:t>
        </x:is>
      </x:c>
      <x:c r="D200" s="3" t="inlineStr">
        <x:is>
          <x:t xml:space="preserve">上海凤凰企业(集团)股份有限公司</x:t>
        </x:is>
      </x:c>
      <x:c r="E200" s="2" t="inlineStr">
        <x:is>
          <x:t xml:space="preserve">上海市</x:t>
        </x:is>
      </x:c>
      <x:c r="F200" s="2" t="inlineStr">
        <x:is>
          <x:t xml:space="preserve">上海市</x:t>
        </x:is>
      </x:c>
      <x:c r="G200" s="3" t="inlineStr">
        <x:is>
          <x:t xml:space="preserve">上海市-上海市</x:t>
        </x:is>
      </x:c>
      <x:c r="H200" s="2" t="inlineStr">
        <x:is>
          <x:t xml:space="preserve">交运设备</x:t>
        </x:is>
      </x:c>
      <x:c r="I200" s="2" t="inlineStr">
        <x:is>
          <x:t xml:space="preserve">1993-10-08</x:t>
        </x:is>
      </x:c>
      <x:c r="J200" s="3" t="inlineStr">
        <x:is>
          <x:t xml:space="preserve">中国上海市金山工业区开乐大街158号6号楼</x:t>
        </x:is>
      </x:c>
      <x:c r="K200" s="12" t="str">
        <x:f>LEFT("91310000132202296L",18)</x:f>
        <x:v>91310000132202296L</x:v>
      </x:c>
    </x:row>
    <x:row r="201">
      <x:c r="A201" s="4" t="n">
        <x:v>200</x:v>
      </x:c>
      <x:c r="B201" s="4" t="inlineStr">
        <x:is>
          <x:t xml:space="preserve">600688</x:t>
        </x:is>
      </x:c>
      <x:c r="C201" s="5" t="inlineStr">
        <x:is>
          <x:t xml:space="preserve">上海石化</x:t>
        </x:is>
      </x:c>
      <x:c r="D201" s="5" t="inlineStr">
        <x:is>
          <x:t xml:space="preserve">中国石化上海石油化工股份有限公司</x:t>
        </x:is>
      </x:c>
      <x:c r="E201" s="4" t="inlineStr">
        <x:is>
          <x:t xml:space="preserve">上海市</x:t>
        </x:is>
      </x:c>
      <x:c r="F201" s="4" t="inlineStr">
        <x:is>
          <x:t xml:space="preserve">上海市</x:t>
        </x:is>
      </x:c>
      <x:c r="G201" s="5" t="inlineStr">
        <x:is>
          <x:t xml:space="preserve">上海市-上海市</x:t>
        </x:is>
      </x:c>
      <x:c r="H201" s="4" t="inlineStr">
        <x:is>
          <x:t xml:space="preserve">石油行业</x:t>
        </x:is>
      </x:c>
      <x:c r="I201" s="4" t="inlineStr">
        <x:is>
          <x:t xml:space="preserve">1993-11-08</x:t>
        </x:is>
      </x:c>
      <x:c r="J201" s="5" t="inlineStr">
        <x:is>
          <x:t xml:space="preserve">中国上海市金山区金一路48号</x:t>
        </x:is>
      </x:c>
      <x:c r="K201" s="12" t="str">
        <x:f>LEFT("91310000132212291W",18)</x:f>
        <x:v>91310000132212291W</x:v>
      </x:c>
    </x:row>
    <x:row r="202">
      <x:c r="A202" s="2" t="n">
        <x:v>201</x:v>
      </x:c>
      <x:c r="B202" s="2" t="inlineStr">
        <x:is>
          <x:t xml:space="preserve">600689</x:t>
        </x:is>
      </x:c>
      <x:c r="C202" s="3" t="inlineStr">
        <x:is>
          <x:t xml:space="preserve">上海三毛</x:t>
        </x:is>
      </x:c>
      <x:c r="D202" s="3" t="inlineStr">
        <x:is>
          <x:t xml:space="preserve">上海三毛企业(集团)股份有限公司</x:t>
        </x:is>
      </x:c>
      <x:c r="E202" s="2" t="inlineStr">
        <x:is>
          <x:t xml:space="preserve">上海市</x:t>
        </x:is>
      </x:c>
      <x:c r="F202" s="2" t="inlineStr">
        <x:is>
          <x:t xml:space="preserve">上海市</x:t>
        </x:is>
      </x:c>
      <x:c r="G202" s="3" t="inlineStr">
        <x:is>
          <x:t xml:space="preserve">上海市-上海市</x:t>
        </x:is>
      </x:c>
      <x:c r="H202" s="2" t="inlineStr">
        <x:is>
          <x:t xml:space="preserve">纺织服装</x:t>
        </x:is>
      </x:c>
      <x:c r="I202" s="2" t="inlineStr">
        <x:is>
          <x:t xml:space="preserve">1993-11-08</x:t>
        </x:is>
      </x:c>
      <x:c r="J202" s="3" t="inlineStr">
        <x:is>
          <x:t xml:space="preserve">中国(上海)自由贸易试验区浦东大道1476号、1482号1401-1415室</x:t>
        </x:is>
      </x:c>
      <x:c r="K202" s="12" t="str">
        <x:f>LEFT("913100006072514987",18)</x:f>
        <x:v>913100006072515000</x:v>
      </x:c>
    </x:row>
    <x:row r="203">
      <x:c r="A203" s="4" t="n">
        <x:v>202</x:v>
      </x:c>
      <x:c r="B203" s="4" t="inlineStr">
        <x:is>
          <x:t xml:space="preserve">600692</x:t>
        </x:is>
      </x:c>
      <x:c r="C203" s="5" t="inlineStr">
        <x:is>
          <x:t xml:space="preserve">亚通股份</x:t>
        </x:is>
      </x:c>
      <x:c r="D203" s="5" t="inlineStr">
        <x:is>
          <x:t xml:space="preserve">上海亚通股份有限公司</x:t>
        </x:is>
      </x:c>
      <x:c r="E203" s="4" t="inlineStr">
        <x:is>
          <x:t xml:space="preserve">上海市</x:t>
        </x:is>
      </x:c>
      <x:c r="F203" s="4" t="inlineStr">
        <x:is>
          <x:t xml:space="preserve">上海市</x:t>
        </x:is>
      </x:c>
      <x:c r="G203" s="5" t="inlineStr">
        <x:is>
          <x:t xml:space="preserve">上海市-上海市</x:t>
        </x:is>
      </x:c>
      <x:c r="H203" s="4" t="inlineStr">
        <x:is>
          <x:t xml:space="preserve">房地产</x:t>
        </x:is>
      </x:c>
      <x:c r="I203" s="4" t="inlineStr">
        <x:is>
          <x:t xml:space="preserve">1993-11-19</x:t>
        </x:is>
      </x:c>
      <x:c r="J203" s="5" t="inlineStr">
        <x:is>
          <x:t xml:space="preserve">上海市崇明区八一路1号</x:t>
        </x:is>
      </x:c>
      <x:c r="K203" s="12" t="str">
        <x:f>LEFT("91310000132221817R",18)</x:f>
        <x:v>91310000132221817R</x:v>
      </x:c>
    </x:row>
    <x:row r="204">
      <x:c r="A204" s="2" t="n">
        <x:v>203</x:v>
      </x:c>
      <x:c r="B204" s="2" t="inlineStr">
        <x:is>
          <x:t xml:space="preserve">600696</x:t>
        </x:is>
      </x:c>
      <x:c r="C204" s="3" t="inlineStr">
        <x:is>
          <x:t xml:space="preserve">*ST岩石</x:t>
        </x:is>
      </x:c>
      <x:c r="D204" s="3" t="inlineStr">
        <x:is>
          <x:t xml:space="preserve">上海贵酒股份有限公司</x:t>
        </x:is>
      </x:c>
      <x:c r="E204" s="2" t="inlineStr">
        <x:is>
          <x:t xml:space="preserve">上海市</x:t>
        </x:is>
      </x:c>
      <x:c r="F204" s="2" t="inlineStr">
        <x:is>
          <x:t xml:space="preserve">上海市</x:t>
        </x:is>
      </x:c>
      <x:c r="G204" s="3" t="inlineStr">
        <x:is>
          <x:t xml:space="preserve">上海市-上海市</x:t>
        </x:is>
      </x:c>
      <x:c r="H204" s="2" t="inlineStr">
        <x:is>
          <x:t xml:space="preserve">酿酒行业</x:t>
        </x:is>
      </x:c>
      <x:c r="I204" s="2" t="inlineStr">
        <x:is>
          <x:t xml:space="preserve">1993-12-06</x:t>
        </x:is>
      </x:c>
      <x:c r="J204" s="3" t="inlineStr">
        <x:is>
          <x:t xml:space="preserve">上海市奉贤区南桥镇沪发路65弄1号</x:t>
        </x:is>
      </x:c>
      <x:c r="K204" s="12" t="str">
        <x:f>LEFT("913100006115260013",18)</x:f>
        <x:v>913100006115260000</x:v>
      </x:c>
    </x:row>
    <x:row r="205">
      <x:c r="A205" s="4" t="n">
        <x:v>204</x:v>
      </x:c>
      <x:c r="B205" s="4" t="inlineStr">
        <x:is>
          <x:t xml:space="preserve">600708</x:t>
        </x:is>
      </x:c>
      <x:c r="C205" s="5" t="inlineStr">
        <x:is>
          <x:t xml:space="preserve">光明地产</x:t>
        </x:is>
      </x:c>
      <x:c r="D205" s="5" t="inlineStr">
        <x:is>
          <x:t xml:space="preserve">光明房地产集团股份有限公司</x:t>
        </x:is>
      </x:c>
      <x:c r="E205" s="4" t="inlineStr">
        <x:is>
          <x:t xml:space="preserve">上海市</x:t>
        </x:is>
      </x:c>
      <x:c r="F205" s="4" t="inlineStr">
        <x:is>
          <x:t xml:space="preserve">上海市</x:t>
        </x:is>
      </x:c>
      <x:c r="G205" s="5" t="inlineStr">
        <x:is>
          <x:t xml:space="preserve">上海市-上海市</x:t>
        </x:is>
      </x:c>
      <x:c r="H205" s="4" t="inlineStr">
        <x:is>
          <x:t xml:space="preserve">房地产</x:t>
        </x:is>
      </x:c>
      <x:c r="I205" s="4" t="inlineStr">
        <x:is>
          <x:t xml:space="preserve">1996-06-06</x:t>
        </x:is>
      </x:c>
      <x:c r="J205" s="5" t="inlineStr">
        <x:is>
          <x:t xml:space="preserve">中国(上海)自由贸易试验区临港新片区丽正路1628号9幢2层A—75室</x:t>
        </x:is>
      </x:c>
      <x:c r="K205" s="12" t="str">
        <x:f>LEFT("91310000132209965Q",18)</x:f>
        <x:v>91310000132209965Q</x:v>
      </x:c>
    </x:row>
    <x:row r="206">
      <x:c r="A206" s="2" t="n">
        <x:v>205</x:v>
      </x:c>
      <x:c r="B206" s="2" t="inlineStr">
        <x:is>
          <x:t xml:space="preserve">600732</x:t>
        </x:is>
      </x:c>
      <x:c r="C206" s="3" t="inlineStr">
        <x:is>
          <x:t xml:space="preserve">爱旭股份</x:t>
        </x:is>
      </x:c>
      <x:c r="D206" s="3" t="inlineStr">
        <x:is>
          <x:t xml:space="preserve">上海爱旭新能源股份有限公司</x:t>
        </x:is>
      </x:c>
      <x:c r="E206" s="2" t="inlineStr">
        <x:is>
          <x:t xml:space="preserve">上海市</x:t>
        </x:is>
      </x:c>
      <x:c r="F206" s="2" t="inlineStr">
        <x:is>
          <x:t xml:space="preserve">上海市</x:t>
        </x:is>
      </x:c>
      <x:c r="G206" s="3" t="inlineStr">
        <x:is>
          <x:t xml:space="preserve">上海市-上海市</x:t>
        </x:is>
      </x:c>
      <x:c r="H206" s="2" t="inlineStr">
        <x:is>
          <x:t xml:space="preserve">光伏设备</x:t>
        </x:is>
      </x:c>
      <x:c r="I206" s="2" t="inlineStr">
        <x:is>
          <x:t xml:space="preserve">1996-08-16</x:t>
        </x:is>
      </x:c>
      <x:c r="J206" s="3" t="inlineStr">
        <x:is>
          <x:t xml:space="preserve">上海市浦东新区秋月路26号4幢201-1室</x:t>
        </x:is>
      </x:c>
      <x:c r="K206" s="12" t="str">
        <x:f>LEFT("91310000132269407T",18)</x:f>
        <x:v>91310000132269407T</x:v>
      </x:c>
    </x:row>
    <x:row r="207">
      <x:c r="A207" s="4" t="n">
        <x:v>206</x:v>
      </x:c>
      <x:c r="B207" s="4" t="inlineStr">
        <x:is>
          <x:t xml:space="preserve">600741</x:t>
        </x:is>
      </x:c>
      <x:c r="C207" s="5" t="inlineStr">
        <x:is>
          <x:t xml:space="preserve">华域汽车</x:t>
        </x:is>
      </x:c>
      <x:c r="D207" s="5" t="inlineStr">
        <x:is>
          <x:t xml:space="preserve">华域汽车系统股份有限公司</x:t>
        </x:is>
      </x:c>
      <x:c r="E207" s="4" t="inlineStr">
        <x:is>
          <x:t xml:space="preserve">上海市</x:t>
        </x:is>
      </x:c>
      <x:c r="F207" s="4" t="inlineStr">
        <x:is>
          <x:t xml:space="preserve">上海市</x:t>
        </x:is>
      </x:c>
      <x:c r="G207" s="5" t="inlineStr">
        <x:is>
          <x:t xml:space="preserve">上海市-上海市</x:t>
        </x:is>
      </x:c>
      <x:c r="H207" s="4" t="inlineStr">
        <x:is>
          <x:t xml:space="preserve">汽车行业</x:t>
        </x:is>
      </x:c>
      <x:c r="I207" s="4" t="inlineStr">
        <x:is>
          <x:t xml:space="preserve">1996-08-26</x:t>
        </x:is>
      </x:c>
      <x:c r="J207" s="5" t="inlineStr">
        <x:is>
          <x:t xml:space="preserve">中国上海市威海路489号</x:t>
        </x:is>
      </x:c>
      <x:c r="K207" s="12" t="str">
        <x:f>LEFT("9131000013221035XN",18)</x:f>
        <x:v>9131000013221035XN</x:v>
      </x:c>
    </x:row>
    <x:row r="208">
      <x:c r="A208" s="2" t="n">
        <x:v>207</x:v>
      </x:c>
      <x:c r="B208" s="2" t="inlineStr">
        <x:is>
          <x:t xml:space="preserve">600748</x:t>
        </x:is>
      </x:c>
      <x:c r="C208" s="3" t="inlineStr">
        <x:is>
          <x:t xml:space="preserve">上实发展</x:t>
        </x:is>
      </x:c>
      <x:c r="D208" s="3" t="inlineStr">
        <x:is>
          <x:t xml:space="preserve">上海实业发展股份有限公司</x:t>
        </x:is>
      </x:c>
      <x:c r="E208" s="2" t="inlineStr">
        <x:is>
          <x:t xml:space="preserve">上海市</x:t>
        </x:is>
      </x:c>
      <x:c r="F208" s="2" t="inlineStr">
        <x:is>
          <x:t xml:space="preserve">上海市</x:t>
        </x:is>
      </x:c>
      <x:c r="G208" s="3" t="inlineStr">
        <x:is>
          <x:t xml:space="preserve">上海市-上海市</x:t>
        </x:is>
      </x:c>
      <x:c r="H208" s="2" t="inlineStr">
        <x:is>
          <x:t xml:space="preserve">房地产</x:t>
        </x:is>
      </x:c>
      <x:c r="I208" s="2" t="inlineStr">
        <x:is>
          <x:t xml:space="preserve">1996-09-25</x:t>
        </x:is>
      </x:c>
      <x:c r="J208" s="3" t="inlineStr">
        <x:is>
          <x:t xml:space="preserve">中国(上海)自由贸易试验区浦东南路1085号华申大厦六楼</x:t>
        </x:is>
      </x:c>
      <x:c r="K208" s="12" t="str">
        <x:f>LEFT("9131000013227883X9",18)</x:f>
        <x:v>9131000013227883X9</x:v>
      </x:c>
    </x:row>
    <x:row r="209">
      <x:c r="A209" s="4" t="n">
        <x:v>208</x:v>
      </x:c>
      <x:c r="B209" s="4" t="inlineStr">
        <x:is>
          <x:t xml:space="preserve">600754</x:t>
        </x:is>
      </x:c>
      <x:c r="C209" s="5" t="inlineStr">
        <x:is>
          <x:t xml:space="preserve">锦江酒店</x:t>
        </x:is>
      </x:c>
      <x:c r="D209" s="5" t="inlineStr">
        <x:is>
          <x:t xml:space="preserve">上海锦江国际酒店股份有限公司</x:t>
        </x:is>
      </x:c>
      <x:c r="E209" s="4" t="inlineStr">
        <x:is>
          <x:t xml:space="preserve">上海市</x:t>
        </x:is>
      </x:c>
      <x:c r="F209" s="4" t="inlineStr">
        <x:is>
          <x:t xml:space="preserve">上海市</x:t>
        </x:is>
      </x:c>
      <x:c r="G209" s="5" t="inlineStr">
        <x:is>
          <x:t xml:space="preserve">上海市-上海市</x:t>
        </x:is>
      </x:c>
      <x:c r="H209" s="4" t="inlineStr">
        <x:is>
          <x:t xml:space="preserve">旅游酒店</x:t>
        </x:is>
      </x:c>
      <x:c r="I209" s="4" t="inlineStr">
        <x:is>
          <x:t xml:space="preserve">1996-10-11</x:t>
        </x:is>
      </x:c>
      <x:c r="J209" s="5" t="inlineStr">
        <x:is>
          <x:t xml:space="preserve">中国(上海)自由贸易试验区杨高南路889号东锦江大酒店商住楼四层(B区域)</x:t>
        </x:is>
      </x:c>
      <x:c r="K209" s="12" t="str">
        <x:f>LEFT("91310000132203715W",18)</x:f>
        <x:v>91310000132203715W</x:v>
      </x:c>
    </x:row>
    <x:row r="210">
      <x:c r="A210" s="2" t="n">
        <x:v>209</x:v>
      </x:c>
      <x:c r="B210" s="2" t="inlineStr">
        <x:is>
          <x:t xml:space="preserve">600816</x:t>
        </x:is>
      </x:c>
      <x:c r="C210" s="3" t="inlineStr">
        <x:is>
          <x:t xml:space="preserve">建元信托</x:t>
        </x:is>
      </x:c>
      <x:c r="D210" s="3" t="inlineStr">
        <x:is>
          <x:t xml:space="preserve">建元信托股份有限公司</x:t>
        </x:is>
      </x:c>
      <x:c r="E210" s="2" t="inlineStr">
        <x:is>
          <x:t xml:space="preserve">上海市</x:t>
        </x:is>
      </x:c>
      <x:c r="F210" s="2" t="inlineStr">
        <x:is>
          <x:t xml:space="preserve">上海市</x:t>
        </x:is>
      </x:c>
      <x:c r="G210" s="3" t="inlineStr">
        <x:is>
          <x:t xml:space="preserve">上海市-上海市</x:t>
        </x:is>
      </x:c>
      <x:c r="H210" s="2" t="inlineStr">
        <x:is>
          <x:t xml:space="preserve">多元金融</x:t>
        </x:is>
      </x:c>
      <x:c r="I210" s="2" t="inlineStr">
        <x:is>
          <x:t xml:space="preserve">1994-01-28</x:t>
        </x:is>
      </x:c>
      <x:c r="J210" s="3" t="inlineStr">
        <x:is>
          <x:t xml:space="preserve">上海市控江路1553号-1555号A座301室</x:t>
        </x:is>
      </x:c>
      <x:c r="K210" s="12" t="str">
        <x:f>LEFT("91310000765596096G",18)</x:f>
        <x:v>91310000765596096G</x:v>
      </x:c>
    </x:row>
    <x:row r="211">
      <x:c r="A211" s="4" t="n">
        <x:v>210</x:v>
      </x:c>
      <x:c r="B211" s="4" t="inlineStr">
        <x:is>
          <x:t xml:space="preserve">600818</x:t>
        </x:is>
      </x:c>
      <x:c r="C211" s="5" t="inlineStr">
        <x:is>
          <x:t xml:space="preserve">中路股份</x:t>
        </x:is>
      </x:c>
      <x:c r="D211" s="5" t="inlineStr">
        <x:is>
          <x:t xml:space="preserve">中路股份有限公司</x:t>
        </x:is>
      </x:c>
      <x:c r="E211" s="4" t="inlineStr">
        <x:is>
          <x:t xml:space="preserve">上海市</x:t>
        </x:is>
      </x:c>
      <x:c r="F211" s="4" t="inlineStr">
        <x:is>
          <x:t xml:space="preserve">上海市</x:t>
        </x:is>
      </x:c>
      <x:c r="G211" s="5" t="inlineStr">
        <x:is>
          <x:t xml:space="preserve">上海市-上海市</x:t>
        </x:is>
      </x:c>
      <x:c r="H211" s="4" t="inlineStr">
        <x:is>
          <x:t xml:space="preserve">交运设备</x:t>
        </x:is>
      </x:c>
      <x:c r="I211" s="4" t="inlineStr">
        <x:is>
          <x:t xml:space="preserve">1994-01-28</x:t>
        </x:is>
      </x:c>
      <x:c r="J211" s="5" t="inlineStr">
        <x:is>
          <x:t xml:space="preserve">上海市浦东新区南六公路818号</x:t>
        </x:is>
      </x:c>
      <x:c r="K211" s="12" t="str">
        <x:f>LEFT("913100006072865786",18)</x:f>
        <x:v>913100006072865800</x:v>
      </x:c>
    </x:row>
    <x:row r="212">
      <x:c r="A212" s="2" t="n">
        <x:v>211</x:v>
      </x:c>
      <x:c r="B212" s="2" t="inlineStr">
        <x:is>
          <x:t xml:space="preserve">600819</x:t>
        </x:is>
      </x:c>
      <x:c r="C212" s="3" t="inlineStr">
        <x:is>
          <x:t xml:space="preserve">耀皮玻璃</x:t>
        </x:is>
      </x:c>
      <x:c r="D212" s="3" t="inlineStr">
        <x:is>
          <x:t xml:space="preserve">上海耀皮玻璃集团股份有限公司</x:t>
        </x:is>
      </x:c>
      <x:c r="E212" s="2" t="inlineStr">
        <x:is>
          <x:t xml:space="preserve">上海市</x:t>
        </x:is>
      </x:c>
      <x:c r="F212" s="2" t="inlineStr">
        <x:is>
          <x:t xml:space="preserve">上海市</x:t>
        </x:is>
      </x:c>
      <x:c r="G212" s="3" t="inlineStr">
        <x:is>
          <x:t xml:space="preserve">上海市-上海市</x:t>
        </x:is>
      </x:c>
      <x:c r="H212" s="2" t="inlineStr">
        <x:is>
          <x:t xml:space="preserve">玻璃陶瓷</x:t>
        </x:is>
      </x:c>
      <x:c r="I212" s="2" t="inlineStr">
        <x:is>
          <x:t xml:space="preserve">1994-01-28</x:t>
        </x:is>
      </x:c>
      <x:c r="J212" s="3" t="inlineStr">
        <x:is>
          <x:t xml:space="preserve">中国(上海)自由贸易试验区张东路1388号4-5幢</x:t>
        </x:is>
      </x:c>
      <x:c r="K212" s="12" t="str">
        <x:f>LEFT("91310000607210186Q",18)</x:f>
        <x:v>91310000607210186Q</x:v>
      </x:c>
    </x:row>
    <x:row r="213">
      <x:c r="A213" s="4" t="n">
        <x:v>212</x:v>
      </x:c>
      <x:c r="B213" s="4" t="inlineStr">
        <x:is>
          <x:t xml:space="preserve">600820</x:t>
        </x:is>
      </x:c>
      <x:c r="C213" s="5" t="inlineStr">
        <x:is>
          <x:t xml:space="preserve">隧道股份</x:t>
        </x:is>
      </x:c>
      <x:c r="D213" s="5" t="inlineStr">
        <x:is>
          <x:t xml:space="preserve">上海隧道工程股份有限公司</x:t>
        </x:is>
      </x:c>
      <x:c r="E213" s="4" t="inlineStr">
        <x:is>
          <x:t xml:space="preserve">上海市</x:t>
        </x:is>
      </x:c>
      <x:c r="F213" s="4" t="inlineStr">
        <x:is>
          <x:t xml:space="preserve">上海市</x:t>
        </x:is>
      </x:c>
      <x:c r="G213" s="5" t="inlineStr">
        <x:is>
          <x:t xml:space="preserve">上海市-上海市</x:t>
        </x:is>
      </x:c>
      <x:c r="H213" s="4" t="inlineStr">
        <x:is>
          <x:t xml:space="preserve">工程建设</x:t>
        </x:is>
      </x:c>
      <x:c r="I213" s="4" t="inlineStr">
        <x:is>
          <x:t xml:space="preserve">1994-01-28</x:t>
        </x:is>
      </x:c>
      <x:c r="J213" s="5" t="inlineStr">
        <x:is>
          <x:t xml:space="preserve">上海市徐汇区宛平南路1099号</x:t>
        </x:is>
      </x:c>
      <x:c r="K213" s="12" t="str">
        <x:f>LEFT("91310000132222385M",18)</x:f>
        <x:v>91310000132222385M</x:v>
      </x:c>
    </x:row>
    <x:row r="214">
      <x:c r="A214" s="2" t="n">
        <x:v>213</x:v>
      </x:c>
      <x:c r="B214" s="2" t="inlineStr">
        <x:is>
          <x:t xml:space="preserve">600822</x:t>
        </x:is>
      </x:c>
      <x:c r="C214" s="3" t="inlineStr">
        <x:is>
          <x:t xml:space="preserve">上海物贸</x:t>
        </x:is>
      </x:c>
      <x:c r="D214" s="3" t="inlineStr">
        <x:is>
          <x:t xml:space="preserve">上海物资贸易股份有限公司</x:t>
        </x:is>
      </x:c>
      <x:c r="E214" s="2" t="inlineStr">
        <x:is>
          <x:t xml:space="preserve">上海市</x:t>
        </x:is>
      </x:c>
      <x:c r="F214" s="2" t="inlineStr">
        <x:is>
          <x:t xml:space="preserve">上海市</x:t>
        </x:is>
      </x:c>
      <x:c r="G214" s="3" t="inlineStr">
        <x:is>
          <x:t xml:space="preserve">上海市-上海市</x:t>
        </x:is>
      </x:c>
      <x:c r="H214" s="2" t="inlineStr">
        <x:is>
          <x:t xml:space="preserve">汽车服务</x:t>
        </x:is>
      </x:c>
      <x:c r="I214" s="2" t="inlineStr">
        <x:is>
          <x:t xml:space="preserve">1994-02-04</x:t>
        </x:is>
      </x:c>
      <x:c r="J214" s="3" t="inlineStr">
        <x:is>
          <x:t xml:space="preserve">上海市黄浦区南苏州路325号7楼</x:t>
        </x:is>
      </x:c>
      <x:c r="K214" s="12" t="str">
        <x:f>LEFT("913100006072619284",18)</x:f>
        <x:v>913100006072619300</x:v>
      </x:c>
    </x:row>
    <x:row r="215">
      <x:c r="A215" s="4" t="n">
        <x:v>214</x:v>
      </x:c>
      <x:c r="B215" s="4" t="inlineStr">
        <x:is>
          <x:t xml:space="preserve">600824</x:t>
        </x:is>
      </x:c>
      <x:c r="C215" s="5" t="inlineStr">
        <x:is>
          <x:t xml:space="preserve">益民集团</x:t>
        </x:is>
      </x:c>
      <x:c r="D215" s="5" t="inlineStr">
        <x:is>
          <x:t xml:space="preserve">上海益民商业集团股份有限公司</x:t>
        </x:is>
      </x:c>
      <x:c r="E215" s="4" t="inlineStr">
        <x:is>
          <x:t xml:space="preserve">上海市</x:t>
        </x:is>
      </x:c>
      <x:c r="F215" s="4" t="inlineStr">
        <x:is>
          <x:t xml:space="preserve">上海市</x:t>
        </x:is>
      </x:c>
      <x:c r="G215" s="5" t="inlineStr">
        <x:is>
          <x:t xml:space="preserve">上海市-上海市</x:t>
        </x:is>
      </x:c>
      <x:c r="H215" s="4" t="inlineStr">
        <x:is>
          <x:t xml:space="preserve">商业百货</x:t>
        </x:is>
      </x:c>
      <x:c r="I215" s="4" t="inlineStr">
        <x:is>
          <x:t xml:space="preserve">1994-02-04</x:t>
        </x:is>
      </x:c>
      <x:c r="J215" s="5" t="inlineStr">
        <x:is>
          <x:t xml:space="preserve">上海市淮海中路809号甲七楼</x:t>
        </x:is>
      </x:c>
      <x:c r="K215" s="12" t="str">
        <x:f>LEFT("9131000013222900X9",18)</x:f>
        <x:v>9131000013222900X9</x:v>
      </x:c>
    </x:row>
    <x:row r="216">
      <x:c r="A216" s="2" t="n">
        <x:v>215</x:v>
      </x:c>
      <x:c r="B216" s="2" t="inlineStr">
        <x:is>
          <x:t xml:space="preserve">600825</x:t>
        </x:is>
      </x:c>
      <x:c r="C216" s="3" t="inlineStr">
        <x:is>
          <x:t xml:space="preserve">新华传媒</x:t>
        </x:is>
      </x:c>
      <x:c r="D216" s="3" t="inlineStr">
        <x:is>
          <x:t xml:space="preserve">上海新华传媒股份有限公司</x:t>
        </x:is>
      </x:c>
      <x:c r="E216" s="2" t="inlineStr">
        <x:is>
          <x:t xml:space="preserve">上海市</x:t>
        </x:is>
      </x:c>
      <x:c r="F216" s="2" t="inlineStr">
        <x:is>
          <x:t xml:space="preserve">上海市</x:t>
        </x:is>
      </x:c>
      <x:c r="G216" s="3" t="inlineStr">
        <x:is>
          <x:t xml:space="preserve">上海市-上海市</x:t>
        </x:is>
      </x:c>
      <x:c r="H216" s="2" t="inlineStr">
        <x:is>
          <x:t xml:space="preserve">文化传媒</x:t>
        </x:is>
      </x:c>
      <x:c r="I216" s="2" t="inlineStr">
        <x:is>
          <x:t xml:space="preserve">1994-02-04</x:t>
        </x:is>
      </x:c>
      <x:c r="J216" s="3" t="inlineStr">
        <x:is>
          <x:t xml:space="preserve">上海市闵行区剑川路951号5号楼1层西侧</x:t>
        </x:is>
      </x:c>
      <x:c r="K216" s="12" t="str">
        <x:f>LEFT("91310000132205681G",18)</x:f>
        <x:v>91310000132205681G</x:v>
      </x:c>
    </x:row>
    <x:row r="217">
      <x:c r="A217" s="4" t="n">
        <x:v>216</x:v>
      </x:c>
      <x:c r="B217" s="4" t="inlineStr">
        <x:is>
          <x:t xml:space="preserve">600826</x:t>
        </x:is>
      </x:c>
      <x:c r="C217" s="5" t="inlineStr">
        <x:is>
          <x:t xml:space="preserve">兰生股份</x:t>
        </x:is>
      </x:c>
      <x:c r="D217" s="5" t="inlineStr">
        <x:is>
          <x:t xml:space="preserve">东浩兰生会展集团股份有限公司</x:t>
        </x:is>
      </x:c>
      <x:c r="E217" s="4" t="inlineStr">
        <x:is>
          <x:t xml:space="preserve">上海市</x:t>
        </x:is>
      </x:c>
      <x:c r="F217" s="4" t="inlineStr">
        <x:is>
          <x:t xml:space="preserve">上海市</x:t>
        </x:is>
      </x:c>
      <x:c r="G217" s="5" t="inlineStr">
        <x:is>
          <x:t xml:space="preserve">上海市-上海市</x:t>
        </x:is>
      </x:c>
      <x:c r="H217" s="4" t="inlineStr">
        <x:is>
          <x:t xml:space="preserve">国际贸易</x:t>
        </x:is>
      </x:c>
      <x:c r="I217" s="4" t="inlineStr">
        <x:is>
          <x:t xml:space="preserve">1994-02-04</x:t>
        </x:is>
      </x:c>
      <x:c r="J217" s="5" t="inlineStr">
        <x:is>
          <x:t xml:space="preserve">上海市浦东新区陆家嘴东路161号2602室</x:t>
        </x:is>
      </x:c>
      <x:c r="K217" s="12" t="str">
        <x:f>LEFT("913100001322300861",18)</x:f>
        <x:v>913100001322300800</x:v>
      </x:c>
    </x:row>
    <x:row r="218">
      <x:c r="A218" s="2" t="n">
        <x:v>217</x:v>
      </x:c>
      <x:c r="B218" s="2" t="inlineStr">
        <x:is>
          <x:t xml:space="preserve">600827</x:t>
        </x:is>
      </x:c>
      <x:c r="C218" s="3" t="inlineStr">
        <x:is>
          <x:t xml:space="preserve">百联股份</x:t>
        </x:is>
      </x:c>
      <x:c r="D218" s="3" t="inlineStr">
        <x:is>
          <x:t xml:space="preserve">上海百联集团股份有限公司</x:t>
        </x:is>
      </x:c>
      <x:c r="E218" s="2" t="inlineStr">
        <x:is>
          <x:t xml:space="preserve">上海市</x:t>
        </x:is>
      </x:c>
      <x:c r="F218" s="2" t="inlineStr">
        <x:is>
          <x:t xml:space="preserve">上海市</x:t>
        </x:is>
      </x:c>
      <x:c r="G218" s="3" t="inlineStr">
        <x:is>
          <x:t xml:space="preserve">上海市-上海市</x:t>
        </x:is>
      </x:c>
      <x:c r="H218" s="2" t="inlineStr">
        <x:is>
          <x:t xml:space="preserve">商业百货</x:t>
        </x:is>
      </x:c>
      <x:c r="I218" s="2" t="inlineStr">
        <x:is>
          <x:t xml:space="preserve">1994-02-04</x:t>
        </x:is>
      </x:c>
      <x:c r="J218" s="3" t="inlineStr">
        <x:is>
          <x:t xml:space="preserve">上海市浦东新区张杨路501号11楼1101室</x:t>
        </x:is>
      </x:c>
      <x:c r="K218" s="12" t="str">
        <x:f>LEFT("9131000013220198XB",18)</x:f>
        <x:v>9131000013220198XB</x:v>
      </x:c>
    </x:row>
    <x:row r="219">
      <x:c r="A219" s="4" t="n">
        <x:v>218</x:v>
      </x:c>
      <x:c r="B219" s="4" t="inlineStr">
        <x:is>
          <x:t xml:space="preserve">600833</x:t>
        </x:is>
      </x:c>
      <x:c r="C219" s="5" t="inlineStr">
        <x:is>
          <x:t xml:space="preserve">第一医药</x:t>
        </x:is>
      </x:c>
      <x:c r="D219" s="5" t="inlineStr">
        <x:is>
          <x:t xml:space="preserve">上海第一医药股份有限公司</x:t>
        </x:is>
      </x:c>
      <x:c r="E219" s="4" t="inlineStr">
        <x:is>
          <x:t xml:space="preserve">上海市</x:t>
        </x:is>
      </x:c>
      <x:c r="F219" s="4" t="inlineStr">
        <x:is>
          <x:t xml:space="preserve">上海市</x:t>
        </x:is>
      </x:c>
      <x:c r="G219" s="5" t="inlineStr">
        <x:is>
          <x:t xml:space="preserve">上海市-上海市</x:t>
        </x:is>
      </x:c>
      <x:c r="H219" s="4" t="inlineStr">
        <x:is>
          <x:t xml:space="preserve">医药商业</x:t>
        </x:is>
      </x:c>
      <x:c r="I219" s="4" t="inlineStr">
        <x:is>
          <x:t xml:space="preserve">1994-02-24</x:t>
        </x:is>
      </x:c>
      <x:c r="J219" s="5" t="inlineStr">
        <x:is>
          <x:t xml:space="preserve">上海市黄浦区南京东路616号</x:t>
        </x:is>
      </x:c>
      <x:c r="K219" s="12" t="str">
        <x:f>LEFT("913100001322058845",18)</x:f>
        <x:v>913100001322058900</x:v>
      </x:c>
    </x:row>
    <x:row r="220">
      <x:c r="A220" s="2" t="n">
        <x:v>219</x:v>
      </x:c>
      <x:c r="B220" s="2" t="inlineStr">
        <x:is>
          <x:t xml:space="preserve">600834</x:t>
        </x:is>
      </x:c>
      <x:c r="C220" s="3" t="inlineStr">
        <x:is>
          <x:t xml:space="preserve">申通地铁</x:t>
        </x:is>
      </x:c>
      <x:c r="D220" s="3" t="inlineStr">
        <x:is>
          <x:t xml:space="preserve">上海申通地铁股份有限公司</x:t>
        </x:is>
      </x:c>
      <x:c r="E220" s="2" t="inlineStr">
        <x:is>
          <x:t xml:space="preserve">上海市</x:t>
        </x:is>
      </x:c>
      <x:c r="F220" s="2" t="inlineStr">
        <x:is>
          <x:t xml:space="preserve">上海市</x:t>
        </x:is>
      </x:c>
      <x:c r="G220" s="3" t="inlineStr">
        <x:is>
          <x:t xml:space="preserve">上海市-上海市</x:t>
        </x:is>
      </x:c>
      <x:c r="H220" s="2" t="inlineStr">
        <x:is>
          <x:t xml:space="preserve">高速公路</x:t>
        </x:is>
      </x:c>
      <x:c r="I220" s="2" t="inlineStr">
        <x:is>
          <x:t xml:space="preserve">1994-02-24</x:t>
        </x:is>
      </x:c>
      <x:c r="J220" s="3" t="inlineStr">
        <x:is>
          <x:t xml:space="preserve">中国(上海)自由贸易试验区浦电路489号5楼</x:t>
        </x:is>
      </x:c>
      <x:c r="K220" s="12" t="str">
        <x:f>LEFT("913100001322055189",18)</x:f>
        <x:v>913100001322055200</x:v>
      </x:c>
    </x:row>
    <x:row r="221">
      <x:c r="A221" s="4" t="n">
        <x:v>220</x:v>
      </x:c>
      <x:c r="B221" s="4" t="inlineStr">
        <x:is>
          <x:t xml:space="preserve">600835</x:t>
        </x:is>
      </x:c>
      <x:c r="C221" s="5" t="inlineStr">
        <x:is>
          <x:t xml:space="preserve">上海机电</x:t>
        </x:is>
      </x:c>
      <x:c r="D221" s="5" t="inlineStr">
        <x:is>
          <x:t xml:space="preserve">上海机电股份有限公司</x:t>
        </x:is>
      </x:c>
      <x:c r="E221" s="4" t="inlineStr">
        <x:is>
          <x:t xml:space="preserve">上海市</x:t>
        </x:is>
      </x:c>
      <x:c r="F221" s="4" t="inlineStr">
        <x:is>
          <x:t xml:space="preserve">上海市</x:t>
        </x:is>
      </x:c>
      <x:c r="G221" s="5" t="inlineStr">
        <x:is>
          <x:t xml:space="preserve">上海市-上海市</x:t>
        </x:is>
      </x:c>
      <x:c r="H221" s="4" t="inlineStr">
        <x:is>
          <x:t xml:space="preserve">专用设备</x:t>
        </x:is>
      </x:c>
      <x:c r="I221" s="4" t="inlineStr">
        <x:is>
          <x:t xml:space="preserve">1994-02-24</x:t>
        </x:is>
      </x:c>
      <x:c r="J221" s="5" t="inlineStr">
        <x:is>
          <x:t xml:space="preserve">上海市浦东新区北张家浜路128号</x:t>
        </x:is>
      </x:c>
      <x:c r="K221" s="12" t="str">
        <x:f>LEFT("91310000607262023Q",18)</x:f>
        <x:v>91310000607262023Q</x:v>
      </x:c>
    </x:row>
    <x:row r="222">
      <x:c r="A222" s="2" t="n">
        <x:v>221</x:v>
      </x:c>
      <x:c r="B222" s="2" t="inlineStr">
        <x:is>
          <x:t xml:space="preserve">600838</x:t>
        </x:is>
      </x:c>
      <x:c r="C222" s="3" t="inlineStr">
        <x:is>
          <x:t xml:space="preserve">上海九百</x:t>
        </x:is>
      </x:c>
      <x:c r="D222" s="3" t="inlineStr">
        <x:is>
          <x:t xml:space="preserve">上海九百股份有限公司</x:t>
        </x:is>
      </x:c>
      <x:c r="E222" s="2" t="inlineStr">
        <x:is>
          <x:t xml:space="preserve">上海市</x:t>
        </x:is>
      </x:c>
      <x:c r="F222" s="2" t="inlineStr">
        <x:is>
          <x:t xml:space="preserve">上海市</x:t>
        </x:is>
      </x:c>
      <x:c r="G222" s="3" t="inlineStr">
        <x:is>
          <x:t xml:space="preserve">上海市-上海市</x:t>
        </x:is>
      </x:c>
      <x:c r="H222" s="2" t="inlineStr">
        <x:is>
          <x:t xml:space="preserve">商业百货</x:t>
        </x:is>
      </x:c>
      <x:c r="I222" s="2" t="inlineStr">
        <x:is>
          <x:t xml:space="preserve">1994-02-24</x:t>
        </x:is>
      </x:c>
      <x:c r="J222" s="3" t="inlineStr">
        <x:is>
          <x:t xml:space="preserve">中国上海市愚园路300号6楼D室</x:t>
        </x:is>
      </x:c>
      <x:c r="K222" s="12" t="str">
        <x:f>LEFT("91310000132234925P",18)</x:f>
        <x:v>91310000132234925P</x:v>
      </x:c>
    </x:row>
    <x:row r="223">
      <x:c r="A223" s="4" t="n">
        <x:v>222</x:v>
      </x:c>
      <x:c r="B223" s="4" t="inlineStr">
        <x:is>
          <x:t xml:space="preserve">600841</x:t>
        </x:is>
      </x:c>
      <x:c r="C223" s="5" t="inlineStr">
        <x:is>
          <x:t xml:space="preserve">动力新科</x:t>
        </x:is>
      </x:c>
      <x:c r="D223" s="5" t="inlineStr">
        <x:is>
          <x:t xml:space="preserve">上海新动力汽车科技股份有限公司</x:t>
        </x:is>
      </x:c>
      <x:c r="E223" s="4" t="inlineStr">
        <x:is>
          <x:t xml:space="preserve">上海市</x:t>
        </x:is>
      </x:c>
      <x:c r="F223" s="4" t="inlineStr">
        <x:is>
          <x:t xml:space="preserve">上海市</x:t>
        </x:is>
      </x:c>
      <x:c r="G223" s="5" t="inlineStr">
        <x:is>
          <x:t xml:space="preserve">上海市-上海市</x:t>
        </x:is>
      </x:c>
      <x:c r="H223" s="4" t="inlineStr">
        <x:is>
          <x:t xml:space="preserve">汽车整车</x:t>
        </x:is>
      </x:c>
      <x:c r="I223" s="4" t="inlineStr">
        <x:is>
          <x:t xml:space="preserve">1994-03-11</x:t>
        </x:is>
      </x:c>
      <x:c r="J223" s="5" t="inlineStr">
        <x:is>
          <x:t xml:space="preserve">上海市杨浦区军工路2636号</x:t>
        </x:is>
      </x:c>
      <x:c r="K223" s="12" t="str">
        <x:f>LEFT("91310000607234882G",18)</x:f>
        <x:v>91310000607234882G</x:v>
      </x:c>
    </x:row>
    <x:row r="224">
      <x:c r="A224" s="2" t="n">
        <x:v>223</x:v>
      </x:c>
      <x:c r="B224" s="2" t="inlineStr">
        <x:is>
          <x:t xml:space="preserve">600843</x:t>
        </x:is>
      </x:c>
      <x:c r="C224" s="3" t="inlineStr">
        <x:is>
          <x:t xml:space="preserve">上工申贝</x:t>
        </x:is>
      </x:c>
      <x:c r="D224" s="3" t="inlineStr">
        <x:is>
          <x:t xml:space="preserve">上工申贝(集团)股份有限公司</x:t>
        </x:is>
      </x:c>
      <x:c r="E224" s="2" t="inlineStr">
        <x:is>
          <x:t xml:space="preserve">上海市</x:t>
        </x:is>
      </x:c>
      <x:c r="F224" s="2" t="inlineStr">
        <x:is>
          <x:t xml:space="preserve">上海市</x:t>
        </x:is>
      </x:c>
      <x:c r="G224" s="3" t="inlineStr">
        <x:is>
          <x:t xml:space="preserve">上海市-上海市</x:t>
        </x:is>
      </x:c>
      <x:c r="H224" s="2" t="inlineStr">
        <x:is>
          <x:t xml:space="preserve">专用设备</x:t>
        </x:is>
      </x:c>
      <x:c r="I224" s="2" t="inlineStr">
        <x:is>
          <x:t xml:space="preserve">1994-03-11</x:t>
        </x:is>
      </x:c>
      <x:c r="J224" s="3" t="inlineStr">
        <x:is>
          <x:t xml:space="preserve">中国(上海)自由贸易试验区世纪大道1500号东方大厦12楼A-D室</x:t>
        </x:is>
      </x:c>
      <x:c r="K224" s="12" t="str">
        <x:f>LEFT("91310000132210544K",18)</x:f>
        <x:v>91310000132210544K</x:v>
      </x:c>
    </x:row>
    <x:row r="225">
      <x:c r="A225" s="4" t="n">
        <x:v>224</x:v>
      </x:c>
      <x:c r="B225" s="4" t="inlineStr">
        <x:is>
          <x:t xml:space="preserve">600845</x:t>
        </x:is>
      </x:c>
      <x:c r="C225" s="5" t="inlineStr">
        <x:is>
          <x:t xml:space="preserve">宝信软件</x:t>
        </x:is>
      </x:c>
      <x:c r="D225" s="5" t="inlineStr">
        <x:is>
          <x:t xml:space="preserve">上海宝信软件股份有限公司</x:t>
        </x:is>
      </x:c>
      <x:c r="E225" s="4" t="inlineStr">
        <x:is>
          <x:t xml:space="preserve">上海市</x:t>
        </x:is>
      </x:c>
      <x:c r="F225" s="4" t="inlineStr">
        <x:is>
          <x:t xml:space="preserve">上海市</x:t>
        </x:is>
      </x:c>
      <x:c r="G225" s="5" t="inlineStr">
        <x:is>
          <x:t xml:space="preserve">上海市-上海市</x:t>
        </x:is>
      </x:c>
      <x:c r="H225" s="4" t="inlineStr">
        <x:is>
          <x:t xml:space="preserve">互联网服务</x:t>
        </x:is>
      </x:c>
      <x:c r="I225" s="4" t="inlineStr">
        <x:is>
          <x:t xml:space="preserve">1994-03-11</x:t>
        </x:is>
      </x:c>
      <x:c r="J225" s="5" t="inlineStr">
        <x:is>
          <x:t xml:space="preserve">中国(上海)自由贸易试验区郭守敬路515号</x:t>
        </x:is>
      </x:c>
      <x:c r="K225" s="12" t="str">
        <x:f>LEFT("91310000607280598W",18)</x:f>
        <x:v>91310000607280598W</x:v>
      </x:c>
    </x:row>
    <x:row r="226">
      <x:c r="A226" s="2" t="n">
        <x:v>225</x:v>
      </x:c>
      <x:c r="B226" s="2" t="inlineStr">
        <x:is>
          <x:t xml:space="preserve">600846</x:t>
        </x:is>
      </x:c>
      <x:c r="C226" s="3" t="inlineStr">
        <x:is>
          <x:t xml:space="preserve">同济科技</x:t>
        </x:is>
      </x:c>
      <x:c r="D226" s="3" t="inlineStr">
        <x:is>
          <x:t xml:space="preserve">上海同济科技实业股份有限公司</x:t>
        </x:is>
      </x:c>
      <x:c r="E226" s="2" t="inlineStr">
        <x:is>
          <x:t xml:space="preserve">上海市</x:t>
        </x:is>
      </x:c>
      <x:c r="F226" s="2" t="inlineStr">
        <x:is>
          <x:t xml:space="preserve">上海市</x:t>
        </x:is>
      </x:c>
      <x:c r="G226" s="3" t="inlineStr">
        <x:is>
          <x:t xml:space="preserve">上海市-上海市</x:t>
        </x:is>
      </x:c>
      <x:c r="H226" s="2" t="inlineStr">
        <x:is>
          <x:t xml:space="preserve">工程建设</x:t>
        </x:is>
      </x:c>
      <x:c r="I226" s="2" t="inlineStr">
        <x:is>
          <x:t xml:space="preserve">1994-03-11</x:t>
        </x:is>
      </x:c>
      <x:c r="J226" s="3" t="inlineStr">
        <x:is>
          <x:t xml:space="preserve">中国(上海)自由贸易试验区栖山路33号</x:t>
        </x:is>
      </x:c>
      <x:c r="K226" s="12" t="str">
        <x:f>LEFT("91310000132224452D",18)</x:f>
        <x:v>91310000132224452D</x:v>
      </x:c>
    </x:row>
    <x:row r="227">
      <x:c r="A227" s="4" t="n">
        <x:v>226</x:v>
      </x:c>
      <x:c r="B227" s="4" t="inlineStr">
        <x:is>
          <x:t xml:space="preserve">600848</x:t>
        </x:is>
      </x:c>
      <x:c r="C227" s="5" t="inlineStr">
        <x:is>
          <x:t xml:space="preserve">上海临港</x:t>
        </x:is>
      </x:c>
      <x:c r="D227" s="5" t="inlineStr">
        <x:is>
          <x:t xml:space="preserve">上海临港控股股份有限公司</x:t>
        </x:is>
      </x:c>
      <x:c r="E227" s="4" t="inlineStr">
        <x:is>
          <x:t xml:space="preserve">上海市</x:t>
        </x:is>
      </x:c>
      <x:c r="F227" s="4" t="inlineStr">
        <x:is>
          <x:t xml:space="preserve">上海市</x:t>
        </x:is>
      </x:c>
      <x:c r="G227" s="5" t="inlineStr">
        <x:is>
          <x:t xml:space="preserve">上海市-上海市</x:t>
        </x:is>
      </x:c>
      <x:c r="H227" s="4" t="inlineStr">
        <x:is>
          <x:t xml:space="preserve">房地产</x:t>
        </x:is>
      </x:c>
      <x:c r="I227" s="4" t="inlineStr">
        <x:is>
          <x:t xml:space="preserve">1994-03-24</x:t>
        </x:is>
      </x:c>
      <x:c r="J227" s="5" t="inlineStr">
        <x:is>
          <x:t xml:space="preserve">上海市松江区莘砖公路668号3层</x:t>
        </x:is>
      </x:c>
      <x:c r="K227" s="12" t="str">
        <x:f>LEFT("913100001322046892",18)</x:f>
        <x:v>913100001322046800</x:v>
      </x:c>
    </x:row>
    <x:row r="228">
      <x:c r="A228" s="2" t="n">
        <x:v>227</x:v>
      </x:c>
      <x:c r="B228" s="2" t="inlineStr">
        <x:is>
          <x:t xml:space="preserve">600850</x:t>
        </x:is>
      </x:c>
      <x:c r="C228" s="3" t="inlineStr">
        <x:is>
          <x:t xml:space="preserve">电科数字</x:t>
        </x:is>
      </x:c>
      <x:c r="D228" s="3" t="inlineStr">
        <x:is>
          <x:t xml:space="preserve">中电科数字技术股份有限公司</x:t>
        </x:is>
      </x:c>
      <x:c r="E228" s="2" t="inlineStr">
        <x:is>
          <x:t xml:space="preserve">上海市</x:t>
        </x:is>
      </x:c>
      <x:c r="F228" s="2" t="inlineStr">
        <x:is>
          <x:t xml:space="preserve">上海市</x:t>
        </x:is>
      </x:c>
      <x:c r="G228" s="3" t="inlineStr">
        <x:is>
          <x:t xml:space="preserve">上海市-上海市</x:t>
        </x:is>
      </x:c>
      <x:c r="H228" s="2" t="inlineStr">
        <x:is>
          <x:t xml:space="preserve">电子信息</x:t>
        </x:is>
      </x:c>
      <x:c r="I228" s="2" t="inlineStr">
        <x:is>
          <x:t xml:space="preserve">1994-03-24</x:t>
        </x:is>
      </x:c>
      <x:c r="J228" s="3" t="inlineStr">
        <x:is>
          <x:t xml:space="preserve">上海市嘉定区城北路378号1605室</x:t>
        </x:is>
      </x:c>
      <x:c r="K228" s="12" t="str">
        <x:f>LEFT("91310000132222692E",18)</x:f>
        <x:v>91310000132222692E</x:v>
      </x:c>
    </x:row>
    <x:row r="229">
      <x:c r="A229" s="4" t="n">
        <x:v>228</x:v>
      </x:c>
      <x:c r="B229" s="4" t="inlineStr">
        <x:is>
          <x:t xml:space="preserve">600851</x:t>
        </x:is>
      </x:c>
      <x:c r="C229" s="5" t="inlineStr">
        <x:is>
          <x:t xml:space="preserve">海欣股份</x:t>
        </x:is>
      </x:c>
      <x:c r="D229" s="5" t="inlineStr">
        <x:is>
          <x:t xml:space="preserve">上海海欣集团股份有限公司</x:t>
        </x:is>
      </x:c>
      <x:c r="E229" s="4" t="inlineStr">
        <x:is>
          <x:t xml:space="preserve">上海市</x:t>
        </x:is>
      </x:c>
      <x:c r="F229" s="4" t="inlineStr">
        <x:is>
          <x:t xml:space="preserve">上海市</x:t>
        </x:is>
      </x:c>
      <x:c r="G229" s="5" t="inlineStr">
        <x:is>
          <x:t xml:space="preserve">上海市-上海市</x:t>
        </x:is>
      </x:c>
      <x:c r="H229" s="4" t="inlineStr">
        <x:is>
          <x:t xml:space="preserve">医药制造</x:t>
        </x:is>
      </x:c>
      <x:c r="I229" s="4" t="inlineStr">
        <x:is>
          <x:t xml:space="preserve">1994-04-04</x:t>
        </x:is>
      </x:c>
      <x:c r="J229" s="5" t="inlineStr">
        <x:is>
          <x:t xml:space="preserve">上海市松江区洞泾镇长兴路688号</x:t>
        </x:is>
      </x:c>
      <x:c r="K229" s="12" t="str">
        <x:f>LEFT("91310000607221926Y",18)</x:f>
        <x:v>91310000607221926Y</x:v>
      </x:c>
    </x:row>
    <x:row r="230">
      <x:c r="A230" s="2" t="n">
        <x:v>229</x:v>
      </x:c>
      <x:c r="B230" s="2" t="inlineStr">
        <x:is>
          <x:t xml:space="preserve">600882</x:t>
        </x:is>
      </x:c>
      <x:c r="C230" s="3" t="inlineStr">
        <x:is>
          <x:t xml:space="preserve">妙可蓝多</x:t>
        </x:is>
      </x:c>
      <x:c r="D230" s="3" t="inlineStr">
        <x:is>
          <x:t xml:space="preserve">上海妙可蓝多食品科技股份有限公司</x:t>
        </x:is>
      </x:c>
      <x:c r="E230" s="2" t="inlineStr">
        <x:is>
          <x:t xml:space="preserve">上海市</x:t>
        </x:is>
      </x:c>
      <x:c r="F230" s="2" t="inlineStr">
        <x:is>
          <x:t xml:space="preserve">上海市</x:t>
        </x:is>
      </x:c>
      <x:c r="G230" s="3" t="inlineStr">
        <x:is>
          <x:t xml:space="preserve">上海市-上海市</x:t>
        </x:is>
      </x:c>
      <x:c r="H230" s="2" t="inlineStr">
        <x:is>
          <x:t xml:space="preserve">食品饮料</x:t>
        </x:is>
      </x:c>
      <x:c r="I230" s="2" t="inlineStr">
        <x:is>
          <x:t xml:space="preserve">1995-12-06</x:t>
        </x:is>
      </x:c>
      <x:c r="J230" s="3" t="inlineStr">
        <x:is>
          <x:t xml:space="preserve">上海市奉贤区工业路899号8幢</x:t>
        </x:is>
      </x:c>
      <x:c r="K230" s="12" t="str">
        <x:f>LEFT("91370000164102345T",18)</x:f>
        <x:v>91370000164102345T</x:v>
      </x:c>
    </x:row>
    <x:row r="231">
      <x:c r="A231" s="4" t="n">
        <x:v>230</x:v>
      </x:c>
      <x:c r="B231" s="4" t="inlineStr">
        <x:is>
          <x:t xml:space="preserve">600895</x:t>
        </x:is>
      </x:c>
      <x:c r="C231" s="5" t="inlineStr">
        <x:is>
          <x:t xml:space="preserve">张江高科</x:t>
        </x:is>
      </x:c>
      <x:c r="D231" s="5" t="inlineStr">
        <x:is>
          <x:t xml:space="preserve">上海张江高科技园区开发股份有限公司</x:t>
        </x:is>
      </x:c>
      <x:c r="E231" s="4" t="inlineStr">
        <x:is>
          <x:t xml:space="preserve">上海市</x:t>
        </x:is>
      </x:c>
      <x:c r="F231" s="4" t="inlineStr">
        <x:is>
          <x:t xml:space="preserve">上海市</x:t>
        </x:is>
      </x:c>
      <x:c r="G231" s="5" t="inlineStr">
        <x:is>
          <x:t xml:space="preserve">上海市-上海市</x:t>
        </x:is>
      </x:c>
      <x:c r="H231" s="4" t="inlineStr">
        <x:is>
          <x:t xml:space="preserve">房地产</x:t>
        </x:is>
      </x:c>
      <x:c r="I231" s="4" t="inlineStr">
        <x:is>
          <x:t xml:space="preserve">1996-04-22</x:t>
        </x:is>
      </x:c>
      <x:c r="J231" s="5" t="inlineStr">
        <x:is>
          <x:t xml:space="preserve">中国(上海)自由贸易试验区春晓路289号802室</x:t>
        </x:is>
      </x:c>
      <x:c r="K231" s="12" t="str">
        <x:f>LEFT("913100001322632162",18)</x:f>
        <x:v>913100001322632200</x:v>
      </x:c>
    </x:row>
    <x:row r="232">
      <x:c r="A232" s="2" t="n">
        <x:v>231</x:v>
      </x:c>
      <x:c r="B232" s="2" t="inlineStr">
        <x:is>
          <x:t xml:space="preserve">600958</x:t>
        </x:is>
      </x:c>
      <x:c r="C232" s="3" t="inlineStr">
        <x:is>
          <x:t xml:space="preserve">东方证券</x:t>
        </x:is>
      </x:c>
      <x:c r="D232" s="3" t="inlineStr">
        <x:is>
          <x:t xml:space="preserve">东方证券股份有限公司</x:t>
        </x:is>
      </x:c>
      <x:c r="E232" s="2" t="inlineStr">
        <x:is>
          <x:t xml:space="preserve">上海市</x:t>
        </x:is>
      </x:c>
      <x:c r="F232" s="2" t="inlineStr">
        <x:is>
          <x:t xml:space="preserve">上海市</x:t>
        </x:is>
      </x:c>
      <x:c r="G232" s="3" t="inlineStr">
        <x:is>
          <x:t xml:space="preserve">上海市-上海市</x:t>
        </x:is>
      </x:c>
      <x:c r="H232" s="2" t="inlineStr">
        <x:is>
          <x:t xml:space="preserve">券商信托</x:t>
        </x:is>
      </x:c>
      <x:c r="I232" s="2" t="inlineStr">
        <x:is>
          <x:t xml:space="preserve">2015-03-23</x:t>
        </x:is>
      </x:c>
      <x:c r="J232" s="3" t="inlineStr">
        <x:is>
          <x:t xml:space="preserve">中国上海市黄浦区中山南路119号东方证券大厦</x:t>
        </x:is>
      </x:c>
      <x:c r="K232" s="12" t="str">
        <x:f>LEFT("913100001322947763",18)</x:f>
        <x:v>913100001322947700</x:v>
      </x:c>
    </x:row>
    <x:row r="233">
      <x:c r="A233" s="4" t="n">
        <x:v>232</x:v>
      </x:c>
      <x:c r="B233" s="4" t="inlineStr">
        <x:is>
          <x:t xml:space="preserve">601021</x:t>
        </x:is>
      </x:c>
      <x:c r="C233" s="5" t="inlineStr">
        <x:is>
          <x:t xml:space="preserve">春秋航空</x:t>
        </x:is>
      </x:c>
      <x:c r="D233" s="5" t="inlineStr">
        <x:is>
          <x:t xml:space="preserve">春秋航空股份有限公司</x:t>
        </x:is>
      </x:c>
      <x:c r="E233" s="4" t="inlineStr">
        <x:is>
          <x:t xml:space="preserve">上海市</x:t>
        </x:is>
      </x:c>
      <x:c r="F233" s="4" t="inlineStr">
        <x:is>
          <x:t xml:space="preserve">上海市</x:t>
        </x:is>
      </x:c>
      <x:c r="G233" s="5" t="inlineStr">
        <x:is>
          <x:t xml:space="preserve">上海市-上海市</x:t>
        </x:is>
      </x:c>
      <x:c r="H233" s="4" t="inlineStr">
        <x:is>
          <x:t xml:space="preserve">民航机场</x:t>
        </x:is>
      </x:c>
      <x:c r="I233" s="4" t="inlineStr">
        <x:is>
          <x:t xml:space="preserve">2015-01-21</x:t>
        </x:is>
      </x:c>
      <x:c r="J233" s="5" t="inlineStr">
        <x:is>
          <x:t xml:space="preserve">上海市长宁区虹桥路2599号</x:t>
        </x:is>
      </x:c>
      <x:c r="K233" s="12" t="str">
        <x:f>LEFT("9131000076839377X5",18)</x:f>
        <x:v>9131000076839377X5</x:v>
      </x:c>
    </x:row>
    <x:row r="234">
      <x:c r="A234" s="2" t="n">
        <x:v>233</x:v>
      </x:c>
      <x:c r="B234" s="2" t="inlineStr">
        <x:is>
          <x:t xml:space="preserve">601026</x:t>
        </x:is>
      </x:c>
      <x:c r="C234" s="3" t="inlineStr">
        <x:is>
          <x:t xml:space="preserve">道生天合</x:t>
        </x:is>
      </x:c>
      <x:c r="D234" s="3" t="inlineStr">
        <x:is>
          <x:t xml:space="preserve">道生天合材料科技(上海)股份有限公司</x:t>
        </x:is>
      </x:c>
      <x:c r="E234" s="2" t="inlineStr">
        <x:is>
          <x:t xml:space="preserve">上海市</x:t>
        </x:is>
      </x:c>
      <x:c r="F234" s="2" t="inlineStr">
        <x:is>
          <x:t xml:space="preserve">上海市</x:t>
        </x:is>
      </x:c>
      <x:c r="G234" s="3" t="inlineStr">
        <x:is>
          <x:t xml:space="preserve">上海市-上海市</x:t>
        </x:is>
      </x:c>
      <x:c r="H234" s="2" t="inlineStr">
        <x:is>
          <x:t xml:space="preserve">风电设备</x:t>
        </x:is>
      </x:c>
      <x:c r="I234" s="2" t="inlineStr">
        <x:is>
          <x:t xml:space="preserve">2025-10-17</x:t>
        </x:is>
      </x:c>
      <x:c r="J234" s="3" t="inlineStr">
        <x:is>
          <x:t xml:space="preserve">中国(上海)自由贸易试验区临港新片区平达路308号1-3幢</x:t>
        </x:is>
      </x:c>
      <x:c r="K234" s="12" t="str">
        <x:f>LEFT("91310120342276525B",18)</x:f>
        <x:v>91310120342276525B</x:v>
      </x:c>
    </x:row>
    <x:row r="235">
      <x:c r="A235" s="4" t="n">
        <x:v>234</x:v>
      </x:c>
      <x:c r="B235" s="4" t="inlineStr">
        <x:is>
          <x:t xml:space="preserve">601083</x:t>
        </x:is>
      </x:c>
      <x:c r="C235" s="5" t="inlineStr">
        <x:is>
          <x:t xml:space="preserve">锦江航运</x:t>
        </x:is>
      </x:c>
      <x:c r="D235" s="5" t="inlineStr">
        <x:is>
          <x:t xml:space="preserve">上海锦江航运(集团)股份有限公司</x:t>
        </x:is>
      </x:c>
      <x:c r="E235" s="4" t="inlineStr">
        <x:is>
          <x:t xml:space="preserve">上海市</x:t>
        </x:is>
      </x:c>
      <x:c r="F235" s="4" t="inlineStr">
        <x:is>
          <x:t xml:space="preserve">上海市</x:t>
        </x:is>
      </x:c>
      <x:c r="G235" s="5" t="inlineStr">
        <x:is>
          <x:t xml:space="preserve">上海市-上海市</x:t>
        </x:is>
      </x:c>
      <x:c r="H235" s="4" t="inlineStr">
        <x:is>
          <x:t xml:space="preserve">航运港口</x:t>
        </x:is>
      </x:c>
      <x:c r="I235" s="4" t="inlineStr">
        <x:is>
          <x:t xml:space="preserve">2023-12-05</x:t>
        </x:is>
      </x:c>
      <x:c r="J235" s="5" t="inlineStr">
        <x:is>
          <x:t xml:space="preserve">上海市浦东新区龙居路180弄13号2楼</x:t>
        </x:is>
      </x:c>
      <x:c r="K235" s="12" t="str">
        <x:f>LEFT("91310115132212187M",18)</x:f>
        <x:v>91310115132212187M</x:v>
      </x:c>
    </x:row>
    <x:row r="236">
      <x:c r="A236" s="2" t="n">
        <x:v>235</x:v>
      </x:c>
      <x:c r="B236" s="2" t="inlineStr">
        <x:is>
          <x:t xml:space="preserve">601156</x:t>
        </x:is>
      </x:c>
      <x:c r="C236" s="3" t="inlineStr">
        <x:is>
          <x:t xml:space="preserve">东航物流</x:t>
        </x:is>
      </x:c>
      <x:c r="D236" s="3" t="inlineStr">
        <x:is>
          <x:t xml:space="preserve">东方航空物流股份有限公司</x:t>
        </x:is>
      </x:c>
      <x:c r="E236" s="2" t="inlineStr">
        <x:is>
          <x:t xml:space="preserve">上海市</x:t>
        </x:is>
      </x:c>
      <x:c r="F236" s="2" t="inlineStr">
        <x:is>
          <x:t xml:space="preserve">上海市</x:t>
        </x:is>
      </x:c>
      <x:c r="G236" s="3" t="inlineStr">
        <x:is>
          <x:t xml:space="preserve">上海市-上海市</x:t>
        </x:is>
      </x:c>
      <x:c r="H236" s="2" t="inlineStr">
        <x:is>
          <x:t xml:space="preserve">交运物流</x:t>
        </x:is>
      </x:c>
      <x:c r="I236" s="2" t="inlineStr">
        <x:is>
          <x:t xml:space="preserve">2021-06-09</x:t>
        </x:is>
      </x:c>
      <x:c r="J236" s="3" t="inlineStr">
        <x:is>
          <x:t xml:space="preserve">上海市浦东机场机场大道66号</x:t>
        </x:is>
      </x:c>
      <x:c r="K236" s="12" t="str">
        <x:f>LEFT("91310000766454452W",18)</x:f>
        <x:v>91310000766454452W</x:v>
      </x:c>
    </x:row>
    <x:row r="237">
      <x:c r="A237" s="4" t="n">
        <x:v>236</x:v>
      </x:c>
      <x:c r="B237" s="4" t="inlineStr">
        <x:is>
          <x:t xml:space="preserve">601200</x:t>
        </x:is>
      </x:c>
      <x:c r="C237" s="5" t="inlineStr">
        <x:is>
          <x:t xml:space="preserve">上海环境</x:t>
        </x:is>
      </x:c>
      <x:c r="D237" s="5" t="inlineStr">
        <x:is>
          <x:t xml:space="preserve">上海环境集团股份有限公司</x:t>
        </x:is>
      </x:c>
      <x:c r="E237" s="4" t="inlineStr">
        <x:is>
          <x:t xml:space="preserve">上海市</x:t>
        </x:is>
      </x:c>
      <x:c r="F237" s="4" t="inlineStr">
        <x:is>
          <x:t xml:space="preserve">上海市</x:t>
        </x:is>
      </x:c>
      <x:c r="G237" s="5" t="inlineStr">
        <x:is>
          <x:t xml:space="preserve">上海市-上海市</x:t>
        </x:is>
      </x:c>
      <x:c r="H237" s="4" t="inlineStr">
        <x:is>
          <x:t xml:space="preserve">环保工程</x:t>
        </x:is>
      </x:c>
      <x:c r="I237" s="4" t="inlineStr">
        <x:is>
          <x:t xml:space="preserve">2017-03-31</x:t>
        </x:is>
      </x:c>
      <x:c r="J237" s="5" t="inlineStr">
        <x:is>
          <x:t xml:space="preserve">上海市长宁区虹桥路1881号</x:t>
        </x:is>
      </x:c>
      <x:c r="K237" s="12" t="str">
        <x:f>LEFT("91310115764269544Y",18)</x:f>
        <x:v>91310115764269544Y</x:v>
      </x:c>
    </x:row>
    <x:row r="238">
      <x:c r="A238" s="2" t="n">
        <x:v>237</x:v>
      </x:c>
      <x:c r="B238" s="2" t="inlineStr">
        <x:is>
          <x:t xml:space="preserve">601211</x:t>
        </x:is>
      </x:c>
      <x:c r="C238" s="3" t="inlineStr">
        <x:is>
          <x:t xml:space="preserve">国泰海通</x:t>
        </x:is>
      </x:c>
      <x:c r="D238" s="3" t="inlineStr">
        <x:is>
          <x:t xml:space="preserve">国泰海通证券股份有限公司</x:t>
        </x:is>
      </x:c>
      <x:c r="E238" s="2" t="inlineStr">
        <x:is>
          <x:t xml:space="preserve">上海市</x:t>
        </x:is>
      </x:c>
      <x:c r="F238" s="2" t="inlineStr">
        <x:is>
          <x:t xml:space="preserve">上海市</x:t>
        </x:is>
      </x:c>
      <x:c r="G238" s="3" t="inlineStr">
        <x:is>
          <x:t xml:space="preserve">上海市-上海市</x:t>
        </x:is>
      </x:c>
      <x:c r="H238" s="2" t="inlineStr">
        <x:is>
          <x:t xml:space="preserve">券商信托</x:t>
        </x:is>
      </x:c>
      <x:c r="I238" s="2" t="inlineStr">
        <x:is>
          <x:t xml:space="preserve">2015-06-26</x:t>
        </x:is>
      </x:c>
      <x:c r="J238" s="3" t="inlineStr">
        <x:is>
          <x:t xml:space="preserve">中国(上海)自由贸易试验区商城路618号</x:t>
        </x:is>
      </x:c>
      <x:c r="K238" s="12" t="str">
        <x:f>LEFT("9131000063159284XQ",18)</x:f>
        <x:v>9131000063159284XQ</x:v>
      </x:c>
    </x:row>
    <x:row r="239">
      <x:c r="A239" s="4" t="n">
        <x:v>238</x:v>
      </x:c>
      <x:c r="B239" s="4" t="inlineStr">
        <x:is>
          <x:t xml:space="preserve">601229</x:t>
        </x:is>
      </x:c>
      <x:c r="C239" s="5" t="inlineStr">
        <x:is>
          <x:t xml:space="preserve">上海银行</x:t>
        </x:is>
      </x:c>
      <x:c r="D239" s="5" t="inlineStr">
        <x:is>
          <x:t xml:space="preserve">上海银行股份有限公司</x:t>
        </x:is>
      </x:c>
      <x:c r="E239" s="4" t="inlineStr">
        <x:is>
          <x:t xml:space="preserve">上海市</x:t>
        </x:is>
      </x:c>
      <x:c r="F239" s="4" t="inlineStr">
        <x:is>
          <x:t xml:space="preserve">上海市</x:t>
        </x:is>
      </x:c>
      <x:c r="G239" s="5" t="inlineStr">
        <x:is>
          <x:t xml:space="preserve">上海市-上海市</x:t>
        </x:is>
      </x:c>
      <x:c r="H239" s="4" t="inlineStr">
        <x:is>
          <x:t xml:space="preserve">银行</x:t>
        </x:is>
      </x:c>
      <x:c r="I239" s="4" t="inlineStr">
        <x:is>
          <x:t xml:space="preserve">2016-11-16</x:t>
        </x:is>
      </x:c>
      <x:c r="J239" s="5" t="inlineStr">
        <x:is>
          <x:t xml:space="preserve">上海市黄浦区中山南路688号</x:t>
        </x:is>
      </x:c>
      <x:c r="K239" s="12" t="str">
        <x:f>LEFT("91310000132257510M",18)</x:f>
        <x:v>91310000132257510M</x:v>
      </x:c>
    </x:row>
    <x:row r="240">
      <x:c r="A240" s="2" t="n">
        <x:v>239</x:v>
      </x:c>
      <x:c r="B240" s="2" t="inlineStr">
        <x:is>
          <x:t xml:space="preserve">601231</x:t>
        </x:is>
      </x:c>
      <x:c r="C240" s="3" t="inlineStr">
        <x:is>
          <x:t xml:space="preserve">环旭电子</x:t>
        </x:is>
      </x:c>
      <x:c r="D240" s="3" t="inlineStr">
        <x:is>
          <x:t xml:space="preserve">环旭电子股份有限公司</x:t>
        </x:is>
      </x:c>
      <x:c r="E240" s="2" t="inlineStr">
        <x:is>
          <x:t xml:space="preserve">上海市</x:t>
        </x:is>
      </x:c>
      <x:c r="F240" s="2" t="inlineStr">
        <x:is>
          <x:t xml:space="preserve">上海市</x:t>
        </x:is>
      </x:c>
      <x:c r="G240" s="3" t="inlineStr">
        <x:is>
          <x:t xml:space="preserve">上海市-上海市</x:t>
        </x:is>
      </x:c>
      <x:c r="H240" s="2" t="inlineStr">
        <x:is>
          <x:t xml:space="preserve">消费电子</x:t>
        </x:is>
      </x:c>
      <x:c r="I240" s="2" t="inlineStr">
        <x:is>
          <x:t xml:space="preserve">2012-02-20</x:t>
        </x:is>
      </x:c>
      <x:c r="J240" s="3" t="inlineStr">
        <x:is>
          <x:t xml:space="preserve">上海市张江高科技园区集成电路产业区张东路1558号</x:t>
        </x:is>
      </x:c>
      <x:c r="K240" s="12" t="str">
        <x:f>LEFT("91310000745611834X",18)</x:f>
        <x:v>91310000745611834X</x:v>
      </x:c>
    </x:row>
    <x:row r="241">
      <x:c r="A241" s="4" t="n">
        <x:v>240</x:v>
      </x:c>
      <x:c r="B241" s="4" t="inlineStr">
        <x:is>
          <x:t xml:space="preserve">601328</x:t>
        </x:is>
      </x:c>
      <x:c r="C241" s="5" t="inlineStr">
        <x:is>
          <x:t xml:space="preserve">交通银行</x:t>
        </x:is>
      </x:c>
      <x:c r="D241" s="5" t="inlineStr">
        <x:is>
          <x:t xml:space="preserve">交通银行股份有限公司</x:t>
        </x:is>
      </x:c>
      <x:c r="E241" s="4" t="inlineStr">
        <x:is>
          <x:t xml:space="preserve">上海市</x:t>
        </x:is>
      </x:c>
      <x:c r="F241" s="4" t="inlineStr">
        <x:is>
          <x:t xml:space="preserve">上海市</x:t>
        </x:is>
      </x:c>
      <x:c r="G241" s="5" t="inlineStr">
        <x:is>
          <x:t xml:space="preserve">上海市-上海市</x:t>
        </x:is>
      </x:c>
      <x:c r="H241" s="4" t="inlineStr">
        <x:is>
          <x:t xml:space="preserve">银行</x:t>
        </x:is>
      </x:c>
      <x:c r="I241" s="4" t="inlineStr">
        <x:is>
          <x:t xml:space="preserve">2007-05-15</x:t>
        </x:is>
      </x:c>
      <x:c r="J241" s="5" t="inlineStr">
        <x:is>
          <x:t xml:space="preserve">中国(上海)自由贸易试验区银城中路188号</x:t>
        </x:is>
      </x:c>
      <x:c r="K241" s="12" t="str">
        <x:f>LEFT("9131000010000595XD",18)</x:f>
        <x:v>9131000010000595XD</x:v>
      </x:c>
    </x:row>
    <x:row r="242">
      <x:c r="A242" s="2" t="n">
        <x:v>241</x:v>
      </x:c>
      <x:c r="B242" s="2" t="inlineStr">
        <x:is>
          <x:t xml:space="preserve">601519</x:t>
        </x:is>
      </x:c>
      <x:c r="C242" s="3" t="inlineStr">
        <x:is>
          <x:t xml:space="preserve">大智慧</x:t>
        </x:is>
      </x:c>
      <x:c r="D242" s="3" t="inlineStr">
        <x:is>
          <x:t xml:space="preserve">上海大智慧股份有限公司</x:t>
        </x:is>
      </x:c>
      <x:c r="E242" s="2" t="inlineStr">
        <x:is>
          <x:t xml:space="preserve">上海市</x:t>
        </x:is>
      </x:c>
      <x:c r="F242" s="2" t="inlineStr">
        <x:is>
          <x:t xml:space="preserve">上海市</x:t>
        </x:is>
      </x:c>
      <x:c r="G242" s="3" t="inlineStr">
        <x:is>
          <x:t xml:space="preserve">上海市-上海市</x:t>
        </x:is>
      </x:c>
      <x:c r="H242" s="2" t="inlineStr">
        <x:is>
          <x:t xml:space="preserve">软件服务</x:t>
        </x:is>
      </x:c>
      <x:c r="I242" s="2" t="inlineStr">
        <x:is>
          <x:t xml:space="preserve">2011-01-28</x:t>
        </x:is>
      </x:c>
      <x:c r="J242" s="3" t="inlineStr">
        <x:is>
          <x:t xml:space="preserve">中国(上海)自由贸易试验区郭守敬路498号浦东软件园14幢22301-130座</x:t>
        </x:is>
      </x:c>
      <x:c r="K242" s="12" t="str">
        <x:f>LEFT("913100007031304856",18)</x:f>
        <x:v>913100007031304800</x:v>
      </x:c>
    </x:row>
    <x:row r="243">
      <x:c r="A243" s="4" t="n">
        <x:v>242</x:v>
      </x:c>
      <x:c r="B243" s="4" t="inlineStr">
        <x:is>
          <x:t xml:space="preserve">601595</x:t>
        </x:is>
      </x:c>
      <x:c r="C243" s="5" t="inlineStr">
        <x:is>
          <x:t xml:space="preserve">上海电影</x:t>
        </x:is>
      </x:c>
      <x:c r="D243" s="5" t="inlineStr">
        <x:is>
          <x:t xml:space="preserve">上海电影股份有限公司</x:t>
        </x:is>
      </x:c>
      <x:c r="E243" s="4" t="inlineStr">
        <x:is>
          <x:t xml:space="preserve">上海市</x:t>
        </x:is>
      </x:c>
      <x:c r="F243" s="4" t="inlineStr">
        <x:is>
          <x:t xml:space="preserve">上海市</x:t>
        </x:is>
      </x:c>
      <x:c r="G243" s="5" t="inlineStr">
        <x:is>
          <x:t xml:space="preserve">上海市-上海市</x:t>
        </x:is>
      </x:c>
      <x:c r="H243" s="4" t="inlineStr">
        <x:is>
          <x:t xml:space="preserve">文化传媒</x:t>
        </x:is>
      </x:c>
      <x:c r="I243" s="4" t="inlineStr">
        <x:is>
          <x:t xml:space="preserve">2016-08-17</x:t>
        </x:is>
      </x:c>
      <x:c r="J243" s="5" t="inlineStr">
        <x:is>
          <x:t xml:space="preserve">上海市徐汇区漕溪北路595号</x:t>
        </x:is>
      </x:c>
      <x:c r="K243" s="12" t="str">
        <x:f>LEFT("91310000132696812Y",18)</x:f>
        <x:v>91310000132696812Y</x:v>
      </x:c>
    </x:row>
    <x:row r="244">
      <x:c r="A244" s="2" t="n">
        <x:v>243</x:v>
      </x:c>
      <x:c r="B244" s="2" t="inlineStr">
        <x:is>
          <x:t xml:space="preserve">601601</x:t>
        </x:is>
      </x:c>
      <x:c r="C244" s="3" t="inlineStr">
        <x:is>
          <x:t xml:space="preserve">中国太保</x:t>
        </x:is>
      </x:c>
      <x:c r="D244" s="3" t="inlineStr">
        <x:is>
          <x:t xml:space="preserve">中国太平洋保险(集团)股份有限公司</x:t>
        </x:is>
      </x:c>
      <x:c r="E244" s="2" t="inlineStr">
        <x:is>
          <x:t xml:space="preserve">上海市</x:t>
        </x:is>
      </x:c>
      <x:c r="F244" s="2" t="inlineStr">
        <x:is>
          <x:t xml:space="preserve">上海市</x:t>
        </x:is>
      </x:c>
      <x:c r="G244" s="3" t="inlineStr">
        <x:is>
          <x:t xml:space="preserve">上海市-上海市</x:t>
        </x:is>
      </x:c>
      <x:c r="H244" s="2" t="inlineStr">
        <x:is>
          <x:t xml:space="preserve">保险</x:t>
        </x:is>
      </x:c>
      <x:c r="I244" s="2" t="inlineStr">
        <x:is>
          <x:t xml:space="preserve">2007-12-25</x:t>
        </x:is>
      </x:c>
      <x:c r="J244" s="3" t="inlineStr">
        <x:is>
          <x:t xml:space="preserve">中国上海市黄浦区中山南路1号</x:t>
        </x:is>
      </x:c>
      <x:c r="K244" s="12" t="str">
        <x:f>LEFT("91310000132211707B",18)</x:f>
        <x:v>91310000132211707B</x:v>
      </x:c>
    </x:row>
    <x:row r="245">
      <x:c r="A245" s="4" t="n">
        <x:v>244</x:v>
      </x:c>
      <x:c r="B245" s="4" t="inlineStr">
        <x:is>
          <x:t xml:space="preserve">601607</x:t>
        </x:is>
      </x:c>
      <x:c r="C245" s="5" t="inlineStr">
        <x:is>
          <x:t xml:space="preserve">上海医药</x:t>
        </x:is>
      </x:c>
      <x:c r="D245" s="5" t="inlineStr">
        <x:is>
          <x:t xml:space="preserve">上海医药集团股份有限公司</x:t>
        </x:is>
      </x:c>
      <x:c r="E245" s="4" t="inlineStr">
        <x:is>
          <x:t xml:space="preserve">上海市</x:t>
        </x:is>
      </x:c>
      <x:c r="F245" s="4" t="inlineStr">
        <x:is>
          <x:t xml:space="preserve">上海市</x:t>
        </x:is>
      </x:c>
      <x:c r="G245" s="5" t="inlineStr">
        <x:is>
          <x:t xml:space="preserve">上海市-上海市</x:t>
        </x:is>
      </x:c>
      <x:c r="H245" s="4" t="inlineStr">
        <x:is>
          <x:t xml:space="preserve">医药商业</x:t>
        </x:is>
      </x:c>
      <x:c r="I245" s="4" t="inlineStr">
        <x:is>
          <x:t xml:space="preserve">1994-03-24</x:t>
        </x:is>
      </x:c>
      <x:c r="J245" s="5" t="inlineStr">
        <x:is>
          <x:t xml:space="preserve">中国(上海)自由贸易试验区张江路92号</x:t>
        </x:is>
      </x:c>
      <x:c r="K245" s="12" t="str">
        <x:f>LEFT("9131000013358488X7",18)</x:f>
        <x:v>9131000013358488X7</x:v>
      </x:c>
    </x:row>
    <x:row r="246">
      <x:c r="A246" s="2" t="n">
        <x:v>245</x:v>
      </x:c>
      <x:c r="B246" s="2" t="inlineStr">
        <x:is>
          <x:t xml:space="preserve">601611</x:t>
        </x:is>
      </x:c>
      <x:c r="C246" s="3" t="inlineStr">
        <x:is>
          <x:t xml:space="preserve">中国核建</x:t>
        </x:is>
      </x:c>
      <x:c r="D246" s="3" t="inlineStr">
        <x:is>
          <x:t xml:space="preserve">中国核工业建设股份有限公司</x:t>
        </x:is>
      </x:c>
      <x:c r="E246" s="2" t="inlineStr">
        <x:is>
          <x:t xml:space="preserve">上海市</x:t>
        </x:is>
      </x:c>
      <x:c r="F246" s="2" t="inlineStr">
        <x:is>
          <x:t xml:space="preserve">上海市</x:t>
        </x:is>
      </x:c>
      <x:c r="G246" s="3" t="inlineStr">
        <x:is>
          <x:t xml:space="preserve">上海市-上海市</x:t>
        </x:is>
      </x:c>
      <x:c r="H246" s="2" t="inlineStr">
        <x:is>
          <x:t xml:space="preserve">工程建设</x:t>
        </x:is>
      </x:c>
      <x:c r="I246" s="2" t="inlineStr">
        <x:is>
          <x:t xml:space="preserve">2016-06-06</x:t>
        </x:is>
      </x:c>
      <x:c r="J246" s="3" t="inlineStr">
        <x:is>
          <x:t xml:space="preserve">上海市青浦区西虹桥商务区蟠龙路500号</x:t>
        </x:is>
      </x:c>
      <x:c r="K246" s="12" t="str">
        <x:f>LEFT("91110000717828569P",18)</x:f>
        <x:v>91110000717828569P</x:v>
      </x:c>
    </x:row>
    <x:row r="247">
      <x:c r="A247" s="4" t="n">
        <x:v>246</x:v>
      </x:c>
      <x:c r="B247" s="4" t="inlineStr">
        <x:is>
          <x:t xml:space="preserve">601616</x:t>
        </x:is>
      </x:c>
      <x:c r="C247" s="5" t="inlineStr">
        <x:is>
          <x:t xml:space="preserve">广电电气</x:t>
        </x:is>
      </x:c>
      <x:c r="D247" s="5" t="inlineStr">
        <x:is>
          <x:t xml:space="preserve">上海广电电气(集团)股份有限公司</x:t>
        </x:is>
      </x:c>
      <x:c r="E247" s="4" t="inlineStr">
        <x:is>
          <x:t xml:space="preserve">上海市</x:t>
        </x:is>
      </x:c>
      <x:c r="F247" s="4" t="inlineStr">
        <x:is>
          <x:t xml:space="preserve">上海市</x:t>
        </x:is>
      </x:c>
      <x:c r="G247" s="5" t="inlineStr">
        <x:is>
          <x:t xml:space="preserve">上海市-上海市</x:t>
        </x:is>
      </x:c>
      <x:c r="H247" s="4" t="inlineStr">
        <x:is>
          <x:t xml:space="preserve">输配电气</x:t>
        </x:is>
      </x:c>
      <x:c r="I247" s="4" t="inlineStr">
        <x:is>
          <x:t xml:space="preserve">2011-02-01</x:t>
        </x:is>
      </x:c>
      <x:c r="J247" s="5" t="inlineStr">
        <x:is>
          <x:t xml:space="preserve">上海市奉贤区环城东路123弄1号4幢三层</x:t>
        </x:is>
      </x:c>
      <x:c r="K247" s="12" t="str">
        <x:f>LEFT("91310000630505898N",18)</x:f>
        <x:v>91310000630505898N</x:v>
      </x:c>
    </x:row>
    <x:row r="248">
      <x:c r="A248" s="2" t="n">
        <x:v>247</x:v>
      </x:c>
      <x:c r="B248" s="2" t="inlineStr">
        <x:is>
          <x:t xml:space="preserve">601696</x:t>
        </x:is>
      </x:c>
      <x:c r="C248" s="3" t="inlineStr">
        <x:is>
          <x:t xml:space="preserve">中银证券</x:t>
        </x:is>
      </x:c>
      <x:c r="D248" s="3" t="inlineStr">
        <x:is>
          <x:t xml:space="preserve">中银国际证券股份有限公司</x:t>
        </x:is>
      </x:c>
      <x:c r="E248" s="2" t="inlineStr">
        <x:is>
          <x:t xml:space="preserve">上海市</x:t>
        </x:is>
      </x:c>
      <x:c r="F248" s="2" t="inlineStr">
        <x:is>
          <x:t xml:space="preserve">上海市</x:t>
        </x:is>
      </x:c>
      <x:c r="G248" s="3" t="inlineStr">
        <x:is>
          <x:t xml:space="preserve">上海市-上海市</x:t>
        </x:is>
      </x:c>
      <x:c r="H248" s="2" t="inlineStr">
        <x:is>
          <x:t xml:space="preserve">券商信托</x:t>
        </x:is>
      </x:c>
      <x:c r="I248" s="2" t="inlineStr">
        <x:is>
          <x:t xml:space="preserve">2020-02-26</x:t>
        </x:is>
      </x:c>
      <x:c r="J248" s="3" t="inlineStr">
        <x:is>
          <x:t xml:space="preserve">上海市浦东新区银城中路200号中银大厦39层</x:t>
        </x:is>
      </x:c>
      <x:c r="K248" s="12" t="str">
        <x:f>LEFT("91310000736650364G",18)</x:f>
        <x:v>91310000736650364G</x:v>
      </x:c>
    </x:row>
    <x:row r="249">
      <x:c r="A249" s="4" t="n">
        <x:v>248</x:v>
      </x:c>
      <x:c r="B249" s="4" t="inlineStr">
        <x:is>
          <x:t xml:space="preserve">601702</x:t>
        </x:is>
      </x:c>
      <x:c r="C249" s="5" t="inlineStr">
        <x:is>
          <x:t xml:space="preserve">华峰铝业</x:t>
        </x:is>
      </x:c>
      <x:c r="D249" s="5" t="inlineStr">
        <x:is>
          <x:t xml:space="preserve">上海华峰铝业股份有限公司</x:t>
        </x:is>
      </x:c>
      <x:c r="E249" s="4" t="inlineStr">
        <x:is>
          <x:t xml:space="preserve">上海市</x:t>
        </x:is>
      </x:c>
      <x:c r="F249" s="4" t="inlineStr">
        <x:is>
          <x:t xml:space="preserve">上海市</x:t>
        </x:is>
      </x:c>
      <x:c r="G249" s="5" t="inlineStr">
        <x:is>
          <x:t xml:space="preserve">上海市-上海市</x:t>
        </x:is>
      </x:c>
      <x:c r="H249" s="4" t="inlineStr">
        <x:is>
          <x:t xml:space="preserve">有色金属</x:t>
        </x:is>
      </x:c>
      <x:c r="I249" s="4" t="inlineStr">
        <x:is>
          <x:t xml:space="preserve">2020-09-07</x:t>
        </x:is>
      </x:c>
      <x:c r="J249" s="5" t="inlineStr">
        <x:is>
          <x:t xml:space="preserve">上海市金山区月工路1111号</x:t>
        </x:is>
      </x:c>
      <x:c r="K249" s="12" t="str">
        <x:f>LEFT("913100006778116730",18)</x:f>
        <x:v>913100006778116700</x:v>
      </x:c>
    </x:row>
    <x:row r="250">
      <x:c r="A250" s="2" t="n">
        <x:v>249</x:v>
      </x:c>
      <x:c r="B250" s="2" t="inlineStr">
        <x:is>
          <x:t xml:space="preserve">601727</x:t>
        </x:is>
      </x:c>
      <x:c r="C250" s="3" t="inlineStr">
        <x:is>
          <x:t xml:space="preserve">上海电气</x:t>
        </x:is>
      </x:c>
      <x:c r="D250" s="3" t="inlineStr">
        <x:is>
          <x:t xml:space="preserve">上海电气集团股份有限公司</x:t>
        </x:is>
      </x:c>
      <x:c r="E250" s="2" t="inlineStr">
        <x:is>
          <x:t xml:space="preserve">上海市</x:t>
        </x:is>
      </x:c>
      <x:c r="F250" s="2" t="inlineStr">
        <x:is>
          <x:t xml:space="preserve">上海市</x:t>
        </x:is>
      </x:c>
      <x:c r="G250" s="3" t="inlineStr">
        <x:is>
          <x:t xml:space="preserve">上海市-上海市</x:t>
        </x:is>
      </x:c>
      <x:c r="H250" s="2" t="inlineStr">
        <x:is>
          <x:t xml:space="preserve">电源设备</x:t>
        </x:is>
      </x:c>
      <x:c r="I250" s="2" t="inlineStr">
        <x:is>
          <x:t xml:space="preserve">2008-12-05</x:t>
        </x:is>
      </x:c>
      <x:c r="J250" s="3" t="inlineStr">
        <x:is>
          <x:t xml:space="preserve">上海市华山路1100弄16号</x:t>
        </x:is>
      </x:c>
      <x:c r="K250" s="12" t="str">
        <x:f>LEFT("91310000759565082B",18)</x:f>
        <x:v>91310000759565082B</x:v>
      </x:c>
    </x:row>
    <x:row r="251">
      <x:c r="A251" s="4" t="n">
        <x:v>250</x:v>
      </x:c>
      <x:c r="B251" s="4" t="inlineStr">
        <x:is>
          <x:t xml:space="preserve">601788</x:t>
        </x:is>
      </x:c>
      <x:c r="C251" s="5" t="inlineStr">
        <x:is>
          <x:t xml:space="preserve">光大证券</x:t>
        </x:is>
      </x:c>
      <x:c r="D251" s="5" t="inlineStr">
        <x:is>
          <x:t xml:space="preserve">光大证券股份有限公司</x:t>
        </x:is>
      </x:c>
      <x:c r="E251" s="4" t="inlineStr">
        <x:is>
          <x:t xml:space="preserve">上海市</x:t>
        </x:is>
      </x:c>
      <x:c r="F251" s="4" t="inlineStr">
        <x:is>
          <x:t xml:space="preserve">上海市</x:t>
        </x:is>
      </x:c>
      <x:c r="G251" s="5" t="inlineStr">
        <x:is>
          <x:t xml:space="preserve">上海市-上海市</x:t>
        </x:is>
      </x:c>
      <x:c r="H251" s="4" t="inlineStr">
        <x:is>
          <x:t xml:space="preserve">券商信托</x:t>
        </x:is>
      </x:c>
      <x:c r="I251" s="4" t="inlineStr">
        <x:is>
          <x:t xml:space="preserve">2009-08-18</x:t>
        </x:is>
      </x:c>
      <x:c r="J251" s="5" t="inlineStr">
        <x:is>
          <x:t xml:space="preserve">上海市静安区新闸路1508号</x:t>
        </x:is>
      </x:c>
      <x:c r="K251" s="12" t="str">
        <x:f>LEFT("91310000100019382F",18)</x:f>
        <x:v>91310000100019382F</x:v>
      </x:c>
    </x:row>
    <x:row r="252">
      <x:c r="A252" s="2" t="n">
        <x:v>251</x:v>
      </x:c>
      <x:c r="B252" s="2" t="inlineStr">
        <x:is>
          <x:t xml:space="preserve">601825</x:t>
        </x:is>
      </x:c>
      <x:c r="C252" s="3" t="inlineStr">
        <x:is>
          <x:t xml:space="preserve">沪农商行</x:t>
        </x:is>
      </x:c>
      <x:c r="D252" s="3" t="inlineStr">
        <x:is>
          <x:t xml:space="preserve">上海农村商业银行股份有限公司</x:t>
        </x:is>
      </x:c>
      <x:c r="E252" s="2" t="inlineStr">
        <x:is>
          <x:t xml:space="preserve">上海市</x:t>
        </x:is>
      </x:c>
      <x:c r="F252" s="2" t="inlineStr">
        <x:is>
          <x:t xml:space="preserve">上海市</x:t>
        </x:is>
      </x:c>
      <x:c r="G252" s="3" t="inlineStr">
        <x:is>
          <x:t xml:space="preserve">上海市-上海市</x:t>
        </x:is>
      </x:c>
      <x:c r="H252" s="2" t="inlineStr">
        <x:is>
          <x:t xml:space="preserve">银行</x:t>
        </x:is>
      </x:c>
      <x:c r="I252" s="2" t="inlineStr">
        <x:is>
          <x:t xml:space="preserve">2021-08-19</x:t>
        </x:is>
      </x:c>
      <x:c r="J252" s="3" t="inlineStr">
        <x:is>
          <x:t xml:space="preserve">上海市黄浦区中山东二路70号</x:t>
        </x:is>
      </x:c>
      <x:c r="K252" s="12" t="str">
        <x:f>LEFT("913100007793473149",18)</x:f>
        <x:v>913100007793473200</x:v>
      </x:c>
    </x:row>
    <x:row r="253">
      <x:c r="A253" s="4" t="n">
        <x:v>252</x:v>
      </x:c>
      <x:c r="B253" s="4" t="inlineStr">
        <x:is>
          <x:t xml:space="preserve">601828</x:t>
        </x:is>
      </x:c>
      <x:c r="C253" s="5" t="inlineStr">
        <x:is>
          <x:t xml:space="preserve">美凯龙</x:t>
        </x:is>
      </x:c>
      <x:c r="D253" s="5" t="inlineStr">
        <x:is>
          <x:t xml:space="preserve">红星美凯龙家居集团股份有限公司</x:t>
        </x:is>
      </x:c>
      <x:c r="E253" s="4" t="inlineStr">
        <x:is>
          <x:t xml:space="preserve">上海市</x:t>
        </x:is>
      </x:c>
      <x:c r="F253" s="4" t="inlineStr">
        <x:is>
          <x:t xml:space="preserve">上海市</x:t>
        </x:is>
      </x:c>
      <x:c r="G253" s="5" t="inlineStr">
        <x:is>
          <x:t xml:space="preserve">上海市-上海市</x:t>
        </x:is>
      </x:c>
      <x:c r="H253" s="4" t="inlineStr">
        <x:is>
          <x:t xml:space="preserve">商业百货</x:t>
        </x:is>
      </x:c>
      <x:c r="I253" s="4" t="inlineStr">
        <x:is>
          <x:t xml:space="preserve">2018-01-17</x:t>
        </x:is>
      </x:c>
      <x:c r="J253" s="5" t="inlineStr">
        <x:is>
          <x:t xml:space="preserve">上海市浦东新区临御路518号6楼F801室</x:t>
        </x:is>
      </x:c>
      <x:c r="K253" s="12" t="str">
        <x:f>LEFT("913100006624816751",18)</x:f>
        <x:v>913100006624816800</x:v>
      </x:c>
    </x:row>
    <x:row r="254">
      <x:c r="A254" s="2" t="n">
        <x:v>253</x:v>
      </x:c>
      <x:c r="B254" s="2" t="inlineStr">
        <x:is>
          <x:t xml:space="preserve">601866</x:t>
        </x:is>
      </x:c>
      <x:c r="C254" s="3" t="inlineStr">
        <x:is>
          <x:t xml:space="preserve">中远海发</x:t>
        </x:is>
      </x:c>
      <x:c r="D254" s="3" t="inlineStr">
        <x:is>
          <x:t xml:space="preserve">中远海运发展股份有限公司</x:t>
        </x:is>
      </x:c>
      <x:c r="E254" s="2" t="inlineStr">
        <x:is>
          <x:t xml:space="preserve">上海市</x:t>
        </x:is>
      </x:c>
      <x:c r="F254" s="2" t="inlineStr">
        <x:is>
          <x:t xml:space="preserve">上海市</x:t>
        </x:is>
      </x:c>
      <x:c r="G254" s="3" t="inlineStr">
        <x:is>
          <x:t xml:space="preserve">上海市-上海市</x:t>
        </x:is>
      </x:c>
      <x:c r="H254" s="2" t="inlineStr">
        <x:is>
          <x:t xml:space="preserve">港口水运</x:t>
        </x:is>
      </x:c>
      <x:c r="I254" s="2" t="inlineStr">
        <x:is>
          <x:t xml:space="preserve">2007-12-12</x:t>
        </x:is>
      </x:c>
      <x:c r="J254" s="3" t="inlineStr">
        <x:is>
          <x:t xml:space="preserve">中国(上海)自由贸易试验区国贸大厦A-538室</x:t>
        </x:is>
      </x:c>
      <x:c r="K254" s="12" t="str">
        <x:f>LEFT("91310000759579978L",18)</x:f>
        <x:v>91310000759579978L</x:v>
      </x:c>
    </x:row>
    <x:row r="255">
      <x:c r="A255" s="4" t="n">
        <x:v>254</x:v>
      </x:c>
      <x:c r="B255" s="4" t="inlineStr">
        <x:is>
          <x:t xml:space="preserve">601872</x:t>
        </x:is>
      </x:c>
      <x:c r="C255" s="5" t="inlineStr">
        <x:is>
          <x:t xml:space="preserve">招商轮船</x:t>
        </x:is>
      </x:c>
      <x:c r="D255" s="5" t="inlineStr">
        <x:is>
          <x:t xml:space="preserve">招商局能源运输股份有限公司</x:t>
        </x:is>
      </x:c>
      <x:c r="E255" s="4" t="inlineStr">
        <x:is>
          <x:t xml:space="preserve">上海市</x:t>
        </x:is>
      </x:c>
      <x:c r="F255" s="4" t="inlineStr">
        <x:is>
          <x:t xml:space="preserve">上海市</x:t>
        </x:is>
      </x:c>
      <x:c r="G255" s="5" t="inlineStr">
        <x:is>
          <x:t xml:space="preserve">上海市-上海市</x:t>
        </x:is>
      </x:c>
      <x:c r="H255" s="4" t="inlineStr">
        <x:is>
          <x:t xml:space="preserve">港口水运</x:t>
        </x:is>
      </x:c>
      <x:c r="I255" s="4" t="inlineStr">
        <x:is>
          <x:t xml:space="preserve">2006-12-01</x:t>
        </x:is>
      </x:c>
      <x:c r="J255" s="5" t="inlineStr">
        <x:is>
          <x:t xml:space="preserve">中国(上海)自由贸易试验区西里路55号9楼912A室</x:t>
        </x:is>
      </x:c>
      <x:c r="K255" s="12" t="str">
        <x:f>LEFT("91310000710933112E",18)</x:f>
        <x:v>91310000710933112E</x:v>
      </x:c>
    </x:row>
    <x:row r="256">
      <x:c r="A256" s="2" t="n">
        <x:v>255</x:v>
      </x:c>
      <x:c r="B256" s="2" t="inlineStr">
        <x:is>
          <x:t xml:space="preserve">601968</x:t>
        </x:is>
      </x:c>
      <x:c r="C256" s="3" t="inlineStr">
        <x:is>
          <x:t xml:space="preserve">宝钢包装</x:t>
        </x:is>
      </x:c>
      <x:c r="D256" s="3" t="inlineStr">
        <x:is>
          <x:t xml:space="preserve">上海宝钢包装股份有限公司</x:t>
        </x:is>
      </x:c>
      <x:c r="E256" s="2" t="inlineStr">
        <x:is>
          <x:t xml:space="preserve">上海市</x:t>
        </x:is>
      </x:c>
      <x:c r="F256" s="2" t="inlineStr">
        <x:is>
          <x:t xml:space="preserve">上海市</x:t>
        </x:is>
      </x:c>
      <x:c r="G256" s="3" t="inlineStr">
        <x:is>
          <x:t xml:space="preserve">上海市-上海市</x:t>
        </x:is>
      </x:c>
      <x:c r="H256" s="2" t="inlineStr">
        <x:is>
          <x:t xml:space="preserve">包装材料</x:t>
        </x:is>
      </x:c>
      <x:c r="I256" s="2" t="inlineStr">
        <x:is>
          <x:t xml:space="preserve">2015-06-11</x:t>
        </x:is>
      </x:c>
      <x:c r="J256" s="3" t="inlineStr">
        <x:is>
          <x:t xml:space="preserve">上海市宝山区罗东路1818号</x:t>
        </x:is>
      </x:c>
      <x:c r="K256" s="12" t="str">
        <x:f>LEFT("91310000760591990X",18)</x:f>
        <x:v>91310000760591990X</x:v>
      </x:c>
    </x:row>
    <x:row r="257">
      <x:c r="A257" s="4" t="n">
        <x:v>256</x:v>
      </x:c>
      <x:c r="B257" s="4" t="inlineStr">
        <x:is>
          <x:t xml:space="preserve">603006</x:t>
        </x:is>
      </x:c>
      <x:c r="C257" s="5" t="inlineStr">
        <x:is>
          <x:t xml:space="preserve">联明股份</x:t>
        </x:is>
      </x:c>
      <x:c r="D257" s="5" t="inlineStr">
        <x:is>
          <x:t xml:space="preserve">上海联明机械股份有限公司</x:t>
        </x:is>
      </x:c>
      <x:c r="E257" s="4" t="inlineStr">
        <x:is>
          <x:t xml:space="preserve">上海市</x:t>
        </x:is>
      </x:c>
      <x:c r="F257" s="4" t="inlineStr">
        <x:is>
          <x:t xml:space="preserve">上海市</x:t>
        </x:is>
      </x:c>
      <x:c r="G257" s="5" t="inlineStr">
        <x:is>
          <x:t xml:space="preserve">上海市-上海市</x:t>
        </x:is>
      </x:c>
      <x:c r="H257" s="4" t="inlineStr">
        <x:is>
          <x:t xml:space="preserve">汽车行业</x:t>
        </x:is>
      </x:c>
      <x:c r="I257" s="4" t="inlineStr">
        <x:is>
          <x:t xml:space="preserve">2014-06-30</x:t>
        </x:is>
      </x:c>
      <x:c r="J257" s="5" t="inlineStr">
        <x:is>
          <x:t xml:space="preserve">上海市浦东新区川沙路905号</x:t>
        </x:is>
      </x:c>
      <x:c r="K257" s="12" t="str">
        <x:f>LEFT("913100007465419113",18)</x:f>
        <x:v>913100007465419100</x:v>
      </x:c>
    </x:row>
    <x:row r="258">
      <x:c r="A258" s="2" t="n">
        <x:v>257</x:v>
      </x:c>
      <x:c r="B258" s="2" t="inlineStr">
        <x:is>
          <x:t xml:space="preserve">603009</x:t>
        </x:is>
      </x:c>
      <x:c r="C258" s="3" t="inlineStr">
        <x:is>
          <x:t xml:space="preserve">北特科技</x:t>
        </x:is>
      </x:c>
      <x:c r="D258" s="3" t="inlineStr">
        <x:is>
          <x:t xml:space="preserve">上海北特科技集团股份有限公司</x:t>
        </x:is>
      </x:c>
      <x:c r="E258" s="2" t="inlineStr">
        <x:is>
          <x:t xml:space="preserve">上海市</x:t>
        </x:is>
      </x:c>
      <x:c r="F258" s="2" t="inlineStr">
        <x:is>
          <x:t xml:space="preserve">上海市</x:t>
        </x:is>
      </x:c>
      <x:c r="G258" s="3" t="inlineStr">
        <x:is>
          <x:t xml:space="preserve">上海市-上海市</x:t>
        </x:is>
      </x:c>
      <x:c r="H258" s="2" t="inlineStr">
        <x:is>
          <x:t xml:space="preserve">汽车行业</x:t>
        </x:is>
      </x:c>
      <x:c r="I258" s="2" t="inlineStr">
        <x:is>
          <x:t xml:space="preserve">2014-07-18</x:t>
        </x:is>
      </x:c>
      <x:c r="J258" s="3" t="inlineStr">
        <x:is>
          <x:t xml:space="preserve">上海市嘉定区华亭镇高石路(北新村内)(一照多址企业)</x:t>
        </x:is>
      </x:c>
      <x:c r="K258" s="12" t="str">
        <x:f>LEFT("91310000740291843G",18)</x:f>
        <x:v>91310000740291843G</x:v>
      </x:c>
    </x:row>
    <x:row r="259">
      <x:c r="A259" s="4" t="n">
        <x:v>258</x:v>
      </x:c>
      <x:c r="B259" s="4" t="inlineStr">
        <x:is>
          <x:t xml:space="preserve">603012</x:t>
        </x:is>
      </x:c>
      <x:c r="C259" s="5" t="inlineStr">
        <x:is>
          <x:t xml:space="preserve">创力集团</x:t>
        </x:is>
      </x:c>
      <x:c r="D259" s="5" t="inlineStr">
        <x:is>
          <x:t xml:space="preserve">上海创力集团股份有限公司</x:t>
        </x:is>
      </x:c>
      <x:c r="E259" s="4" t="inlineStr">
        <x:is>
          <x:t xml:space="preserve">上海市</x:t>
        </x:is>
      </x:c>
      <x:c r="F259" s="4" t="inlineStr">
        <x:is>
          <x:t xml:space="preserve">上海市</x:t>
        </x:is>
      </x:c>
      <x:c r="G259" s="5" t="inlineStr">
        <x:is>
          <x:t xml:space="preserve">上海市-上海市</x:t>
        </x:is>
      </x:c>
      <x:c r="H259" s="4" t="inlineStr">
        <x:is>
          <x:t xml:space="preserve">专用设备</x:t>
        </x:is>
      </x:c>
      <x:c r="I259" s="4" t="inlineStr">
        <x:is>
          <x:t xml:space="preserve">2015-03-20</x:t>
        </x:is>
      </x:c>
      <x:c r="J259" s="5" t="inlineStr">
        <x:is>
          <x:t xml:space="preserve">上海市青浦区新康路889号、666号、618号</x:t>
        </x:is>
      </x:c>
      <x:c r="K259" s="12" t="str">
        <x:f>LEFT("91310000754798223N",18)</x:f>
        <x:v>91310000754798223N</x:v>
      </x:c>
    </x:row>
    <x:row r="260">
      <x:c r="A260" s="2" t="n">
        <x:v>259</x:v>
      </x:c>
      <x:c r="B260" s="2" t="inlineStr">
        <x:is>
          <x:t xml:space="preserve">603020</x:t>
        </x:is>
      </x:c>
      <x:c r="C260" s="3" t="inlineStr">
        <x:is>
          <x:t xml:space="preserve">爱普股份</x:t>
        </x:is>
      </x:c>
      <x:c r="D260" s="3" t="inlineStr">
        <x:is>
          <x:t xml:space="preserve">爱普香料集团股份有限公司</x:t>
        </x:is>
      </x:c>
      <x:c r="E260" s="2" t="inlineStr">
        <x:is>
          <x:t xml:space="preserve">上海市</x:t>
        </x:is>
      </x:c>
      <x:c r="F260" s="2" t="inlineStr">
        <x:is>
          <x:t xml:space="preserve">上海市</x:t>
        </x:is>
      </x:c>
      <x:c r="G260" s="3" t="inlineStr">
        <x:is>
          <x:t xml:space="preserve">上海市-上海市</x:t>
        </x:is>
      </x:c>
      <x:c r="H260" s="2" t="inlineStr">
        <x:is>
          <x:t xml:space="preserve">食品饮料</x:t>
        </x:is>
      </x:c>
      <x:c r="I260" s="2" t="inlineStr">
        <x:is>
          <x:t xml:space="preserve">2015-03-25</x:t>
        </x:is>
      </x:c>
      <x:c r="J260" s="3" t="inlineStr">
        <x:is>
          <x:t xml:space="preserve">上海市嘉定区曹新公路33号</x:t>
        </x:is>
      </x:c>
      <x:c r="K260" s="12" t="str">
        <x:f>LEFT("9131000063207506XW",18)</x:f>
        <x:v>9131000063207506XW</x:v>
      </x:c>
    </x:row>
    <x:row r="261">
      <x:c r="A261" s="4" t="n">
        <x:v>260</x:v>
      </x:c>
      <x:c r="B261" s="4" t="inlineStr">
        <x:is>
          <x:t xml:space="preserve">603022</x:t>
        </x:is>
      </x:c>
      <x:c r="C261" s="5" t="inlineStr">
        <x:is>
          <x:t xml:space="preserve">新通联</x:t>
        </x:is>
      </x:c>
      <x:c r="D261" s="5" t="inlineStr">
        <x:is>
          <x:t xml:space="preserve">上海新通联包装股份有限公司</x:t>
        </x:is>
      </x:c>
      <x:c r="E261" s="4" t="inlineStr">
        <x:is>
          <x:t xml:space="preserve">上海市</x:t>
        </x:is>
      </x:c>
      <x:c r="F261" s="4" t="inlineStr">
        <x:is>
          <x:t xml:space="preserve">上海市</x:t>
        </x:is>
      </x:c>
      <x:c r="G261" s="5" t="inlineStr">
        <x:is>
          <x:t xml:space="preserve">上海市-上海市</x:t>
        </x:is>
      </x:c>
      <x:c r="H261" s="4" t="inlineStr">
        <x:is>
          <x:t xml:space="preserve">包装材料</x:t>
        </x:is>
      </x:c>
      <x:c r="I261" s="4" t="inlineStr">
        <x:is>
          <x:t xml:space="preserve">2015-05-18</x:t>
        </x:is>
      </x:c>
      <x:c r="J261" s="5" t="inlineStr">
        <x:is>
          <x:t xml:space="preserve">上海市宝山区罗北路1238号</x:t>
        </x:is>
      </x:c>
      <x:c r="K261" s="12" t="str">
        <x:f>LEFT("91310000631540230N",18)</x:f>
        <x:v>91310000631540230N</x:v>
      </x:c>
    </x:row>
    <x:row r="262">
      <x:c r="A262" s="2" t="n">
        <x:v>261</x:v>
      </x:c>
      <x:c r="B262" s="2" t="inlineStr">
        <x:is>
          <x:t xml:space="preserve">603030</x:t>
        </x:is>
      </x:c>
      <x:c r="C262" s="3" t="inlineStr">
        <x:is>
          <x:t xml:space="preserve">全筑股份</x:t>
        </x:is>
      </x:c>
      <x:c r="D262" s="3" t="inlineStr">
        <x:is>
          <x:t xml:space="preserve">上海全筑控股集团股份有限公司</x:t>
        </x:is>
      </x:c>
      <x:c r="E262" s="2" t="inlineStr">
        <x:is>
          <x:t xml:space="preserve">上海市</x:t>
        </x:is>
      </x:c>
      <x:c r="F262" s="2" t="inlineStr">
        <x:is>
          <x:t xml:space="preserve">上海市</x:t>
        </x:is>
      </x:c>
      <x:c r="G262" s="3" t="inlineStr">
        <x:is>
          <x:t xml:space="preserve">上海市-上海市</x:t>
        </x:is>
      </x:c>
      <x:c r="H262" s="2" t="inlineStr">
        <x:is>
          <x:t xml:space="preserve">装修装饰</x:t>
        </x:is>
      </x:c>
      <x:c r="I262" s="2" t="inlineStr">
        <x:is>
          <x:t xml:space="preserve">2015-03-20</x:t>
        </x:is>
      </x:c>
      <x:c r="J262" s="3" t="inlineStr">
        <x:is>
          <x:t xml:space="preserve">上海市青浦区朱家角镇沪青平公路6335号7幢461</x:t>
        </x:is>
      </x:c>
      <x:c r="K262" s="12" t="str">
        <x:f>LEFT("91310000631265080C",18)</x:f>
        <x:v>91310000631265080C</x:v>
      </x:c>
    </x:row>
    <x:row r="263">
      <x:c r="A263" s="4" t="n">
        <x:v>262</x:v>
      </x:c>
      <x:c r="B263" s="4" t="inlineStr">
        <x:is>
          <x:t xml:space="preserve">603037</x:t>
        </x:is>
      </x:c>
      <x:c r="C263" s="5" t="inlineStr">
        <x:is>
          <x:t xml:space="preserve">凯众股份</x:t>
        </x:is>
      </x:c>
      <x:c r="D263" s="5" t="inlineStr">
        <x:is>
          <x:t xml:space="preserve">上海凯众材料科技股份有限公司</x:t>
        </x:is>
      </x:c>
      <x:c r="E263" s="4" t="inlineStr">
        <x:is>
          <x:t xml:space="preserve">上海市</x:t>
        </x:is>
      </x:c>
      <x:c r="F263" s="4" t="inlineStr">
        <x:is>
          <x:t xml:space="preserve">上海市</x:t>
        </x:is>
      </x:c>
      <x:c r="G263" s="5" t="inlineStr">
        <x:is>
          <x:t xml:space="preserve">上海市-上海市</x:t>
        </x:is>
      </x:c>
      <x:c r="H263" s="4" t="inlineStr">
        <x:is>
          <x:t xml:space="preserve">汽车行业</x:t>
        </x:is>
      </x:c>
      <x:c r="I263" s="4" t="inlineStr">
        <x:is>
          <x:t xml:space="preserve">2017-01-20</x:t>
        </x:is>
      </x:c>
      <x:c r="J263" s="5" t="inlineStr">
        <x:is>
          <x:t xml:space="preserve">上海市浦东新区建业路813号</x:t>
        </x:is>
      </x:c>
      <x:c r="K263" s="12" t="str">
        <x:f>LEFT("9131000013235939XD",18)</x:f>
        <x:v>9131000013235939XD</x:v>
      </x:c>
    </x:row>
    <x:row r="264">
      <x:c r="A264" s="2" t="n">
        <x:v>263</x:v>
      </x:c>
      <x:c r="B264" s="2" t="inlineStr">
        <x:is>
          <x:t xml:space="preserve">603039</x:t>
        </x:is>
      </x:c>
      <x:c r="C264" s="3" t="inlineStr">
        <x:is>
          <x:t xml:space="preserve">泛微网络</x:t>
        </x:is>
      </x:c>
      <x:c r="D264" s="3" t="inlineStr">
        <x:is>
          <x:t xml:space="preserve">泛微网络科技股份有限公司</x:t>
        </x:is>
      </x:c>
      <x:c r="E264" s="2" t="inlineStr">
        <x:is>
          <x:t xml:space="preserve">上海市</x:t>
        </x:is>
      </x:c>
      <x:c r="F264" s="2" t="inlineStr">
        <x:is>
          <x:t xml:space="preserve">上海市</x:t>
        </x:is>
      </x:c>
      <x:c r="G264" s="3" t="inlineStr">
        <x:is>
          <x:t xml:space="preserve">上海市-上海市</x:t>
        </x:is>
      </x:c>
      <x:c r="H264" s="2" t="inlineStr">
        <x:is>
          <x:t xml:space="preserve">软件服务</x:t>
        </x:is>
      </x:c>
      <x:c r="I264" s="2" t="inlineStr">
        <x:is>
          <x:t xml:space="preserve">2017-01-13</x:t>
        </x:is>
      </x:c>
      <x:c r="J264" s="3" t="inlineStr">
        <x:is>
          <x:t xml:space="preserve">上海市奉贤区环城西路3006号</x:t>
        </x:is>
      </x:c>
      <x:c r="K264" s="12" t="str">
        <x:f>LEFT("9131000070322836XD",18)</x:f>
        <x:v>9131000070322836XD</x:v>
      </x:c>
    </x:row>
    <x:row r="265">
      <x:c r="A265" s="4" t="n">
        <x:v>264</x:v>
      </x:c>
      <x:c r="B265" s="4" t="inlineStr">
        <x:is>
          <x:t xml:space="preserve">603056</x:t>
        </x:is>
      </x:c>
      <x:c r="C265" s="5" t="inlineStr">
        <x:is>
          <x:t xml:space="preserve">德邦股份</x:t>
        </x:is>
      </x:c>
      <x:c r="D265" s="5" t="inlineStr">
        <x:is>
          <x:t xml:space="preserve">德邦物流股份有限公司</x:t>
        </x:is>
      </x:c>
      <x:c r="E265" s="4" t="inlineStr">
        <x:is>
          <x:t xml:space="preserve">上海市</x:t>
        </x:is>
      </x:c>
      <x:c r="F265" s="4" t="inlineStr">
        <x:is>
          <x:t xml:space="preserve">上海市</x:t>
        </x:is>
      </x:c>
      <x:c r="G265" s="5" t="inlineStr">
        <x:is>
          <x:t xml:space="preserve">上海市-上海市</x:t>
        </x:is>
      </x:c>
      <x:c r="H265" s="4" t="inlineStr">
        <x:is>
          <x:t xml:space="preserve">交运物流</x:t>
        </x:is>
      </x:c>
      <x:c r="I265" s="4" t="inlineStr">
        <x:is>
          <x:t xml:space="preserve">2018-01-16</x:t>
        </x:is>
      </x:c>
      <x:c r="J265" s="5" t="inlineStr">
        <x:is>
          <x:t xml:space="preserve">上海市青浦区徐泾镇徐祥路316号1幢</x:t>
        </x:is>
      </x:c>
      <x:c r="K265" s="12" t="str">
        <x:f>LEFT("91310000692944327T",18)</x:f>
        <x:v>91310000692944327T</x:v>
      </x:c>
    </x:row>
    <x:row r="266">
      <x:c r="A266" s="2" t="n">
        <x:v>265</x:v>
      </x:c>
      <x:c r="B266" s="2" t="inlineStr">
        <x:is>
          <x:t xml:space="preserve">603057</x:t>
        </x:is>
      </x:c>
      <x:c r="C266" s="3" t="inlineStr">
        <x:is>
          <x:t xml:space="preserve">紫燕食品</x:t>
        </x:is>
      </x:c>
      <x:c r="D266" s="3" t="inlineStr">
        <x:is>
          <x:t xml:space="preserve">紫燕食品集团股份有限公司</x:t>
        </x:is>
      </x:c>
      <x:c r="E266" s="2" t="inlineStr">
        <x:is>
          <x:t xml:space="preserve">上海市</x:t>
        </x:is>
      </x:c>
      <x:c r="F266" s="2" t="inlineStr">
        <x:is>
          <x:t xml:space="preserve">上海市</x:t>
        </x:is>
      </x:c>
      <x:c r="G266" s="3" t="inlineStr">
        <x:is>
          <x:t xml:space="preserve">上海市-上海市</x:t>
        </x:is>
      </x:c>
      <x:c r="H266" s="2" t="inlineStr">
        <x:is>
          <x:t xml:space="preserve">食品饮料</x:t>
        </x:is>
      </x:c>
      <x:c r="I266" s="2" t="inlineStr">
        <x:is>
          <x:t xml:space="preserve">2022-09-26</x:t>
        </x:is>
      </x:c>
      <x:c r="J266" s="3" t="inlineStr">
        <x:is>
          <x:t xml:space="preserve">上海市闵行区春中路26号</x:t>
        </x:is>
      </x:c>
      <x:c r="K266" s="12" t="str">
        <x:f>LEFT("91310112630574703Q",18)</x:f>
        <x:v>91310112630574703Q</x:v>
      </x:c>
    </x:row>
    <x:row r="267">
      <x:c r="A267" s="4" t="n">
        <x:v>266</x:v>
      </x:c>
      <x:c r="B267" s="4" t="inlineStr">
        <x:is>
          <x:t xml:space="preserve">603062</x:t>
        </x:is>
      </x:c>
      <x:c r="C267" s="5" t="inlineStr">
        <x:is>
          <x:t xml:space="preserve">麦加芯彩</x:t>
        </x:is>
      </x:c>
      <x:c r="D267" s="5" t="inlineStr">
        <x:is>
          <x:t xml:space="preserve">麦加芯彩新材料科技(上海)股份有限公司</x:t>
        </x:is>
      </x:c>
      <x:c r="E267" s="4" t="inlineStr">
        <x:is>
          <x:t xml:space="preserve">上海市</x:t>
        </x:is>
      </x:c>
      <x:c r="F267" s="4" t="inlineStr">
        <x:is>
          <x:t xml:space="preserve">上海市</x:t>
        </x:is>
      </x:c>
      <x:c r="G267" s="5" t="inlineStr">
        <x:is>
          <x:t xml:space="preserve">上海市-上海市</x:t>
        </x:is>
      </x:c>
      <x:c r="H267" s="4" t="inlineStr">
        <x:is>
          <x:t xml:space="preserve">化学原料</x:t>
        </x:is>
      </x:c>
      <x:c r="I267" s="4" t="inlineStr">
        <x:is>
          <x:t xml:space="preserve">2023-11-07</x:t>
        </x:is>
      </x:c>
      <x:c r="J267" s="5" t="inlineStr">
        <x:is>
          <x:t xml:space="preserve">上海市嘉定区马陆镇思诚路1515号</x:t>
        </x:is>
      </x:c>
      <x:c r="K267" s="12" t="str">
        <x:f>LEFT("913100007385256042",18)</x:f>
        <x:v>913100007385256100</x:v>
      </x:c>
    </x:row>
    <x:row r="268">
      <x:c r="A268" s="2" t="n">
        <x:v>267</x:v>
      </x:c>
      <x:c r="B268" s="2" t="inlineStr">
        <x:is>
          <x:t xml:space="preserve">603068</x:t>
        </x:is>
      </x:c>
      <x:c r="C268" s="3" t="inlineStr">
        <x:is>
          <x:t xml:space="preserve">博通集成</x:t>
        </x:is>
      </x:c>
      <x:c r="D268" s="3" t="inlineStr">
        <x:is>
          <x:t xml:space="preserve">博通集成电路(上海)股份有限公司</x:t>
        </x:is>
      </x:c>
      <x:c r="E268" s="2" t="inlineStr">
        <x:is>
          <x:t xml:space="preserve">上海市</x:t>
        </x:is>
      </x:c>
      <x:c r="F268" s="2" t="inlineStr">
        <x:is>
          <x:t xml:space="preserve">上海市</x:t>
        </x:is>
      </x:c>
      <x:c r="G268" s="3" t="inlineStr">
        <x:is>
          <x:t xml:space="preserve">上海市-上海市</x:t>
        </x:is>
      </x:c>
      <x:c r="H268" s="2" t="inlineStr">
        <x:is>
          <x:t xml:space="preserve">半导体</x:t>
        </x:is>
      </x:c>
      <x:c r="I268" s="2" t="inlineStr">
        <x:is>
          <x:t xml:space="preserve">2019-04-15</x:t>
        </x:is>
      </x:c>
      <x:c r="J268" s="3" t="inlineStr">
        <x:is>
          <x:t xml:space="preserve">中国(上海)自由贸易试验区张东路1387号41幢101(复式)室2F-3F/102(复式)室</x:t>
        </x:is>
      </x:c>
      <x:c r="K268" s="12" t="str">
        <x:f>LEFT("91310000769410818Q",18)</x:f>
        <x:v>91310000769410818Q</x:v>
      </x:c>
    </x:row>
    <x:row r="269">
      <x:c r="A269" s="4" t="n">
        <x:v>268</x:v>
      </x:c>
      <x:c r="B269" s="4" t="inlineStr">
        <x:is>
          <x:t xml:space="preserve">603083</x:t>
        </x:is>
      </x:c>
      <x:c r="C269" s="5" t="inlineStr">
        <x:is>
          <x:t xml:space="preserve">剑桥科技</x:t>
        </x:is>
      </x:c>
      <x:c r="D269" s="5" t="inlineStr">
        <x:is>
          <x:t xml:space="preserve">上海剑桥科技股份有限公司</x:t>
        </x:is>
      </x:c>
      <x:c r="E269" s="4" t="inlineStr">
        <x:is>
          <x:t xml:space="preserve">上海市</x:t>
        </x:is>
      </x:c>
      <x:c r="F269" s="4" t="inlineStr">
        <x:is>
          <x:t xml:space="preserve">上海市</x:t>
        </x:is>
      </x:c>
      <x:c r="G269" s="5" t="inlineStr">
        <x:is>
          <x:t xml:space="preserve">上海市-上海市</x:t>
        </x:is>
      </x:c>
      <x:c r="H269" s="4" t="inlineStr">
        <x:is>
          <x:t xml:space="preserve">通讯行业</x:t>
        </x:is>
      </x:c>
      <x:c r="I269" s="4" t="inlineStr">
        <x:is>
          <x:t xml:space="preserve">2017-11-10</x:t>
        </x:is>
      </x:c>
      <x:c r="J269" s="5" t="inlineStr">
        <x:is>
          <x:t xml:space="preserve">上海市闵行区陈行公路2388号8幢501室</x:t>
        </x:is>
      </x:c>
      <x:c r="K269" s="12" t="str">
        <x:f>LEFT("9131000078585112XY",18)</x:f>
        <x:v>9131000078585112XY</x:v>
      </x:c>
    </x:row>
    <x:row r="270">
      <x:c r="A270" s="2" t="n">
        <x:v>269</x:v>
      </x:c>
      <x:c r="B270" s="2" t="inlineStr">
        <x:is>
          <x:t xml:space="preserve">603107</x:t>
        </x:is>
      </x:c>
      <x:c r="C270" s="3" t="inlineStr">
        <x:is>
          <x:t xml:space="preserve">上海汽配</x:t>
        </x:is>
      </x:c>
      <x:c r="D270" s="3" t="inlineStr">
        <x:is>
          <x:t xml:space="preserve">上海汽车空调配件股份有限公司</x:t>
        </x:is>
      </x:c>
      <x:c r="E270" s="2" t="inlineStr">
        <x:is>
          <x:t xml:space="preserve">上海市</x:t>
        </x:is>
      </x:c>
      <x:c r="F270" s="2" t="inlineStr">
        <x:is>
          <x:t xml:space="preserve">上海市</x:t>
        </x:is>
      </x:c>
      <x:c r="G270" s="3" t="inlineStr">
        <x:is>
          <x:t xml:space="preserve">上海市-上海市</x:t>
        </x:is>
      </x:c>
      <x:c r="H270" s="2" t="inlineStr">
        <x:is>
          <x:t xml:space="preserve">汽车零部件</x:t>
        </x:is>
      </x:c>
      <x:c r="I270" s="2" t="inlineStr">
        <x:is>
          <x:t xml:space="preserve">2023-11-01</x:t>
        </x:is>
      </x:c>
      <x:c r="J270" s="3" t="inlineStr">
        <x:is>
          <x:t xml:space="preserve">上海市浦东新区莲溪路1188号</x:t>
        </x:is>
      </x:c>
      <x:c r="K270" s="12" t="str">
        <x:f>LEFT("91310115607249670N",18)</x:f>
        <x:v>91310115607249670N</x:v>
      </x:c>
    </x:row>
    <x:row r="271">
      <x:c r="A271" s="4" t="n">
        <x:v>270</x:v>
      </x:c>
      <x:c r="B271" s="4" t="inlineStr">
        <x:is>
          <x:t xml:space="preserve">603108</x:t>
        </x:is>
      </x:c>
      <x:c r="C271" s="5" t="inlineStr">
        <x:is>
          <x:t xml:space="preserve">润达医疗</x:t>
        </x:is>
      </x:c>
      <x:c r="D271" s="5" t="inlineStr">
        <x:is>
          <x:t xml:space="preserve">上海润达医疗科技股份有限公司</x:t>
        </x:is>
      </x:c>
      <x:c r="E271" s="4" t="inlineStr">
        <x:is>
          <x:t xml:space="preserve">上海市</x:t>
        </x:is>
      </x:c>
      <x:c r="F271" s="4" t="inlineStr">
        <x:is>
          <x:t xml:space="preserve">上海市</x:t>
        </x:is>
      </x:c>
      <x:c r="G271" s="5" t="inlineStr">
        <x:is>
          <x:t xml:space="preserve">上海市-上海市</x:t>
        </x:is>
      </x:c>
      <x:c r="H271" s="4" t="inlineStr">
        <x:is>
          <x:t xml:space="preserve">医疗服务</x:t>
        </x:is>
      </x:c>
      <x:c r="I271" s="4" t="inlineStr">
        <x:is>
          <x:t xml:space="preserve">2015-05-27</x:t>
        </x:is>
      </x:c>
      <x:c r="J271" s="5" t="inlineStr">
        <x:is>
          <x:t xml:space="preserve">上海市金山区卫昌路1018号1号楼201室</x:t>
        </x:is>
      </x:c>
      <x:c r="K271" s="12" t="str">
        <x:f>LEFT("91310000631344037Q",18)</x:f>
        <x:v>91310000631344037Q</x:v>
      </x:c>
    </x:row>
    <x:row r="272">
      <x:c r="A272" s="2" t="n">
        <x:v>271</x:v>
      </x:c>
      <x:c r="B272" s="2" t="inlineStr">
        <x:is>
          <x:t xml:space="preserve">603121</x:t>
        </x:is>
      </x:c>
      <x:c r="C272" s="3" t="inlineStr">
        <x:is>
          <x:t xml:space="preserve">华培动力</x:t>
        </x:is>
      </x:c>
      <x:c r="D272" s="3" t="inlineStr">
        <x:is>
          <x:t xml:space="preserve">上海华培数能科技(集团)股份有限公司</x:t>
        </x:is>
      </x:c>
      <x:c r="E272" s="2" t="inlineStr">
        <x:is>
          <x:t xml:space="preserve">上海市</x:t>
        </x:is>
      </x:c>
      <x:c r="F272" s="2" t="inlineStr">
        <x:is>
          <x:t xml:space="preserve">上海市</x:t>
        </x:is>
      </x:c>
      <x:c r="G272" s="3" t="inlineStr">
        <x:is>
          <x:t xml:space="preserve">上海市-上海市</x:t>
        </x:is>
      </x:c>
      <x:c r="H272" s="2" t="inlineStr">
        <x:is>
          <x:t xml:space="preserve">汽车行业</x:t>
        </x:is>
      </x:c>
      <x:c r="I272" s="2" t="inlineStr">
        <x:is>
          <x:t xml:space="preserve">2019-01-11</x:t>
        </x:is>
      </x:c>
      <x:c r="J272" s="3" t="inlineStr">
        <x:is>
          <x:t xml:space="preserve">上海市青浦区崧秀路218号3幢厂房</x:t>
        </x:is>
      </x:c>
      <x:c r="K272" s="12" t="str">
        <x:f>LEFT("913101187895655347",18)</x:f>
        <x:v>913101187895655300</x:v>
      </x:c>
    </x:row>
    <x:row r="273">
      <x:c r="A273" s="4" t="n">
        <x:v>272</x:v>
      </x:c>
      <x:c r="B273" s="4" t="inlineStr">
        <x:is>
          <x:t xml:space="preserve">603122</x:t>
        </x:is>
      </x:c>
      <x:c r="C273" s="5" t="inlineStr">
        <x:is>
          <x:t xml:space="preserve">合富中国</x:t>
        </x:is>
      </x:c>
      <x:c r="D273" s="5" t="inlineStr">
        <x:is>
          <x:t xml:space="preserve">合富(中国)医疗科技股份有限公司</x:t>
        </x:is>
      </x:c>
      <x:c r="E273" s="4" t="inlineStr">
        <x:is>
          <x:t xml:space="preserve">上海市</x:t>
        </x:is>
      </x:c>
      <x:c r="F273" s="4" t="inlineStr">
        <x:is>
          <x:t xml:space="preserve">上海市</x:t>
        </x:is>
      </x:c>
      <x:c r="G273" s="5" t="inlineStr">
        <x:is>
          <x:t xml:space="preserve">上海市-上海市</x:t>
        </x:is>
      </x:c>
      <x:c r="H273" s="4" t="inlineStr">
        <x:is>
          <x:t xml:space="preserve">医药商业</x:t>
        </x:is>
      </x:c>
      <x:c r="I273" s="4" t="inlineStr">
        <x:is>
          <x:t xml:space="preserve">2022-02-16</x:t>
        </x:is>
      </x:c>
      <x:c r="J273" s="5" t="inlineStr">
        <x:is>
          <x:t xml:space="preserve">中国(上海)自由贸易试验区新灵路118号606B室</x:t>
        </x:is>
      </x:c>
      <x:c r="K273" s="12" t="str">
        <x:f>LEFT("91310000703011187G",18)</x:f>
        <x:v>91310000703011187G</x:v>
      </x:c>
    </x:row>
    <x:row r="274">
      <x:c r="A274" s="2" t="n">
        <x:v>273</x:v>
      </x:c>
      <x:c r="B274" s="2" t="inlineStr">
        <x:is>
          <x:t xml:space="preserve">603128</x:t>
        </x:is>
      </x:c>
      <x:c r="C274" s="3" t="inlineStr">
        <x:is>
          <x:t xml:space="preserve">华贸物流</x:t>
        </x:is>
      </x:c>
      <x:c r="D274" s="3" t="inlineStr">
        <x:is>
          <x:t xml:space="preserve">港中旅华贸国际物流股份有限公司</x:t>
        </x:is>
      </x:c>
      <x:c r="E274" s="2" t="inlineStr">
        <x:is>
          <x:t xml:space="preserve">上海市</x:t>
        </x:is>
      </x:c>
      <x:c r="F274" s="2" t="inlineStr">
        <x:is>
          <x:t xml:space="preserve">上海市</x:t>
        </x:is>
      </x:c>
      <x:c r="G274" s="3" t="inlineStr">
        <x:is>
          <x:t xml:space="preserve">上海市-上海市</x:t>
        </x:is>
      </x:c>
      <x:c r="H274" s="2" t="inlineStr">
        <x:is>
          <x:t xml:space="preserve">交运物流</x:t>
        </x:is>
      </x:c>
      <x:c r="I274" s="2" t="inlineStr">
        <x:is>
          <x:t xml:space="preserve">2012-05-29</x:t>
        </x:is>
      </x:c>
      <x:c r="J274" s="3" t="inlineStr">
        <x:is>
          <x:t xml:space="preserve">上海市黄浦区南京西路338号天安中心20楼</x:t>
        </x:is>
      </x:c>
      <x:c r="K274" s="12" t="str">
        <x:f>LEFT("913100006072270179",18)</x:f>
        <x:v>913100006072270200</x:v>
      </x:c>
    </x:row>
    <x:row r="275">
      <x:c r="A275" s="4" t="n">
        <x:v>274</x:v>
      </x:c>
      <x:c r="B275" s="4" t="inlineStr">
        <x:is>
          <x:t xml:space="preserve">603131</x:t>
        </x:is>
      </x:c>
      <x:c r="C275" s="5" t="inlineStr">
        <x:is>
          <x:t xml:space="preserve">上海沪工</x:t>
        </x:is>
      </x:c>
      <x:c r="D275" s="5" t="inlineStr">
        <x:is>
          <x:t xml:space="preserve">上海沪工焊接集团股份有限公司</x:t>
        </x:is>
      </x:c>
      <x:c r="E275" s="4" t="inlineStr">
        <x:is>
          <x:t xml:space="preserve">上海市</x:t>
        </x:is>
      </x:c>
      <x:c r="F275" s="4" t="inlineStr">
        <x:is>
          <x:t xml:space="preserve">上海市</x:t>
        </x:is>
      </x:c>
      <x:c r="G275" s="5" t="inlineStr">
        <x:is>
          <x:t xml:space="preserve">上海市-上海市</x:t>
        </x:is>
      </x:c>
      <x:c r="H275" s="4" t="inlineStr">
        <x:is>
          <x:t xml:space="preserve">机械行业</x:t>
        </x:is>
      </x:c>
      <x:c r="I275" s="4" t="inlineStr">
        <x:is>
          <x:t xml:space="preserve">2016-06-07</x:t>
        </x:is>
      </x:c>
      <x:c r="J275" s="5" t="inlineStr">
        <x:is>
          <x:t xml:space="preserve">上海市青浦区外青松公路7177号</x:t>
        </x:is>
      </x:c>
      <x:c r="K275" s="12" t="str">
        <x:f>LEFT("91310000632142648H",18)</x:f>
        <x:v>91310000632142648H</x:v>
      </x:c>
    </x:row>
    <x:row r="276">
      <x:c r="A276" s="2" t="n">
        <x:v>275</x:v>
      </x:c>
      <x:c r="B276" s="2" t="inlineStr">
        <x:is>
          <x:t xml:space="preserve">603153</x:t>
        </x:is>
      </x:c>
      <x:c r="C276" s="3" t="inlineStr">
        <x:is>
          <x:t xml:space="preserve">上海建科</x:t>
        </x:is>
      </x:c>
      <x:c r="D276" s="3" t="inlineStr">
        <x:is>
          <x:t xml:space="preserve">上海建科咨询集团股份有限公司</x:t>
        </x:is>
      </x:c>
      <x:c r="E276" s="2" t="inlineStr">
        <x:is>
          <x:t xml:space="preserve">上海市</x:t>
        </x:is>
      </x:c>
      <x:c r="F276" s="2" t="inlineStr">
        <x:is>
          <x:t xml:space="preserve">上海市</x:t>
        </x:is>
      </x:c>
      <x:c r="G276" s="3" t="inlineStr">
        <x:is>
          <x:t xml:space="preserve">上海市-上海市</x:t>
        </x:is>
      </x:c>
      <x:c r="H276" s="2" t="inlineStr">
        <x:is>
          <x:t xml:space="preserve">工程咨询服务</x:t>
        </x:is>
      </x:c>
      <x:c r="I276" s="2" t="inlineStr">
        <x:is>
          <x:t xml:space="preserve">2023-03-13</x:t>
        </x:is>
      </x:c>
      <x:c r="J276" s="3" t="inlineStr">
        <x:is>
          <x:t xml:space="preserve">上海市徐汇区宛平南路75号</x:t>
        </x:is>
      </x:c>
      <x:c r="K276" s="12" t="str">
        <x:f>LEFT("913100007397542650",18)</x:f>
        <x:v>913100007397542700</x:v>
      </x:c>
    </x:row>
    <x:row r="277">
      <x:c r="A277" s="4" t="n">
        <x:v>276</x:v>
      </x:c>
      <x:c r="B277" s="4" t="inlineStr">
        <x:is>
          <x:t xml:space="preserve">603159</x:t>
        </x:is>
      </x:c>
      <x:c r="C277" s="5" t="inlineStr">
        <x:is>
          <x:t xml:space="preserve">上海亚虹</x:t>
        </x:is>
      </x:c>
      <x:c r="D277" s="5" t="inlineStr">
        <x:is>
          <x:t xml:space="preserve">上海亚虹模具股份有限公司</x:t>
        </x:is>
      </x:c>
      <x:c r="E277" s="4" t="inlineStr">
        <x:is>
          <x:t xml:space="preserve">上海市</x:t>
        </x:is>
      </x:c>
      <x:c r="F277" s="4" t="inlineStr">
        <x:is>
          <x:t xml:space="preserve">上海市</x:t>
        </x:is>
      </x:c>
      <x:c r="G277" s="5" t="inlineStr">
        <x:is>
          <x:t xml:space="preserve">上海市-上海市</x:t>
        </x:is>
      </x:c>
      <x:c r="H277" s="4" t="inlineStr">
        <x:is>
          <x:t xml:space="preserve">专用设备</x:t>
        </x:is>
      </x:c>
      <x:c r="I277" s="4" t="inlineStr">
        <x:is>
          <x:t xml:space="preserve">2016-08-12</x:t>
        </x:is>
      </x:c>
      <x:c r="J277" s="5" t="inlineStr">
        <x:is>
          <x:t xml:space="preserve">上海市奉贤区沪杭公路732号</x:t>
        </x:is>
      </x:c>
      <x:c r="K277" s="12" t="str">
        <x:f>LEFT("913100006309214614",18)</x:f>
        <x:v>913100006309214600</x:v>
      </x:c>
    </x:row>
    <x:row r="278">
      <x:c r="A278" s="2" t="n">
        <x:v>277</x:v>
      </x:c>
      <x:c r="B278" s="2" t="inlineStr">
        <x:is>
          <x:t xml:space="preserve">603170</x:t>
        </x:is>
      </x:c>
      <x:c r="C278" s="3" t="inlineStr">
        <x:is>
          <x:t xml:space="preserve">宝立食品</x:t>
        </x:is>
      </x:c>
      <x:c r="D278" s="3" t="inlineStr">
        <x:is>
          <x:t xml:space="preserve">上海宝立食品科技股份有限公司</x:t>
        </x:is>
      </x:c>
      <x:c r="E278" s="2" t="inlineStr">
        <x:is>
          <x:t xml:space="preserve">上海市</x:t>
        </x:is>
      </x:c>
      <x:c r="F278" s="2" t="inlineStr">
        <x:is>
          <x:t xml:space="preserve">上海市</x:t>
        </x:is>
      </x:c>
      <x:c r="G278" s="3" t="inlineStr">
        <x:is>
          <x:t xml:space="preserve">上海市-上海市</x:t>
        </x:is>
      </x:c>
      <x:c r="H278" s="2" t="inlineStr">
        <x:is>
          <x:t xml:space="preserve">食品饮料</x:t>
        </x:is>
      </x:c>
      <x:c r="I278" s="2" t="inlineStr">
        <x:is>
          <x:t xml:space="preserve">2022-07-15</x:t>
        </x:is>
      </x:c>
      <x:c r="J278" s="3" t="inlineStr">
        <x:is>
          <x:t xml:space="preserve">上海市松江茸北工业区茸兴路433号</x:t>
        </x:is>
      </x:c>
      <x:c r="K278" s="12" t="str">
        <x:f>LEFT("91310000734067896L",18)</x:f>
        <x:v>91310000734067896L</x:v>
      </x:c>
    </x:row>
    <x:row r="279">
      <x:c r="A279" s="4" t="n">
        <x:v>278</x:v>
      </x:c>
      <x:c r="B279" s="4" t="inlineStr">
        <x:is>
          <x:t xml:space="preserve">603189</x:t>
        </x:is>
      </x:c>
      <x:c r="C279" s="5" t="inlineStr">
        <x:is>
          <x:t xml:space="preserve">网达软件</x:t>
        </x:is>
      </x:c>
      <x:c r="D279" s="5" t="inlineStr">
        <x:is>
          <x:t xml:space="preserve">上海网达软件股份有限公司</x:t>
        </x:is>
      </x:c>
      <x:c r="E279" s="4" t="inlineStr">
        <x:is>
          <x:t xml:space="preserve">上海市</x:t>
        </x:is>
      </x:c>
      <x:c r="F279" s="4" t="inlineStr">
        <x:is>
          <x:t xml:space="preserve">上海市</x:t>
        </x:is>
      </x:c>
      <x:c r="G279" s="5" t="inlineStr">
        <x:is>
          <x:t xml:space="preserve">上海市-上海市</x:t>
        </x:is>
      </x:c>
      <x:c r="H279" s="4" t="inlineStr">
        <x:is>
          <x:t xml:space="preserve">软件服务</x:t>
        </x:is>
      </x:c>
      <x:c r="I279" s="4" t="inlineStr">
        <x:is>
          <x:t xml:space="preserve">2016-09-14</x:t>
        </x:is>
      </x:c>
      <x:c r="J279" s="5" t="inlineStr">
        <x:is>
          <x:t xml:space="preserve">中国(上海)自由贸易试验区川桥路409号</x:t>
        </x:is>
      </x:c>
      <x:c r="K279" s="12" t="str">
        <x:f>LEFT("913100006987613616",18)</x:f>
        <x:v>913100006987613600</x:v>
      </x:c>
    </x:row>
    <x:row r="280">
      <x:c r="A280" s="2" t="n">
        <x:v>279</x:v>
      </x:c>
      <x:c r="B280" s="2" t="inlineStr">
        <x:is>
          <x:t xml:space="preserve">603192</x:t>
        </x:is>
      </x:c>
      <x:c r="C280" s="3" t="inlineStr">
        <x:is>
          <x:t xml:space="preserve">汇得科技</x:t>
        </x:is>
      </x:c>
      <x:c r="D280" s="3" t="inlineStr">
        <x:is>
          <x:t xml:space="preserve">上海汇得科技股份有限公司</x:t>
        </x:is>
      </x:c>
      <x:c r="E280" s="2" t="inlineStr">
        <x:is>
          <x:t xml:space="preserve">上海市</x:t>
        </x:is>
      </x:c>
      <x:c r="F280" s="2" t="inlineStr">
        <x:is>
          <x:t xml:space="preserve">上海市</x:t>
        </x:is>
      </x:c>
      <x:c r="G280" s="3" t="inlineStr">
        <x:is>
          <x:t xml:space="preserve">上海市-上海市</x:t>
        </x:is>
      </x:c>
      <x:c r="H280" s="2" t="inlineStr">
        <x:is>
          <x:t xml:space="preserve">化工行业</x:t>
        </x:is>
      </x:c>
      <x:c r="I280" s="2" t="inlineStr">
        <x:is>
          <x:t xml:space="preserve">2018-08-28</x:t>
        </x:is>
      </x:c>
      <x:c r="J280" s="3" t="inlineStr">
        <x:is>
          <x:t xml:space="preserve">上海市金山区金山卫镇春华路180号</x:t>
        </x:is>
      </x:c>
      <x:c r="K280" s="12" t="str">
        <x:f>LEFT("91310116662478847M",18)</x:f>
        <x:v>91310116662478847M</x:v>
      </x:c>
    </x:row>
    <x:row r="281">
      <x:c r="A281" s="4" t="n">
        <x:v>280</x:v>
      </x:c>
      <x:c r="B281" s="4" t="inlineStr">
        <x:is>
          <x:t xml:space="preserve">603196</x:t>
        </x:is>
      </x:c>
      <x:c r="C281" s="5" t="inlineStr">
        <x:is>
          <x:t xml:space="preserve">日播时尚</x:t>
        </x:is>
      </x:c>
      <x:c r="D281" s="5" t="inlineStr">
        <x:is>
          <x:t xml:space="preserve">上海璞源化学材料集团股份有限公司</x:t>
        </x:is>
      </x:c>
      <x:c r="E281" s="4" t="inlineStr">
        <x:is>
          <x:t xml:space="preserve">上海市</x:t>
        </x:is>
      </x:c>
      <x:c r="F281" s="4" t="inlineStr">
        <x:is>
          <x:t xml:space="preserve">上海市</x:t>
        </x:is>
      </x:c>
      <x:c r="G281" s="5" t="inlineStr">
        <x:is>
          <x:t xml:space="preserve">上海市-上海市</x:t>
        </x:is>
      </x:c>
      <x:c r="H281" s="4" t="inlineStr">
        <x:is>
          <x:t xml:space="preserve">纺织服装</x:t>
        </x:is>
      </x:c>
      <x:c r="I281" s="4" t="inlineStr">
        <x:is>
          <x:t xml:space="preserve">2017-05-31</x:t>
        </x:is>
      </x:c>
      <x:c r="J281" s="5" t="inlineStr">
        <x:is>
          <x:t xml:space="preserve">上海市松江区中山街道茸阳路98号1幢2层</x:t>
        </x:is>
      </x:c>
      <x:c r="K281" s="12" t="str">
        <x:f>LEFT("91310000738505304H",18)</x:f>
        <x:v>91310000738505304H</x:v>
      </x:c>
    </x:row>
    <x:row r="282">
      <x:c r="A282" s="2" t="n">
        <x:v>281</x:v>
      </x:c>
      <x:c r="B282" s="2" t="inlineStr">
        <x:is>
          <x:t xml:space="preserve">603197</x:t>
        </x:is>
      </x:c>
      <x:c r="C282" s="3" t="inlineStr">
        <x:is>
          <x:t xml:space="preserve">保隆科技</x:t>
        </x:is>
      </x:c>
      <x:c r="D282" s="3" t="inlineStr">
        <x:is>
          <x:t xml:space="preserve">上海保隆汽车科技股份有限公司</x:t>
        </x:is>
      </x:c>
      <x:c r="E282" s="2" t="inlineStr">
        <x:is>
          <x:t xml:space="preserve">上海市</x:t>
        </x:is>
      </x:c>
      <x:c r="F282" s="2" t="inlineStr">
        <x:is>
          <x:t xml:space="preserve">上海市</x:t>
        </x:is>
      </x:c>
      <x:c r="G282" s="3" t="inlineStr">
        <x:is>
          <x:t xml:space="preserve">上海市-上海市</x:t>
        </x:is>
      </x:c>
      <x:c r="H282" s="2" t="inlineStr">
        <x:is>
          <x:t xml:space="preserve">汽车行业</x:t>
        </x:is>
      </x:c>
      <x:c r="I282" s="2" t="inlineStr">
        <x:is>
          <x:t xml:space="preserve">2017-05-19</x:t>
        </x:is>
      </x:c>
      <x:c r="J282" s="3" t="inlineStr">
        <x:is>
          <x:t xml:space="preserve">上海市松江区沈砖公路5500号</x:t>
        </x:is>
      </x:c>
      <x:c r="K282" s="12" t="str">
        <x:f>LEFT("91310000630974416T",18)</x:f>
        <x:v>91310000630974416T</x:v>
      </x:c>
    </x:row>
    <x:row r="283">
      <x:c r="A283" s="4" t="n">
        <x:v>282</x:v>
      </x:c>
      <x:c r="B283" s="4" t="inlineStr">
        <x:is>
          <x:t xml:space="preserve">603200</x:t>
        </x:is>
      </x:c>
      <x:c r="C283" s="5" t="inlineStr">
        <x:is>
          <x:t xml:space="preserve">上海洗霸</x:t>
        </x:is>
      </x:c>
      <x:c r="D283" s="5" t="inlineStr">
        <x:is>
          <x:t xml:space="preserve">上海洗霸科技股份有限公司</x:t>
        </x:is>
      </x:c>
      <x:c r="E283" s="4" t="inlineStr">
        <x:is>
          <x:t xml:space="preserve">上海市</x:t>
        </x:is>
      </x:c>
      <x:c r="F283" s="4" t="inlineStr">
        <x:is>
          <x:t xml:space="preserve">上海市</x:t>
        </x:is>
      </x:c>
      <x:c r="G283" s="5" t="inlineStr">
        <x:is>
          <x:t xml:space="preserve">上海市-上海市</x:t>
        </x:is>
      </x:c>
      <x:c r="H283" s="4" t="inlineStr">
        <x:is>
          <x:t xml:space="preserve">环保工程</x:t>
        </x:is>
      </x:c>
      <x:c r="I283" s="4" t="inlineStr">
        <x:is>
          <x:t xml:space="preserve">2017-06-01</x:t>
        </x:is>
      </x:c>
      <x:c r="J283" s="5" t="inlineStr">
        <x:is>
          <x:t xml:space="preserve">上海市嘉定区博学路138号6幢、7幢</x:t>
        </x:is>
      </x:c>
      <x:c r="K283" s="12" t="str">
        <x:f>LEFT("91310000607600176A",18)</x:f>
        <x:v>91310000607600176A</x:v>
      </x:c>
    </x:row>
    <x:row r="284">
      <x:c r="A284" s="2" t="n">
        <x:v>283</x:v>
      </x:c>
      <x:c r="B284" s="2" t="inlineStr">
        <x:is>
          <x:t xml:space="preserve">603207</x:t>
        </x:is>
      </x:c>
      <x:c r="C284" s="3" t="inlineStr">
        <x:is>
          <x:t xml:space="preserve">小方制药</x:t>
        </x:is>
      </x:c>
      <x:c r="D284" s="3" t="inlineStr">
        <x:is>
          <x:t xml:space="preserve">上海小方制药股份有限公司</x:t>
        </x:is>
      </x:c>
      <x:c r="E284" s="2" t="inlineStr">
        <x:is>
          <x:t xml:space="preserve">上海市</x:t>
        </x:is>
      </x:c>
      <x:c r="F284" s="2" t="inlineStr">
        <x:is>
          <x:t xml:space="preserve">上海市</x:t>
        </x:is>
      </x:c>
      <x:c r="G284" s="3" t="inlineStr">
        <x:is>
          <x:t xml:space="preserve">上海市-上海市</x:t>
        </x:is>
      </x:c>
      <x:c r="H284" s="2" t="inlineStr">
        <x:is>
          <x:t xml:space="preserve">化学制药</x:t>
        </x:is>
      </x:c>
      <x:c r="I284" s="2" t="inlineStr">
        <x:is>
          <x:t xml:space="preserve">2024-08-26</x:t>
        </x:is>
      </x:c>
      <x:c r="J284" s="3" t="inlineStr">
        <x:is>
          <x:t xml:space="preserve">上海市奉贤区洪朱路777号</x:t>
        </x:is>
      </x:c>
      <x:c r="K284" s="12" t="str">
        <x:f>LEFT("91310000607233687D",18)</x:f>
        <x:v>91310000607233687D</x:v>
      </x:c>
    </x:row>
    <x:row r="285">
      <x:c r="A285" s="4" t="n">
        <x:v>284</x:v>
      </x:c>
      <x:c r="B285" s="4" t="inlineStr">
        <x:is>
          <x:t xml:space="preserve">603211</x:t>
        </x:is>
      </x:c>
      <x:c r="C285" s="5" t="inlineStr">
        <x:is>
          <x:t xml:space="preserve">晋拓股份</x:t>
        </x:is>
      </x:c>
      <x:c r="D285" s="5" t="inlineStr">
        <x:is>
          <x:t xml:space="preserve">晋拓科技股份有限公司</x:t>
        </x:is>
      </x:c>
      <x:c r="E285" s="4" t="inlineStr">
        <x:is>
          <x:t xml:space="preserve">上海市</x:t>
        </x:is>
      </x:c>
      <x:c r="F285" s="4" t="inlineStr">
        <x:is>
          <x:t xml:space="preserve">上海市</x:t>
        </x:is>
      </x:c>
      <x:c r="G285" s="5" t="inlineStr">
        <x:is>
          <x:t xml:space="preserve">上海市-上海市</x:t>
        </x:is>
      </x:c>
      <x:c r="H285" s="4" t="inlineStr">
        <x:is>
          <x:t xml:space="preserve">汽车零部件</x:t>
        </x:is>
      </x:c>
      <x:c r="I285" s="4" t="inlineStr">
        <x:is>
          <x:t xml:space="preserve">2022-07-25</x:t>
        </x:is>
      </x:c>
      <x:c r="J285" s="5" t="inlineStr">
        <x:is>
          <x:t xml:space="preserve">上海市松江区新浜工业园区胡甪路368号</x:t>
        </x:is>
      </x:c>
      <x:c r="K285" s="12" t="str">
        <x:f>LEFT("91310117764295662P",18)</x:f>
        <x:v>91310117764295662P</x:v>
      </x:c>
    </x:row>
    <x:row r="286">
      <x:c r="A286" s="2" t="n">
        <x:v>285</x:v>
      </x:c>
      <x:c r="B286" s="2" t="inlineStr">
        <x:is>
          <x:t xml:space="preserve">603214</x:t>
        </x:is>
      </x:c>
      <x:c r="C286" s="3" t="inlineStr">
        <x:is>
          <x:t xml:space="preserve">爱婴室</x:t>
        </x:is>
      </x:c>
      <x:c r="D286" s="3" t="inlineStr">
        <x:is>
          <x:t xml:space="preserve">上海爱婴室商务服务股份有限公司</x:t>
        </x:is>
      </x:c>
      <x:c r="E286" s="2" t="inlineStr">
        <x:is>
          <x:t xml:space="preserve">上海市</x:t>
        </x:is>
      </x:c>
      <x:c r="F286" s="2" t="inlineStr">
        <x:is>
          <x:t xml:space="preserve">上海市</x:t>
        </x:is>
      </x:c>
      <x:c r="G286" s="3" t="inlineStr">
        <x:is>
          <x:t xml:space="preserve">上海市-上海市</x:t>
        </x:is>
      </x:c>
      <x:c r="H286" s="2" t="inlineStr">
        <x:is>
          <x:t xml:space="preserve">商业百货</x:t>
        </x:is>
      </x:c>
      <x:c r="I286" s="2" t="inlineStr">
        <x:is>
          <x:t xml:space="preserve">2018-03-30</x:t>
        </x:is>
      </x:c>
      <x:c r="J286" s="3" t="inlineStr">
        <x:is>
          <x:t xml:space="preserve">上海市浦东新区浦东大道2123号3E-1157室</x:t>
        </x:is>
      </x:c>
      <x:c r="K286" s="12" t="str">
        <x:f>LEFT("913100007793468809",18)</x:f>
        <x:v>913100007793468800</x:v>
      </x:c>
    </x:row>
    <x:row r="287">
      <x:c r="A287" s="4" t="n">
        <x:v>286</x:v>
      </x:c>
      <x:c r="B287" s="4" t="inlineStr">
        <x:is>
          <x:t xml:space="preserve">603226</x:t>
        </x:is>
      </x:c>
      <x:c r="C287" s="5" t="inlineStr">
        <x:is>
          <x:t xml:space="preserve">菲林格尔</x:t>
        </x:is>
      </x:c>
      <x:c r="D287" s="5" t="inlineStr">
        <x:is>
          <x:t xml:space="preserve">菲林格尔家居科技股份有限公司</x:t>
        </x:is>
      </x:c>
      <x:c r="E287" s="4" t="inlineStr">
        <x:is>
          <x:t xml:space="preserve">上海市</x:t>
        </x:is>
      </x:c>
      <x:c r="F287" s="4" t="inlineStr">
        <x:is>
          <x:t xml:space="preserve">上海市</x:t>
        </x:is>
      </x:c>
      <x:c r="G287" s="5" t="inlineStr">
        <x:is>
          <x:t xml:space="preserve">上海市-上海市</x:t>
        </x:is>
      </x:c>
      <x:c r="H287" s="4" t="inlineStr">
        <x:is>
          <x:t xml:space="preserve">木业家具</x:t>
        </x:is>
      </x:c>
      <x:c r="I287" s="4" t="inlineStr">
        <x:is>
          <x:t xml:space="preserve">2017-06-15</x:t>
        </x:is>
      </x:c>
      <x:c r="J287" s="5" t="inlineStr">
        <x:is>
          <x:t xml:space="preserve">上海市奉贤区林海公路7001号</x:t>
        </x:is>
      </x:c>
      <x:c r="K287" s="12" t="str">
        <x:f>LEFT("91310000607311067X",18)</x:f>
        <x:v>91310000607311067X</x:v>
      </x:c>
    </x:row>
    <x:row r="288">
      <x:c r="A288" s="2" t="n">
        <x:v>287</x:v>
      </x:c>
      <x:c r="B288" s="2" t="inlineStr">
        <x:is>
          <x:t xml:space="preserve">603232</x:t>
        </x:is>
      </x:c>
      <x:c r="C288" s="3" t="inlineStr">
        <x:is>
          <x:t xml:space="preserve">格尔软件</x:t>
        </x:is>
      </x:c>
      <x:c r="D288" s="3" t="inlineStr">
        <x:is>
          <x:t xml:space="preserve">格尔软件股份有限公司</x:t>
        </x:is>
      </x:c>
      <x:c r="E288" s="2" t="inlineStr">
        <x:is>
          <x:t xml:space="preserve">上海市</x:t>
        </x:is>
      </x:c>
      <x:c r="F288" s="2" t="inlineStr">
        <x:is>
          <x:t xml:space="preserve">上海市</x:t>
        </x:is>
      </x:c>
      <x:c r="G288" s="3" t="inlineStr">
        <x:is>
          <x:t xml:space="preserve">上海市-上海市</x:t>
        </x:is>
      </x:c>
      <x:c r="H288" s="2" t="inlineStr">
        <x:is>
          <x:t xml:space="preserve">软件服务</x:t>
        </x:is>
      </x:c>
      <x:c r="I288" s="2" t="inlineStr">
        <x:is>
          <x:t xml:space="preserve">2017-04-21</x:t>
        </x:is>
      </x:c>
      <x:c r="J288" s="3" t="inlineStr">
        <x:is>
          <x:t xml:space="preserve">上海市静安区江场西路299弄5号601室</x:t>
        </x:is>
      </x:c>
      <x:c r="K288" s="12" t="str">
        <x:f>LEFT("913100006320483955",18)</x:f>
        <x:v>913100006320484000</x:v>
      </x:c>
    </x:row>
    <x:row r="289">
      <x:c r="A289" s="4" t="n">
        <x:v>288</x:v>
      </x:c>
      <x:c r="B289" s="4" t="inlineStr">
        <x:is>
          <x:t xml:space="preserve">603236</x:t>
        </x:is>
      </x:c>
      <x:c r="C289" s="5" t="inlineStr">
        <x:is>
          <x:t xml:space="preserve">移远通信</x:t>
        </x:is>
      </x:c>
      <x:c r="D289" s="5" t="inlineStr">
        <x:is>
          <x:t xml:space="preserve">上海移远通信技术股份有限公司</x:t>
        </x:is>
      </x:c>
      <x:c r="E289" s="4" t="inlineStr">
        <x:is>
          <x:t xml:space="preserve">上海市</x:t>
        </x:is>
      </x:c>
      <x:c r="F289" s="4" t="inlineStr">
        <x:is>
          <x:t xml:space="preserve">上海市</x:t>
        </x:is>
      </x:c>
      <x:c r="G289" s="5" t="inlineStr">
        <x:is>
          <x:t xml:space="preserve">上海市-上海市</x:t>
        </x:is>
      </x:c>
      <x:c r="H289" s="4" t="inlineStr">
        <x:is>
          <x:t xml:space="preserve">通信设备</x:t>
        </x:is>
      </x:c>
      <x:c r="I289" s="4" t="inlineStr">
        <x:is>
          <x:t xml:space="preserve">2019-07-16</x:t>
        </x:is>
      </x:c>
      <x:c r="J289" s="5" t="inlineStr">
        <x:is>
          <x:t xml:space="preserve">上海市松江区泗泾镇高技路205弄6号5层513室</x:t>
        </x:is>
      </x:c>
      <x:c r="K289" s="12" t="str">
        <x:f>LEFT("913100005631196115",18)</x:f>
        <x:v>913100005631196200</x:v>
      </x:c>
    </x:row>
    <x:row r="290">
      <x:c r="A290" s="2" t="n">
        <x:v>289</x:v>
      </x:c>
      <x:c r="B290" s="2" t="inlineStr">
        <x:is>
          <x:t xml:space="preserve">603256</x:t>
        </x:is>
      </x:c>
      <x:c r="C290" s="3" t="inlineStr">
        <x:is>
          <x:t xml:space="preserve">宏和科技</x:t>
        </x:is>
      </x:c>
      <x:c r="D290" s="3" t="inlineStr">
        <x:is>
          <x:t xml:space="preserve">宏和电子材料科技股份有限公司</x:t>
        </x:is>
      </x:c>
      <x:c r="E290" s="2" t="inlineStr">
        <x:is>
          <x:t xml:space="preserve">上海市</x:t>
        </x:is>
      </x:c>
      <x:c r="F290" s="2" t="inlineStr">
        <x:is>
          <x:t xml:space="preserve">上海市</x:t>
        </x:is>
      </x:c>
      <x:c r="G290" s="3" t="inlineStr">
        <x:is>
          <x:t xml:space="preserve">上海市-上海市</x:t>
        </x:is>
      </x:c>
      <x:c r="H290" s="2" t="inlineStr">
        <x:is>
          <x:t xml:space="preserve">玻璃陶瓷</x:t>
        </x:is>
      </x:c>
      <x:c r="I290" s="2" t="inlineStr">
        <x:is>
          <x:t xml:space="preserve">2019-07-19</x:t>
        </x:is>
      </x:c>
      <x:c r="J290" s="3" t="inlineStr">
        <x:is>
          <x:t xml:space="preserve">上海市浦东康桥工业区秀沿路123号</x:t>
        </x:is>
      </x:c>
      <x:c r="K290" s="12" t="str">
        <x:f>LEFT("91310115607393912M",18)</x:f>
        <x:v>91310115607393912M</x:v>
      </x:c>
    </x:row>
    <x:row r="291">
      <x:c r="A291" s="4" t="n">
        <x:v>290</x:v>
      </x:c>
      <x:c r="B291" s="4" t="inlineStr">
        <x:is>
          <x:t xml:space="preserve">603275</x:t>
        </x:is>
      </x:c>
      <x:c r="C291" s="5" t="inlineStr">
        <x:is>
          <x:t xml:space="preserve">众辰科技</x:t>
        </x:is>
      </x:c>
      <x:c r="D291" s="5" t="inlineStr">
        <x:is>
          <x:t xml:space="preserve">上海众辰电子科技股份有限公司</x:t>
        </x:is>
      </x:c>
      <x:c r="E291" s="4" t="inlineStr">
        <x:is>
          <x:t xml:space="preserve">上海市</x:t>
        </x:is>
      </x:c>
      <x:c r="F291" s="4" t="inlineStr">
        <x:is>
          <x:t xml:space="preserve">上海市</x:t>
        </x:is>
      </x:c>
      <x:c r="G291" s="5" t="inlineStr">
        <x:is>
          <x:t xml:space="preserve">上海市-上海市</x:t>
        </x:is>
      </x:c>
      <x:c r="H291" s="4" t="inlineStr">
        <x:is>
          <x:t xml:space="preserve">仪器仪表</x:t>
        </x:is>
      </x:c>
      <x:c r="I291" s="4" t="inlineStr">
        <x:is>
          <x:t xml:space="preserve">2023-08-23</x:t>
        </x:is>
      </x:c>
      <x:c r="J291" s="5" t="inlineStr">
        <x:is>
          <x:t xml:space="preserve">上海市松江区泖港镇叶新公路3768号</x:t>
        </x:is>
      </x:c>
      <x:c r="K291" s="12" t="str">
        <x:f>LEFT("91310117785618491Q",18)</x:f>
        <x:v>91310117785618491Q</x:v>
      </x:c>
    </x:row>
    <x:row r="292">
      <x:c r="A292" s="2" t="n">
        <x:v>291</x:v>
      </x:c>
      <x:c r="B292" s="2" t="inlineStr">
        <x:is>
          <x:t xml:space="preserve">603296</x:t>
        </x:is>
      </x:c>
      <x:c r="C292" s="3" t="inlineStr">
        <x:is>
          <x:t xml:space="preserve">华勤技术</x:t>
        </x:is>
      </x:c>
      <x:c r="D292" s="3" t="inlineStr">
        <x:is>
          <x:t xml:space="preserve">华勤技术股份有限公司</x:t>
        </x:is>
      </x:c>
      <x:c r="E292" s="2" t="inlineStr">
        <x:is>
          <x:t xml:space="preserve">上海市</x:t>
        </x:is>
      </x:c>
      <x:c r="F292" s="2" t="inlineStr">
        <x:is>
          <x:t xml:space="preserve">上海市</x:t>
        </x:is>
      </x:c>
      <x:c r="G292" s="3" t="inlineStr">
        <x:is>
          <x:t xml:space="preserve">上海市-上海市</x:t>
        </x:is>
      </x:c>
      <x:c r="H292" s="2" t="inlineStr">
        <x:is>
          <x:t xml:space="preserve">消费电子</x:t>
        </x:is>
      </x:c>
      <x:c r="I292" s="2" t="inlineStr">
        <x:is>
          <x:t xml:space="preserve">2023-08-08</x:t>
        </x:is>
      </x:c>
      <x:c r="J292" s="3" t="inlineStr">
        <x:is>
          <x:t xml:space="preserve">中国(上海)自由贸易试验区科苑路399号1幢</x:t>
        </x:is>
      </x:c>
      <x:c r="K292" s="12" t="str">
        <x:f>LEFT("91310115779776581R",18)</x:f>
        <x:v>91310115779776581R</x:v>
      </x:c>
    </x:row>
    <x:row r="293">
      <x:c r="A293" s="4" t="n">
        <x:v>292</x:v>
      </x:c>
      <x:c r="B293" s="4" t="inlineStr">
        <x:is>
          <x:t xml:space="preserve">603324</x:t>
        </x:is>
      </x:c>
      <x:c r="C293" s="5" t="inlineStr">
        <x:is>
          <x:t xml:space="preserve">盛剑科技</x:t>
        </x:is>
      </x:c>
      <x:c r="D293" s="5" t="inlineStr">
        <x:is>
          <x:t xml:space="preserve">上海盛剑科技股份有限公司</x:t>
        </x:is>
      </x:c>
      <x:c r="E293" s="4" t="inlineStr">
        <x:is>
          <x:t xml:space="preserve">上海市</x:t>
        </x:is>
      </x:c>
      <x:c r="F293" s="4" t="inlineStr">
        <x:is>
          <x:t xml:space="preserve">上海市</x:t>
        </x:is>
      </x:c>
      <x:c r="G293" s="5" t="inlineStr">
        <x:is>
          <x:t xml:space="preserve">上海市-上海市</x:t>
        </x:is>
      </x:c>
      <x:c r="H293" s="4" t="inlineStr">
        <x:is>
          <x:t xml:space="preserve">半导体</x:t>
        </x:is>
      </x:c>
      <x:c r="I293" s="4" t="inlineStr">
        <x:is>
          <x:t xml:space="preserve">2021-04-07</x:t>
        </x:is>
      </x:c>
      <x:c r="J293" s="5" t="inlineStr">
        <x:is>
          <x:t xml:space="preserve">上海市嘉定区汇发路301号</x:t>
        </x:is>
      </x:c>
      <x:c r="K293" s="12" t="str">
        <x:f>LEFT("9131011459814645XR",18)</x:f>
        <x:v>9131011459814645XR</x:v>
      </x:c>
    </x:row>
    <x:row r="294">
      <x:c r="A294" s="2" t="n">
        <x:v>293</x:v>
      </x:c>
      <x:c r="B294" s="2" t="inlineStr">
        <x:is>
          <x:t xml:space="preserve">603325</x:t>
        </x:is>
      </x:c>
      <x:c r="C294" s="3" t="inlineStr">
        <x:is>
          <x:t xml:space="preserve">博隆技术</x:t>
        </x:is>
      </x:c>
      <x:c r="D294" s="3" t="inlineStr">
        <x:is>
          <x:t xml:space="preserve">上海博隆装备技术股份有限公司</x:t>
        </x:is>
      </x:c>
      <x:c r="E294" s="2" t="inlineStr">
        <x:is>
          <x:t xml:space="preserve">上海市</x:t>
        </x:is>
      </x:c>
      <x:c r="F294" s="2" t="inlineStr">
        <x:is>
          <x:t xml:space="preserve">上海市</x:t>
        </x:is>
      </x:c>
      <x:c r="G294" s="3" t="inlineStr">
        <x:is>
          <x:t xml:space="preserve">上海市-上海市</x:t>
        </x:is>
      </x:c>
      <x:c r="H294" s="2" t="inlineStr">
        <x:is>
          <x:t xml:space="preserve">通用设备</x:t>
        </x:is>
      </x:c>
      <x:c r="I294" s="2" t="inlineStr">
        <x:is>
          <x:t xml:space="preserve">2024-01-10</x:t>
        </x:is>
      </x:c>
      <x:c r="J294" s="3" t="inlineStr">
        <x:is>
          <x:t xml:space="preserve">上海市青浦区华新镇新协路1356号</x:t>
        </x:is>
      </x:c>
      <x:c r="K294" s="12" t="str">
        <x:f>LEFT("91310118733372987R",18)</x:f>
        <x:v>91310118733372987R</x:v>
      </x:c>
    </x:row>
    <x:row r="295">
      <x:c r="A295" s="4" t="n">
        <x:v>294</x:v>
      </x:c>
      <x:c r="B295" s="4" t="inlineStr">
        <x:is>
          <x:t xml:space="preserve">603329</x:t>
        </x:is>
      </x:c>
      <x:c r="C295" s="5" t="inlineStr">
        <x:is>
          <x:t xml:space="preserve">上海雅仕</x:t>
        </x:is>
      </x:c>
      <x:c r="D295" s="5" t="inlineStr">
        <x:is>
          <x:t xml:space="preserve">上海雅仕投资发展股份有限公司</x:t>
        </x:is>
      </x:c>
      <x:c r="E295" s="4" t="inlineStr">
        <x:is>
          <x:t xml:space="preserve">上海市</x:t>
        </x:is>
      </x:c>
      <x:c r="F295" s="4" t="inlineStr">
        <x:is>
          <x:t xml:space="preserve">上海市</x:t>
        </x:is>
      </x:c>
      <x:c r="G295" s="5" t="inlineStr">
        <x:is>
          <x:t xml:space="preserve">上海市-上海市</x:t>
        </x:is>
      </x:c>
      <x:c r="H295" s="4" t="inlineStr">
        <x:is>
          <x:t xml:space="preserve">交运物流</x:t>
        </x:is>
      </x:c>
      <x:c r="I295" s="4" t="inlineStr">
        <x:is>
          <x:t xml:space="preserve">2017-12-29</x:t>
        </x:is>
      </x:c>
      <x:c r="J295" s="5" t="inlineStr">
        <x:is>
          <x:t xml:space="preserve">中国(上海)自由贸易试验区浦东南路855号33H室</x:t>
        </x:is>
      </x:c>
      <x:c r="K295" s="12" t="str">
        <x:f>LEFT("91310000750551960R",18)</x:f>
        <x:v>91310000750551960R</x:v>
      </x:c>
    </x:row>
    <x:row r="296">
      <x:c r="A296" s="2" t="n">
        <x:v>295</x:v>
      </x:c>
      <x:c r="B296" s="2" t="inlineStr">
        <x:is>
          <x:t xml:space="preserve">603330</x:t>
        </x:is>
      </x:c>
      <x:c r="C296" s="3" t="inlineStr">
        <x:is>
          <x:t xml:space="preserve">天洋新材</x:t>
        </x:is>
      </x:c>
      <x:c r="D296" s="3" t="inlineStr">
        <x:is>
          <x:t xml:space="preserve">天洋新材(上海)科技股份有限公司</x:t>
        </x:is>
      </x:c>
      <x:c r="E296" s="2" t="inlineStr">
        <x:is>
          <x:t xml:space="preserve">上海市</x:t>
        </x:is>
      </x:c>
      <x:c r="F296" s="2" t="inlineStr">
        <x:is>
          <x:t xml:space="preserve">上海市</x:t>
        </x:is>
      </x:c>
      <x:c r="G296" s="3" t="inlineStr">
        <x:is>
          <x:t xml:space="preserve">上海市-上海市</x:t>
        </x:is>
      </x:c>
      <x:c r="H296" s="2" t="inlineStr">
        <x:is>
          <x:t xml:space="preserve">光伏设备</x:t>
        </x:is>
      </x:c>
      <x:c r="I296" s="2" t="inlineStr">
        <x:is>
          <x:t xml:space="preserve">2017-02-13</x:t>
        </x:is>
      </x:c>
      <x:c r="J296" s="3" t="inlineStr">
        <x:is>
          <x:t xml:space="preserve">上海市嘉定区南翔镇惠平路505号</x:t>
        </x:is>
      </x:c>
      <x:c r="K296" s="12" t="str">
        <x:f>LEFT("91310000734568586N",18)</x:f>
        <x:v>91310000734568586N</x:v>
      </x:c>
    </x:row>
    <x:row r="297">
      <x:c r="A297" s="4" t="n">
        <x:v>296</x:v>
      </x:c>
      <x:c r="B297" s="4" t="inlineStr">
        <x:is>
          <x:t xml:space="preserve">603341</x:t>
        </x:is>
      </x:c>
      <x:c r="C297" s="5" t="inlineStr">
        <x:is>
          <x:t xml:space="preserve">龙旗科技</x:t>
        </x:is>
      </x:c>
      <x:c r="D297" s="5" t="inlineStr">
        <x:is>
          <x:t xml:space="preserve">上海龙旗科技股份有限公司</x:t>
        </x:is>
      </x:c>
      <x:c r="E297" s="4" t="inlineStr">
        <x:is>
          <x:t xml:space="preserve">上海市</x:t>
        </x:is>
      </x:c>
      <x:c r="F297" s="4" t="inlineStr">
        <x:is>
          <x:t xml:space="preserve">上海市</x:t>
        </x:is>
      </x:c>
      <x:c r="G297" s="5" t="inlineStr">
        <x:is>
          <x:t xml:space="preserve">上海市-上海市</x:t>
        </x:is>
      </x:c>
      <x:c r="H297" s="4" t="inlineStr">
        <x:is>
          <x:t xml:space="preserve">消费电子</x:t>
        </x:is>
      </x:c>
      <x:c r="I297" s="4" t="inlineStr">
        <x:is>
          <x:t xml:space="preserve">2024-03-01</x:t>
        </x:is>
      </x:c>
      <x:c r="J297" s="5" t="inlineStr">
        <x:is>
          <x:t xml:space="preserve">中国上海市徐汇区漕宝路401号1号楼1楼</x:t>
        </x:is>
      </x:c>
      <x:c r="K297" s="12" t="str">
        <x:f>LEFT("913100007679060358",18)</x:f>
        <x:v>913100007679060400</x:v>
      </x:c>
    </x:row>
    <x:row r="298">
      <x:c r="A298" s="2" t="n">
        <x:v>297</x:v>
      </x:c>
      <x:c r="B298" s="2" t="inlineStr">
        <x:is>
          <x:t xml:space="preserve">603350</x:t>
        </x:is>
      </x:c>
      <x:c r="C298" s="3" t="inlineStr">
        <x:is>
          <x:t xml:space="preserve">安乃达</x:t>
        </x:is>
      </x:c>
      <x:c r="D298" s="3" t="inlineStr">
        <x:is>
          <x:t xml:space="preserve">安乃达驱动技术(上海)股份有限公司</x:t>
        </x:is>
      </x:c>
      <x:c r="E298" s="2" t="inlineStr">
        <x:is>
          <x:t xml:space="preserve">上海市</x:t>
        </x:is>
      </x:c>
      <x:c r="F298" s="2" t="inlineStr">
        <x:is>
          <x:t xml:space="preserve">上海市</x:t>
        </x:is>
      </x:c>
      <x:c r="G298" s="3" t="inlineStr">
        <x:is>
          <x:t xml:space="preserve">上海市-上海市</x:t>
        </x:is>
      </x:c>
      <x:c r="H298" s="2" t="inlineStr">
        <x:is>
          <x:t xml:space="preserve">电机</x:t>
        </x:is>
      </x:c>
      <x:c r="I298" s="2" t="inlineStr">
        <x:is>
          <x:t xml:space="preserve">2024-07-03</x:t>
        </x:is>
      </x:c>
      <x:c r="J298" s="3" t="inlineStr">
        <x:is>
          <x:t xml:space="preserve">上海市闵行区光中路133弄19号A座1-2层</x:t>
        </x:is>
      </x:c>
      <x:c r="K298" s="12" t="str">
        <x:f>LEFT("91310000582089470E",18)</x:f>
        <x:v>91310000582089470E</x:v>
      </x:c>
    </x:row>
    <x:row r="299">
      <x:c r="A299" s="4" t="n">
        <x:v>298</x:v>
      </x:c>
      <x:c r="B299" s="4" t="inlineStr">
        <x:is>
          <x:t xml:space="preserve">603365</x:t>
        </x:is>
      </x:c>
      <x:c r="C299" s="5" t="inlineStr">
        <x:is>
          <x:t xml:space="preserve">水星家纺</x:t>
        </x:is>
      </x:c>
      <x:c r="D299" s="5" t="inlineStr">
        <x:is>
          <x:t xml:space="preserve">上海水星家用纺织品股份有限公司</x:t>
        </x:is>
      </x:c>
      <x:c r="E299" s="4" t="inlineStr">
        <x:is>
          <x:t xml:space="preserve">上海市</x:t>
        </x:is>
      </x:c>
      <x:c r="F299" s="4" t="inlineStr">
        <x:is>
          <x:t xml:space="preserve">上海市</x:t>
        </x:is>
      </x:c>
      <x:c r="G299" s="5" t="inlineStr">
        <x:is>
          <x:t xml:space="preserve">上海市-上海市</x:t>
        </x:is>
      </x:c>
      <x:c r="H299" s="4" t="inlineStr">
        <x:is>
          <x:t xml:space="preserve">纺织服装</x:t>
        </x:is>
      </x:c>
      <x:c r="I299" s="4" t="inlineStr">
        <x:is>
          <x:t xml:space="preserve">2017-11-20</x:t>
        </x:is>
      </x:c>
      <x:c r="J299" s="5" t="inlineStr">
        <x:is>
          <x:t xml:space="preserve">上海市奉贤区沪杭公路1487号</x:t>
        </x:is>
      </x:c>
      <x:c r="K299" s="12" t="str">
        <x:f>LEFT("913100007030803502",18)</x:f>
        <x:v>913100007030803500</x:v>
      </x:c>
    </x:row>
    <x:row r="300">
      <x:c r="A300" s="2" t="n">
        <x:v>299</x:v>
      </x:c>
      <x:c r="B300" s="2" t="inlineStr">
        <x:is>
          <x:t xml:space="preserve">603378</x:t>
        </x:is>
      </x:c>
      <x:c r="C300" s="3" t="inlineStr">
        <x:is>
          <x:t xml:space="preserve">亚士创能</x:t>
        </x:is>
      </x:c>
      <x:c r="D300" s="3" t="inlineStr">
        <x:is>
          <x:t xml:space="preserve">亚士创能科技(上海)股份有限公司</x:t>
        </x:is>
      </x:c>
      <x:c r="E300" s="2" t="inlineStr">
        <x:is>
          <x:t xml:space="preserve">上海市</x:t>
        </x:is>
      </x:c>
      <x:c r="F300" s="2" t="inlineStr">
        <x:is>
          <x:t xml:space="preserve">上海市</x:t>
        </x:is>
      </x:c>
      <x:c r="G300" s="3" t="inlineStr">
        <x:is>
          <x:t xml:space="preserve">上海市-上海市</x:t>
        </x:is>
      </x:c>
      <x:c r="H300" s="2" t="inlineStr">
        <x:is>
          <x:t xml:space="preserve">装修建材</x:t>
        </x:is>
      </x:c>
      <x:c r="I300" s="2" t="inlineStr">
        <x:is>
          <x:t xml:space="preserve">2017-09-28</x:t>
        </x:is>
      </x:c>
      <x:c r="J300" s="3" t="inlineStr">
        <x:is>
          <x:t xml:space="preserve">上海市青浦工业区新涛路28号综合楼三层、四层</x:t>
        </x:is>
      </x:c>
      <x:c r="K300" s="12" t="str">
        <x:f>LEFT("913100006840916863",18)</x:f>
        <x:v>913100006840916900</x:v>
      </x:c>
    </x:row>
    <x:row r="301">
      <x:c r="A301" s="4" t="n">
        <x:v>300</x:v>
      </x:c>
      <x:c r="B301" s="4" t="inlineStr">
        <x:is>
          <x:t xml:space="preserve">603418</x:t>
        </x:is>
      </x:c>
      <x:c r="C301" s="5" t="inlineStr">
        <x:is>
          <x:t xml:space="preserve">友升股份</x:t>
        </x:is>
      </x:c>
      <x:c r="D301" s="5" t="inlineStr">
        <x:is>
          <x:t xml:space="preserve">上海友升铝业股份有限公司</x:t>
        </x:is>
      </x:c>
      <x:c r="E301" s="4" t="inlineStr">
        <x:is>
          <x:t xml:space="preserve">上海市</x:t>
        </x:is>
      </x:c>
      <x:c r="F301" s="4" t="inlineStr">
        <x:is>
          <x:t xml:space="preserve">上海市</x:t>
        </x:is>
      </x:c>
      <x:c r="G301" s="5" t="inlineStr">
        <x:is>
          <x:t xml:space="preserve">上海市-上海市</x:t>
        </x:is>
      </x:c>
      <x:c r="H301" s="4" t="inlineStr">
        <x:is>
          <x:t xml:space="preserve">汽车零部件</x:t>
        </x:is>
      </x:c>
      <x:c r="I301" s="4" t="inlineStr">
        <x:is>
          <x:t xml:space="preserve">2025-09-23</x:t>
        </x:is>
      </x:c>
      <x:c r="J301" s="5" t="inlineStr">
        <x:is>
          <x:t xml:space="preserve">上海市青浦区沪青平公路2058号</x:t>
        </x:is>
      </x:c>
      <x:c r="K301" s="12" t="str">
        <x:f>LEFT("9131011860721585X1",18)</x:f>
        <x:v>9131011860721585X1</x:v>
      </x:c>
    </x:row>
    <x:row r="302">
      <x:c r="A302" s="2" t="n">
        <x:v>301</x:v>
      </x:c>
      <x:c r="B302" s="2" t="inlineStr">
        <x:is>
          <x:t xml:space="preserve">603466</x:t>
        </x:is>
      </x:c>
      <x:c r="C302" s="3" t="inlineStr">
        <x:is>
          <x:t xml:space="preserve">风语筑</x:t>
        </x:is>
      </x:c>
      <x:c r="D302" s="3" t="inlineStr">
        <x:is>
          <x:t xml:space="preserve">上海风语筑文化科技股份有限公司</x:t>
        </x:is>
      </x:c>
      <x:c r="E302" s="2" t="inlineStr">
        <x:is>
          <x:t xml:space="preserve">上海市</x:t>
        </x:is>
      </x:c>
      <x:c r="F302" s="2" t="inlineStr">
        <x:is>
          <x:t xml:space="preserve">上海市</x:t>
        </x:is>
      </x:c>
      <x:c r="G302" s="3" t="inlineStr">
        <x:is>
          <x:t xml:space="preserve">上海市-上海市</x:t>
        </x:is>
      </x:c>
      <x:c r="H302" s="2" t="inlineStr">
        <x:is>
          <x:t xml:space="preserve">文化传媒</x:t>
        </x:is>
      </x:c>
      <x:c r="I302" s="2" t="inlineStr">
        <x:is>
          <x:t xml:space="preserve">2017-10-20</x:t>
        </x:is>
      </x:c>
      <x:c r="J302" s="3" t="inlineStr">
        <x:is>
          <x:t xml:space="preserve">上海市静安区江场三路191号</x:t>
        </x:is>
      </x:c>
      <x:c r="K302" s="12" t="str">
        <x:f>LEFT("91310000753179551N",18)</x:f>
        <x:v>91310000753179551N</x:v>
      </x:c>
    </x:row>
    <x:row r="303">
      <x:c r="A303" s="4" t="n">
        <x:v>302</x:v>
      </x:c>
      <x:c r="B303" s="4" t="inlineStr">
        <x:is>
          <x:t xml:space="preserve">603496</x:t>
        </x:is>
      </x:c>
      <x:c r="C303" s="5" t="inlineStr">
        <x:is>
          <x:t xml:space="preserve">恒为科技</x:t>
        </x:is>
      </x:c>
      <x:c r="D303" s="5" t="inlineStr">
        <x:is>
          <x:t xml:space="preserve">恒为科技(上海)股份有限公司</x:t>
        </x:is>
      </x:c>
      <x:c r="E303" s="4" t="inlineStr">
        <x:is>
          <x:t xml:space="preserve">上海市</x:t>
        </x:is>
      </x:c>
      <x:c r="F303" s="4" t="inlineStr">
        <x:is>
          <x:t xml:space="preserve">上海市</x:t>
        </x:is>
      </x:c>
      <x:c r="G303" s="5" t="inlineStr">
        <x:is>
          <x:t xml:space="preserve">上海市-上海市</x:t>
        </x:is>
      </x:c>
      <x:c r="H303" s="4" t="inlineStr">
        <x:is>
          <x:t xml:space="preserve">互联网服务</x:t>
        </x:is>
      </x:c>
      <x:c r="I303" s="4" t="inlineStr">
        <x:is>
          <x:t xml:space="preserve">2017-06-07</x:t>
        </x:is>
      </x:c>
      <x:c r="J303" s="5" t="inlineStr">
        <x:is>
          <x:t xml:space="preserve">上海市徐汇区乐山路33号103室</x:t>
        </x:is>
      </x:c>
      <x:c r="K303" s="12" t="str">
        <x:f>LEFT("91310000748772166A",18)</x:f>
        <x:v>91310000748772166A</x:v>
      </x:c>
    </x:row>
    <x:row r="304">
      <x:c r="A304" s="2" t="n">
        <x:v>303</x:v>
      </x:c>
      <x:c r="B304" s="2" t="inlineStr">
        <x:is>
          <x:t xml:space="preserve">603499</x:t>
        </x:is>
      </x:c>
      <x:c r="C304" s="3" t="inlineStr">
        <x:is>
          <x:t xml:space="preserve">翔港科技</x:t>
        </x:is>
      </x:c>
      <x:c r="D304" s="3" t="inlineStr">
        <x:is>
          <x:t xml:space="preserve">上海翔港包装科技股份有限公司</x:t>
        </x:is>
      </x:c>
      <x:c r="E304" s="2" t="inlineStr">
        <x:is>
          <x:t xml:space="preserve">上海市</x:t>
        </x:is>
      </x:c>
      <x:c r="F304" s="2" t="inlineStr">
        <x:is>
          <x:t xml:space="preserve">上海市</x:t>
        </x:is>
      </x:c>
      <x:c r="G304" s="3" t="inlineStr">
        <x:is>
          <x:t xml:space="preserve">上海市-上海市</x:t>
        </x:is>
      </x:c>
      <x:c r="H304" s="2" t="inlineStr">
        <x:is>
          <x:t xml:space="preserve">造纸印刷</x:t>
        </x:is>
      </x:c>
      <x:c r="I304" s="2" t="inlineStr">
        <x:is>
          <x:t xml:space="preserve">2017-10-16</x:t>
        </x:is>
      </x:c>
      <x:c r="J304" s="3" t="inlineStr">
        <x:is>
          <x:t xml:space="preserve">中国(上海)自由贸易试验区临港新片区泥城镇翠波路299号</x:t>
        </x:is>
      </x:c>
      <x:c r="K304" s="12" t="str">
        <x:f>LEFT("91310115792736664G",18)</x:f>
        <x:v>91310115792736664G</x:v>
      </x:c>
    </x:row>
    <x:row r="305">
      <x:c r="A305" s="4" t="n">
        <x:v>304</x:v>
      </x:c>
      <x:c r="B305" s="4" t="inlineStr">
        <x:is>
          <x:t xml:space="preserve">603501</x:t>
        </x:is>
      </x:c>
      <x:c r="C305" s="5" t="inlineStr">
        <x:is>
          <x:t xml:space="preserve">豪威集团</x:t>
        </x:is>
      </x:c>
      <x:c r="D305" s="5" t="inlineStr">
        <x:is>
          <x:t xml:space="preserve">豪威集成电路(集团)股份有限公司</x:t>
        </x:is>
      </x:c>
      <x:c r="E305" s="4" t="inlineStr">
        <x:is>
          <x:t xml:space="preserve">上海市</x:t>
        </x:is>
      </x:c>
      <x:c r="F305" s="4" t="inlineStr">
        <x:is>
          <x:t xml:space="preserve">上海市</x:t>
        </x:is>
      </x:c>
      <x:c r="G305" s="5" t="inlineStr">
        <x:is>
          <x:t xml:space="preserve">上海市-上海市</x:t>
        </x:is>
      </x:c>
      <x:c r="H305" s="4" t="inlineStr">
        <x:is>
          <x:t xml:space="preserve">半导体</x:t>
        </x:is>
      </x:c>
      <x:c r="I305" s="4" t="inlineStr">
        <x:is>
          <x:t xml:space="preserve">2017-05-04</x:t>
        </x:is>
      </x:c>
      <x:c r="J305" s="5" t="inlineStr">
        <x:is>
          <x:t xml:space="preserve">中国(上海)自由贸易试验区龙东大道3000号1幢C楼7层</x:t>
        </x:is>
      </x:c>
      <x:c r="K305" s="12" t="str">
        <x:f>LEFT("9131000066244468X3",18)</x:f>
        <x:v>9131000066244468X3</x:v>
      </x:c>
    </x:row>
    <x:row r="306">
      <x:c r="A306" s="2" t="n">
        <x:v>305</x:v>
      </x:c>
      <x:c r="B306" s="2" t="inlineStr">
        <x:is>
          <x:t xml:space="preserve">603515</x:t>
        </x:is>
      </x:c>
      <x:c r="C306" s="3" t="inlineStr">
        <x:is>
          <x:t xml:space="preserve">欧普照明</x:t>
        </x:is>
      </x:c>
      <x:c r="D306" s="3" t="inlineStr">
        <x:is>
          <x:t xml:space="preserve">欧普照明股份有限公司</x:t>
        </x:is>
      </x:c>
      <x:c r="E306" s="2" t="inlineStr">
        <x:is>
          <x:t xml:space="preserve">上海市</x:t>
        </x:is>
      </x:c>
      <x:c r="F306" s="2" t="inlineStr">
        <x:is>
          <x:t xml:space="preserve">上海市</x:t>
        </x:is>
      </x:c>
      <x:c r="G306" s="3" t="inlineStr">
        <x:is>
          <x:t xml:space="preserve">上海市-上海市</x:t>
        </x:is>
      </x:c>
      <x:c r="H306" s="2" t="inlineStr">
        <x:is>
          <x:t xml:space="preserve">家电行业</x:t>
        </x:is>
      </x:c>
      <x:c r="I306" s="2" t="inlineStr">
        <x:is>
          <x:t xml:space="preserve">2016-08-19</x:t>
        </x:is>
      </x:c>
      <x:c r="J306" s="3" t="inlineStr">
        <x:is>
          <x:t xml:space="preserve">上海市浦东新区龙东大道6111号1幢411室</x:t>
        </x:is>
      </x:c>
      <x:c r="K306" s="12" t="str">
        <x:f>LEFT("91310000680999558Q",18)</x:f>
        <x:v>91310000680999558Q</x:v>
      </x:c>
    </x:row>
    <x:row r="307">
      <x:c r="A307" s="4" t="n">
        <x:v>306</x:v>
      </x:c>
      <x:c r="B307" s="4" t="inlineStr">
        <x:is>
          <x:t xml:space="preserve">603565</x:t>
        </x:is>
      </x:c>
      <x:c r="C307" s="5" t="inlineStr">
        <x:is>
          <x:t xml:space="preserve">中谷物流</x:t>
        </x:is>
      </x:c>
      <x:c r="D307" s="5" t="inlineStr">
        <x:is>
          <x:t xml:space="preserve">上海中谷物流股份有限公司</x:t>
        </x:is>
      </x:c>
      <x:c r="E307" s="4" t="inlineStr">
        <x:is>
          <x:t xml:space="preserve">上海市</x:t>
        </x:is>
      </x:c>
      <x:c r="F307" s="4" t="inlineStr">
        <x:is>
          <x:t xml:space="preserve">上海市</x:t>
        </x:is>
      </x:c>
      <x:c r="G307" s="5" t="inlineStr">
        <x:is>
          <x:t xml:space="preserve">上海市-上海市</x:t>
        </x:is>
      </x:c>
      <x:c r="H307" s="4" t="inlineStr">
        <x:is>
          <x:t xml:space="preserve">物流行业</x:t>
        </x:is>
      </x:c>
      <x:c r="I307" s="4" t="inlineStr">
        <x:is>
          <x:t xml:space="preserve">2020-09-25</x:t>
        </x:is>
      </x:c>
      <x:c r="J307" s="5" t="inlineStr">
        <x:is>
          <x:t xml:space="preserve">中国(上海)自由贸易试验区双惠路99号综合楼106室</x:t>
        </x:is>
      </x:c>
      <x:c r="K307" s="12" t="str">
        <x:f>LEFT("913100005515491712",18)</x:f>
        <x:v>913100005515491700</x:v>
      </x:c>
    </x:row>
    <x:row r="308">
      <x:c r="A308" s="2" t="n">
        <x:v>307</x:v>
      </x:c>
      <x:c r="B308" s="2" t="inlineStr">
        <x:is>
          <x:t xml:space="preserve">603579</x:t>
        </x:is>
      </x:c>
      <x:c r="C308" s="3" t="inlineStr">
        <x:is>
          <x:t xml:space="preserve">荣泰健康</x:t>
        </x:is>
      </x:c>
      <x:c r="D308" s="3" t="inlineStr">
        <x:is>
          <x:t xml:space="preserve">上海荣泰健康科技股份有限公司</x:t>
        </x:is>
      </x:c>
      <x:c r="E308" s="2" t="inlineStr">
        <x:is>
          <x:t xml:space="preserve">上海市</x:t>
        </x:is>
      </x:c>
      <x:c r="F308" s="2" t="inlineStr">
        <x:is>
          <x:t xml:space="preserve">上海市</x:t>
        </x:is>
      </x:c>
      <x:c r="G308" s="3" t="inlineStr">
        <x:is>
          <x:t xml:space="preserve">上海市-上海市</x:t>
        </x:is>
      </x:c>
      <x:c r="H308" s="2" t="inlineStr">
        <x:is>
          <x:t xml:space="preserve">家电行业</x:t>
        </x:is>
      </x:c>
      <x:c r="I308" s="2" t="inlineStr">
        <x:is>
          <x:t xml:space="preserve">2017-01-11</x:t>
        </x:is>
      </x:c>
      <x:c r="J308" s="3" t="inlineStr">
        <x:is>
          <x:t xml:space="preserve">上海市青浦区朱枫公路1226号</x:t>
        </x:is>
      </x:c>
      <x:c r="K308" s="12" t="str">
        <x:f>LEFT("913100007449143662",18)</x:f>
        <x:v>913100007449143700</x:v>
      </x:c>
    </x:row>
    <x:row r="309">
      <x:c r="A309" s="4" t="n">
        <x:v>308</x:v>
      </x:c>
      <x:c r="B309" s="4" t="inlineStr">
        <x:is>
          <x:t xml:space="preserve">603580</x:t>
        </x:is>
      </x:c>
      <x:c r="C309" s="5" t="inlineStr">
        <x:is>
          <x:t xml:space="preserve">艾艾精工</x:t>
        </x:is>
      </x:c>
      <x:c r="D309" s="5" t="inlineStr">
        <x:is>
          <x:t xml:space="preserve">艾艾精密工业输送系统(上海)股份有限公司</x:t>
        </x:is>
      </x:c>
      <x:c r="E309" s="4" t="inlineStr">
        <x:is>
          <x:t xml:space="preserve">上海市</x:t>
        </x:is>
      </x:c>
      <x:c r="F309" s="4" t="inlineStr">
        <x:is>
          <x:t xml:space="preserve">上海市</x:t>
        </x:is>
      </x:c>
      <x:c r="G309" s="5" t="inlineStr">
        <x:is>
          <x:t xml:space="preserve">上海市-上海市</x:t>
        </x:is>
      </x:c>
      <x:c r="H309" s="4" t="inlineStr">
        <x:is>
          <x:t xml:space="preserve">塑胶制品</x:t>
        </x:is>
      </x:c>
      <x:c r="I309" s="4" t="inlineStr">
        <x:is>
          <x:t xml:space="preserve">2017-05-25</x:t>
        </x:is>
      </x:c>
      <x:c r="J309" s="5" t="inlineStr">
        <x:is>
          <x:t xml:space="preserve">上海市静安区万荣路700号7幢A240室</x:t>
        </x:is>
      </x:c>
      <x:c r="K309" s="12" t="str">
        <x:f>LEFT("913100006073785958",18)</x:f>
        <x:v>913100006073786000</x:v>
      </x:c>
    </x:row>
    <x:row r="310">
      <x:c r="A310" s="2" t="n">
        <x:v>309</x:v>
      </x:c>
      <x:c r="B310" s="2" t="inlineStr">
        <x:is>
          <x:t xml:space="preserve">603587</x:t>
        </x:is>
      </x:c>
      <x:c r="C310" s="3" t="inlineStr">
        <x:is>
          <x:t xml:space="preserve">地素时尚</x:t>
        </x:is>
      </x:c>
      <x:c r="D310" s="3" t="inlineStr">
        <x:is>
          <x:t xml:space="preserve">地素时尚股份有限公司</x:t>
        </x:is>
      </x:c>
      <x:c r="E310" s="2" t="inlineStr">
        <x:is>
          <x:t xml:space="preserve">上海市</x:t>
        </x:is>
      </x:c>
      <x:c r="F310" s="2" t="inlineStr">
        <x:is>
          <x:t xml:space="preserve">上海市</x:t>
        </x:is>
      </x:c>
      <x:c r="G310" s="3" t="inlineStr">
        <x:is>
          <x:t xml:space="preserve">上海市-上海市</x:t>
        </x:is>
      </x:c>
      <x:c r="H310" s="2" t="inlineStr">
        <x:is>
          <x:t xml:space="preserve">纺织服装</x:t>
        </x:is>
      </x:c>
      <x:c r="I310" s="2" t="inlineStr">
        <x:is>
          <x:t xml:space="preserve">2018-06-22</x:t>
        </x:is>
      </x:c>
      <x:c r="J310" s="3" t="inlineStr">
        <x:is>
          <x:t xml:space="preserve">上海市长宁区仙霞路579弄38号第2幢103室</x:t>
        </x:is>
      </x:c>
      <x:c r="K310" s="12" t="str">
        <x:f>LEFT("913100007390358507",18)</x:f>
        <x:v>913100007390358500</x:v>
      </x:c>
    </x:row>
    <x:row r="311">
      <x:c r="A311" s="4" t="n">
        <x:v>310</x:v>
      </x:c>
      <x:c r="B311" s="4" t="inlineStr">
        <x:is>
          <x:t xml:space="preserve">603619</x:t>
        </x:is>
      </x:c>
      <x:c r="C311" s="5" t="inlineStr">
        <x:is>
          <x:t xml:space="preserve">中曼石油</x:t>
        </x:is>
      </x:c>
      <x:c r="D311" s="5" t="inlineStr">
        <x:is>
          <x:t xml:space="preserve">中曼石油天然气集团股份有限公司</x:t>
        </x:is>
      </x:c>
      <x:c r="E311" s="4" t="inlineStr">
        <x:is>
          <x:t xml:space="preserve">上海市</x:t>
        </x:is>
      </x:c>
      <x:c r="F311" s="4" t="inlineStr">
        <x:is>
          <x:t xml:space="preserve">上海市</x:t>
        </x:is>
      </x:c>
      <x:c r="G311" s="5" t="inlineStr">
        <x:is>
          <x:t xml:space="preserve">上海市-上海市</x:t>
        </x:is>
      </x:c>
      <x:c r="H311" s="4" t="inlineStr">
        <x:is>
          <x:t xml:space="preserve">采掘行业</x:t>
        </x:is>
      </x:c>
      <x:c r="I311" s="4" t="inlineStr">
        <x:is>
          <x:t xml:space="preserve">2017-11-17</x:t>
        </x:is>
      </x:c>
      <x:c r="J311" s="5" t="inlineStr">
        <x:is>
          <x:t xml:space="preserve">中国(上海)自由贸易试验区临港新片区南汇新城镇飞渡路2099号1幢1层</x:t>
        </x:is>
      </x:c>
      <x:c r="K311" s="12" t="str">
        <x:f>LEFT("913100007514799050",18)</x:f>
        <x:v>913100007514799100</x:v>
      </x:c>
    </x:row>
    <x:row r="312">
      <x:c r="A312" s="2" t="n">
        <x:v>311</x:v>
      </x:c>
      <x:c r="B312" s="2" t="inlineStr">
        <x:is>
          <x:t xml:space="preserve">603633</x:t>
        </x:is>
      </x:c>
      <x:c r="C312" s="3" t="inlineStr">
        <x:is>
          <x:t xml:space="preserve">徕木股份</x:t>
        </x:is>
      </x:c>
      <x:c r="D312" s="3" t="inlineStr">
        <x:is>
          <x:t xml:space="preserve">上海徕木电子股份有限公司</x:t>
        </x:is>
      </x:c>
      <x:c r="E312" s="2" t="inlineStr">
        <x:is>
          <x:t xml:space="preserve">上海市</x:t>
        </x:is>
      </x:c>
      <x:c r="F312" s="2" t="inlineStr">
        <x:is>
          <x:t xml:space="preserve">上海市</x:t>
        </x:is>
      </x:c>
      <x:c r="G312" s="3" t="inlineStr">
        <x:is>
          <x:t xml:space="preserve">上海市-上海市</x:t>
        </x:is>
      </x:c>
      <x:c r="H312" s="2" t="inlineStr">
        <x:is>
          <x:t xml:space="preserve">汽车零部件</x:t>
        </x:is>
      </x:c>
      <x:c r="I312" s="2" t="inlineStr">
        <x:is>
          <x:t xml:space="preserve">2016-11-17</x:t>
        </x:is>
      </x:c>
      <x:c r="J312" s="3" t="inlineStr">
        <x:is>
          <x:t xml:space="preserve">上海市闵行区中春路7319号</x:t>
        </x:is>
      </x:c>
      <x:c r="K312" s="12" t="str">
        <x:f>LEFT("91310000748056899R",18)</x:f>
        <x:v>91310000748056899R</x:v>
      </x:c>
    </x:row>
    <x:row r="313">
      <x:c r="A313" s="4" t="n">
        <x:v>312</x:v>
      </x:c>
      <x:c r="B313" s="4" t="inlineStr">
        <x:is>
          <x:t xml:space="preserve">603648</x:t>
        </x:is>
      </x:c>
      <x:c r="C313" s="5" t="inlineStr">
        <x:is>
          <x:t xml:space="preserve">畅联股份</x:t>
        </x:is>
      </x:c>
      <x:c r="D313" s="5" t="inlineStr">
        <x:is>
          <x:t xml:space="preserve">上海畅联国际物流股份有限公司</x:t>
        </x:is>
      </x:c>
      <x:c r="E313" s="4" t="inlineStr">
        <x:is>
          <x:t xml:space="preserve">上海市</x:t>
        </x:is>
      </x:c>
      <x:c r="F313" s="4" t="inlineStr">
        <x:is>
          <x:t xml:space="preserve">上海市</x:t>
        </x:is>
      </x:c>
      <x:c r="G313" s="5" t="inlineStr">
        <x:is>
          <x:t xml:space="preserve">上海市-上海市</x:t>
        </x:is>
      </x:c>
      <x:c r="H313" s="4" t="inlineStr">
        <x:is>
          <x:t xml:space="preserve">交运物流</x:t>
        </x:is>
      </x:c>
      <x:c r="I313" s="4" t="inlineStr">
        <x:is>
          <x:t xml:space="preserve">2017-09-13</x:t>
        </x:is>
      </x:c>
      <x:c r="J313" s="5" t="inlineStr">
        <x:is>
          <x:t xml:space="preserve">中国(上海)自由贸易试验区冰克路500号5-6幢</x:t>
        </x:is>
      </x:c>
      <x:c r="K313" s="12" t="str">
        <x:f>LEFT("91310000703310259R",18)</x:f>
        <x:v>91310000703310259R</x:v>
      </x:c>
    </x:row>
    <x:row r="314">
      <x:c r="A314" s="2" t="n">
        <x:v>313</x:v>
      </x:c>
      <x:c r="B314" s="2" t="inlineStr">
        <x:is>
          <x:t xml:space="preserve">603650</x:t>
        </x:is>
      </x:c>
      <x:c r="C314" s="3" t="inlineStr">
        <x:is>
          <x:t xml:space="preserve">彤程新材</x:t>
        </x:is>
      </x:c>
      <x:c r="D314" s="3" t="inlineStr">
        <x:is>
          <x:t xml:space="preserve">彤程新材料集团股份有限公司</x:t>
        </x:is>
      </x:c>
      <x:c r="E314" s="2" t="inlineStr">
        <x:is>
          <x:t xml:space="preserve">上海市</x:t>
        </x:is>
      </x:c>
      <x:c r="F314" s="2" t="inlineStr">
        <x:is>
          <x:t xml:space="preserve">上海市</x:t>
        </x:is>
      </x:c>
      <x:c r="G314" s="3" t="inlineStr">
        <x:is>
          <x:t xml:space="preserve">上海市-上海市</x:t>
        </x:is>
      </x:c>
      <x:c r="H314" s="2" t="inlineStr">
        <x:is>
          <x:t xml:space="preserve">橡胶制品</x:t>
        </x:is>
      </x:c>
      <x:c r="I314" s="2" t="inlineStr">
        <x:is>
          <x:t xml:space="preserve">2018-06-27</x:t>
        </x:is>
      </x:c>
      <x:c r="J314" s="3" t="inlineStr">
        <x:is>
          <x:t xml:space="preserve">中国(上海)自由贸易试验区银城中路501号上海中心25层2501室</x:t>
        </x:is>
      </x:c>
      <x:c r="K314" s="12" t="str">
        <x:f>LEFT("91310000676234181X",18)</x:f>
        <x:v>91310000676234181X</x:v>
      </x:c>
    </x:row>
    <x:row r="315">
      <x:c r="A315" s="4" t="n">
        <x:v>314</x:v>
      </x:c>
      <x:c r="B315" s="4" t="inlineStr">
        <x:is>
          <x:t xml:space="preserve">603659</x:t>
        </x:is>
      </x:c>
      <x:c r="C315" s="5" t="inlineStr">
        <x:is>
          <x:t xml:space="preserve">璞泰来</x:t>
        </x:is>
      </x:c>
      <x:c r="D315" s="5" t="inlineStr">
        <x:is>
          <x:t xml:space="preserve">上海璞泰来新能源科技集团股份有限公司</x:t>
        </x:is>
      </x:c>
      <x:c r="E315" s="4" t="inlineStr">
        <x:is>
          <x:t xml:space="preserve">上海市</x:t>
        </x:is>
      </x:c>
      <x:c r="F315" s="4" t="inlineStr">
        <x:is>
          <x:t xml:space="preserve">上海市</x:t>
        </x:is>
      </x:c>
      <x:c r="G315" s="5" t="inlineStr">
        <x:is>
          <x:t xml:space="preserve">上海市-上海市</x:t>
        </x:is>
      </x:c>
      <x:c r="H315" s="4" t="inlineStr">
        <x:is>
          <x:t xml:space="preserve">电池</x:t>
        </x:is>
      </x:c>
      <x:c r="I315" s="4" t="inlineStr">
        <x:is>
          <x:t xml:space="preserve">2017-11-03</x:t>
        </x:is>
      </x:c>
      <x:c r="J315" s="5" t="inlineStr">
        <x:is>
          <x:t xml:space="preserve">中国(上海)自由贸易试验区芳春路400号1幢301-96室</x:t>
        </x:is>
      </x:c>
      <x:c r="K315" s="12" t="str">
        <x:f>LEFT("91310000055944463E",18)</x:f>
        <x:v>91310000055944463E</x:v>
      </x:c>
    </x:row>
    <x:row r="316">
      <x:c r="A316" s="2" t="n">
        <x:v>315</x:v>
      </x:c>
      <x:c r="B316" s="2" t="inlineStr">
        <x:is>
          <x:t xml:space="preserve">603681</x:t>
        </x:is>
      </x:c>
      <x:c r="C316" s="3" t="inlineStr">
        <x:is>
          <x:t xml:space="preserve">永冠新材</x:t>
        </x:is>
      </x:c>
      <x:c r="D316" s="3" t="inlineStr">
        <x:is>
          <x:t xml:space="preserve">上海永冠众诚新材料科技(集团)股份有限公司</x:t>
        </x:is>
      </x:c>
      <x:c r="E316" s="2" t="inlineStr">
        <x:is>
          <x:t xml:space="preserve">上海市</x:t>
        </x:is>
      </x:c>
      <x:c r="F316" s="2" t="inlineStr">
        <x:is>
          <x:t xml:space="preserve">上海市</x:t>
        </x:is>
      </x:c>
      <x:c r="G316" s="3" t="inlineStr">
        <x:is>
          <x:t xml:space="preserve">上海市-上海市</x:t>
        </x:is>
      </x:c>
      <x:c r="H316" s="2" t="inlineStr">
        <x:is>
          <x:t xml:space="preserve">化学制品</x:t>
        </x:is>
      </x:c>
      <x:c r="I316" s="2" t="inlineStr">
        <x:is>
          <x:t xml:space="preserve">2019-03-26</x:t>
        </x:is>
      </x:c>
      <x:c r="J316" s="3" t="inlineStr">
        <x:is>
          <x:t xml:space="preserve">上海市青浦区朱家角工业园区康工路15号</x:t>
        </x:is>
      </x:c>
      <x:c r="K316" s="12" t="str">
        <x:f>LEFT("91310000735425173L",18)</x:f>
        <x:v>91310000735425173L</x:v>
      </x:c>
    </x:row>
    <x:row r="317">
      <x:c r="A317" s="4" t="n">
        <x:v>316</x:v>
      </x:c>
      <x:c r="B317" s="4" t="inlineStr">
        <x:is>
          <x:t xml:space="preserve">603682</x:t>
        </x:is>
      </x:c>
      <x:c r="C317" s="5" t="inlineStr">
        <x:is>
          <x:t xml:space="preserve">锦和商管</x:t>
        </x:is>
      </x:c>
      <x:c r="D317" s="5" t="inlineStr">
        <x:is>
          <x:t xml:space="preserve">上海锦和商业经营管理(集团)股份有限公司</x:t>
        </x:is>
      </x:c>
      <x:c r="E317" s="4" t="inlineStr">
        <x:is>
          <x:t xml:space="preserve">上海市</x:t>
        </x:is>
      </x:c>
      <x:c r="F317" s="4" t="inlineStr">
        <x:is>
          <x:t xml:space="preserve">上海市</x:t>
        </x:is>
      </x:c>
      <x:c r="G317" s="5" t="inlineStr">
        <x:is>
          <x:t xml:space="preserve">上海市-上海市</x:t>
        </x:is>
      </x:c>
      <x:c r="H317" s="4" t="inlineStr">
        <x:is>
          <x:t xml:space="preserve">房地产服务</x:t>
        </x:is>
      </x:c>
      <x:c r="I317" s="4" t="inlineStr">
        <x:is>
          <x:t xml:space="preserve">2020-04-21</x:t>
        </x:is>
      </x:c>
      <x:c r="J317" s="5" t="inlineStr">
        <x:is>
          <x:t xml:space="preserve">上海市徐汇区虹漕路68号43幢18楼</x:t>
        </x:is>
      </x:c>
      <x:c r="K317" s="12" t="str">
        <x:f>LEFT("91310000660797414T",18)</x:f>
        <x:v>91310000660797414T</x:v>
      </x:c>
    </x:row>
    <x:row r="318">
      <x:c r="A318" s="2" t="n">
        <x:v>317</x:v>
      </x:c>
      <x:c r="B318" s="2" t="inlineStr">
        <x:is>
          <x:t xml:space="preserve">603683</x:t>
        </x:is>
      </x:c>
      <x:c r="C318" s="3" t="inlineStr">
        <x:is>
          <x:t xml:space="preserve">晶华新材</x:t>
        </x:is>
      </x:c>
      <x:c r="D318" s="3" t="inlineStr">
        <x:is>
          <x:t xml:space="preserve">上海晶华胶粘新材料股份有限公司</x:t>
        </x:is>
      </x:c>
      <x:c r="E318" s="2" t="inlineStr">
        <x:is>
          <x:t xml:space="preserve">上海市</x:t>
        </x:is>
      </x:c>
      <x:c r="F318" s="2" t="inlineStr">
        <x:is>
          <x:t xml:space="preserve">上海市</x:t>
        </x:is>
      </x:c>
      <x:c r="G318" s="3" t="inlineStr">
        <x:is>
          <x:t xml:space="preserve">上海市-上海市</x:t>
        </x:is>
      </x:c>
      <x:c r="H318" s="2" t="inlineStr">
        <x:is>
          <x:t xml:space="preserve">化工行业</x:t>
        </x:is>
      </x:c>
      <x:c r="I318" s="2" t="inlineStr">
        <x:is>
          <x:t xml:space="preserve">2017-10-20</x:t>
        </x:is>
      </x:c>
      <x:c r="J318" s="3" t="inlineStr">
        <x:is>
          <x:t xml:space="preserve">上海市松江区永丰街道大江路89号</x:t>
        </x:is>
      </x:c>
      <x:c r="K318" s="12" t="str">
        <x:f>LEFT("9131000078783207XJ",18)</x:f>
        <x:v>9131000078783207XJ</x:v>
      </x:c>
    </x:row>
    <x:row r="319">
      <x:c r="A319" s="4" t="n">
        <x:v>318</x:v>
      </x:c>
      <x:c r="B319" s="4" t="inlineStr">
        <x:is>
          <x:t xml:space="preserve">603690</x:t>
        </x:is>
      </x:c>
      <x:c r="C319" s="5" t="inlineStr">
        <x:is>
          <x:t xml:space="preserve">至纯科技</x:t>
        </x:is>
      </x:c>
      <x:c r="D319" s="5" t="inlineStr">
        <x:is>
          <x:t xml:space="preserve">上海至纯洁净系统科技股份有限公司</x:t>
        </x:is>
      </x:c>
      <x:c r="E319" s="4" t="inlineStr">
        <x:is>
          <x:t xml:space="preserve">上海市</x:t>
        </x:is>
      </x:c>
      <x:c r="F319" s="4" t="inlineStr">
        <x:is>
          <x:t xml:space="preserve">上海市</x:t>
        </x:is>
      </x:c>
      <x:c r="G319" s="5" t="inlineStr">
        <x:is>
          <x:t xml:space="preserve">上海市-上海市</x:t>
        </x:is>
      </x:c>
      <x:c r="H319" s="4" t="inlineStr">
        <x:is>
          <x:t xml:space="preserve">专用设备</x:t>
        </x:is>
      </x:c>
      <x:c r="I319" s="4" t="inlineStr">
        <x:is>
          <x:t xml:space="preserve">2017-01-13</x:t>
        </x:is>
      </x:c>
      <x:c r="J319" s="5" t="inlineStr">
        <x:is>
          <x:t xml:space="preserve">上海市闵行区紫海路170号</x:t>
        </x:is>
      </x:c>
      <x:c r="K319" s="12" t="str">
        <x:f>LEFT("9131000070304179XY",18)</x:f>
        <x:v>9131000070304179XY</x:v>
      </x:c>
    </x:row>
    <x:row r="320">
      <x:c r="A320" s="2" t="n">
        <x:v>319</x:v>
      </x:c>
      <x:c r="B320" s="2" t="inlineStr">
        <x:is>
          <x:t xml:space="preserve">603713</x:t>
        </x:is>
      </x:c>
      <x:c r="C320" s="3" t="inlineStr">
        <x:is>
          <x:t xml:space="preserve">密尔克卫</x:t>
        </x:is>
      </x:c>
      <x:c r="D320" s="3" t="inlineStr">
        <x:is>
          <x:t xml:space="preserve">密尔克卫智能供应链服务集团股份有限公司</x:t>
        </x:is>
      </x:c>
      <x:c r="E320" s="2" t="inlineStr">
        <x:is>
          <x:t xml:space="preserve">上海市</x:t>
        </x:is>
      </x:c>
      <x:c r="F320" s="2" t="inlineStr">
        <x:is>
          <x:t xml:space="preserve">上海市</x:t>
        </x:is>
      </x:c>
      <x:c r="G320" s="3" t="inlineStr">
        <x:is>
          <x:t xml:space="preserve">上海市-上海市</x:t>
        </x:is>
      </x:c>
      <x:c r="H320" s="2" t="inlineStr">
        <x:is>
          <x:t xml:space="preserve">交运物流</x:t>
        </x:is>
      </x:c>
      <x:c r="I320" s="2" t="inlineStr">
        <x:is>
          <x:t xml:space="preserve">2018-07-13</x:t>
        </x:is>
      </x:c>
      <x:c r="J320" s="3" t="inlineStr">
        <x:is>
          <x:t xml:space="preserve">中国(上海)自由贸易试验区金葵路158号4-11层</x:t>
        </x:is>
      </x:c>
      <x:c r="K320" s="12" t="str">
        <x:f>LEFT("91310000630965915K",18)</x:f>
        <x:v>91310000630965915K</x:v>
      </x:c>
    </x:row>
    <x:row r="321">
      <x:c r="A321" s="4" t="n">
        <x:v>320</x:v>
      </x:c>
      <x:c r="B321" s="4" t="inlineStr">
        <x:is>
          <x:t xml:space="preserve">603718</x:t>
        </x:is>
      </x:c>
      <x:c r="C321" s="5" t="inlineStr">
        <x:is>
          <x:t xml:space="preserve">海利生物</x:t>
        </x:is>
      </x:c>
      <x:c r="D321" s="5" t="inlineStr">
        <x:is>
          <x:t xml:space="preserve">上海海利生物技术股份有限公司</x:t>
        </x:is>
      </x:c>
      <x:c r="E321" s="4" t="inlineStr">
        <x:is>
          <x:t xml:space="preserve">上海市</x:t>
        </x:is>
      </x:c>
      <x:c r="F321" s="4" t="inlineStr">
        <x:is>
          <x:t xml:space="preserve">上海市</x:t>
        </x:is>
      </x:c>
      <x:c r="G321" s="5" t="inlineStr">
        <x:is>
          <x:t xml:space="preserve">上海市-上海市</x:t>
        </x:is>
      </x:c>
      <x:c r="H321" s="4" t="inlineStr">
        <x:is>
          <x:t xml:space="preserve">医疗器械</x:t>
        </x:is>
      </x:c>
      <x:c r="I321" s="4" t="inlineStr">
        <x:is>
          <x:t xml:space="preserve">2015-05-15</x:t>
        </x:is>
      </x:c>
      <x:c r="J321" s="5" t="inlineStr">
        <x:is>
          <x:t xml:space="preserve">中国(上海)自由贸易试验区临港新片区申港大道133号909室</x:t>
        </x:is>
      </x:c>
      <x:c r="K321" s="12" t="str">
        <x:f>LEFT("9131000013413459XC",18)</x:f>
        <x:v>9131000013413459XC</x:v>
      </x:c>
    </x:row>
    <x:row r="322">
      <x:c r="A322" s="2" t="n">
        <x:v>321</x:v>
      </x:c>
      <x:c r="B322" s="2" t="inlineStr">
        <x:is>
          <x:t xml:space="preserve">603728</x:t>
        </x:is>
      </x:c>
      <x:c r="C322" s="3" t="inlineStr">
        <x:is>
          <x:t xml:space="preserve">鸣志电器</x:t>
        </x:is>
      </x:c>
      <x:c r="D322" s="3" t="inlineStr">
        <x:is>
          <x:t xml:space="preserve">上海鸣志电器股份有限公司</x:t>
        </x:is>
      </x:c>
      <x:c r="E322" s="2" t="inlineStr">
        <x:is>
          <x:t xml:space="preserve">上海市</x:t>
        </x:is>
      </x:c>
      <x:c r="F322" s="2" t="inlineStr">
        <x:is>
          <x:t xml:space="preserve">上海市</x:t>
        </x:is>
      </x:c>
      <x:c r="G322" s="3" t="inlineStr">
        <x:is>
          <x:t xml:space="preserve">上海市-上海市</x:t>
        </x:is>
      </x:c>
      <x:c r="H322" s="2" t="inlineStr">
        <x:is>
          <x:t xml:space="preserve">电机</x:t>
        </x:is>
      </x:c>
      <x:c r="I322" s="2" t="inlineStr">
        <x:is>
          <x:t xml:space="preserve">2017-05-09</x:t>
        </x:is>
      </x:c>
      <x:c r="J322" s="3" t="inlineStr">
        <x:is>
          <x:t xml:space="preserve">上海市闵行区闵北路88弄1-30号109幢1层7101室</x:t>
        </x:is>
      </x:c>
      <x:c r="K322" s="12" t="str">
        <x:f>LEFT("913100006073925734",18)</x:f>
        <x:v>913100006073925800</x:v>
      </x:c>
    </x:row>
    <x:row r="323">
      <x:c r="A323" s="4" t="n">
        <x:v>322</x:v>
      </x:c>
      <x:c r="B323" s="4" t="inlineStr">
        <x:is>
          <x:t xml:space="preserve">603729</x:t>
        </x:is>
      </x:c>
      <x:c r="C323" s="5" t="inlineStr">
        <x:is>
          <x:t xml:space="preserve">龙韵股份</x:t>
        </x:is>
      </x:c>
      <x:c r="D323" s="5" t="inlineStr">
        <x:is>
          <x:t xml:space="preserve">上海龙韵文创科技集团股份有限公司</x:t>
        </x:is>
      </x:c>
      <x:c r="E323" s="4" t="inlineStr">
        <x:is>
          <x:t xml:space="preserve">上海市</x:t>
        </x:is>
      </x:c>
      <x:c r="F323" s="4" t="inlineStr">
        <x:is>
          <x:t xml:space="preserve">上海市</x:t>
        </x:is>
      </x:c>
      <x:c r="G323" s="5" t="inlineStr">
        <x:is>
          <x:t xml:space="preserve">上海市-上海市</x:t>
        </x:is>
      </x:c>
      <x:c r="H323" s="4" t="inlineStr">
        <x:is>
          <x:t xml:space="preserve">文化传媒</x:t>
        </x:is>
      </x:c>
      <x:c r="I323" s="4" t="inlineStr">
        <x:is>
          <x:t xml:space="preserve">2015-03-24</x:t>
        </x:is>
      </x:c>
      <x:c r="J323" s="5" t="inlineStr">
        <x:is>
          <x:t xml:space="preserve">上海市松江区佘山三角街9号</x:t>
        </x:is>
      </x:c>
      <x:c r="K323" s="12" t="str">
        <x:f>LEFT("91310000751468181F",18)</x:f>
        <x:v>91310000751468181F</x:v>
      </x:c>
    </x:row>
    <x:row r="324">
      <x:c r="A324" s="2" t="n">
        <x:v>323</x:v>
      </x:c>
      <x:c r="B324" s="2" t="inlineStr">
        <x:is>
          <x:t xml:space="preserve">603730</x:t>
        </x:is>
      </x:c>
      <x:c r="C324" s="3" t="inlineStr">
        <x:is>
          <x:t xml:space="preserve">岱美股份</x:t>
        </x:is>
      </x:c>
      <x:c r="D324" s="3" t="inlineStr">
        <x:is>
          <x:t xml:space="preserve">上海岱美汽车内饰件股份有限公司</x:t>
        </x:is>
      </x:c>
      <x:c r="E324" s="2" t="inlineStr">
        <x:is>
          <x:t xml:space="preserve">上海市</x:t>
        </x:is>
      </x:c>
      <x:c r="F324" s="2" t="inlineStr">
        <x:is>
          <x:t xml:space="preserve">上海市</x:t>
        </x:is>
      </x:c>
      <x:c r="G324" s="3" t="inlineStr">
        <x:is>
          <x:t xml:space="preserve">上海市-上海市</x:t>
        </x:is>
      </x:c>
      <x:c r="H324" s="2" t="inlineStr">
        <x:is>
          <x:t xml:space="preserve">汽车行业</x:t>
        </x:is>
      </x:c>
      <x:c r="I324" s="2" t="inlineStr">
        <x:is>
          <x:t xml:space="preserve">2017-07-28</x:t>
        </x:is>
      </x:c>
      <x:c r="J324" s="3" t="inlineStr">
        <x:is>
          <x:t xml:space="preserve">上海市浦东新区北蔡镇莲溪路1299号</x:t>
        </x:is>
      </x:c>
      <x:c r="K324" s="12" t="str">
        <x:f>LEFT("91310000703100104J",18)</x:f>
        <x:v>91310000703100104J</x:v>
      </x:c>
    </x:row>
    <x:row r="325">
      <x:c r="A325" s="4" t="n">
        <x:v>324</x:v>
      </x:c>
      <x:c r="B325" s="4" t="inlineStr">
        <x:is>
          <x:t xml:space="preserve">603777</x:t>
        </x:is>
      </x:c>
      <x:c r="C325" s="5" t="inlineStr">
        <x:is>
          <x:t xml:space="preserve">来伊份</x:t>
        </x:is>
      </x:c>
      <x:c r="D325" s="5" t="inlineStr">
        <x:is>
          <x:t xml:space="preserve">上海来伊份股份有限公司</x:t>
        </x:is>
      </x:c>
      <x:c r="E325" s="4" t="inlineStr">
        <x:is>
          <x:t xml:space="preserve">上海市</x:t>
        </x:is>
      </x:c>
      <x:c r="F325" s="4" t="inlineStr">
        <x:is>
          <x:t xml:space="preserve">上海市</x:t>
        </x:is>
      </x:c>
      <x:c r="G325" s="5" t="inlineStr">
        <x:is>
          <x:t xml:space="preserve">上海市-上海市</x:t>
        </x:is>
      </x:c>
      <x:c r="H325" s="4" t="inlineStr">
        <x:is>
          <x:t xml:space="preserve">食品饮料</x:t>
        </x:is>
      </x:c>
      <x:c r="I325" s="4" t="inlineStr">
        <x:is>
          <x:t xml:space="preserve">2016-10-12</x:t>
        </x:is>
      </x:c>
      <x:c r="J325" s="5" t="inlineStr">
        <x:is>
          <x:t xml:space="preserve">上海市松江区九亭镇久富路300号</x:t>
        </x:is>
      </x:c>
      <x:c r="K325" s="12" t="str">
        <x:f>LEFT("91310000740576558C",18)</x:f>
        <x:v>91310000740576558C</x:v>
      </x:c>
    </x:row>
    <x:row r="326">
      <x:c r="A326" s="2" t="n">
        <x:v>325</x:v>
      </x:c>
      <x:c r="B326" s="2" t="inlineStr">
        <x:is>
          <x:t xml:space="preserve">603786</x:t>
        </x:is>
      </x:c>
      <x:c r="C326" s="3" t="inlineStr">
        <x:is>
          <x:t xml:space="preserve">科博达</x:t>
        </x:is>
      </x:c>
      <x:c r="D326" s="3" t="inlineStr">
        <x:is>
          <x:t xml:space="preserve">科博达技术股份有限公司</x:t>
        </x:is>
      </x:c>
      <x:c r="E326" s="2" t="inlineStr">
        <x:is>
          <x:t xml:space="preserve">上海市</x:t>
        </x:is>
      </x:c>
      <x:c r="F326" s="2" t="inlineStr">
        <x:is>
          <x:t xml:space="preserve">上海市</x:t>
        </x:is>
      </x:c>
      <x:c r="G326" s="3" t="inlineStr">
        <x:is>
          <x:t xml:space="preserve">上海市-上海市</x:t>
        </x:is>
      </x:c>
      <x:c r="H326" s="2" t="inlineStr">
        <x:is>
          <x:t xml:space="preserve">汽车行业</x:t>
        </x:is>
      </x:c>
      <x:c r="I326" s="2" t="inlineStr">
        <x:is>
          <x:t xml:space="preserve">2019-10-15</x:t>
        </x:is>
      </x:c>
      <x:c r="J326" s="3" t="inlineStr">
        <x:is>
          <x:t xml:space="preserve">中国(上海)自由贸易试验区祖冲之路2388号1-2幢</x:t>
        </x:is>
      </x:c>
      <x:c r="K326" s="12" t="str">
        <x:f>LEFT("91310115729533231F",18)</x:f>
        <x:v>91310115729533231F</x:v>
      </x:c>
    </x:row>
    <x:row r="327">
      <x:c r="A327" s="4" t="n">
        <x:v>326</x:v>
      </x:c>
      <x:c r="B327" s="4" t="inlineStr">
        <x:is>
          <x:t xml:space="preserve">603790</x:t>
        </x:is>
      </x:c>
      <x:c r="C327" s="5" t="inlineStr">
        <x:is>
          <x:t xml:space="preserve">雅运股份</x:t>
        </x:is>
      </x:c>
      <x:c r="D327" s="5" t="inlineStr">
        <x:is>
          <x:t xml:space="preserve">上海雅运纺织化工股份有限公司</x:t>
        </x:is>
      </x:c>
      <x:c r="E327" s="4" t="inlineStr">
        <x:is>
          <x:t xml:space="preserve">上海市</x:t>
        </x:is>
      </x:c>
      <x:c r="F327" s="4" t="inlineStr">
        <x:is>
          <x:t xml:space="preserve">上海市</x:t>
        </x:is>
      </x:c>
      <x:c r="G327" s="5" t="inlineStr">
        <x:is>
          <x:t xml:space="preserve">上海市-上海市</x:t>
        </x:is>
      </x:c>
      <x:c r="H327" s="4" t="inlineStr">
        <x:is>
          <x:t xml:space="preserve">化工行业</x:t>
        </x:is>
      </x:c>
      <x:c r="I327" s="4" t="inlineStr">
        <x:is>
          <x:t xml:space="preserve">2018-09-12</x:t>
        </x:is>
      </x:c>
      <x:c r="J327" s="5" t="inlineStr">
        <x:is>
          <x:t xml:space="preserve">上海市徐汇区银都路388号16幢275-278室</x:t>
        </x:is>
      </x:c>
      <x:c r="K327" s="12" t="str">
        <x:f>LEFT("913100006315594259",18)</x:f>
        <x:v>913100006315594200</x:v>
      </x:c>
    </x:row>
    <x:row r="328">
      <x:c r="A328" s="2" t="n">
        <x:v>327</x:v>
      </x:c>
      <x:c r="B328" s="2" t="inlineStr">
        <x:is>
          <x:t xml:space="preserve">603855</x:t>
        </x:is>
      </x:c>
      <x:c r="C328" s="3" t="inlineStr">
        <x:is>
          <x:t xml:space="preserve">华荣股份</x:t>
        </x:is>
      </x:c>
      <x:c r="D328" s="3" t="inlineStr">
        <x:is>
          <x:t xml:space="preserve">华荣科技股份有限公司</x:t>
        </x:is>
      </x:c>
      <x:c r="E328" s="2" t="inlineStr">
        <x:is>
          <x:t xml:space="preserve">上海市</x:t>
        </x:is>
      </x:c>
      <x:c r="F328" s="2" t="inlineStr">
        <x:is>
          <x:t xml:space="preserve">上海市</x:t>
        </x:is>
      </x:c>
      <x:c r="G328" s="3" t="inlineStr">
        <x:is>
          <x:t xml:space="preserve">上海市-上海市</x:t>
        </x:is>
      </x:c>
      <x:c r="H328" s="2" t="inlineStr">
        <x:is>
          <x:t xml:space="preserve">专用设备</x:t>
        </x:is>
      </x:c>
      <x:c r="I328" s="2" t="inlineStr">
        <x:is>
          <x:t xml:space="preserve">2017-05-24</x:t>
        </x:is>
      </x:c>
      <x:c r="J328" s="3" t="inlineStr">
        <x:is>
          <x:t xml:space="preserve">上海市嘉定区宝钱公路555号</x:t>
        </x:is>
      </x:c>
      <x:c r="K328" s="12" t="str">
        <x:f>LEFT("91310000566558740F",18)</x:f>
        <x:v>91310000566558740F</x:v>
      </x:c>
    </x:row>
    <x:row r="329">
      <x:c r="A329" s="4" t="n">
        <x:v>328</x:v>
      </x:c>
      <x:c r="B329" s="4" t="inlineStr">
        <x:is>
          <x:t xml:space="preserve">603868</x:t>
        </x:is>
      </x:c>
      <x:c r="C329" s="5" t="inlineStr">
        <x:is>
          <x:t xml:space="preserve">飞科电器</x:t>
        </x:is>
      </x:c>
      <x:c r="D329" s="5" t="inlineStr">
        <x:is>
          <x:t xml:space="preserve">上海飞科电器股份有限公司</x:t>
        </x:is>
      </x:c>
      <x:c r="E329" s="4" t="inlineStr">
        <x:is>
          <x:t xml:space="preserve">上海市</x:t>
        </x:is>
      </x:c>
      <x:c r="F329" s="4" t="inlineStr">
        <x:is>
          <x:t xml:space="preserve">上海市</x:t>
        </x:is>
      </x:c>
      <x:c r="G329" s="5" t="inlineStr">
        <x:is>
          <x:t xml:space="preserve">上海市-上海市</x:t>
        </x:is>
      </x:c>
      <x:c r="H329" s="4" t="inlineStr">
        <x:is>
          <x:t xml:space="preserve">家电行业</x:t>
        </x:is>
      </x:c>
      <x:c r="I329" s="4" t="inlineStr">
        <x:is>
          <x:t xml:space="preserve">2016-04-18</x:t>
        </x:is>
      </x:c>
      <x:c r="J329" s="5" t="inlineStr">
        <x:is>
          <x:t xml:space="preserve">上海市松江区广富林东路555号</x:t>
        </x:is>
      </x:c>
      <x:c r="K329" s="12" t="str">
        <x:f>LEFT("91310000789541823F",18)</x:f>
        <x:v>91310000789541823F</x:v>
      </x:c>
    </x:row>
    <x:row r="330">
      <x:c r="A330" s="2" t="n">
        <x:v>329</x:v>
      </x:c>
      <x:c r="B330" s="2" t="inlineStr">
        <x:is>
          <x:t xml:space="preserve">603881</x:t>
        </x:is>
      </x:c>
      <x:c r="C330" s="3" t="inlineStr">
        <x:is>
          <x:t xml:space="preserve">数据港</x:t>
        </x:is>
      </x:c>
      <x:c r="D330" s="3" t="inlineStr">
        <x:is>
          <x:t xml:space="preserve">上海数据港股份有限公司</x:t>
        </x:is>
      </x:c>
      <x:c r="E330" s="2" t="inlineStr">
        <x:is>
          <x:t xml:space="preserve">上海市</x:t>
        </x:is>
      </x:c>
      <x:c r="F330" s="2" t="inlineStr">
        <x:is>
          <x:t xml:space="preserve">上海市</x:t>
        </x:is>
      </x:c>
      <x:c r="G330" s="3" t="inlineStr">
        <x:is>
          <x:t xml:space="preserve">上海市-上海市</x:t>
        </x:is>
      </x:c>
      <x:c r="H330" s="2" t="inlineStr">
        <x:is>
          <x:t xml:space="preserve">互联网服务</x:t>
        </x:is>
      </x:c>
      <x:c r="I330" s="2" t="inlineStr">
        <x:is>
          <x:t xml:space="preserve">2017-02-08</x:t>
        </x:is>
      </x:c>
      <x:c r="J330" s="3" t="inlineStr">
        <x:is>
          <x:t xml:space="preserve">上海市静安区江场路1401弄14号1601室</x:t>
        </x:is>
      </x:c>
      <x:c r="K330" s="12" t="str">
        <x:f>LEFT("91310000697241508E",18)</x:f>
        <x:v>91310000697241508E</x:v>
      </x:c>
    </x:row>
    <x:row r="331">
      <x:c r="A331" s="4" t="n">
        <x:v>330</x:v>
      </x:c>
      <x:c r="B331" s="4" t="inlineStr">
        <x:is>
          <x:t xml:space="preserve">603885</x:t>
        </x:is>
      </x:c>
      <x:c r="C331" s="5" t="inlineStr">
        <x:is>
          <x:t xml:space="preserve">吉祥航空</x:t>
        </x:is>
      </x:c>
      <x:c r="D331" s="5" t="inlineStr">
        <x:is>
          <x:t xml:space="preserve">上海吉祥航空股份有限公司</x:t>
        </x:is>
      </x:c>
      <x:c r="E331" s="4" t="inlineStr">
        <x:is>
          <x:t xml:space="preserve">上海市</x:t>
        </x:is>
      </x:c>
      <x:c r="F331" s="4" t="inlineStr">
        <x:is>
          <x:t xml:space="preserve">上海市</x:t>
        </x:is>
      </x:c>
      <x:c r="G331" s="5" t="inlineStr">
        <x:is>
          <x:t xml:space="preserve">上海市-上海市</x:t>
        </x:is>
      </x:c>
      <x:c r="H331" s="4" t="inlineStr">
        <x:is>
          <x:t xml:space="preserve">民航机场</x:t>
        </x:is>
      </x:c>
      <x:c r="I331" s="4" t="inlineStr">
        <x:is>
          <x:t xml:space="preserve">2015-05-27</x:t>
        </x:is>
      </x:c>
      <x:c r="J331" s="5" t="inlineStr">
        <x:is>
          <x:t xml:space="preserve">中国(上海)自由贸易试验区康桥东路8号</x:t>
        </x:is>
      </x:c>
      <x:c r="K331" s="12" t="str">
        <x:f>LEFT("913100007867226104",18)</x:f>
        <x:v>913100007867226100</x:v>
      </x:c>
    </x:row>
    <x:row r="332">
      <x:c r="A332" s="2" t="n">
        <x:v>331</x:v>
      </x:c>
      <x:c r="B332" s="2" t="inlineStr">
        <x:is>
          <x:t xml:space="preserve">603886</x:t>
        </x:is>
      </x:c>
      <x:c r="C332" s="3" t="inlineStr">
        <x:is>
          <x:t xml:space="preserve">元祖股份</x:t>
        </x:is>
      </x:c>
      <x:c r="D332" s="3" t="inlineStr">
        <x:is>
          <x:t xml:space="preserve">上海元祖梦果子股份有限公司</x:t>
        </x:is>
      </x:c>
      <x:c r="E332" s="2" t="inlineStr">
        <x:is>
          <x:t xml:space="preserve">上海市</x:t>
        </x:is>
      </x:c>
      <x:c r="F332" s="2" t="inlineStr">
        <x:is>
          <x:t xml:space="preserve">上海市</x:t>
        </x:is>
      </x:c>
      <x:c r="G332" s="3" t="inlineStr">
        <x:is>
          <x:t xml:space="preserve">上海市-上海市</x:t>
        </x:is>
      </x:c>
      <x:c r="H332" s="2" t="inlineStr">
        <x:is>
          <x:t xml:space="preserve">食品饮料</x:t>
        </x:is>
      </x:c>
      <x:c r="I332" s="2" t="inlineStr">
        <x:is>
          <x:t xml:space="preserve">2016-12-28</x:t>
        </x:is>
      </x:c>
      <x:c r="J332" s="3" t="inlineStr">
        <x:is>
          <x:t xml:space="preserve">上海市青浦区赵巷镇嘉松中路6088号</x:t>
        </x:is>
      </x:c>
      <x:c r="K332" s="12" t="str">
        <x:f>LEFT("913100007416421665",18)</x:f>
        <x:v>913100007416421600</x:v>
      </x:c>
    </x:row>
    <x:row r="333">
      <x:c r="A333" s="4" t="n">
        <x:v>332</x:v>
      </x:c>
      <x:c r="B333" s="4" t="inlineStr">
        <x:is>
          <x:t xml:space="preserve">603887</x:t>
        </x:is>
      </x:c>
      <x:c r="C333" s="5" t="inlineStr">
        <x:is>
          <x:t xml:space="preserve">城地香江</x:t>
        </x:is>
      </x:c>
      <x:c r="D333" s="5" t="inlineStr">
        <x:is>
          <x:t xml:space="preserve">上海城地香江数据科技股份有限公司</x:t>
        </x:is>
      </x:c>
      <x:c r="E333" s="4" t="inlineStr">
        <x:is>
          <x:t xml:space="preserve">上海市</x:t>
        </x:is>
      </x:c>
      <x:c r="F333" s="4" t="inlineStr">
        <x:is>
          <x:t xml:space="preserve">上海市</x:t>
        </x:is>
      </x:c>
      <x:c r="G333" s="5" t="inlineStr">
        <x:is>
          <x:t xml:space="preserve">上海市-上海市</x:t>
        </x:is>
      </x:c>
      <x:c r="H333" s="4" t="inlineStr">
        <x:is>
          <x:t xml:space="preserve">电子信息</x:t>
        </x:is>
      </x:c>
      <x:c r="I333" s="4" t="inlineStr">
        <x:is>
          <x:t xml:space="preserve">2016-10-10</x:t>
        </x:is>
      </x:c>
      <x:c r="J333" s="5" t="inlineStr">
        <x:is>
          <x:t xml:space="preserve">上海市嘉定区恒永路518弄1号B区502-1</x:t>
        </x:is>
      </x:c>
      <x:c r="K333" s="12" t="str">
        <x:f>LEFT("91310000630805719K",18)</x:f>
        <x:v>91310000630805719K</x:v>
      </x:c>
    </x:row>
    <x:row r="334">
      <x:c r="A334" s="2" t="n">
        <x:v>333</x:v>
      </x:c>
      <x:c r="B334" s="2" t="inlineStr">
        <x:is>
          <x:t xml:space="preserve">603895</x:t>
        </x:is>
      </x:c>
      <x:c r="C334" s="3" t="inlineStr">
        <x:is>
          <x:t xml:space="preserve">天永智能</x:t>
        </x:is>
      </x:c>
      <x:c r="D334" s="3" t="inlineStr">
        <x:is>
          <x:t xml:space="preserve">上海天永智能装备股份有限公司</x:t>
        </x:is>
      </x:c>
      <x:c r="E334" s="2" t="inlineStr">
        <x:is>
          <x:t xml:space="preserve">上海市</x:t>
        </x:is>
      </x:c>
      <x:c r="F334" s="2" t="inlineStr">
        <x:is>
          <x:t xml:space="preserve">上海市</x:t>
        </x:is>
      </x:c>
      <x:c r="G334" s="3" t="inlineStr">
        <x:is>
          <x:t xml:space="preserve">上海市-上海市</x:t>
        </x:is>
      </x:c>
      <x:c r="H334" s="2" t="inlineStr">
        <x:is>
          <x:t xml:space="preserve">专用设备</x:t>
        </x:is>
      </x:c>
      <x:c r="I334" s="2" t="inlineStr">
        <x:is>
          <x:t xml:space="preserve">2018-01-22</x:t>
        </x:is>
      </x:c>
      <x:c r="J334" s="3" t="inlineStr">
        <x:is>
          <x:t xml:space="preserve">上海市嘉定区外冈镇汇宝路555号3幢2层A区</x:t>
        </x:is>
      </x:c>
      <x:c r="K334" s="12" t="str">
        <x:f>LEFT("913100006073560119",18)</x:f>
        <x:v>913100006073560000</x:v>
      </x:c>
    </x:row>
    <x:row r="335">
      <x:c r="A335" s="4" t="n">
        <x:v>334</x:v>
      </x:c>
      <x:c r="B335" s="4" t="inlineStr">
        <x:is>
          <x:t xml:space="preserve">603899</x:t>
        </x:is>
      </x:c>
      <x:c r="C335" s="5" t="inlineStr">
        <x:is>
          <x:t xml:space="preserve">晨光股份</x:t>
        </x:is>
      </x:c>
      <x:c r="D335" s="5" t="inlineStr">
        <x:is>
          <x:t xml:space="preserve">上海晨光文具股份有限公司</x:t>
        </x:is>
      </x:c>
      <x:c r="E335" s="4" t="inlineStr">
        <x:is>
          <x:t xml:space="preserve">上海市</x:t>
        </x:is>
      </x:c>
      <x:c r="F335" s="4" t="inlineStr">
        <x:is>
          <x:t xml:space="preserve">上海市</x:t>
        </x:is>
      </x:c>
      <x:c r="G335" s="5" t="inlineStr">
        <x:is>
          <x:t xml:space="preserve">上海市-上海市</x:t>
        </x:is>
      </x:c>
      <x:c r="H335" s="4" t="inlineStr">
        <x:is>
          <x:t xml:space="preserve">家用轻工</x:t>
        </x:is>
      </x:c>
      <x:c r="I335" s="4" t="inlineStr">
        <x:is>
          <x:t xml:space="preserve">2015-01-27</x:t>
        </x:is>
      </x:c>
      <x:c r="J335" s="5" t="inlineStr">
        <x:is>
          <x:t xml:space="preserve">上海市奉贤区金钱公路3469号3号楼</x:t>
        </x:is>
      </x:c>
      <x:c r="K335" s="12" t="str">
        <x:f>LEFT("91310000677833266F",18)</x:f>
        <x:v>91310000677833266F</x:v>
      </x:c>
    </x:row>
    <x:row r="336">
      <x:c r="A336" s="2" t="n">
        <x:v>335</x:v>
      </x:c>
      <x:c r="B336" s="2" t="inlineStr">
        <x:is>
          <x:t xml:space="preserve">603918</x:t>
        </x:is>
      </x:c>
      <x:c r="C336" s="3" t="inlineStr">
        <x:is>
          <x:t xml:space="preserve">金桥信息</x:t>
        </x:is>
      </x:c>
      <x:c r="D336" s="3" t="inlineStr">
        <x:is>
          <x:t xml:space="preserve">上海金桥信息股份有限公司</x:t>
        </x:is>
      </x:c>
      <x:c r="E336" s="2" t="inlineStr">
        <x:is>
          <x:t xml:space="preserve">上海市</x:t>
        </x:is>
      </x:c>
      <x:c r="F336" s="2" t="inlineStr">
        <x:is>
          <x:t xml:space="preserve">上海市</x:t>
        </x:is>
      </x:c>
      <x:c r="G336" s="3" t="inlineStr">
        <x:is>
          <x:t xml:space="preserve">上海市-上海市</x:t>
        </x:is>
      </x:c>
      <x:c r="H336" s="2" t="inlineStr">
        <x:is>
          <x:t xml:space="preserve">互联网服务</x:t>
        </x:is>
      </x:c>
      <x:c r="I336" s="2" t="inlineStr">
        <x:is>
          <x:t xml:space="preserve">2015-05-28</x:t>
        </x:is>
      </x:c>
      <x:c r="J336" s="3" t="inlineStr">
        <x:is>
          <x:t xml:space="preserve">中国(上海)自由贸易试验区郭守敬路498号12幢21302;21319室</x:t>
        </x:is>
      </x:c>
      <x:c r="K336" s="12" t="str">
        <x:f>LEFT("91310000132231361P",18)</x:f>
        <x:v>91310000132231361P</x:v>
      </x:c>
    </x:row>
    <x:row r="337">
      <x:c r="A337" s="4" t="n">
        <x:v>336</x:v>
      </x:c>
      <x:c r="B337" s="4" t="inlineStr">
        <x:is>
          <x:t xml:space="preserve">603956</x:t>
        </x:is>
      </x:c>
      <x:c r="C337" s="5" t="inlineStr">
        <x:is>
          <x:t xml:space="preserve">威派格</x:t>
        </x:is>
      </x:c>
      <x:c r="D337" s="5" t="inlineStr">
        <x:is>
          <x:t xml:space="preserve">上海威派格智慧水务股份有限公司</x:t>
        </x:is>
      </x:c>
      <x:c r="E337" s="4" t="inlineStr">
        <x:is>
          <x:t xml:space="preserve">上海市</x:t>
        </x:is>
      </x:c>
      <x:c r="F337" s="4" t="inlineStr">
        <x:is>
          <x:t xml:space="preserve">上海市</x:t>
        </x:is>
      </x:c>
      <x:c r="G337" s="5" t="inlineStr">
        <x:is>
          <x:t xml:space="preserve">上海市-上海市</x:t>
        </x:is>
      </x:c>
      <x:c r="H337" s="4" t="inlineStr">
        <x:is>
          <x:t xml:space="preserve">专用设备</x:t>
        </x:is>
      </x:c>
      <x:c r="I337" s="4" t="inlineStr">
        <x:is>
          <x:t xml:space="preserve">2019-02-22</x:t>
        </x:is>
      </x:c>
      <x:c r="J337" s="5" t="inlineStr">
        <x:is>
          <x:t xml:space="preserve">上海市嘉定区恒定路1号</x:t>
        </x:is>
      </x:c>
      <x:c r="K337" s="12" t="str">
        <x:f>LEFT("913100005791928139",18)</x:f>
        <x:v>913100005791928200</x:v>
      </x:c>
    </x:row>
    <x:row r="338">
      <x:c r="A338" s="2" t="n">
        <x:v>337</x:v>
      </x:c>
      <x:c r="B338" s="2" t="inlineStr">
        <x:is>
          <x:t xml:space="preserve">603960</x:t>
        </x:is>
      </x:c>
      <x:c r="C338" s="3" t="inlineStr">
        <x:is>
          <x:t xml:space="preserve">克来机电</x:t>
        </x:is>
      </x:c>
      <x:c r="D338" s="3" t="inlineStr">
        <x:is>
          <x:t xml:space="preserve">上海克来机电自动化工程股份有限公司</x:t>
        </x:is>
      </x:c>
      <x:c r="E338" s="2" t="inlineStr">
        <x:is>
          <x:t xml:space="preserve">上海市</x:t>
        </x:is>
      </x:c>
      <x:c r="F338" s="2" t="inlineStr">
        <x:is>
          <x:t xml:space="preserve">上海市</x:t>
        </x:is>
      </x:c>
      <x:c r="G338" s="3" t="inlineStr">
        <x:is>
          <x:t xml:space="preserve">上海市-上海市</x:t>
        </x:is>
      </x:c>
      <x:c r="H338" s="2" t="inlineStr">
        <x:is>
          <x:t xml:space="preserve">专用设备</x:t>
        </x:is>
      </x:c>
      <x:c r="I338" s="2" t="inlineStr">
        <x:is>
          <x:t xml:space="preserve">2017-03-14</x:t>
        </x:is>
      </x:c>
      <x:c r="J338" s="3" t="inlineStr">
        <x:is>
          <x:t xml:space="preserve">上海市宝山区罗东路1555号4幢</x:t>
        </x:is>
      </x:c>
      <x:c r="K338" s="12" t="str">
        <x:f>LEFT("913100007505799049",18)</x:f>
        <x:v>913100007505799000</x:v>
      </x:c>
    </x:row>
    <x:row r="339">
      <x:c r="A339" s="4" t="n">
        <x:v>338</x:v>
      </x:c>
      <x:c r="B339" s="4" t="inlineStr">
        <x:is>
          <x:t xml:space="preserve">603987</x:t>
        </x:is>
      </x:c>
      <x:c r="C339" s="5" t="inlineStr">
        <x:is>
          <x:t xml:space="preserve">康德莱</x:t>
        </x:is>
      </x:c>
      <x:c r="D339" s="5" t="inlineStr">
        <x:is>
          <x:t xml:space="preserve">上海康德莱企业发展集团股份有限公司</x:t>
        </x:is>
      </x:c>
      <x:c r="E339" s="4" t="inlineStr">
        <x:is>
          <x:t xml:space="preserve">上海市</x:t>
        </x:is>
      </x:c>
      <x:c r="F339" s="4" t="inlineStr">
        <x:is>
          <x:t xml:space="preserve">上海市</x:t>
        </x:is>
      </x:c>
      <x:c r="G339" s="5" t="inlineStr">
        <x:is>
          <x:t xml:space="preserve">上海市-上海市</x:t>
        </x:is>
      </x:c>
      <x:c r="H339" s="4" t="inlineStr">
        <x:is>
          <x:t xml:space="preserve">医疗器械</x:t>
        </x:is>
      </x:c>
      <x:c r="I339" s="4" t="inlineStr">
        <x:is>
          <x:t xml:space="preserve">2016-11-21</x:t>
        </x:is>
      </x:c>
      <x:c r="J339" s="5" t="inlineStr">
        <x:is>
          <x:t xml:space="preserve">上海市嘉定区高潮路658号1幢2楼</x:t>
        </x:is>
      </x:c>
      <x:c r="K339" s="12" t="str">
        <x:f>LEFT("91310000631191552K",18)</x:f>
        <x:v>91310000631191552K</x:v>
      </x:c>
    </x:row>
    <x:row r="340">
      <x:c r="A340" s="2" t="n">
        <x:v>339</x:v>
      </x:c>
      <x:c r="B340" s="2" t="inlineStr">
        <x:is>
          <x:t xml:space="preserve">605050</x:t>
        </x:is>
      </x:c>
      <x:c r="C340" s="3" t="inlineStr">
        <x:is>
          <x:t xml:space="preserve">福然德</x:t>
        </x:is>
      </x:c>
      <x:c r="D340" s="3" t="inlineStr">
        <x:is>
          <x:t xml:space="preserve">福然德股份有限公司</x:t>
        </x:is>
      </x:c>
      <x:c r="E340" s="2" t="inlineStr">
        <x:is>
          <x:t xml:space="preserve">上海市</x:t>
        </x:is>
      </x:c>
      <x:c r="F340" s="2" t="inlineStr">
        <x:is>
          <x:t xml:space="preserve">上海市</x:t>
        </x:is>
      </x:c>
      <x:c r="G340" s="3" t="inlineStr">
        <x:is>
          <x:t xml:space="preserve">上海市-上海市</x:t>
        </x:is>
      </x:c>
      <x:c r="H340" s="2" t="inlineStr">
        <x:is>
          <x:t xml:space="preserve">交运物流</x:t>
        </x:is>
      </x:c>
      <x:c r="I340" s="2" t="inlineStr">
        <x:is>
          <x:t xml:space="preserve">2020-09-24</x:t>
        </x:is>
      </x:c>
      <x:c r="J340" s="3" t="inlineStr">
        <x:is>
          <x:t xml:space="preserve">上海市宝山区潘泾路3759号(宝山工业园区)</x:t>
        </x:is>
      </x:c>
      <x:c r="K340" s="12" t="str">
        <x:f>LEFT("91310113764726143G",18)</x:f>
        <x:v>91310113764726143G</x:v>
      </x:c>
    </x:row>
    <x:row r="341">
      <x:c r="A341" s="4" t="n">
        <x:v>340</x:v>
      </x:c>
      <x:c r="B341" s="4" t="inlineStr">
        <x:is>
          <x:t xml:space="preserve">605081</x:t>
        </x:is>
      </x:c>
      <x:c r="C341" s="5" t="inlineStr">
        <x:is>
          <x:t xml:space="preserve">*ST太和</x:t>
        </x:is>
      </x:c>
      <x:c r="D341" s="5" t="inlineStr">
        <x:is>
          <x:t xml:space="preserve">上海太和水科技发展股份有限公司</x:t>
        </x:is>
      </x:c>
      <x:c r="E341" s="4" t="inlineStr">
        <x:is>
          <x:t xml:space="preserve">上海市</x:t>
        </x:is>
      </x:c>
      <x:c r="F341" s="4" t="inlineStr">
        <x:is>
          <x:t xml:space="preserve">上海市</x:t>
        </x:is>
      </x:c>
      <x:c r="G341" s="5" t="inlineStr">
        <x:is>
          <x:t xml:space="preserve">上海市-上海市</x:t>
        </x:is>
      </x:c>
      <x:c r="H341" s="4" t="inlineStr">
        <x:is>
          <x:t xml:space="preserve">环保工程</x:t>
        </x:is>
      </x:c>
      <x:c r="I341" s="4" t="inlineStr">
        <x:is>
          <x:t xml:space="preserve">2021-02-09</x:t>
        </x:is>
      </x:c>
      <x:c r="J341" s="5" t="inlineStr">
        <x:is>
          <x:t xml:space="preserve">上海市金山区枫泾镇曹黎路38弄19号1957室</x:t>
        </x:is>
      </x:c>
      <x:c r="K341" s="12" t="str">
        <x:f>LEFT("91310116566529966T",18)</x:f>
        <x:v>91310116566529966T</x:v>
      </x:c>
    </x:row>
    <x:row r="342">
      <x:c r="A342" s="2" t="n">
        <x:v>341</x:v>
      </x:c>
      <x:c r="B342" s="2" t="inlineStr">
        <x:is>
          <x:t xml:space="preserve">605098</x:t>
        </x:is>
      </x:c>
      <x:c r="C342" s="3" t="inlineStr">
        <x:is>
          <x:t xml:space="preserve">行动教育</x:t>
        </x:is>
      </x:c>
      <x:c r="D342" s="3" t="inlineStr">
        <x:is>
          <x:t xml:space="preserve">上海行动教育科技股份有限公司</x:t>
        </x:is>
      </x:c>
      <x:c r="E342" s="2" t="inlineStr">
        <x:is>
          <x:t xml:space="preserve">上海市</x:t>
        </x:is>
      </x:c>
      <x:c r="F342" s="2" t="inlineStr">
        <x:is>
          <x:t xml:space="preserve">上海市</x:t>
        </x:is>
      </x:c>
      <x:c r="G342" s="3" t="inlineStr">
        <x:is>
          <x:t xml:space="preserve">上海市-上海市</x:t>
        </x:is>
      </x:c>
      <x:c r="H342" s="2" t="inlineStr">
        <x:is>
          <x:t xml:space="preserve">文教休闲</x:t>
        </x:is>
      </x:c>
      <x:c r="I342" s="2" t="inlineStr">
        <x:is>
          <x:t xml:space="preserve">2021-04-21</x:t>
        </x:is>
      </x:c>
      <x:c r="J342" s="3" t="inlineStr">
        <x:is>
          <x:t xml:space="preserve">上海市闵行区兴虹路168弄3号201室B区</x:t>
        </x:is>
      </x:c>
      <x:c r="K342" s="12" t="str">
        <x:f>LEFT("91310000787230976G",18)</x:f>
        <x:v>91310000787230976G</x:v>
      </x:c>
    </x:row>
    <x:row r="343">
      <x:c r="A343" s="4" t="n">
        <x:v>342</x:v>
      </x:c>
      <x:c r="B343" s="4" t="inlineStr">
        <x:is>
          <x:t xml:space="preserve">605128</x:t>
        </x:is>
      </x:c>
      <x:c r="C343" s="5" t="inlineStr">
        <x:is>
          <x:t xml:space="preserve">上海沿浦</x:t>
        </x:is>
      </x:c>
      <x:c r="D343" s="5" t="inlineStr">
        <x:is>
          <x:t xml:space="preserve">上海沿浦精工科技(集团)股份有限公司</x:t>
        </x:is>
      </x:c>
      <x:c r="E343" s="4" t="inlineStr">
        <x:is>
          <x:t xml:space="preserve">上海市</x:t>
        </x:is>
      </x:c>
      <x:c r="F343" s="4" t="inlineStr">
        <x:is>
          <x:t xml:space="preserve">上海市</x:t>
        </x:is>
      </x:c>
      <x:c r="G343" s="5" t="inlineStr">
        <x:is>
          <x:t xml:space="preserve">上海市-上海市</x:t>
        </x:is>
      </x:c>
      <x:c r="H343" s="4" t="inlineStr">
        <x:is>
          <x:t xml:space="preserve">汽车行业</x:t>
        </x:is>
      </x:c>
      <x:c r="I343" s="4" t="inlineStr">
        <x:is>
          <x:t xml:space="preserve">2020-09-15</x:t>
        </x:is>
      </x:c>
      <x:c r="J343" s="5" t="inlineStr">
        <x:is>
          <x:t xml:space="preserve">上海市闵行区浦江镇江凯路128号</x:t>
        </x:is>
      </x:c>
      <x:c r="K343" s="12" t="str">
        <x:f>LEFT("91310000631455642X",18)</x:f>
        <x:v>91310000631455642X</x:v>
      </x:c>
    </x:row>
    <x:row r="344">
      <x:c r="A344" s="2" t="n">
        <x:v>343</x:v>
      </x:c>
      <x:c r="B344" s="2" t="inlineStr">
        <x:is>
          <x:t xml:space="preserve">605136</x:t>
        </x:is>
      </x:c>
      <x:c r="C344" s="3" t="inlineStr">
        <x:is>
          <x:t xml:space="preserve">丽人丽妆</x:t>
        </x:is>
      </x:c>
      <x:c r="D344" s="3" t="inlineStr">
        <x:is>
          <x:t xml:space="preserve">上海丽人丽妆化妆品股份有限公司</x:t>
        </x:is>
      </x:c>
      <x:c r="E344" s="2" t="inlineStr">
        <x:is>
          <x:t xml:space="preserve">上海市</x:t>
        </x:is>
      </x:c>
      <x:c r="F344" s="2" t="inlineStr">
        <x:is>
          <x:t xml:space="preserve">上海市</x:t>
        </x:is>
      </x:c>
      <x:c r="G344" s="3" t="inlineStr">
        <x:is>
          <x:t xml:space="preserve">上海市-上海市</x:t>
        </x:is>
      </x:c>
      <x:c r="H344" s="2" t="inlineStr">
        <x:is>
          <x:t xml:space="preserve">商业百货</x:t>
        </x:is>
      </x:c>
      <x:c r="I344" s="2" t="inlineStr">
        <x:is>
          <x:t xml:space="preserve">2020-09-29</x:t>
        </x:is>
      </x:c>
      <x:c r="J344" s="3" t="inlineStr">
        <x:is>
          <x:t xml:space="preserve">上海市松江区乐都西路825弄89、90号6层618室</x:t>
        </x:is>
      </x:c>
      <x:c r="K344" s="12" t="str">
        <x:f>LEFT("913101175559503333",18)</x:f>
        <x:v>913101175559503400</x:v>
      </x:c>
    </x:row>
    <x:row r="345">
      <x:c r="A345" s="4" t="n">
        <x:v>344</x:v>
      </x:c>
      <x:c r="B345" s="4" t="inlineStr">
        <x:is>
          <x:t xml:space="preserve">605151</x:t>
        </x:is>
      </x:c>
      <x:c r="C345" s="5" t="inlineStr">
        <x:is>
          <x:t xml:space="preserve">西上海</x:t>
        </x:is>
      </x:c>
      <x:c r="D345" s="5" t="inlineStr">
        <x:is>
          <x:t xml:space="preserve">西上海汽车服务股份有限公司</x:t>
        </x:is>
      </x:c>
      <x:c r="E345" s="4" t="inlineStr">
        <x:is>
          <x:t xml:space="preserve">上海市</x:t>
        </x:is>
      </x:c>
      <x:c r="F345" s="4" t="inlineStr">
        <x:is>
          <x:t xml:space="preserve">上海市</x:t>
        </x:is>
      </x:c>
      <x:c r="G345" s="5" t="inlineStr">
        <x:is>
          <x:t xml:space="preserve">上海市-上海市</x:t>
        </x:is>
      </x:c>
      <x:c r="H345" s="4" t="inlineStr">
        <x:is>
          <x:t xml:space="preserve">汽车零部件</x:t>
        </x:is>
      </x:c>
      <x:c r="I345" s="4" t="inlineStr">
        <x:is>
          <x:t xml:space="preserve">2020-12-15</x:t>
        </x:is>
      </x:c>
      <x:c r="J345" s="5" t="inlineStr">
        <x:is>
          <x:t xml:space="preserve">上海市嘉定区恒裕路517号</x:t>
        </x:is>
      </x:c>
      <x:c r="K345" s="12" t="str">
        <x:f>LEFT("91310000741167473L",18)</x:f>
        <x:v>91310000741167473L</x:v>
      </x:c>
    </x:row>
    <x:row r="346">
      <x:c r="A346" s="2" t="n">
        <x:v>345</x:v>
      </x:c>
      <x:c r="B346" s="2" t="inlineStr">
        <x:is>
          <x:t xml:space="preserve">605186</x:t>
        </x:is>
      </x:c>
      <x:c r="C346" s="3" t="inlineStr">
        <x:is>
          <x:t xml:space="preserve">健麾信息</x:t>
        </x:is>
      </x:c>
      <x:c r="D346" s="3" t="inlineStr">
        <x:is>
          <x:t xml:space="preserve">上海健麾信息技术股份有限公司</x:t>
        </x:is>
      </x:c>
      <x:c r="E346" s="2" t="inlineStr">
        <x:is>
          <x:t xml:space="preserve">上海市</x:t>
        </x:is>
      </x:c>
      <x:c r="F346" s="2" t="inlineStr">
        <x:is>
          <x:t xml:space="preserve">上海市</x:t>
        </x:is>
      </x:c>
      <x:c r="G346" s="3" t="inlineStr">
        <x:is>
          <x:t xml:space="preserve">上海市-上海市</x:t>
        </x:is>
      </x:c>
      <x:c r="H346" s="2" t="inlineStr">
        <x:is>
          <x:t xml:space="preserve">医疗行业</x:t>
        </x:is>
      </x:c>
      <x:c r="I346" s="2" t="inlineStr">
        <x:is>
          <x:t xml:space="preserve">2020-12-22</x:t>
        </x:is>
      </x:c>
      <x:c r="J346" s="3" t="inlineStr">
        <x:is>
          <x:t xml:space="preserve">上海市松江区中辰路299号1幢104室</x:t>
        </x:is>
      </x:c>
      <x:c r="K346" s="12" t="str">
        <x:f>LEFT("913101203986677289",18)</x:f>
        <x:v>913101203986677200</x:v>
      </x:c>
    </x:row>
    <x:row r="347">
      <x:c r="A347" s="4" t="n">
        <x:v>346</x:v>
      </x:c>
      <x:c r="B347" s="4" t="inlineStr">
        <x:is>
          <x:t xml:space="preserve">605208</x:t>
        </x:is>
      </x:c>
      <x:c r="C347" s="5" t="inlineStr">
        <x:is>
          <x:t xml:space="preserve">永茂泰</x:t>
        </x:is>
      </x:c>
      <x:c r="D347" s="5" t="inlineStr">
        <x:is>
          <x:t xml:space="preserve">上海永茂泰汽车科技股份有限公司</x:t>
        </x:is>
      </x:c>
      <x:c r="E347" s="4" t="inlineStr">
        <x:is>
          <x:t xml:space="preserve">上海市</x:t>
        </x:is>
      </x:c>
      <x:c r="F347" s="4" t="inlineStr">
        <x:is>
          <x:t xml:space="preserve">上海市</x:t>
        </x:is>
      </x:c>
      <x:c r="G347" s="5" t="inlineStr">
        <x:is>
          <x:t xml:space="preserve">上海市-上海市</x:t>
        </x:is>
      </x:c>
      <x:c r="H347" s="4" t="inlineStr">
        <x:is>
          <x:t xml:space="preserve">汽车行业</x:t>
        </x:is>
      </x:c>
      <x:c r="I347" s="4" t="inlineStr">
        <x:is>
          <x:t xml:space="preserve">2021-03-08</x:t>
        </x:is>
      </x:c>
      <x:c r="J347" s="5" t="inlineStr">
        <x:is>
          <x:t xml:space="preserve">上海市青浦区练塘镇章练塘路577号</x:t>
        </x:is>
      </x:c>
      <x:c r="K347" s="12" t="str">
        <x:f>LEFT("91310118742121602R",18)</x:f>
        <x:v>91310118742121602R</x:v>
      </x:c>
    </x:row>
    <x:row r="348">
      <x:c r="A348" s="2" t="n">
        <x:v>347</x:v>
      </x:c>
      <x:c r="B348" s="2" t="inlineStr">
        <x:is>
          <x:t xml:space="preserve">605222</x:t>
        </x:is>
      </x:c>
      <x:c r="C348" s="3" t="inlineStr">
        <x:is>
          <x:t xml:space="preserve">起帆电缆</x:t>
        </x:is>
      </x:c>
      <x:c r="D348" s="3" t="inlineStr">
        <x:is>
          <x:t xml:space="preserve">上海起帆电缆股份有限公司</x:t>
        </x:is>
      </x:c>
      <x:c r="E348" s="2" t="inlineStr">
        <x:is>
          <x:t xml:space="preserve">上海市</x:t>
        </x:is>
      </x:c>
      <x:c r="F348" s="2" t="inlineStr">
        <x:is>
          <x:t xml:space="preserve">上海市</x:t>
        </x:is>
      </x:c>
      <x:c r="G348" s="3" t="inlineStr">
        <x:is>
          <x:t xml:space="preserve">上海市-上海市</x:t>
        </x:is>
      </x:c>
      <x:c r="H348" s="2" t="inlineStr">
        <x:is>
          <x:t xml:space="preserve">输配电气</x:t>
        </x:is>
      </x:c>
      <x:c r="I348" s="2" t="inlineStr">
        <x:is>
          <x:t xml:space="preserve">2020-07-31</x:t>
        </x:is>
      </x:c>
      <x:c r="J348" s="3" t="inlineStr">
        <x:is>
          <x:t xml:space="preserve">上海市金山区张堰镇振康路238号</x:t>
        </x:is>
      </x:c>
      <x:c r="K348" s="12" t="str">
        <x:f>LEFT("913101166078754287",18)</x:f>
        <x:v>913101166078754300</x:v>
      </x:c>
    </x:row>
    <x:row r="349">
      <x:c r="A349" s="4" t="n">
        <x:v>348</x:v>
      </x:c>
      <x:c r="B349" s="4" t="inlineStr">
        <x:is>
          <x:t xml:space="preserve">605289</x:t>
        </x:is>
      </x:c>
      <x:c r="C349" s="5" t="inlineStr">
        <x:is>
          <x:t xml:space="preserve">罗曼股份</x:t>
        </x:is>
      </x:c>
      <x:c r="D349" s="5" t="inlineStr">
        <x:is>
          <x:t xml:space="preserve">上海罗曼科技股份有限公司</x:t>
        </x:is>
      </x:c>
      <x:c r="E349" s="4" t="inlineStr">
        <x:is>
          <x:t xml:space="preserve">上海市</x:t>
        </x:is>
      </x:c>
      <x:c r="F349" s="4" t="inlineStr">
        <x:is>
          <x:t xml:space="preserve">上海市</x:t>
        </x:is>
      </x:c>
      <x:c r="G349" s="5" t="inlineStr">
        <x:is>
          <x:t xml:space="preserve">上海市-上海市</x:t>
        </x:is>
      </x:c>
      <x:c r="H349" s="4" t="inlineStr">
        <x:is>
          <x:t xml:space="preserve">装修装饰</x:t>
        </x:is>
      </x:c>
      <x:c r="I349" s="4" t="inlineStr">
        <x:is>
          <x:t xml:space="preserve">2021-04-26</x:t>
        </x:is>
      </x:c>
      <x:c r="J349" s="5" t="inlineStr">
        <x:is>
          <x:t xml:space="preserve">上海市杨浦区杨树浦路1196号5层</x:t>
        </x:is>
      </x:c>
      <x:c r="K349" s="12" t="str">
        <x:f>LEFT("913100006314149553",18)</x:f>
        <x:v>913100006314149500</x:v>
      </x:c>
    </x:row>
    <x:row r="350">
      <x:c r="A350" s="2" t="n">
        <x:v>349</x:v>
      </x:c>
      <x:c r="B350" s="2" t="inlineStr">
        <x:is>
          <x:t xml:space="preserve">605338</x:t>
        </x:is>
      </x:c>
      <x:c r="C350" s="3" t="inlineStr">
        <x:is>
          <x:t xml:space="preserve">巴比食品</x:t>
        </x:is>
      </x:c>
      <x:c r="D350" s="3" t="inlineStr">
        <x:is>
          <x:t xml:space="preserve">中饮巴比食品股份有限公司</x:t>
        </x:is>
      </x:c>
      <x:c r="E350" s="2" t="inlineStr">
        <x:is>
          <x:t xml:space="preserve">上海市</x:t>
        </x:is>
      </x:c>
      <x:c r="F350" s="2" t="inlineStr">
        <x:is>
          <x:t xml:space="preserve">上海市</x:t>
        </x:is>
      </x:c>
      <x:c r="G350" s="3" t="inlineStr">
        <x:is>
          <x:t xml:space="preserve">上海市-上海市</x:t>
        </x:is>
      </x:c>
      <x:c r="H350" s="2" t="inlineStr">
        <x:is>
          <x:t xml:space="preserve">食品饮料</x:t>
        </x:is>
      </x:c>
      <x:c r="I350" s="2" t="inlineStr">
        <x:is>
          <x:t xml:space="preserve">2020-10-12</x:t>
        </x:is>
      </x:c>
      <x:c r="J350" s="3" t="inlineStr">
        <x:is>
          <x:t xml:space="preserve">上海市松江区车墩镇茸江路785号</x:t>
        </x:is>
      </x:c>
      <x:c r="K350" s="12" t="str">
        <x:f>LEFT("91310000558762442G",18)</x:f>
        <x:v>91310000558762442G</x:v>
      </x:c>
    </x:row>
    <x:row r="351">
      <x:c r="A351" s="4" t="n">
        <x:v>350</x:v>
      </x:c>
      <x:c r="B351" s="4" t="inlineStr">
        <x:is>
          <x:t xml:space="preserve">605339</x:t>
        </x:is>
      </x:c>
      <x:c r="C351" s="5" t="inlineStr">
        <x:is>
          <x:t xml:space="preserve">南侨食品</x:t>
        </x:is>
      </x:c>
      <x:c r="D351" s="5" t="inlineStr">
        <x:is>
          <x:t xml:space="preserve">南侨食品集团(上海)股份有限公司</x:t>
        </x:is>
      </x:c>
      <x:c r="E351" s="4" t="inlineStr">
        <x:is>
          <x:t xml:space="preserve">上海市</x:t>
        </x:is>
      </x:c>
      <x:c r="F351" s="4" t="inlineStr">
        <x:is>
          <x:t xml:space="preserve">上海市</x:t>
        </x:is>
      </x:c>
      <x:c r="G351" s="5" t="inlineStr">
        <x:is>
          <x:t xml:space="preserve">上海市-上海市</x:t>
        </x:is>
      </x:c>
      <x:c r="H351" s="4" t="inlineStr">
        <x:is>
          <x:t xml:space="preserve">食品饮料</x:t>
        </x:is>
      </x:c>
      <x:c r="I351" s="4" t="inlineStr">
        <x:is>
          <x:t xml:space="preserve">2021-05-18</x:t>
        </x:is>
      </x:c>
      <x:c r="J351" s="5" t="inlineStr">
        <x:is>
          <x:t xml:space="preserve">上海市徐汇区宜山路1397号A栋12层</x:t>
        </x:is>
      </x:c>
      <x:c r="K351" s="12" t="str">
        <x:f>LEFT("91310000558792983B",18)</x:f>
        <x:v>91310000558792983B</x:v>
      </x:c>
    </x:row>
    <x:row r="352">
      <x:c r="A352" s="2" t="n">
        <x:v>351</x:v>
      </x:c>
      <x:c r="B352" s="2" t="inlineStr">
        <x:is>
          <x:t xml:space="preserve">605398</x:t>
        </x:is>
      </x:c>
      <x:c r="C352" s="3" t="inlineStr">
        <x:is>
          <x:t xml:space="preserve">新炬网络</x:t>
        </x:is>
      </x:c>
      <x:c r="D352" s="3" t="inlineStr">
        <x:is>
          <x:t xml:space="preserve">上海新炬网络信息技术股份有限公司</x:t>
        </x:is>
      </x:c>
      <x:c r="E352" s="2" t="inlineStr">
        <x:is>
          <x:t xml:space="preserve">上海市</x:t>
        </x:is>
      </x:c>
      <x:c r="F352" s="2" t="inlineStr">
        <x:is>
          <x:t xml:space="preserve">上海市</x:t>
        </x:is>
      </x:c>
      <x:c r="G352" s="3" t="inlineStr">
        <x:is>
          <x:t xml:space="preserve">上海市-上海市</x:t>
        </x:is>
      </x:c>
      <x:c r="H352" s="2" t="inlineStr">
        <x:is>
          <x:t xml:space="preserve">互联网服务</x:t>
        </x:is>
      </x:c>
      <x:c r="I352" s="2" t="inlineStr">
        <x:is>
          <x:t xml:space="preserve">2021-01-21</x:t>
        </x:is>
      </x:c>
      <x:c r="J352" s="3" t="inlineStr">
        <x:is>
          <x:t xml:space="preserve">上海市青浦区外青松公路7548弄588号1幢1层R区113室</x:t>
        </x:is>
      </x:c>
      <x:c r="K352" s="12" t="str">
        <x:f>LEFT("91310118320863016N",18)</x:f>
        <x:v>91310118320863016N</x:v>
      </x:c>
    </x:row>
    <x:row r="353">
      <x:c r="A353" s="4" t="n">
        <x:v>352</x:v>
      </x:c>
      <x:c r="B353" s="4" t="inlineStr">
        <x:is>
          <x:t xml:space="preserve">605598</x:t>
        </x:is>
      </x:c>
      <x:c r="C353" s="5" t="inlineStr">
        <x:is>
          <x:t xml:space="preserve">上海港湾</x:t>
        </x:is>
      </x:c>
      <x:c r="D353" s="5" t="inlineStr">
        <x:is>
          <x:t xml:space="preserve">上海港湾基础建设(集团)股份有限公司</x:t>
        </x:is>
      </x:c>
      <x:c r="E353" s="4" t="inlineStr">
        <x:is>
          <x:t xml:space="preserve">上海市</x:t>
        </x:is>
      </x:c>
      <x:c r="F353" s="4" t="inlineStr">
        <x:is>
          <x:t xml:space="preserve">上海市</x:t>
        </x:is>
      </x:c>
      <x:c r="G353" s="5" t="inlineStr">
        <x:is>
          <x:t xml:space="preserve">上海市-上海市</x:t>
        </x:is>
      </x:c>
      <x:c r="H353" s="4" t="inlineStr">
        <x:is>
          <x:t xml:space="preserve">工程建设</x:t>
        </x:is>
      </x:c>
      <x:c r="I353" s="4" t="inlineStr">
        <x:is>
          <x:t xml:space="preserve">2021-09-17</x:t>
        </x:is>
      </x:c>
      <x:c r="J353" s="5" t="inlineStr">
        <x:is>
          <x:t xml:space="preserve">上海市金山区漕泾镇亭卫公路3316号1幢二层207室</x:t>
        </x:is>
      </x:c>
      <x:c r="K353" s="12" t="str">
        <x:f>LEFT("913100006315532693",18)</x:f>
        <x:v>913100006315532700</x:v>
      </x:c>
    </x:row>
    <x:row r="354">
      <x:c r="A354" s="2" t="n">
        <x:v>353</x:v>
      </x:c>
      <x:c r="B354" s="2" t="inlineStr">
        <x:is>
          <x:t xml:space="preserve">688008</x:t>
        </x:is>
      </x:c>
      <x:c r="C354" s="3" t="inlineStr">
        <x:is>
          <x:t xml:space="preserve">澜起科技</x:t>
        </x:is>
      </x:c>
      <x:c r="D354" s="3" t="inlineStr">
        <x:is>
          <x:t xml:space="preserve">澜起科技股份有限公司</x:t>
        </x:is>
      </x:c>
      <x:c r="E354" s="2" t="inlineStr">
        <x:is>
          <x:t xml:space="preserve">上海市</x:t>
        </x:is>
      </x:c>
      <x:c r="F354" s="2" t="inlineStr">
        <x:is>
          <x:t xml:space="preserve">上海市</x:t>
        </x:is>
      </x:c>
      <x:c r="G354" s="3" t="inlineStr">
        <x:is>
          <x:t xml:space="preserve">上海市-上海市</x:t>
        </x:is>
      </x:c>
      <x:c r="H354" s="2" t="inlineStr">
        <x:is>
          <x:t xml:space="preserve">半导体</x:t>
        </x:is>
      </x:c>
      <x:c r="I354" s="2" t="inlineStr">
        <x:is>
          <x:t xml:space="preserve">2019-07-22</x:t>
        </x:is>
      </x:c>
      <x:c r="J354" s="3" t="inlineStr">
        <x:is>
          <x:t xml:space="preserve">中国上海市徐汇区漕宝路181号1幢15层</x:t>
        </x:is>
      </x:c>
      <x:c r="K354" s="12" t="str">
        <x:f>LEFT("913100007626333657",18)</x:f>
        <x:v>913100007626333700</x:v>
      </x:c>
    </x:row>
    <x:row r="355">
      <x:c r="A355" s="4" t="n">
        <x:v>354</x:v>
      </x:c>
      <x:c r="B355" s="4" t="inlineStr">
        <x:is>
          <x:t xml:space="preserve">688012</x:t>
        </x:is>
      </x:c>
      <x:c r="C355" s="5" t="inlineStr">
        <x:is>
          <x:t xml:space="preserve">中微公司</x:t>
        </x:is>
      </x:c>
      <x:c r="D355" s="5" t="inlineStr">
        <x:is>
          <x:t xml:space="preserve">中微半导体设备(上海)股份有限公司</x:t>
        </x:is>
      </x:c>
      <x:c r="E355" s="4" t="inlineStr">
        <x:is>
          <x:t xml:space="preserve">上海市</x:t>
        </x:is>
      </x:c>
      <x:c r="F355" s="4" t="inlineStr">
        <x:is>
          <x:t xml:space="preserve">上海市</x:t>
        </x:is>
      </x:c>
      <x:c r="G355" s="5" t="inlineStr">
        <x:is>
          <x:t xml:space="preserve">上海市-上海市</x:t>
        </x:is>
      </x:c>
      <x:c r="H355" s="4" t="inlineStr">
        <x:is>
          <x:t xml:space="preserve">半导体</x:t>
        </x:is>
      </x:c>
      <x:c r="I355" s="4" t="inlineStr">
        <x:is>
          <x:t xml:space="preserve">2019-07-22</x:t>
        </x:is>
      </x:c>
      <x:c r="J355" s="5" t="inlineStr">
        <x:is>
          <x:t xml:space="preserve">上海市浦东新区金桥出口加工区(南区)泰华路188号</x:t>
        </x:is>
      </x:c>
      <x:c r="K355" s="12" t="str">
        <x:f>LEFT("913101157626272806",18)</x:f>
        <x:v>913101157626272800</x:v>
      </x:c>
    </x:row>
    <x:row r="356">
      <x:c r="A356" s="2" t="n">
        <x:v>355</x:v>
      </x:c>
      <x:c r="B356" s="2" t="inlineStr">
        <x:is>
          <x:t xml:space="preserve">688016</x:t>
        </x:is>
      </x:c>
      <x:c r="C356" s="3" t="inlineStr">
        <x:is>
          <x:t xml:space="preserve">心脉医疗</x:t>
        </x:is>
      </x:c>
      <x:c r="D356" s="3" t="inlineStr">
        <x:is>
          <x:t xml:space="preserve">上海微创心脉医疗科技(集团)股份有限公司</x:t>
        </x:is>
      </x:c>
      <x:c r="E356" s="2" t="inlineStr">
        <x:is>
          <x:t xml:space="preserve">上海市</x:t>
        </x:is>
      </x:c>
      <x:c r="F356" s="2" t="inlineStr">
        <x:is>
          <x:t xml:space="preserve">上海市</x:t>
        </x:is>
      </x:c>
      <x:c r="G356" s="3" t="inlineStr">
        <x:is>
          <x:t xml:space="preserve">上海市-上海市</x:t>
        </x:is>
      </x:c>
      <x:c r="H356" s="2" t="inlineStr">
        <x:is>
          <x:t xml:space="preserve">医疗器械</x:t>
        </x:is>
      </x:c>
      <x:c r="I356" s="2" t="inlineStr">
        <x:is>
          <x:t xml:space="preserve">2019-07-22</x:t>
        </x:is>
      </x:c>
      <x:c r="J356" s="3" t="inlineStr">
        <x:is>
          <x:t xml:space="preserve">上海市浦东新区康新公路3399弄1号</x:t>
        </x:is>
      </x:c>
      <x:c r="K356" s="12" t="str">
        <x:f>LEFT("913101150512565326",18)</x:f>
        <x:v>913101150512565400</x:v>
      </x:c>
    </x:row>
    <x:row r="357">
      <x:c r="A357" s="4" t="n">
        <x:v>356</x:v>
      </x:c>
      <x:c r="B357" s="4" t="inlineStr">
        <x:is>
          <x:t xml:space="preserve">688018</x:t>
        </x:is>
      </x:c>
      <x:c r="C357" s="5" t="inlineStr">
        <x:is>
          <x:t xml:space="preserve">乐鑫科技</x:t>
        </x:is>
      </x:c>
      <x:c r="D357" s="5" t="inlineStr">
        <x:is>
          <x:t xml:space="preserve">乐鑫信息科技(上海)股份有限公司</x:t>
        </x:is>
      </x:c>
      <x:c r="E357" s="4" t="inlineStr">
        <x:is>
          <x:t xml:space="preserve">上海市</x:t>
        </x:is>
      </x:c>
      <x:c r="F357" s="4" t="inlineStr">
        <x:is>
          <x:t xml:space="preserve">上海市</x:t>
        </x:is>
      </x:c>
      <x:c r="G357" s="5" t="inlineStr">
        <x:is>
          <x:t xml:space="preserve">上海市-上海市</x:t>
        </x:is>
      </x:c>
      <x:c r="H357" s="4" t="inlineStr">
        <x:is>
          <x:t xml:space="preserve">半导体</x:t>
        </x:is>
      </x:c>
      <x:c r="I357" s="4" t="inlineStr">
        <x:is>
          <x:t xml:space="preserve">2019-07-22</x:t>
        </x:is>
      </x:c>
      <x:c r="J357" s="5" t="inlineStr">
        <x:is>
          <x:t xml:space="preserve">上海市浦东新区御北路235弄3号楼1-7层</x:t>
        </x:is>
      </x:c>
      <x:c r="K357" s="12" t="str">
        <x:f>LEFT("913101156745626329",18)</x:f>
        <x:v>913101156745626400</x:v>
      </x:c>
    </x:row>
    <x:row r="358">
      <x:c r="A358" s="2" t="n">
        <x:v>357</x:v>
      </x:c>
      <x:c r="B358" s="2" t="inlineStr">
        <x:is>
          <x:t xml:space="preserve">688019</x:t>
        </x:is>
      </x:c>
      <x:c r="C358" s="3" t="inlineStr">
        <x:is>
          <x:t xml:space="preserve">安集科技</x:t>
        </x:is>
      </x:c>
      <x:c r="D358" s="3" t="inlineStr">
        <x:is>
          <x:t xml:space="preserve">安集微电子科技(上海)股份有限公司</x:t>
        </x:is>
      </x:c>
      <x:c r="E358" s="2" t="inlineStr">
        <x:is>
          <x:t xml:space="preserve">上海市</x:t>
        </x:is>
      </x:c>
      <x:c r="F358" s="2" t="inlineStr">
        <x:is>
          <x:t xml:space="preserve">上海市</x:t>
        </x:is>
      </x:c>
      <x:c r="G358" s="3" t="inlineStr">
        <x:is>
          <x:t xml:space="preserve">上海市-上海市</x:t>
        </x:is>
      </x:c>
      <x:c r="H358" s="2" t="inlineStr">
        <x:is>
          <x:t xml:space="preserve">电子化学品</x:t>
        </x:is>
      </x:c>
      <x:c r="I358" s="2" t="inlineStr">
        <x:is>
          <x:t xml:space="preserve">2019-07-22</x:t>
        </x:is>
      </x:c>
      <x:c r="J358" s="3" t="inlineStr">
        <x:is>
          <x:t xml:space="preserve">上海市浦东新区华东路5001号金桥出口加工区(南区)T6-9幢底层</x:t>
        </x:is>
      </x:c>
      <x:c r="K358" s="12" t="str">
        <x:f>LEFT("913101157847827839",18)</x:f>
        <x:v>913101157847827800</x:v>
      </x:c>
    </x:row>
    <x:row r="359">
      <x:c r="A359" s="4" t="n">
        <x:v>358</x:v>
      </x:c>
      <x:c r="B359" s="4" t="inlineStr">
        <x:is>
          <x:t xml:space="preserve">688031</x:t>
        </x:is>
      </x:c>
      <x:c r="C359" s="5" t="inlineStr">
        <x:is>
          <x:t xml:space="preserve">星环科技</x:t>
        </x:is>
      </x:c>
      <x:c r="D359" s="5" t="inlineStr">
        <x:is>
          <x:t xml:space="preserve">星环信息科技(上海)股份有限公司</x:t>
        </x:is>
      </x:c>
      <x:c r="E359" s="4" t="inlineStr">
        <x:is>
          <x:t xml:space="preserve">上海市</x:t>
        </x:is>
      </x:c>
      <x:c r="F359" s="4" t="inlineStr">
        <x:is>
          <x:t xml:space="preserve">上海市</x:t>
        </x:is>
      </x:c>
      <x:c r="G359" s="5" t="inlineStr">
        <x:is>
          <x:t xml:space="preserve">上海市-上海市</x:t>
        </x:is>
      </x:c>
      <x:c r="H359" s="4" t="inlineStr">
        <x:is>
          <x:t xml:space="preserve">软件开发</x:t>
        </x:is>
      </x:c>
      <x:c r="I359" s="4" t="inlineStr">
        <x:is>
          <x:t xml:space="preserve">2022-10-18</x:t>
        </x:is>
      </x:c>
      <x:c r="J359" s="5" t="inlineStr">
        <x:is>
          <x:t xml:space="preserve">上海市徐汇区虹漕路88号3楼、B栋11楼</x:t>
        </x:is>
      </x:c>
      <x:c r="K359" s="12" t="str">
        <x:f>LEFT("913101040693974723",18)</x:f>
        <x:v>913101040693974800</x:v>
      </x:c>
    </x:row>
    <x:row r="360">
      <x:c r="A360" s="2" t="n">
        <x:v>359</x:v>
      </x:c>
      <x:c r="B360" s="2" t="inlineStr">
        <x:is>
          <x:t xml:space="preserve">688061</x:t>
        </x:is>
      </x:c>
      <x:c r="C360" s="3" t="inlineStr">
        <x:is>
          <x:t xml:space="preserve">灿瑞科技</x:t>
        </x:is>
      </x:c>
      <x:c r="D360" s="3" t="inlineStr">
        <x:is>
          <x:t xml:space="preserve">上海灿瑞科技股份有限公司</x:t>
        </x:is>
      </x:c>
      <x:c r="E360" s="2" t="inlineStr">
        <x:is>
          <x:t xml:space="preserve">上海市</x:t>
        </x:is>
      </x:c>
      <x:c r="F360" s="2" t="inlineStr">
        <x:is>
          <x:t xml:space="preserve">上海市</x:t>
        </x:is>
      </x:c>
      <x:c r="G360" s="3" t="inlineStr">
        <x:is>
          <x:t xml:space="preserve">上海市-上海市</x:t>
        </x:is>
      </x:c>
      <x:c r="H360" s="2" t="inlineStr">
        <x:is>
          <x:t xml:space="preserve">半导体</x:t>
        </x:is>
      </x:c>
      <x:c r="I360" s="2" t="inlineStr">
        <x:is>
          <x:t xml:space="preserve">2022-10-18</x:t>
        </x:is>
      </x:c>
      <x:c r="J360" s="3" t="inlineStr">
        <x:is>
          <x:t xml:space="preserve">上海市延长路149号科技楼308室</x:t>
        </x:is>
      </x:c>
      <x:c r="K360" s="12" t="str">
        <x:f>LEFT("913100007757838991",18)</x:f>
        <x:v>913100007757839000</x:v>
      </x:c>
    </x:row>
    <x:row r="361">
      <x:c r="A361" s="4" t="n">
        <x:v>360</x:v>
      </x:c>
      <x:c r="B361" s="4" t="inlineStr">
        <x:is>
          <x:t xml:space="preserve">688062</x:t>
        </x:is>
      </x:c>
      <x:c r="C361" s="5" t="inlineStr">
        <x:is>
          <x:t xml:space="preserve">迈威生物</x:t>
        </x:is>
      </x:c>
      <x:c r="D361" s="5" t="inlineStr">
        <x:is>
          <x:t xml:space="preserve">迈威(上海)生物科技股份有限公司</x:t>
        </x:is>
      </x:c>
      <x:c r="E361" s="4" t="inlineStr">
        <x:is>
          <x:t xml:space="preserve">上海市</x:t>
        </x:is>
      </x:c>
      <x:c r="F361" s="4" t="inlineStr">
        <x:is>
          <x:t xml:space="preserve">上海市</x:t>
        </x:is>
      </x:c>
      <x:c r="G361" s="5" t="inlineStr">
        <x:is>
          <x:t xml:space="preserve">上海市-上海市</x:t>
        </x:is>
      </x:c>
      <x:c r="H361" s="4" t="inlineStr">
        <x:is>
          <x:t xml:space="preserve">生物制品</x:t>
        </x:is>
      </x:c>
      <x:c r="I361" s="4" t="inlineStr">
        <x:is>
          <x:t xml:space="preserve">2022-01-18</x:t>
        </x:is>
      </x:c>
      <x:c r="J361" s="5" t="inlineStr">
        <x:is>
          <x:t xml:space="preserve">中国上海市中国(上海)自由贸易试验区蔡伦路230号2幢105室</x:t>
        </x:is>
      </x:c>
      <x:c r="K361" s="12" t="str">
        <x:f>LEFT("91310115MA1K3Q5R7K",18)</x:f>
        <x:v>91310115MA1K3Q5R7K</x:v>
      </x:c>
    </x:row>
    <x:row r="362">
      <x:c r="A362" s="2" t="n">
        <x:v>361</x:v>
      </x:c>
      <x:c r="B362" s="2" t="inlineStr">
        <x:is>
          <x:t xml:space="preserve">688063</x:t>
        </x:is>
      </x:c>
      <x:c r="C362" s="3" t="inlineStr">
        <x:is>
          <x:t xml:space="preserve">派能科技</x:t>
        </x:is>
      </x:c>
      <x:c r="D362" s="3" t="inlineStr">
        <x:is>
          <x:t xml:space="preserve">上海派能能源科技股份有限公司</x:t>
        </x:is>
      </x:c>
      <x:c r="E362" s="2" t="inlineStr">
        <x:is>
          <x:t xml:space="preserve">上海市</x:t>
        </x:is>
      </x:c>
      <x:c r="F362" s="2" t="inlineStr">
        <x:is>
          <x:t xml:space="preserve">上海市</x:t>
        </x:is>
      </x:c>
      <x:c r="G362" s="3" t="inlineStr">
        <x:is>
          <x:t xml:space="preserve">上海市-上海市</x:t>
        </x:is>
      </x:c>
      <x:c r="H362" s="2" t="inlineStr">
        <x:is>
          <x:t xml:space="preserve">电池</x:t>
        </x:is>
      </x:c>
      <x:c r="I362" s="2" t="inlineStr">
        <x:is>
          <x:t xml:space="preserve">2020-12-30</x:t>
        </x:is>
      </x:c>
      <x:c r="J362" s="3" t="inlineStr">
        <x:is>
          <x:t xml:space="preserve">上海市浦东新区康桥镇苗桥路300号</x:t>
        </x:is>
      </x:c>
      <x:c r="K362" s="12" t="str">
        <x:f>LEFT("91310000695826254X",18)</x:f>
        <x:v>91310000695826254X</x:v>
      </x:c>
    </x:row>
    <x:row r="363">
      <x:c r="A363" s="4" t="n">
        <x:v>362</x:v>
      </x:c>
      <x:c r="B363" s="4" t="inlineStr">
        <x:is>
          <x:t xml:space="preserve">688065</x:t>
        </x:is>
      </x:c>
      <x:c r="C363" s="5" t="inlineStr">
        <x:is>
          <x:t xml:space="preserve">凯赛生物</x:t>
        </x:is>
      </x:c>
      <x:c r="D363" s="5" t="inlineStr">
        <x:is>
          <x:t xml:space="preserve">上海凯赛生物技术股份有限公司</x:t>
        </x:is>
      </x:c>
      <x:c r="E363" s="4" t="inlineStr">
        <x:is>
          <x:t xml:space="preserve">上海市</x:t>
        </x:is>
      </x:c>
      <x:c r="F363" s="4" t="inlineStr">
        <x:is>
          <x:t xml:space="preserve">上海市</x:t>
        </x:is>
      </x:c>
      <x:c r="G363" s="5" t="inlineStr">
        <x:is>
          <x:t xml:space="preserve">上海市-上海市</x:t>
        </x:is>
      </x:c>
      <x:c r="H363" s="4" t="inlineStr">
        <x:is>
          <x:t xml:space="preserve">化学制品</x:t>
        </x:is>
      </x:c>
      <x:c r="I363" s="4" t="inlineStr">
        <x:is>
          <x:t xml:space="preserve">2020-08-12</x:t>
        </x:is>
      </x:c>
      <x:c r="J363" s="5" t="inlineStr">
        <x:is>
          <x:t xml:space="preserve">中国(上海)自由贸易试验区蔡伦路1690号5幢4楼</x:t>
        </x:is>
      </x:c>
      <x:c r="K363" s="12" t="str">
        <x:f>LEFT("913100007030116706",18)</x:f>
        <x:v>913100007030116700</x:v>
      </x:c>
    </x:row>
    <x:row r="364">
      <x:c r="A364" s="2" t="n">
        <x:v>363</x:v>
      </x:c>
      <x:c r="B364" s="2" t="inlineStr">
        <x:is>
          <x:t xml:space="preserve">688071</x:t>
        </x:is>
      </x:c>
      <x:c r="C364" s="3" t="inlineStr">
        <x:is>
          <x:t xml:space="preserve">华依科技</x:t>
        </x:is>
      </x:c>
      <x:c r="D364" s="3" t="inlineStr">
        <x:is>
          <x:t xml:space="preserve">上海华依科技集团股份有限公司</x:t>
        </x:is>
      </x:c>
      <x:c r="E364" s="2" t="inlineStr">
        <x:is>
          <x:t xml:space="preserve">上海市</x:t>
        </x:is>
      </x:c>
      <x:c r="F364" s="2" t="inlineStr">
        <x:is>
          <x:t xml:space="preserve">上海市</x:t>
        </x:is>
      </x:c>
      <x:c r="G364" s="3" t="inlineStr">
        <x:is>
          <x:t xml:space="preserve">上海市-上海市</x:t>
        </x:is>
      </x:c>
      <x:c r="H364" s="2" t="inlineStr">
        <x:is>
          <x:t xml:space="preserve">汽车行业</x:t>
        </x:is>
      </x:c>
      <x:c r="I364" s="2" t="inlineStr">
        <x:is>
          <x:t xml:space="preserve">2021-07-29</x:t>
        </x:is>
      </x:c>
      <x:c r="J364" s="3" t="inlineStr">
        <x:is>
          <x:t xml:space="preserve">上海市浦东新区张东路1388号13幢101室</x:t>
        </x:is>
      </x:c>
      <x:c r="K364" s="12" t="str">
        <x:f>LEFT("91310000631238592E",18)</x:f>
        <x:v>91310000631238592E</x:v>
      </x:c>
    </x:row>
    <x:row r="365">
      <x:c r="A365" s="4" t="n">
        <x:v>364</x:v>
      </x:c>
      <x:c r="B365" s="4" t="inlineStr">
        <x:is>
          <x:t xml:space="preserve">688073</x:t>
        </x:is>
      </x:c>
      <x:c r="C365" s="5" t="inlineStr">
        <x:is>
          <x:t xml:space="preserve">毕得医药</x:t>
        </x:is>
      </x:c>
      <x:c r="D365" s="5" t="inlineStr">
        <x:is>
          <x:t xml:space="preserve">上海毕得医药科技股份有限公司</x:t>
        </x:is>
      </x:c>
      <x:c r="E365" s="4" t="inlineStr">
        <x:is>
          <x:t xml:space="preserve">上海市</x:t>
        </x:is>
      </x:c>
      <x:c r="F365" s="4" t="inlineStr">
        <x:is>
          <x:t xml:space="preserve">上海市</x:t>
        </x:is>
      </x:c>
      <x:c r="G365" s="5" t="inlineStr">
        <x:is>
          <x:t xml:space="preserve">上海市-上海市</x:t>
        </x:is>
      </x:c>
      <x:c r="H365" s="4" t="inlineStr">
        <x:is>
          <x:t xml:space="preserve">生物制品</x:t>
        </x:is>
      </x:c>
      <x:c r="I365" s="4" t="inlineStr">
        <x:is>
          <x:t xml:space="preserve">2022-10-11</x:t>
        </x:is>
      </x:c>
      <x:c r="J365" s="5" t="inlineStr">
        <x:is>
          <x:t xml:space="preserve">上海市杨浦区翔殷路128号11号楼A座101室</x:t>
        </x:is>
      </x:c>
      <x:c r="K365" s="12" t="str">
        <x:f>LEFT("91310110660715642B",18)</x:f>
        <x:v>91310110660715642B</x:v>
      </x:c>
    </x:row>
    <x:row r="366">
      <x:c r="A366" s="2" t="n">
        <x:v>365</x:v>
      </x:c>
      <x:c r="B366" s="2" t="inlineStr">
        <x:is>
          <x:t xml:space="preserve">688082</x:t>
        </x:is>
      </x:c>
      <x:c r="C366" s="3" t="inlineStr">
        <x:is>
          <x:t xml:space="preserve">盛美上海</x:t>
        </x:is>
      </x:c>
      <x:c r="D366" s="3" t="inlineStr">
        <x:is>
          <x:t xml:space="preserve">盛美半导体设备(上海)股份有限公司</x:t>
        </x:is>
      </x:c>
      <x:c r="E366" s="2" t="inlineStr">
        <x:is>
          <x:t xml:space="preserve">上海市</x:t>
        </x:is>
      </x:c>
      <x:c r="F366" s="2" t="inlineStr">
        <x:is>
          <x:t xml:space="preserve">上海市</x:t>
        </x:is>
      </x:c>
      <x:c r="G366" s="3" t="inlineStr">
        <x:is>
          <x:t xml:space="preserve">上海市-上海市</x:t>
        </x:is>
      </x:c>
      <x:c r="H366" s="2" t="inlineStr">
        <x:is>
          <x:t xml:space="preserve">半导体</x:t>
        </x:is>
      </x:c>
      <x:c r="I366" s="2" t="inlineStr">
        <x:is>
          <x:t xml:space="preserve">2021-11-18</x:t>
        </x:is>
      </x:c>
      <x:c r="J366" s="3" t="inlineStr">
        <x:is>
          <x:t xml:space="preserve">中国(上海)自由贸易试验区丹桂路999弄5、6、7、8号全幢</x:t>
        </x:is>
      </x:c>
      <x:c r="K366" s="12" t="str">
        <x:f>LEFT("91310000774331663A",18)</x:f>
        <x:v>91310000774331663A</x:v>
      </x:c>
    </x:row>
    <x:row r="367">
      <x:c r="A367" s="4" t="n">
        <x:v>366</x:v>
      </x:c>
      <x:c r="B367" s="4" t="inlineStr">
        <x:is>
          <x:t xml:space="preserve">688085</x:t>
        </x:is>
      </x:c>
      <x:c r="C367" s="5" t="inlineStr">
        <x:is>
          <x:t xml:space="preserve">三友医疗</x:t>
        </x:is>
      </x:c>
      <x:c r="D367" s="5" t="inlineStr">
        <x:is>
          <x:t xml:space="preserve">上海三友医疗器械股份有限公司</x:t>
        </x:is>
      </x:c>
      <x:c r="E367" s="4" t="inlineStr">
        <x:is>
          <x:t xml:space="preserve">上海市</x:t>
        </x:is>
      </x:c>
      <x:c r="F367" s="4" t="inlineStr">
        <x:is>
          <x:t xml:space="preserve">上海市</x:t>
        </x:is>
      </x:c>
      <x:c r="G367" s="5" t="inlineStr">
        <x:is>
          <x:t xml:space="preserve">上海市-上海市</x:t>
        </x:is>
      </x:c>
      <x:c r="H367" s="4" t="inlineStr">
        <x:is>
          <x:t xml:space="preserve">医疗器械</x:t>
        </x:is>
      </x:c>
      <x:c r="I367" s="4" t="inlineStr">
        <x:is>
          <x:t xml:space="preserve">2020-04-09</x:t>
        </x:is>
      </x:c>
      <x:c r="J367" s="5" t="inlineStr">
        <x:is>
          <x:t xml:space="preserve">上海市嘉定区嘉定工业区汇荣路385号</x:t>
        </x:is>
      </x:c>
      <x:c r="K367" s="12" t="str">
        <x:f>LEFT("913100007743059833",18)</x:f>
        <x:v>913100007743059800</x:v>
      </x:c>
    </x:row>
    <x:row r="368">
      <x:c r="A368" s="2" t="n">
        <x:v>367</x:v>
      </x:c>
      <x:c r="B368" s="2" t="inlineStr">
        <x:is>
          <x:t xml:space="preserve">688091</x:t>
        </x:is>
      </x:c>
      <x:c r="C368" s="3" t="inlineStr">
        <x:is>
          <x:t xml:space="preserve">上海谊众</x:t>
        </x:is>
      </x:c>
      <x:c r="D368" s="3" t="inlineStr">
        <x:is>
          <x:t xml:space="preserve">上海谊众药业股份有限公司</x:t>
        </x:is>
      </x:c>
      <x:c r="E368" s="2" t="inlineStr">
        <x:is>
          <x:t xml:space="preserve">上海市</x:t>
        </x:is>
      </x:c>
      <x:c r="F368" s="2" t="inlineStr">
        <x:is>
          <x:t xml:space="preserve">上海市</x:t>
        </x:is>
      </x:c>
      <x:c r="G368" s="3" t="inlineStr">
        <x:is>
          <x:t xml:space="preserve">上海市-上海市</x:t>
        </x:is>
      </x:c>
      <x:c r="H368" s="2" t="inlineStr">
        <x:is>
          <x:t xml:space="preserve">医药制造</x:t>
        </x:is>
      </x:c>
      <x:c r="I368" s="2" t="inlineStr">
        <x:is>
          <x:t xml:space="preserve">2021-09-09</x:t>
        </x:is>
      </x:c>
      <x:c r="J368" s="3" t="inlineStr">
        <x:is>
          <x:t xml:space="preserve">上海市奉贤区仁齐路79号</x:t>
        </x:is>
      </x:c>
      <x:c r="K368" s="12" t="str">
        <x:f>LEFT("91310120694192165H",18)</x:f>
        <x:v>91310120694192165H</x:v>
      </x:c>
    </x:row>
    <x:row r="369">
      <x:c r="A369" s="4" t="n">
        <x:v>368</x:v>
      </x:c>
      <x:c r="B369" s="4" t="inlineStr">
        <x:is>
          <x:t xml:space="preserve">688098</x:t>
        </x:is>
      </x:c>
      <x:c r="C369" s="5" t="inlineStr">
        <x:is>
          <x:t xml:space="preserve">申联生物</x:t>
        </x:is>
      </x:c>
      <x:c r="D369" s="5" t="inlineStr">
        <x:is>
          <x:t xml:space="preserve">申联生物医药(上海)股份有限公司</x:t>
        </x:is>
      </x:c>
      <x:c r="E369" s="4" t="inlineStr">
        <x:is>
          <x:t xml:space="preserve">上海市</x:t>
        </x:is>
      </x:c>
      <x:c r="F369" s="4" t="inlineStr">
        <x:is>
          <x:t xml:space="preserve">上海市</x:t>
        </x:is>
      </x:c>
      <x:c r="G369" s="5" t="inlineStr">
        <x:is>
          <x:t xml:space="preserve">上海市-上海市</x:t>
        </x:is>
      </x:c>
      <x:c r="H369" s="4" t="inlineStr">
        <x:is>
          <x:t xml:space="preserve">农药兽药</x:t>
        </x:is>
      </x:c>
      <x:c r="I369" s="4" t="inlineStr">
        <x:is>
          <x:t xml:space="preserve">2019-10-28</x:t>
        </x:is>
      </x:c>
      <x:c r="J369" s="5" t="inlineStr">
        <x:is>
          <x:t xml:space="preserve">上海市闵行区江川东路48号</x:t>
        </x:is>
      </x:c>
      <x:c r="K369" s="12" t="str">
        <x:f>LEFT("91310000703464848X",18)</x:f>
        <x:v>91310000703464848X</x:v>
      </x:c>
    </x:row>
    <x:row r="370">
      <x:c r="A370" s="2" t="n">
        <x:v>369</x:v>
      </x:c>
      <x:c r="B370" s="2" t="inlineStr">
        <x:is>
          <x:t xml:space="preserve">688099</x:t>
        </x:is>
      </x:c>
      <x:c r="C370" s="3" t="inlineStr">
        <x:is>
          <x:t xml:space="preserve">晶晨股份</x:t>
        </x:is>
      </x:c>
      <x:c r="D370" s="3" t="inlineStr">
        <x:is>
          <x:t xml:space="preserve">晶晨半导体(上海)股份有限公司</x:t>
        </x:is>
      </x:c>
      <x:c r="E370" s="2" t="inlineStr">
        <x:is>
          <x:t xml:space="preserve">上海市</x:t>
        </x:is>
      </x:c>
      <x:c r="F370" s="2" t="inlineStr">
        <x:is>
          <x:t xml:space="preserve">上海市</x:t>
        </x:is>
      </x:c>
      <x:c r="G370" s="3" t="inlineStr">
        <x:is>
          <x:t xml:space="preserve">上海市-上海市</x:t>
        </x:is>
      </x:c>
      <x:c r="H370" s="2" t="inlineStr">
        <x:is>
          <x:t xml:space="preserve">半导体</x:t>
        </x:is>
      </x:c>
      <x:c r="I370" s="2" t="inlineStr">
        <x:is>
          <x:t xml:space="preserve">2019-08-08</x:t>
        </x:is>
      </x:c>
      <x:c r="J370" s="3" t="inlineStr">
        <x:is>
          <x:t xml:space="preserve">中国(上海)自由贸易试验区春晓路350号南楼406室</x:t>
        </x:is>
      </x:c>
      <x:c r="K370" s="12" t="str">
        <x:f>LEFT("913100007518999777",18)</x:f>
        <x:v>913100007518999800</x:v>
      </x:c>
    </x:row>
    <x:row r="371">
      <x:c r="A371" s="4" t="n">
        <x:v>370</x:v>
      </x:c>
      <x:c r="B371" s="4" t="inlineStr">
        <x:is>
          <x:t xml:space="preserve">688107</x:t>
        </x:is>
      </x:c>
      <x:c r="C371" s="5" t="inlineStr">
        <x:is>
          <x:t xml:space="preserve">安路科技</x:t>
        </x:is>
      </x:c>
      <x:c r="D371" s="5" t="inlineStr">
        <x:is>
          <x:t xml:space="preserve">上海安路信息科技股份有限公司</x:t>
        </x:is>
      </x:c>
      <x:c r="E371" s="4" t="inlineStr">
        <x:is>
          <x:t xml:space="preserve">上海市</x:t>
        </x:is>
      </x:c>
      <x:c r="F371" s="4" t="inlineStr">
        <x:is>
          <x:t xml:space="preserve">上海市</x:t>
        </x:is>
      </x:c>
      <x:c r="G371" s="5" t="inlineStr">
        <x:is>
          <x:t xml:space="preserve">上海市-上海市</x:t>
        </x:is>
      </x:c>
      <x:c r="H371" s="4" t="inlineStr">
        <x:is>
          <x:t xml:space="preserve">半导体</x:t>
        </x:is>
      </x:c>
      <x:c r="I371" s="4" t="inlineStr">
        <x:is>
          <x:t xml:space="preserve">2021-11-12</x:t>
        </x:is>
      </x:c>
      <x:c r="J371" s="5" t="inlineStr">
        <x:is>
          <x:t xml:space="preserve">上海市虹口区纪念路500号5幢202室</x:t>
        </x:is>
      </x:c>
      <x:c r="K371" s="12" t="str">
        <x:f>LEFT("91310109585293872N",18)</x:f>
        <x:v>91310109585293872N</x:v>
      </x:c>
    </x:row>
    <x:row r="372">
      <x:c r="A372" s="2" t="n">
        <x:v>371</x:v>
      </x:c>
      <x:c r="B372" s="2" t="inlineStr">
        <x:is>
          <x:t xml:space="preserve">688110</x:t>
        </x:is>
      </x:c>
      <x:c r="C372" s="3" t="inlineStr">
        <x:is>
          <x:t xml:space="preserve">东芯股份</x:t>
        </x:is>
      </x:c>
      <x:c r="D372" s="3" t="inlineStr">
        <x:is>
          <x:t xml:space="preserve">东芯半导体股份有限公司</x:t>
        </x:is>
      </x:c>
      <x:c r="E372" s="2" t="inlineStr">
        <x:is>
          <x:t xml:space="preserve">上海市</x:t>
        </x:is>
      </x:c>
      <x:c r="F372" s="2" t="inlineStr">
        <x:is>
          <x:t xml:space="preserve">上海市</x:t>
        </x:is>
      </x:c>
      <x:c r="G372" s="3" t="inlineStr">
        <x:is>
          <x:t xml:space="preserve">上海市-上海市</x:t>
        </x:is>
      </x:c>
      <x:c r="H372" s="2" t="inlineStr">
        <x:is>
          <x:t xml:space="preserve">半导体</x:t>
        </x:is>
      </x:c>
      <x:c r="I372" s="2" t="inlineStr">
        <x:is>
          <x:t xml:space="preserve">2021-12-10</x:t>
        </x:is>
      </x:c>
      <x:c r="J372" s="3" t="inlineStr">
        <x:is>
          <x:t xml:space="preserve">上海市青浦区赵巷镇沪青平公路2875号3幢13层B区1336室</x:t>
        </x:is>
      </x:c>
      <x:c r="K372" s="12" t="str">
        <x:f>LEFT("91310000321645096N",18)</x:f>
        <x:v>91310000321645096N</x:v>
      </x:c>
    </x:row>
    <x:row r="373">
      <x:c r="A373" s="4" t="n">
        <x:v>372</x:v>
      </x:c>
      <x:c r="B373" s="4" t="inlineStr">
        <x:is>
          <x:t xml:space="preserve">688118</x:t>
        </x:is>
      </x:c>
      <x:c r="C373" s="5" t="inlineStr">
        <x:is>
          <x:t xml:space="preserve">普元信息</x:t>
        </x:is>
      </x:c>
      <x:c r="D373" s="5" t="inlineStr">
        <x:is>
          <x:t xml:space="preserve">普元信息技术股份有限公司</x:t>
        </x:is>
      </x:c>
      <x:c r="E373" s="4" t="inlineStr">
        <x:is>
          <x:t xml:space="preserve">上海市</x:t>
        </x:is>
      </x:c>
      <x:c r="F373" s="4" t="inlineStr">
        <x:is>
          <x:t xml:space="preserve">上海市</x:t>
        </x:is>
      </x:c>
      <x:c r="G373" s="5" t="inlineStr">
        <x:is>
          <x:t xml:space="preserve">上海市-上海市</x:t>
        </x:is>
      </x:c>
      <x:c r="H373" s="4" t="inlineStr">
        <x:is>
          <x:t xml:space="preserve">软件服务</x:t>
        </x:is>
      </x:c>
      <x:c r="I373" s="4" t="inlineStr">
        <x:is>
          <x:t xml:space="preserve">2019-12-04</x:t>
        </x:is>
      </x:c>
      <x:c r="J373" s="5" t="inlineStr">
        <x:is>
          <x:t xml:space="preserve">中国(上海)自由贸易试验区学林路36弄26号</x:t>
        </x:is>
      </x:c>
      <x:c r="K373" s="12" t="str">
        <x:f>LEFT("91310000748756174J",18)</x:f>
        <x:v>91310000748756174J</x:v>
      </x:c>
    </x:row>
    <x:row r="374">
      <x:c r="A374" s="2" t="n">
        <x:v>373</x:v>
      </x:c>
      <x:c r="B374" s="2" t="inlineStr">
        <x:is>
          <x:t xml:space="preserve">688121</x:t>
        </x:is>
      </x:c>
      <x:c r="C374" s="3" t="inlineStr">
        <x:is>
          <x:t xml:space="preserve">卓然股份</x:t>
        </x:is>
      </x:c>
      <x:c r="D374" s="3" t="inlineStr">
        <x:is>
          <x:t xml:space="preserve">上海卓然工程技术股份有限公司</x:t>
        </x:is>
      </x:c>
      <x:c r="E374" s="2" t="inlineStr">
        <x:is>
          <x:t xml:space="preserve">上海市</x:t>
        </x:is>
      </x:c>
      <x:c r="F374" s="2" t="inlineStr">
        <x:is>
          <x:t xml:space="preserve">上海市</x:t>
        </x:is>
      </x:c>
      <x:c r="G374" s="3" t="inlineStr">
        <x:is>
          <x:t xml:space="preserve">上海市-上海市</x:t>
        </x:is>
      </x:c>
      <x:c r="H374" s="2" t="inlineStr">
        <x:is>
          <x:t xml:space="preserve">专用设备</x:t>
        </x:is>
      </x:c>
      <x:c r="I374" s="2" t="inlineStr">
        <x:is>
          <x:t xml:space="preserve">2021-09-06</x:t>
        </x:is>
      </x:c>
      <x:c r="J374" s="3" t="inlineStr">
        <x:is>
          <x:t xml:space="preserve">上海市闵行区闵北路88弄1-30号104幢4楼D座</x:t>
        </x:is>
      </x:c>
      <x:c r="K374" s="12" t="str">
        <x:f>LEFT("91310000741614843Q",18)</x:f>
        <x:v>91310000741614843Q</x:v>
      </x:c>
    </x:row>
    <x:row r="375">
      <x:c r="A375" s="4" t="n">
        <x:v>374</x:v>
      </x:c>
      <x:c r="B375" s="4" t="inlineStr">
        <x:is>
          <x:t xml:space="preserve">688123</x:t>
        </x:is>
      </x:c>
      <x:c r="C375" s="5" t="inlineStr">
        <x:is>
          <x:t xml:space="preserve">聚辰股份</x:t>
        </x:is>
      </x:c>
      <x:c r="D375" s="5" t="inlineStr">
        <x:is>
          <x:t xml:space="preserve">聚辰半导体股份有限公司</x:t>
        </x:is>
      </x:c>
      <x:c r="E375" s="4" t="inlineStr">
        <x:is>
          <x:t xml:space="preserve">上海市</x:t>
        </x:is>
      </x:c>
      <x:c r="F375" s="4" t="inlineStr">
        <x:is>
          <x:t xml:space="preserve">上海市</x:t>
        </x:is>
      </x:c>
      <x:c r="G375" s="5" t="inlineStr">
        <x:is>
          <x:t xml:space="preserve">上海市-上海市</x:t>
        </x:is>
      </x:c>
      <x:c r="H375" s="4" t="inlineStr">
        <x:is>
          <x:t xml:space="preserve">半导体</x:t>
        </x:is>
      </x:c>
      <x:c r="I375" s="4" t="inlineStr">
        <x:is>
          <x:t xml:space="preserve">2019-12-23</x:t>
        </x:is>
      </x:c>
      <x:c r="J375" s="5" t="inlineStr">
        <x:is>
          <x:t xml:space="preserve">中国(上海)自由贸易试验区张东路1761号10幢</x:t>
        </x:is>
      </x:c>
      <x:c r="K375" s="12" t="str">
        <x:f>LEFT("913100006958304219",18)</x:f>
        <x:v>913100006958304300</x:v>
      </x:c>
    </x:row>
    <x:row r="376">
      <x:c r="A376" s="2" t="n">
        <x:v>375</x:v>
      </x:c>
      <x:c r="B376" s="2" t="inlineStr">
        <x:is>
          <x:t xml:space="preserve">688126</x:t>
        </x:is>
      </x:c>
      <x:c r="C376" s="3" t="inlineStr">
        <x:is>
          <x:t xml:space="preserve">沪硅产业</x:t>
        </x:is>
      </x:c>
      <x:c r="D376" s="3" t="inlineStr">
        <x:is>
          <x:t xml:space="preserve">上海硅产业集团股份有限公司</x:t>
        </x:is>
      </x:c>
      <x:c r="E376" s="2" t="inlineStr">
        <x:is>
          <x:t xml:space="preserve">上海市</x:t>
        </x:is>
      </x:c>
      <x:c r="F376" s="2" t="inlineStr">
        <x:is>
          <x:t xml:space="preserve">上海市</x:t>
        </x:is>
      </x:c>
      <x:c r="G376" s="3" t="inlineStr">
        <x:is>
          <x:t xml:space="preserve">上海市-上海市</x:t>
        </x:is>
      </x:c>
      <x:c r="H376" s="2" t="inlineStr">
        <x:is>
          <x:t xml:space="preserve">半导体</x:t>
        </x:is>
      </x:c>
      <x:c r="I376" s="2" t="inlineStr">
        <x:is>
          <x:t xml:space="preserve">2020-04-20</x:t>
        </x:is>
      </x:c>
      <x:c r="J376" s="3" t="inlineStr">
        <x:is>
          <x:t xml:space="preserve">上海市嘉定区兴邦路755号3幢</x:t>
        </x:is>
      </x:c>
      <x:c r="K376" s="12" t="str">
        <x:f>LEFT("91310114MA1GT35K5B",18)</x:f>
        <x:v>91310114MA1GT35K5B</x:v>
      </x:c>
    </x:row>
    <x:row r="377">
      <x:c r="A377" s="4" t="n">
        <x:v>376</x:v>
      </x:c>
      <x:c r="B377" s="4" t="inlineStr">
        <x:is>
          <x:t xml:space="preserve">688129</x:t>
        </x:is>
      </x:c>
      <x:c r="C377" s="5" t="inlineStr">
        <x:is>
          <x:t xml:space="preserve">东来技术</x:t>
        </x:is>
      </x:c>
      <x:c r="D377" s="5" t="inlineStr">
        <x:is>
          <x:t xml:space="preserve">东来涂料技术(上海)股份有限公司</x:t>
        </x:is>
      </x:c>
      <x:c r="E377" s="4" t="inlineStr">
        <x:is>
          <x:t xml:space="preserve">上海市</x:t>
        </x:is>
      </x:c>
      <x:c r="F377" s="4" t="inlineStr">
        <x:is>
          <x:t xml:space="preserve">上海市</x:t>
        </x:is>
      </x:c>
      <x:c r="G377" s="5" t="inlineStr">
        <x:is>
          <x:t xml:space="preserve">上海市-上海市</x:t>
        </x:is>
      </x:c>
      <x:c r="H377" s="4" t="inlineStr">
        <x:is>
          <x:t xml:space="preserve">化工行业</x:t>
        </x:is>
      </x:c>
      <x:c r="I377" s="4" t="inlineStr">
        <x:is>
          <x:t xml:space="preserve">2020-10-23</x:t>
        </x:is>
      </x:c>
      <x:c r="J377" s="5" t="inlineStr">
        <x:is>
          <x:t xml:space="preserve">上海市嘉定工业区新和路1221号</x:t>
        </x:is>
      </x:c>
      <x:c r="K377" s="12" t="str">
        <x:f>LEFT("91310000773263208R",18)</x:f>
        <x:v>91310000773263208R</x:v>
      </x:c>
    </x:row>
    <x:row r="378">
      <x:c r="A378" s="2" t="n">
        <x:v>377</x:v>
      </x:c>
      <x:c r="B378" s="2" t="inlineStr">
        <x:is>
          <x:t xml:space="preserve">688131</x:t>
        </x:is>
      </x:c>
      <x:c r="C378" s="3" t="inlineStr">
        <x:is>
          <x:t xml:space="preserve">皓元医药</x:t>
        </x:is>
      </x:c>
      <x:c r="D378" s="3" t="inlineStr">
        <x:is>
          <x:t xml:space="preserve">上海皓元医药股份有限公司</x:t>
        </x:is>
      </x:c>
      <x:c r="E378" s="2" t="inlineStr">
        <x:is>
          <x:t xml:space="preserve">上海市</x:t>
        </x:is>
      </x:c>
      <x:c r="F378" s="2" t="inlineStr">
        <x:is>
          <x:t xml:space="preserve">上海市</x:t>
        </x:is>
      </x:c>
      <x:c r="G378" s="3" t="inlineStr">
        <x:is>
          <x:t xml:space="preserve">上海市-上海市</x:t>
        </x:is>
      </x:c>
      <x:c r="H378" s="2" t="inlineStr">
        <x:is>
          <x:t xml:space="preserve">医药制造</x:t>
        </x:is>
      </x:c>
      <x:c r="I378" s="2" t="inlineStr">
        <x:is>
          <x:t xml:space="preserve">2021-06-08</x:t>
        </x:is>
      </x:c>
      <x:c r="J378" s="3" t="inlineStr">
        <x:is>
          <x:t xml:space="preserve">中国(上海)自由贸易试验区蔡伦路720弄2号501室</x:t>
        </x:is>
      </x:c>
      <x:c r="K378" s="12" t="str">
        <x:f>LEFT("91310000794467963L",18)</x:f>
        <x:v>91310000794467963L</x:v>
      </x:c>
    </x:row>
    <x:row r="379">
      <x:c r="A379" s="4" t="n">
        <x:v>378</x:v>
      </x:c>
      <x:c r="B379" s="4" t="inlineStr">
        <x:is>
          <x:t xml:space="preserve">688133</x:t>
        </x:is>
      </x:c>
      <x:c r="C379" s="5" t="inlineStr">
        <x:is>
          <x:t xml:space="preserve">泰坦科技</x:t>
        </x:is>
      </x:c>
      <x:c r="D379" s="5" t="inlineStr">
        <x:is>
          <x:t xml:space="preserve">上海泰坦科技股份有限公司</x:t>
        </x:is>
      </x:c>
      <x:c r="E379" s="4" t="inlineStr">
        <x:is>
          <x:t xml:space="preserve">上海市</x:t>
        </x:is>
      </x:c>
      <x:c r="F379" s="4" t="inlineStr">
        <x:is>
          <x:t xml:space="preserve">上海市</x:t>
        </x:is>
      </x:c>
      <x:c r="G379" s="5" t="inlineStr">
        <x:is>
          <x:t xml:space="preserve">上海市-上海市</x:t>
        </x:is>
      </x:c>
      <x:c r="H379" s="4" t="inlineStr">
        <x:is>
          <x:t xml:space="preserve">专业服务</x:t>
        </x:is>
      </x:c>
      <x:c r="I379" s="4" t="inlineStr">
        <x:is>
          <x:t xml:space="preserve">2020-10-30</x:t>
        </x:is>
      </x:c>
      <x:c r="J379" s="5" t="inlineStr">
        <x:is>
          <x:t xml:space="preserve">上海市徐汇区钦州路100号一号楼1110室</x:t>
        </x:is>
      </x:c>
      <x:c r="K379" s="12" t="str">
        <x:f>LEFT("91310000667780236Q",18)</x:f>
        <x:v>91310000667780236Q</x:v>
      </x:c>
    </x:row>
    <x:row r="380">
      <x:c r="A380" s="2" t="n">
        <x:v>379</x:v>
      </x:c>
      <x:c r="B380" s="2" t="inlineStr">
        <x:is>
          <x:t xml:space="preserve">688155</x:t>
        </x:is>
      </x:c>
      <x:c r="C380" s="3" t="inlineStr">
        <x:is>
          <x:t xml:space="preserve">先惠技术</x:t>
        </x:is>
      </x:c>
      <x:c r="D380" s="3" t="inlineStr">
        <x:is>
          <x:t xml:space="preserve">上海先惠自动化技术股份有限公司</x:t>
        </x:is>
      </x:c>
      <x:c r="E380" s="2" t="inlineStr">
        <x:is>
          <x:t xml:space="preserve">上海市</x:t>
        </x:is>
      </x:c>
      <x:c r="F380" s="2" t="inlineStr">
        <x:is>
          <x:t xml:space="preserve">上海市</x:t>
        </x:is>
      </x:c>
      <x:c r="G380" s="3" t="inlineStr">
        <x:is>
          <x:t xml:space="preserve">上海市-上海市</x:t>
        </x:is>
      </x:c>
      <x:c r="H380" s="2" t="inlineStr">
        <x:is>
          <x:t xml:space="preserve">电池</x:t>
        </x:is>
      </x:c>
      <x:c r="I380" s="2" t="inlineStr">
        <x:is>
          <x:t xml:space="preserve">2020-08-11</x:t>
        </x:is>
      </x:c>
      <x:c r="J380" s="3" t="inlineStr">
        <x:is>
          <x:t xml:space="preserve">上海市松江区小昆山镇思贤路4800号</x:t>
        </x:is>
      </x:c>
      <x:c r="K380" s="12" t="str">
        <x:f>LEFT("913101177989957984",18)</x:f>
        <x:v>913101177989958000</x:v>
      </x:c>
    </x:row>
    <x:row r="381">
      <x:c r="A381" s="4" t="n">
        <x:v>380</x:v>
      </x:c>
      <x:c r="B381" s="4" t="inlineStr">
        <x:is>
          <x:t xml:space="preserve">688158</x:t>
        </x:is>
      </x:c>
      <x:c r="C381" s="5" t="inlineStr">
        <x:is>
          <x:t xml:space="preserve">优刻得</x:t>
        </x:is>
      </x:c>
      <x:c r="D381" s="5" t="inlineStr">
        <x:is>
          <x:t xml:space="preserve">优刻得科技股份有限公司</x:t>
        </x:is>
      </x:c>
      <x:c r="E381" s="4" t="inlineStr">
        <x:is>
          <x:t xml:space="preserve">上海市</x:t>
        </x:is>
      </x:c>
      <x:c r="F381" s="4" t="inlineStr">
        <x:is>
          <x:t xml:space="preserve">上海市</x:t>
        </x:is>
      </x:c>
      <x:c r="G381" s="5" t="inlineStr">
        <x:is>
          <x:t xml:space="preserve">上海市-上海市</x:t>
        </x:is>
      </x:c>
      <x:c r="H381" s="4" t="inlineStr">
        <x:is>
          <x:t xml:space="preserve">电子信息</x:t>
        </x:is>
      </x:c>
      <x:c r="I381" s="4" t="inlineStr">
        <x:is>
          <x:t xml:space="preserve">2020-01-20</x:t>
        </x:is>
      </x:c>
      <x:c r="J381" s="5" t="inlineStr">
        <x:is>
          <x:t xml:space="preserve">上海市杨浦区隆昌路619号10#B号楼201室</x:t>
        </x:is>
      </x:c>
      <x:c r="K381" s="12" t="str">
        <x:f>LEFT("91310110591673062R",18)</x:f>
        <x:v>91310110591673062R</x:v>
      </x:c>
    </x:row>
    <x:row r="382">
      <x:c r="A382" s="2" t="n">
        <x:v>381</x:v>
      </x:c>
      <x:c r="B382" s="2" t="inlineStr">
        <x:is>
          <x:t xml:space="preserve">688160</x:t>
        </x:is>
      </x:c>
      <x:c r="C382" s="3" t="inlineStr">
        <x:is>
          <x:t xml:space="preserve">步科股份</x:t>
        </x:is>
      </x:c>
      <x:c r="D382" s="3" t="inlineStr">
        <x:is>
          <x:t xml:space="preserve">上海步科自动化股份有限公司</x:t>
        </x:is>
      </x:c>
      <x:c r="E382" s="2" t="inlineStr">
        <x:is>
          <x:t xml:space="preserve">上海市</x:t>
        </x:is>
      </x:c>
      <x:c r="F382" s="2" t="inlineStr">
        <x:is>
          <x:t xml:space="preserve">上海市</x:t>
        </x:is>
      </x:c>
      <x:c r="G382" s="3" t="inlineStr">
        <x:is>
          <x:t xml:space="preserve">上海市-上海市</x:t>
        </x:is>
      </x:c>
      <x:c r="H382" s="2" t="inlineStr">
        <x:is>
          <x:t xml:space="preserve">专用设备</x:t>
        </x:is>
      </x:c>
      <x:c r="I382" s="2" t="inlineStr">
        <x:is>
          <x:t xml:space="preserve">2020-11-12</x:t>
        </x:is>
      </x:c>
      <x:c r="J382" s="3" t="inlineStr">
        <x:is>
          <x:t xml:space="preserve">中国(上海)自由贸易试验区申江路5709号、秋月路26号3幢北侧三楼</x:t>
        </x:is>
      </x:c>
      <x:c r="K382" s="12" t="str">
        <x:f>LEFT("913100006822697789",18)</x:f>
        <x:v>913100006822697700</x:v>
      </x:c>
    </x:row>
    <x:row r="383">
      <x:c r="A383" s="4" t="n">
        <x:v>382</x:v>
      </x:c>
      <x:c r="B383" s="4" t="inlineStr">
        <x:is>
          <x:t xml:space="preserve">688163</x:t>
        </x:is>
      </x:c>
      <x:c r="C383" s="5" t="inlineStr">
        <x:is>
          <x:t xml:space="preserve">赛伦生物</x:t>
        </x:is>
      </x:c>
      <x:c r="D383" s="5" t="inlineStr">
        <x:is>
          <x:t xml:space="preserve">上海赛伦生物技术股份有限公司</x:t>
        </x:is>
      </x:c>
      <x:c r="E383" s="4" t="inlineStr">
        <x:is>
          <x:t xml:space="preserve">上海市</x:t>
        </x:is>
      </x:c>
      <x:c r="F383" s="4" t="inlineStr">
        <x:is>
          <x:t xml:space="preserve">上海市</x:t>
        </x:is>
      </x:c>
      <x:c r="G383" s="5" t="inlineStr">
        <x:is>
          <x:t xml:space="preserve">上海市-上海市</x:t>
        </x:is>
      </x:c>
      <x:c r="H383" s="4" t="inlineStr">
        <x:is>
          <x:t xml:space="preserve">生物制品</x:t>
        </x:is>
      </x:c>
      <x:c r="I383" s="4" t="inlineStr">
        <x:is>
          <x:t xml:space="preserve">2022-03-11</x:t>
        </x:is>
      </x:c>
      <x:c r="J383" s="5" t="inlineStr">
        <x:is>
          <x:t xml:space="preserve">上海市青浦区华青路1288号</x:t>
        </x:is>
      </x:c>
      <x:c r="K383" s="12" t="str">
        <x:f>LEFT("91310000631521822M",18)</x:f>
        <x:v>91310000631521822M</x:v>
      </x:c>
    </x:row>
    <x:row r="384">
      <x:c r="A384" s="2" t="n">
        <x:v>383</x:v>
      </x:c>
      <x:c r="B384" s="2" t="inlineStr">
        <x:is>
          <x:t xml:space="preserve">688179</x:t>
        </x:is>
      </x:c>
      <x:c r="C384" s="3" t="inlineStr">
        <x:is>
          <x:t xml:space="preserve">阿拉丁</x:t>
        </x:is>
      </x:c>
      <x:c r="D384" s="3" t="inlineStr">
        <x:is>
          <x:t xml:space="preserve">上海阿拉丁生化科技股份有限公司</x:t>
        </x:is>
      </x:c>
      <x:c r="E384" s="2" t="inlineStr">
        <x:is>
          <x:t xml:space="preserve">上海市</x:t>
        </x:is>
      </x:c>
      <x:c r="F384" s="2" t="inlineStr">
        <x:is>
          <x:t xml:space="preserve">上海市</x:t>
        </x:is>
      </x:c>
      <x:c r="G384" s="3" t="inlineStr">
        <x:is>
          <x:t xml:space="preserve">上海市-上海市</x:t>
        </x:is>
      </x:c>
      <x:c r="H384" s="2" t="inlineStr">
        <x:is>
          <x:t xml:space="preserve">化学制品</x:t>
        </x:is>
      </x:c>
      <x:c r="I384" s="2" t="inlineStr">
        <x:is>
          <x:t xml:space="preserve">2020-10-26</x:t>
        </x:is>
      </x:c>
      <x:c r="J384" s="3" t="inlineStr">
        <x:is>
          <x:t xml:space="preserve">上海市奉贤区楚华支路809号</x:t>
        </x:is>
      </x:c>
      <x:c r="K384" s="12" t="str">
        <x:f>LEFT("91310000685518645K",18)</x:f>
        <x:v>91310000685518645K</x:v>
      </x:c>
    </x:row>
    <x:row r="385">
      <x:c r="A385" s="4" t="n">
        <x:v>384</x:v>
      </x:c>
      <x:c r="B385" s="4" t="inlineStr">
        <x:is>
          <x:t xml:space="preserve">688180</x:t>
        </x:is>
      </x:c>
      <x:c r="C385" s="5" t="inlineStr">
        <x:is>
          <x:t xml:space="preserve">君实生物</x:t>
        </x:is>
      </x:c>
      <x:c r="D385" s="5" t="inlineStr">
        <x:is>
          <x:t xml:space="preserve">上海君实生物医药科技股份有限公司</x:t>
        </x:is>
      </x:c>
      <x:c r="E385" s="4" t="inlineStr">
        <x:is>
          <x:t xml:space="preserve">上海市</x:t>
        </x:is>
      </x:c>
      <x:c r="F385" s="4" t="inlineStr">
        <x:is>
          <x:t xml:space="preserve">上海市</x:t>
        </x:is>
      </x:c>
      <x:c r="G385" s="5" t="inlineStr">
        <x:is>
          <x:t xml:space="preserve">上海市-上海市</x:t>
        </x:is>
      </x:c>
      <x:c r="H385" s="4" t="inlineStr">
        <x:is>
          <x:t xml:space="preserve">生物制品</x:t>
        </x:is>
      </x:c>
      <x:c r="I385" s="4" t="inlineStr">
        <x:is>
          <x:t xml:space="preserve">2020-07-15</x:t>
        </x:is>
      </x:c>
      <x:c r="J385" s="5" t="inlineStr">
        <x:is>
          <x:t xml:space="preserve">中国(上海)自由贸易试验区蔡伦路987号4层</x:t>
        </x:is>
      </x:c>
      <x:c r="K385" s="12" t="str">
        <x:f>LEFT("91310000059383413A",18)</x:f>
        <x:v>91310000059383413A</x:v>
      </x:c>
    </x:row>
    <x:row r="386">
      <x:c r="A386" s="2" t="n">
        <x:v>385</x:v>
      </x:c>
      <x:c r="B386" s="2" t="inlineStr">
        <x:is>
          <x:t xml:space="preserve">688188</x:t>
        </x:is>
      </x:c>
      <x:c r="C386" s="3" t="inlineStr">
        <x:is>
          <x:t xml:space="preserve">柏楚电子</x:t>
        </x:is>
      </x:c>
      <x:c r="D386" s="3" t="inlineStr">
        <x:is>
          <x:t xml:space="preserve">上海柏楚电子科技股份有限公司</x:t>
        </x:is>
      </x:c>
      <x:c r="E386" s="2" t="inlineStr">
        <x:is>
          <x:t xml:space="preserve">上海市</x:t>
        </x:is>
      </x:c>
      <x:c r="F386" s="2" t="inlineStr">
        <x:is>
          <x:t xml:space="preserve">上海市</x:t>
        </x:is>
      </x:c>
      <x:c r="G386" s="3" t="inlineStr">
        <x:is>
          <x:t xml:space="preserve">上海市-上海市</x:t>
        </x:is>
      </x:c>
      <x:c r="H386" s="2" t="inlineStr">
        <x:is>
          <x:t xml:space="preserve">软件服务</x:t>
        </x:is>
      </x:c>
      <x:c r="I386" s="2" t="inlineStr">
        <x:is>
          <x:t xml:space="preserve">2019-08-08</x:t>
        </x:is>
      </x:c>
      <x:c r="J386" s="3" t="inlineStr">
        <x:is>
          <x:t xml:space="preserve">上海市闵行区兰香湖南路1000号</x:t>
        </x:is>
      </x:c>
      <x:c r="K386" s="12" t="str">
        <x:f>LEFT("91310112666062072D",18)</x:f>
        <x:v>91310112666062072D</x:v>
      </x:c>
    </x:row>
    <x:row r="387">
      <x:c r="A387" s="4" t="n">
        <x:v>386</x:v>
      </x:c>
      <x:c r="B387" s="4" t="inlineStr">
        <x:is>
          <x:t xml:space="preserve">688193</x:t>
        </x:is>
      </x:c>
      <x:c r="C387" s="5" t="inlineStr">
        <x:is>
          <x:t xml:space="preserve">仁度生物</x:t>
        </x:is>
      </x:c>
      <x:c r="D387" s="5" t="inlineStr">
        <x:is>
          <x:t xml:space="preserve">上海仁度生物科技股份有限公司</x:t>
        </x:is>
      </x:c>
      <x:c r="E387" s="4" t="inlineStr">
        <x:is>
          <x:t xml:space="preserve">上海市</x:t>
        </x:is>
      </x:c>
      <x:c r="F387" s="4" t="inlineStr">
        <x:is>
          <x:t xml:space="preserve">上海市</x:t>
        </x:is>
      </x:c>
      <x:c r="G387" s="5" t="inlineStr">
        <x:is>
          <x:t xml:space="preserve">上海市-上海市</x:t>
        </x:is>
      </x:c>
      <x:c r="H387" s="4" t="inlineStr">
        <x:is>
          <x:t xml:space="preserve">生物制品</x:t>
        </x:is>
      </x:c>
      <x:c r="I387" s="4" t="inlineStr">
        <x:is>
          <x:t xml:space="preserve">2022-03-30</x:t>
        </x:is>
      </x:c>
      <x:c r="J387" s="5" t="inlineStr">
        <x:is>
          <x:t xml:space="preserve">上海市张江高科技园区东区瑞庆路528号15幢乙号</x:t>
        </x:is>
      </x:c>
      <x:c r="K387" s="12" t="str">
        <x:f>LEFT("91310115662456111U",18)</x:f>
        <x:v>91310115662456111U</x:v>
      </x:c>
    </x:row>
    <x:row r="388">
      <x:c r="A388" s="2" t="n">
        <x:v>387</x:v>
      </x:c>
      <x:c r="B388" s="2" t="inlineStr">
        <x:is>
          <x:t xml:space="preserve">688202</x:t>
        </x:is>
      </x:c>
      <x:c r="C388" s="3" t="inlineStr">
        <x:is>
          <x:t xml:space="preserve">美迪西</x:t>
        </x:is>
      </x:c>
      <x:c r="D388" s="3" t="inlineStr">
        <x:is>
          <x:t xml:space="preserve">上海美迪西生物医药股份有限公司</x:t>
        </x:is>
      </x:c>
      <x:c r="E388" s="2" t="inlineStr">
        <x:is>
          <x:t xml:space="preserve">上海市</x:t>
        </x:is>
      </x:c>
      <x:c r="F388" s="2" t="inlineStr">
        <x:is>
          <x:t xml:space="preserve">上海市</x:t>
        </x:is>
      </x:c>
      <x:c r="G388" s="3" t="inlineStr">
        <x:is>
          <x:t xml:space="preserve">上海市-上海市</x:t>
        </x:is>
      </x:c>
      <x:c r="H388" s="2" t="inlineStr">
        <x:is>
          <x:t xml:space="preserve">医疗服务</x:t>
        </x:is>
      </x:c>
      <x:c r="I388" s="2" t="inlineStr">
        <x:is>
          <x:t xml:space="preserve">2019-11-05</x:t>
        </x:is>
      </x:c>
      <x:c r="J388" s="3" t="inlineStr">
        <x:is>
          <x:t xml:space="preserve">中国(上海)自由贸易试验区李冰路67弄5号楼</x:t>
        </x:is>
      </x:c>
      <x:c r="K388" s="12" t="str">
        <x:f>LEFT("9131000075842961XY",18)</x:f>
        <x:v>9131000075842961XY</x:v>
      </x:c>
    </x:row>
    <x:row r="389">
      <x:c r="A389" s="4" t="n">
        <x:v>388</x:v>
      </x:c>
      <x:c r="B389" s="4" t="inlineStr">
        <x:is>
          <x:t xml:space="preserve">688206</x:t>
        </x:is>
      </x:c>
      <x:c r="C389" s="5" t="inlineStr">
        <x:is>
          <x:t xml:space="preserve">概伦电子</x:t>
        </x:is>
      </x:c>
      <x:c r="D389" s="5" t="inlineStr">
        <x:is>
          <x:t xml:space="preserve">上海概伦电子股份有限公司</x:t>
        </x:is>
      </x:c>
      <x:c r="E389" s="4" t="inlineStr">
        <x:is>
          <x:t xml:space="preserve">上海市</x:t>
        </x:is>
      </x:c>
      <x:c r="F389" s="4" t="inlineStr">
        <x:is>
          <x:t xml:space="preserve">上海市</x:t>
        </x:is>
      </x:c>
      <x:c r="G389" s="5" t="inlineStr">
        <x:is>
          <x:t xml:space="preserve">上海市-上海市</x:t>
        </x:is>
      </x:c>
      <x:c r="H389" s="4" t="inlineStr">
        <x:is>
          <x:t xml:space="preserve">软件开发</x:t>
        </x:is>
      </x:c>
      <x:c r="I389" s="4" t="inlineStr">
        <x:is>
          <x:t xml:space="preserve">2021-12-28</x:t>
        </x:is>
      </x:c>
      <x:c r="J389" s="5" t="inlineStr">
        <x:is>
          <x:t xml:space="preserve">中国(上海)自由贸易试验区临港新片区环湖西二路888号C楼</x:t>
        </x:is>
      </x:c>
      <x:c r="K389" s="12" t="str">
        <x:f>LEFT("91370100697494679X",18)</x:f>
        <x:v>91370100697494679X</x:v>
      </x:c>
    </x:row>
    <x:row r="390">
      <x:c r="A390" s="2" t="n">
        <x:v>389</x:v>
      </x:c>
      <x:c r="B390" s="2" t="inlineStr">
        <x:is>
          <x:t xml:space="preserve">688212</x:t>
        </x:is>
      </x:c>
      <x:c r="C390" s="3" t="inlineStr">
        <x:is>
          <x:t xml:space="preserve">澳华内镜</x:t>
        </x:is>
      </x:c>
      <x:c r="D390" s="3" t="inlineStr">
        <x:is>
          <x:t xml:space="preserve">上海澳华内镜股份有限公司</x:t>
        </x:is>
      </x:c>
      <x:c r="E390" s="2" t="inlineStr">
        <x:is>
          <x:t xml:space="preserve">上海市</x:t>
        </x:is>
      </x:c>
      <x:c r="F390" s="2" t="inlineStr">
        <x:is>
          <x:t xml:space="preserve">上海市</x:t>
        </x:is>
      </x:c>
      <x:c r="G390" s="3" t="inlineStr">
        <x:is>
          <x:t xml:space="preserve">上海市-上海市</x:t>
        </x:is>
      </x:c>
      <x:c r="H390" s="2" t="inlineStr">
        <x:is>
          <x:t xml:space="preserve">医疗器械</x:t>
        </x:is>
      </x:c>
      <x:c r="I390" s="2" t="inlineStr">
        <x:is>
          <x:t xml:space="preserve">2021-11-15</x:t>
        </x:is>
      </x:c>
      <x:c r="J390" s="3" t="inlineStr">
        <x:is>
          <x:t xml:space="preserve">上海市闵行区光中路133弄66号</x:t>
        </x:is>
      </x:c>
      <x:c r="K390" s="12" t="str">
        <x:f>LEFT("91310112607671054B",18)</x:f>
        <x:v>91310112607671054B</x:v>
      </x:c>
    </x:row>
    <x:row r="391">
      <x:c r="A391" s="4" t="n">
        <x:v>390</x:v>
      </x:c>
      <x:c r="B391" s="4" t="inlineStr">
        <x:is>
          <x:t xml:space="preserve">688213</x:t>
        </x:is>
      </x:c>
      <x:c r="C391" s="5" t="inlineStr">
        <x:is>
          <x:t xml:space="preserve">思特威</x:t>
        </x:is>
      </x:c>
      <x:c r="D391" s="5" t="inlineStr">
        <x:is>
          <x:t xml:space="preserve">思特威(上海)电子科技股份有限公司</x:t>
        </x:is>
      </x:c>
      <x:c r="E391" s="4" t="inlineStr">
        <x:is>
          <x:t xml:space="preserve">上海市</x:t>
        </x:is>
      </x:c>
      <x:c r="F391" s="4" t="inlineStr">
        <x:is>
          <x:t xml:space="preserve">上海市</x:t>
        </x:is>
      </x:c>
      <x:c r="G391" s="5" t="inlineStr">
        <x:is>
          <x:t xml:space="preserve">上海市-上海市</x:t>
        </x:is>
      </x:c>
      <x:c r="H391" s="4" t="inlineStr">
        <x:is>
          <x:t xml:space="preserve">半导体</x:t>
        </x:is>
      </x:c>
      <x:c r="I391" s="4" t="inlineStr">
        <x:is>
          <x:t xml:space="preserve">2022-05-20</x:t>
        </x:is>
      </x:c>
      <x:c r="J391" s="5" t="inlineStr">
        <x:is>
          <x:t xml:space="preserve">中国(上海)自由贸易试验区祥科路111号3号楼6楼612室</x:t>
        </x:is>
      </x:c>
      <x:c r="K391" s="12" t="str">
        <x:f>LEFT("91310115MA1K3P3P5Q",18)</x:f>
        <x:v>91310115MA1K3P3P5Q</x:v>
      </x:c>
    </x:row>
    <x:row r="392">
      <x:c r="A392" s="2" t="n">
        <x:v>391</x:v>
      </x:c>
      <x:c r="B392" s="2" t="inlineStr">
        <x:is>
          <x:t xml:space="preserve">688217</x:t>
        </x:is>
      </x:c>
      <x:c r="C392" s="3" t="inlineStr">
        <x:is>
          <x:t xml:space="preserve">睿昂基因</x:t>
        </x:is>
      </x:c>
      <x:c r="D392" s="3" t="inlineStr">
        <x:is>
          <x:t xml:space="preserve">上海睿昂基因科技股份有限公司</x:t>
        </x:is>
      </x:c>
      <x:c r="E392" s="2" t="inlineStr">
        <x:is>
          <x:t xml:space="preserve">上海市</x:t>
        </x:is>
      </x:c>
      <x:c r="F392" s="2" t="inlineStr">
        <x:is>
          <x:t xml:space="preserve">上海市</x:t>
        </x:is>
      </x:c>
      <x:c r="G392" s="3" t="inlineStr">
        <x:is>
          <x:t xml:space="preserve">上海市-上海市</x:t>
        </x:is>
      </x:c>
      <x:c r="H392" s="2" t="inlineStr">
        <x:is>
          <x:t xml:space="preserve">医疗器械</x:t>
        </x:is>
      </x:c>
      <x:c r="I392" s="2" t="inlineStr">
        <x:is>
          <x:t xml:space="preserve">2021-05-17</x:t>
        </x:is>
      </x:c>
      <x:c r="J392" s="3" t="inlineStr">
        <x:is>
          <x:t xml:space="preserve">上海市奉贤区金海公路6055号3幢</x:t>
        </x:is>
      </x:c>
      <x:c r="K392" s="12" t="str">
        <x:f>LEFT("91310120590029056K",18)</x:f>
        <x:v>91310120590029056K</x:v>
      </x:c>
    </x:row>
    <x:row r="393">
      <x:c r="A393" s="4" t="n">
        <x:v>392</x:v>
      </x:c>
      <x:c r="B393" s="4" t="inlineStr">
        <x:is>
          <x:t xml:space="preserve">688220</x:t>
        </x:is>
      </x:c>
      <x:c r="C393" s="5" t="inlineStr">
        <x:is>
          <x:t xml:space="preserve">翱捷科技</x:t>
        </x:is>
      </x:c>
      <x:c r="D393" s="5" t="inlineStr">
        <x:is>
          <x:t xml:space="preserve">翱捷科技股份有限公司</x:t>
        </x:is>
      </x:c>
      <x:c r="E393" s="4" t="inlineStr">
        <x:is>
          <x:t xml:space="preserve">上海市</x:t>
        </x:is>
      </x:c>
      <x:c r="F393" s="4" t="inlineStr">
        <x:is>
          <x:t xml:space="preserve">上海市</x:t>
        </x:is>
      </x:c>
      <x:c r="G393" s="5" t="inlineStr">
        <x:is>
          <x:t xml:space="preserve">上海市-上海市</x:t>
        </x:is>
      </x:c>
      <x:c r="H393" s="4" t="inlineStr">
        <x:is>
          <x:t xml:space="preserve">半导体</x:t>
        </x:is>
      </x:c>
      <x:c r="I393" s="4" t="inlineStr">
        <x:is>
          <x:t xml:space="preserve">2022-01-14</x:t>
        </x:is>
      </x:c>
      <x:c r="J393" s="5" t="inlineStr">
        <x:is>
          <x:t xml:space="preserve">中国(上海)自由贸易试验区科苑路399号10幢8层(名义楼层9层)</x:t>
        </x:is>
      </x:c>
      <x:c r="K393" s="12" t="str">
        <x:f>LEFT("913100003326874787",18)</x:f>
        <x:v>913100003326874800</x:v>
      </x:c>
    </x:row>
    <x:row r="394">
      <x:c r="A394" s="2" t="n">
        <x:v>393</x:v>
      </x:c>
      <x:c r="B394" s="2" t="inlineStr">
        <x:is>
          <x:t xml:space="preserve">688230</x:t>
        </x:is>
      </x:c>
      <x:c r="C394" s="3" t="inlineStr">
        <x:is>
          <x:t xml:space="preserve">芯导科技</x:t>
        </x:is>
      </x:c>
      <x:c r="D394" s="3" t="inlineStr">
        <x:is>
          <x:t xml:space="preserve">上海芯导电子科技股份有限公司</x:t>
        </x:is>
      </x:c>
      <x:c r="E394" s="2" t="inlineStr">
        <x:is>
          <x:t xml:space="preserve">上海市</x:t>
        </x:is>
      </x:c>
      <x:c r="F394" s="2" t="inlineStr">
        <x:is>
          <x:t xml:space="preserve">上海市</x:t>
        </x:is>
      </x:c>
      <x:c r="G394" s="3" t="inlineStr">
        <x:is>
          <x:t xml:space="preserve">上海市-上海市</x:t>
        </x:is>
      </x:c>
      <x:c r="H394" s="2" t="inlineStr">
        <x:is>
          <x:t xml:space="preserve">半导体</x:t>
        </x:is>
      </x:c>
      <x:c r="I394" s="2" t="inlineStr">
        <x:is>
          <x:t xml:space="preserve">2021-12-01</x:t>
        </x:is>
      </x:c>
      <x:c r="J394" s="3" t="inlineStr">
        <x:is>
          <x:t xml:space="preserve">中国(上海)自由贸易试验区祖冲之路2277弄7号</x:t>
        </x:is>
      </x:c>
      <x:c r="K394" s="12" t="str">
        <x:f>LEFT("913101156972811715",18)</x:f>
        <x:v>913101156972811800</x:v>
      </x:c>
    </x:row>
    <x:row r="395">
      <x:c r="A395" s="4" t="n">
        <x:v>394</x:v>
      </x:c>
      <x:c r="B395" s="4" t="inlineStr">
        <x:is>
          <x:t xml:space="preserve">688238</x:t>
        </x:is>
      </x:c>
      <x:c r="C395" s="5" t="inlineStr">
        <x:is>
          <x:t xml:space="preserve">和元生物</x:t>
        </x:is>
      </x:c>
      <x:c r="D395" s="5" t="inlineStr">
        <x:is>
          <x:t xml:space="preserve">上海和元生物技术(集团)股份有限公司</x:t>
        </x:is>
      </x:c>
      <x:c r="E395" s="4" t="inlineStr">
        <x:is>
          <x:t xml:space="preserve">上海市</x:t>
        </x:is>
      </x:c>
      <x:c r="F395" s="4" t="inlineStr">
        <x:is>
          <x:t xml:space="preserve">上海市</x:t>
        </x:is>
      </x:c>
      <x:c r="G395" s="5" t="inlineStr">
        <x:is>
          <x:t xml:space="preserve">上海市-上海市</x:t>
        </x:is>
      </x:c>
      <x:c r="H395" s="4" t="inlineStr">
        <x:is>
          <x:t xml:space="preserve">医疗服务</x:t>
        </x:is>
      </x:c>
      <x:c r="I395" s="4" t="inlineStr">
        <x:is>
          <x:t xml:space="preserve">2022-03-22</x:t>
        </x:is>
      </x:c>
      <x:c r="J395" s="5" t="inlineStr">
        <x:is>
          <x:t xml:space="preserve">上海市浦东新区国际医学园区紫萍路908弄19号楼</x:t>
        </x:is>
      </x:c>
      <x:c r="K395" s="12" t="str">
        <x:f>LEFT("913100000625940784",18)</x:f>
        <x:v>913100000625940700</x:v>
      </x:c>
    </x:row>
    <x:row r="396">
      <x:c r="A396" s="2" t="n">
        <x:v>395</x:v>
      </x:c>
      <x:c r="B396" s="2" t="inlineStr">
        <x:is>
          <x:t xml:space="preserve">688247</x:t>
        </x:is>
      </x:c>
      <x:c r="C396" s="3" t="inlineStr">
        <x:is>
          <x:t xml:space="preserve">宣泰医药</x:t>
        </x:is>
      </x:c>
      <x:c r="D396" s="3" t="inlineStr">
        <x:is>
          <x:t xml:space="preserve">上海宣泰医药科技股份有限公司</x:t>
        </x:is>
      </x:c>
      <x:c r="E396" s="2" t="inlineStr">
        <x:is>
          <x:t xml:space="preserve">上海市</x:t>
        </x:is>
      </x:c>
      <x:c r="F396" s="2" t="inlineStr">
        <x:is>
          <x:t xml:space="preserve">上海市</x:t>
        </x:is>
      </x:c>
      <x:c r="G396" s="3" t="inlineStr">
        <x:is>
          <x:t xml:space="preserve">上海市-上海市</x:t>
        </x:is>
      </x:c>
      <x:c r="H396" s="2" t="inlineStr">
        <x:is>
          <x:t xml:space="preserve">生物制品</x:t>
        </x:is>
      </x:c>
      <x:c r="I396" s="2" t="inlineStr">
        <x:is>
          <x:t xml:space="preserve">2022-08-25</x:t>
        </x:is>
      </x:c>
      <x:c r="J396" s="3" t="inlineStr">
        <x:is>
          <x:t xml:space="preserve">中国(上海)自由贸易试验区蔡伦路780号7层709室</x:t>
        </x:is>
      </x:c>
      <x:c r="K396" s="12" t="str">
        <x:f>LEFT("9131000005124956XX",18)</x:f>
        <x:v>9131000005124956XX</x:v>
      </x:c>
    </x:row>
    <x:row r="397">
      <x:c r="A397" s="4" t="n">
        <x:v>396</x:v>
      </x:c>
      <x:c r="B397" s="4" t="inlineStr">
        <x:is>
          <x:t xml:space="preserve">688265</x:t>
        </x:is>
      </x:c>
      <x:c r="C397" s="5" t="inlineStr">
        <x:is>
          <x:t xml:space="preserve">南模生物</x:t>
        </x:is>
      </x:c>
      <x:c r="D397" s="5" t="inlineStr">
        <x:is>
          <x:t xml:space="preserve">上海南方模式生物科技股份有限公司</x:t>
        </x:is>
      </x:c>
      <x:c r="E397" s="4" t="inlineStr">
        <x:is>
          <x:t xml:space="preserve">上海市</x:t>
        </x:is>
      </x:c>
      <x:c r="F397" s="4" t="inlineStr">
        <x:is>
          <x:t xml:space="preserve">上海市</x:t>
        </x:is>
      </x:c>
      <x:c r="G397" s="5" t="inlineStr">
        <x:is>
          <x:t xml:space="preserve">上海市-上海市</x:t>
        </x:is>
      </x:c>
      <x:c r="H397" s="4" t="inlineStr">
        <x:is>
          <x:t xml:space="preserve">生物制品</x:t>
        </x:is>
      </x:c>
      <x:c r="I397" s="4" t="inlineStr">
        <x:is>
          <x:t xml:space="preserve">2021-12-28</x:t>
        </x:is>
      </x:c>
      <x:c r="J397" s="5" t="inlineStr">
        <x:is>
          <x:t xml:space="preserve">上海市浦东新区琥珀路63弄1号6层</x:t>
        </x:is>
      </x:c>
      <x:c r="K397" s="12" t="str">
        <x:f>LEFT("913100007030557379",18)</x:f>
        <x:v>913100007030557400</x:v>
      </x:c>
    </x:row>
    <x:row r="398">
      <x:c r="A398" s="2" t="n">
        <x:v>397</x:v>
      </x:c>
      <x:c r="B398" s="2" t="inlineStr">
        <x:is>
          <x:t xml:space="preserve">688271</x:t>
        </x:is>
      </x:c>
      <x:c r="C398" s="3" t="inlineStr">
        <x:is>
          <x:t xml:space="preserve">联影医疗</x:t>
        </x:is>
      </x:c>
      <x:c r="D398" s="3" t="inlineStr">
        <x:is>
          <x:t xml:space="preserve">上海联影医疗科技股份有限公司</x:t>
        </x:is>
      </x:c>
      <x:c r="E398" s="2" t="inlineStr">
        <x:is>
          <x:t xml:space="preserve">上海市</x:t>
        </x:is>
      </x:c>
      <x:c r="F398" s="2" t="inlineStr">
        <x:is>
          <x:t xml:space="preserve">上海市</x:t>
        </x:is>
      </x:c>
      <x:c r="G398" s="3" t="inlineStr">
        <x:is>
          <x:t xml:space="preserve">上海市-上海市</x:t>
        </x:is>
      </x:c>
      <x:c r="H398" s="2" t="inlineStr">
        <x:is>
          <x:t xml:space="preserve">医疗器械</x:t>
        </x:is>
      </x:c>
      <x:c r="I398" s="2" t="inlineStr">
        <x:is>
          <x:t xml:space="preserve">2022-08-22</x:t>
        </x:is>
      </x:c>
      <x:c r="J398" s="3" t="inlineStr">
        <x:is>
          <x:t xml:space="preserve">上海市嘉定区城北路2258号</x:t>
        </x:is>
      </x:c>
      <x:c r="K398" s="12" t="str">
        <x:f>LEFT("91310114570796872F",18)</x:f>
        <x:v>91310114570796872F</x:v>
      </x:c>
    </x:row>
    <x:row r="399">
      <x:c r="A399" s="4" t="n">
        <x:v>398</x:v>
      </x:c>
      <x:c r="B399" s="4" t="inlineStr">
        <x:is>
          <x:t xml:space="preserve">688293</x:t>
        </x:is>
      </x:c>
      <x:c r="C399" s="5" t="inlineStr">
        <x:is>
          <x:t xml:space="preserve">奥浦迈</x:t>
        </x:is>
      </x:c>
      <x:c r="D399" s="5" t="inlineStr">
        <x:is>
          <x:t xml:space="preserve">上海奥浦迈生物科技股份有限公司</x:t>
        </x:is>
      </x:c>
      <x:c r="E399" s="4" t="inlineStr">
        <x:is>
          <x:t xml:space="preserve">上海市</x:t>
        </x:is>
      </x:c>
      <x:c r="F399" s="4" t="inlineStr">
        <x:is>
          <x:t xml:space="preserve">上海市</x:t>
        </x:is>
      </x:c>
      <x:c r="G399" s="5" t="inlineStr">
        <x:is>
          <x:t xml:space="preserve">上海市-上海市</x:t>
        </x:is>
      </x:c>
      <x:c r="H399" s="4" t="inlineStr">
        <x:is>
          <x:t xml:space="preserve">专业服务</x:t>
        </x:is>
      </x:c>
      <x:c r="I399" s="4" t="inlineStr">
        <x:is>
          <x:t xml:space="preserve">2022-09-02</x:t>
        </x:is>
      </x:c>
      <x:c r="J399" s="5" t="inlineStr">
        <x:is>
          <x:t xml:space="preserve">上海市浦东新区紫萍路908弄28号</x:t>
        </x:is>
      </x:c>
      <x:c r="K399" s="12" t="str">
        <x:f>LEFT("91310115084100518T",18)</x:f>
        <x:v>91310115084100518T</x:v>
      </x:c>
    </x:row>
    <x:row r="400">
      <x:c r="A400" s="2" t="n">
        <x:v>399</x:v>
      </x:c>
      <x:c r="B400" s="2" t="inlineStr">
        <x:is>
          <x:t xml:space="preserve">688301</x:t>
        </x:is>
      </x:c>
      <x:c r="C400" s="3" t="inlineStr">
        <x:is>
          <x:t xml:space="preserve">奕瑞科技</x:t>
        </x:is>
      </x:c>
      <x:c r="D400" s="3" t="inlineStr">
        <x:is>
          <x:t xml:space="preserve">奕瑞电子科技集团股份有限公司</x:t>
        </x:is>
      </x:c>
      <x:c r="E400" s="2" t="inlineStr">
        <x:is>
          <x:t xml:space="preserve">上海市</x:t>
        </x:is>
      </x:c>
      <x:c r="F400" s="2" t="inlineStr">
        <x:is>
          <x:t xml:space="preserve">上海市</x:t>
        </x:is>
      </x:c>
      <x:c r="G400" s="3" t="inlineStr">
        <x:is>
          <x:t xml:space="preserve">上海市-上海市</x:t>
        </x:is>
      </x:c>
      <x:c r="H400" s="2" t="inlineStr">
        <x:is>
          <x:t xml:space="preserve">医疗器械</x:t>
        </x:is>
      </x:c>
      <x:c r="I400" s="2" t="inlineStr">
        <x:is>
          <x:t xml:space="preserve">2020-09-18</x:t>
        </x:is>
      </x:c>
      <x:c r="J400" s="3" t="inlineStr">
        <x:is>
          <x:t xml:space="preserve">上海市浦东新区环桥路999号</x:t>
        </x:is>
      </x:c>
      <x:c r="K400" s="12" t="str">
        <x:f>LEFT("91310115570750452T",18)</x:f>
        <x:v>91310115570750452T</x:v>
      </x:c>
    </x:row>
    <x:row r="401">
      <x:c r="A401" s="4" t="n">
        <x:v>400</x:v>
      </x:c>
      <x:c r="B401" s="4" t="inlineStr">
        <x:is>
          <x:t xml:space="preserve">688317</x:t>
        </x:is>
      </x:c>
      <x:c r="C401" s="5" t="inlineStr">
        <x:is>
          <x:t xml:space="preserve">之江生物</x:t>
        </x:is>
      </x:c>
      <x:c r="D401" s="5" t="inlineStr">
        <x:is>
          <x:t xml:space="preserve">上海之江生物科技股份有限公司</x:t>
        </x:is>
      </x:c>
      <x:c r="E401" s="4" t="inlineStr">
        <x:is>
          <x:t xml:space="preserve">上海市</x:t>
        </x:is>
      </x:c>
      <x:c r="F401" s="4" t="inlineStr">
        <x:is>
          <x:t xml:space="preserve">上海市</x:t>
        </x:is>
      </x:c>
      <x:c r="G401" s="5" t="inlineStr">
        <x:is>
          <x:t xml:space="preserve">上海市-上海市</x:t>
        </x:is>
      </x:c>
      <x:c r="H401" s="4" t="inlineStr">
        <x:is>
          <x:t xml:space="preserve">医疗器械</x:t>
        </x:is>
      </x:c>
      <x:c r="I401" s="4" t="inlineStr">
        <x:is>
          <x:t xml:space="preserve">2021-01-18</x:t>
        </x:is>
      </x:c>
      <x:c r="J401" s="5" t="inlineStr">
        <x:is>
          <x:t xml:space="preserve">上海市张江高科技产业东区瑞庆路528号20幢乙号1层、21幢甲号1层</x:t>
        </x:is>
      </x:c>
      <x:c r="K401" s="12" t="str">
        <x:f>LEFT("913100007743014560",18)</x:f>
        <x:v>913100007743014500</x:v>
      </x:c>
    </x:row>
    <x:row r="402">
      <x:c r="A402" s="2" t="n">
        <x:v>401</x:v>
      </x:c>
      <x:c r="B402" s="2" t="inlineStr">
        <x:is>
          <x:t xml:space="preserve">688330</x:t>
        </x:is>
      </x:c>
      <x:c r="C402" s="3" t="inlineStr">
        <x:is>
          <x:t xml:space="preserve">宏力达</x:t>
        </x:is>
      </x:c>
      <x:c r="D402" s="3" t="inlineStr">
        <x:is>
          <x:t xml:space="preserve">上海宏力达信息技术股份有限公司</x:t>
        </x:is>
      </x:c>
      <x:c r="E402" s="2" t="inlineStr">
        <x:is>
          <x:t xml:space="preserve">上海市</x:t>
        </x:is>
      </x:c>
      <x:c r="F402" s="2" t="inlineStr">
        <x:is>
          <x:t xml:space="preserve">上海市</x:t>
        </x:is>
      </x:c>
      <x:c r="G402" s="3" t="inlineStr">
        <x:is>
          <x:t xml:space="preserve">上海市-上海市</x:t>
        </x:is>
      </x:c>
      <x:c r="H402" s="2" t="inlineStr">
        <x:is>
          <x:t xml:space="preserve">输配电气</x:t>
        </x:is>
      </x:c>
      <x:c r="I402" s="2" t="inlineStr">
        <x:is>
          <x:t xml:space="preserve">2020-10-15</x:t>
        </x:is>
      </x:c>
      <x:c r="J402" s="3" t="inlineStr">
        <x:is>
          <x:t xml:space="preserve">上海市松江区九亭中心路1158号11幢101、401室(一照多址企业)</x:t>
        </x:is>
      </x:c>
      <x:c r="K402" s="12" t="str">
        <x:f>LEFT("913101175868294995",18)</x:f>
        <x:v>913101175868295000</x:v>
      </x:c>
    </x:row>
    <x:row r="403">
      <x:c r="A403" s="4" t="n">
        <x:v>402</x:v>
      </x:c>
      <x:c r="B403" s="4" t="inlineStr">
        <x:is>
          <x:t xml:space="preserve">688335</x:t>
        </x:is>
      </x:c>
      <x:c r="C403" s="5" t="inlineStr">
        <x:is>
          <x:t xml:space="preserve">复洁科技</x:t>
        </x:is>
      </x:c>
      <x:c r="D403" s="5" t="inlineStr">
        <x:is>
          <x:t xml:space="preserve">上海复洁科技股份有限公司</x:t>
        </x:is>
      </x:c>
      <x:c r="E403" s="4" t="inlineStr">
        <x:is>
          <x:t xml:space="preserve">上海市</x:t>
        </x:is>
      </x:c>
      <x:c r="F403" s="4" t="inlineStr">
        <x:is>
          <x:t xml:space="preserve">上海市</x:t>
        </x:is>
      </x:c>
      <x:c r="G403" s="5" t="inlineStr">
        <x:is>
          <x:t xml:space="preserve">上海市-上海市</x:t>
        </x:is>
      </x:c>
      <x:c r="H403" s="4" t="inlineStr">
        <x:is>
          <x:t xml:space="preserve">环保工程</x:t>
        </x:is>
      </x:c>
      <x:c r="I403" s="4" t="inlineStr">
        <x:is>
          <x:t xml:space="preserve">2020-08-17</x:t>
        </x:is>
      </x:c>
      <x:c r="J403" s="5" t="inlineStr">
        <x:is>
          <x:t xml:space="preserve">上海市杨浦区国权北路1688弄A7幢801室</x:t>
        </x:is>
      </x:c>
      <x:c r="K403" s="12" t="str">
        <x:f>LEFT("91310000585295915N",18)</x:f>
        <x:v>91310000585295915N</x:v>
      </x:c>
    </x:row>
    <x:row r="404">
      <x:c r="A404" s="2" t="n">
        <x:v>403</x:v>
      </x:c>
      <x:c r="B404" s="2" t="inlineStr">
        <x:is>
          <x:t xml:space="preserve">688336</x:t>
        </x:is>
      </x:c>
      <x:c r="C404" s="3" t="inlineStr">
        <x:is>
          <x:t xml:space="preserve">三生国健</x:t>
        </x:is>
      </x:c>
      <x:c r="D404" s="3" t="inlineStr">
        <x:is>
          <x:t xml:space="preserve">三生国健药业(上海)股份有限公司</x:t>
        </x:is>
      </x:c>
      <x:c r="E404" s="2" t="inlineStr">
        <x:is>
          <x:t xml:space="preserve">上海市</x:t>
        </x:is>
      </x:c>
      <x:c r="F404" s="2" t="inlineStr">
        <x:is>
          <x:t xml:space="preserve">上海市</x:t>
        </x:is>
      </x:c>
      <x:c r="G404" s="3" t="inlineStr">
        <x:is>
          <x:t xml:space="preserve">上海市-上海市</x:t>
        </x:is>
      </x:c>
      <x:c r="H404" s="2" t="inlineStr">
        <x:is>
          <x:t xml:space="preserve">生物制品</x:t>
        </x:is>
      </x:c>
      <x:c r="I404" s="2" t="inlineStr">
        <x:is>
          <x:t xml:space="preserve">2020-07-22</x:t>
        </x:is>
      </x:c>
      <x:c r="J404" s="3" t="inlineStr">
        <x:is>
          <x:t xml:space="preserve">中国(上海)自由贸易试验区李冰路399号</x:t>
        </x:is>
      </x:c>
      <x:c r="K404" s="12" t="str">
        <x:f>LEFT("91310000735408592G",18)</x:f>
        <x:v>91310000735408592G</x:v>
      </x:c>
    </x:row>
    <x:row r="405">
      <x:c r="A405" s="4" t="n">
        <x:v>404</x:v>
      </x:c>
      <x:c r="B405" s="4" t="inlineStr">
        <x:is>
          <x:t xml:space="preserve">688351</x:t>
        </x:is>
      </x:c>
      <x:c r="C405" s="5" t="inlineStr">
        <x:is>
          <x:t xml:space="preserve">微电生理</x:t>
        </x:is>
      </x:c>
      <x:c r="D405" s="5" t="inlineStr">
        <x:is>
          <x:t xml:space="preserve">上海微创电生理医疗科技股份有限公司</x:t>
        </x:is>
      </x:c>
      <x:c r="E405" s="4" t="inlineStr">
        <x:is>
          <x:t xml:space="preserve">上海市</x:t>
        </x:is>
      </x:c>
      <x:c r="F405" s="4" t="inlineStr">
        <x:is>
          <x:t xml:space="preserve">上海市</x:t>
        </x:is>
      </x:c>
      <x:c r="G405" s="5" t="inlineStr">
        <x:is>
          <x:t xml:space="preserve">上海市-上海市</x:t>
        </x:is>
      </x:c>
      <x:c r="H405" s="4" t="inlineStr">
        <x:is>
          <x:t xml:space="preserve">医疗器械</x:t>
        </x:is>
      </x:c>
      <x:c r="I405" s="4" t="inlineStr">
        <x:is>
          <x:t xml:space="preserve">2022-08-31</x:t>
        </x:is>
      </x:c>
      <x:c r="J405" s="5" t="inlineStr">
        <x:is>
          <x:t xml:space="preserve">上海市浦东新区周浦镇天雄路588弄1-28号第28幢</x:t>
        </x:is>
      </x:c>
      <x:c r="K405" s="12" t="str">
        <x:f>LEFT("913101155618553243",18)</x:f>
        <x:v>913101155618553200</x:v>
      </x:c>
    </x:row>
    <x:row r="406">
      <x:c r="A406" s="2" t="n">
        <x:v>405</x:v>
      </x:c>
      <x:c r="B406" s="2" t="inlineStr">
        <x:is>
          <x:t xml:space="preserve">688366</x:t>
        </x:is>
      </x:c>
      <x:c r="C406" s="3" t="inlineStr">
        <x:is>
          <x:t xml:space="preserve">昊海生科</x:t>
        </x:is>
      </x:c>
      <x:c r="D406" s="3" t="inlineStr">
        <x:is>
          <x:t xml:space="preserve">上海昊海生物科技股份有限公司</x:t>
        </x:is>
      </x:c>
      <x:c r="E406" s="2" t="inlineStr">
        <x:is>
          <x:t xml:space="preserve">上海市</x:t>
        </x:is>
      </x:c>
      <x:c r="F406" s="2" t="inlineStr">
        <x:is>
          <x:t xml:space="preserve">上海市</x:t>
        </x:is>
      </x:c>
      <x:c r="G406" s="3" t="inlineStr">
        <x:is>
          <x:t xml:space="preserve">上海市-上海市</x:t>
        </x:is>
      </x:c>
      <x:c r="H406" s="2" t="inlineStr">
        <x:is>
          <x:t xml:space="preserve">医疗器械</x:t>
        </x:is>
      </x:c>
      <x:c r="I406" s="2" t="inlineStr">
        <x:is>
          <x:t xml:space="preserve">2019-10-30</x:t>
        </x:is>
      </x:c>
      <x:c r="J406" s="3" t="inlineStr">
        <x:is>
          <x:t xml:space="preserve">中国上海松江工业区洞泾路5号</x:t>
        </x:is>
      </x:c>
      <x:c r="K406" s="12" t="str">
        <x:f>LEFT("91310000797066532Q",18)</x:f>
        <x:v>91310000797066532Q</x:v>
      </x:c>
    </x:row>
    <x:row r="407">
      <x:c r="A407" s="4" t="n">
        <x:v>406</x:v>
      </x:c>
      <x:c r="B407" s="4" t="inlineStr">
        <x:is>
          <x:t xml:space="preserve">688368</x:t>
        </x:is>
      </x:c>
      <x:c r="C407" s="5" t="inlineStr">
        <x:is>
          <x:t xml:space="preserve">晶丰明源</x:t>
        </x:is>
      </x:c>
      <x:c r="D407" s="5" t="inlineStr">
        <x:is>
          <x:t xml:space="preserve">上海晶丰明源半导体股份有限公司</x:t>
        </x:is>
      </x:c>
      <x:c r="E407" s="4" t="inlineStr">
        <x:is>
          <x:t xml:space="preserve">上海市</x:t>
        </x:is>
      </x:c>
      <x:c r="F407" s="4" t="inlineStr">
        <x:is>
          <x:t xml:space="preserve">上海市</x:t>
        </x:is>
      </x:c>
      <x:c r="G407" s="5" t="inlineStr">
        <x:is>
          <x:t xml:space="preserve">上海市-上海市</x:t>
        </x:is>
      </x:c>
      <x:c r="H407" s="4" t="inlineStr">
        <x:is>
          <x:t xml:space="preserve">半导体</x:t>
        </x:is>
      </x:c>
      <x:c r="I407" s="4" t="inlineStr">
        <x:is>
          <x:t xml:space="preserve">2019-10-14</x:t>
        </x:is>
      </x:c>
      <x:c r="J407" s="5" t="inlineStr">
        <x:is>
          <x:t xml:space="preserve">中国(上海)自由贸易试验区申江路5005弄3号9-11层、2号102单元</x:t>
        </x:is>
      </x:c>
      <x:c r="K407" s="12" t="str">
        <x:f>LEFT("913100006810384768",18)</x:f>
        <x:v>913100006810384800</x:v>
      </x:c>
    </x:row>
    <x:row r="408">
      <x:c r="A408" s="2" t="n">
        <x:v>407</x:v>
      </x:c>
      <x:c r="B408" s="2" t="inlineStr">
        <x:is>
          <x:t xml:space="preserve">688370</x:t>
        </x:is>
      </x:c>
      <x:c r="C408" s="3" t="inlineStr">
        <x:is>
          <x:t xml:space="preserve">丛麟科技</x:t>
        </x:is>
      </x:c>
      <x:c r="D408" s="3" t="inlineStr">
        <x:is>
          <x:t xml:space="preserve">上海丛麟环保科技股份有限公司</x:t>
        </x:is>
      </x:c>
      <x:c r="E408" s="2" t="inlineStr">
        <x:is>
          <x:t xml:space="preserve">上海市</x:t>
        </x:is>
      </x:c>
      <x:c r="F408" s="2" t="inlineStr">
        <x:is>
          <x:t xml:space="preserve">上海市</x:t>
        </x:is>
      </x:c>
      <x:c r="G408" s="3" t="inlineStr">
        <x:is>
          <x:t xml:space="preserve">上海市-上海市</x:t>
        </x:is>
      </x:c>
      <x:c r="H408" s="2" t="inlineStr">
        <x:is>
          <x:t xml:space="preserve">环保行业</x:t>
        </x:is>
      </x:c>
      <x:c r="I408" s="2" t="inlineStr">
        <x:is>
          <x:t xml:space="preserve">2022-08-25</x:t>
        </x:is>
      </x:c>
      <x:c r="J408" s="3" t="inlineStr">
        <x:is>
          <x:t xml:space="preserve">上海市闵行区闵虹路166弄3号2808室</x:t>
        </x:is>
      </x:c>
      <x:c r="K408" s="12" t="str">
        <x:f>LEFT("91310112MA1GBNPD17",18)</x:f>
        <x:v>91310112MA1GBNPD17</x:v>
      </x:c>
    </x:row>
    <x:row r="409">
      <x:c r="A409" s="4" t="n">
        <x:v>408</x:v>
      </x:c>
      <x:c r="B409" s="4" t="inlineStr">
        <x:is>
          <x:t xml:space="preserve">688372</x:t>
        </x:is>
      </x:c>
      <x:c r="C409" s="5" t="inlineStr">
        <x:is>
          <x:t xml:space="preserve">伟测科技</x:t>
        </x:is>
      </x:c>
      <x:c r="D409" s="5" t="inlineStr">
        <x:is>
          <x:t xml:space="preserve">上海伟测半导体科技股份有限公司</x:t>
        </x:is>
      </x:c>
      <x:c r="E409" s="4" t="inlineStr">
        <x:is>
          <x:t xml:space="preserve">上海市</x:t>
        </x:is>
      </x:c>
      <x:c r="F409" s="4" t="inlineStr">
        <x:is>
          <x:t xml:space="preserve">上海市</x:t>
        </x:is>
      </x:c>
      <x:c r="G409" s="5" t="inlineStr">
        <x:is>
          <x:t xml:space="preserve">上海市-上海市</x:t>
        </x:is>
      </x:c>
      <x:c r="H409" s="4" t="inlineStr">
        <x:is>
          <x:t xml:space="preserve">半导体</x:t>
        </x:is>
      </x:c>
      <x:c r="I409" s="4" t="inlineStr">
        <x:is>
          <x:t xml:space="preserve">2022-10-26</x:t>
        </x:is>
      </x:c>
      <x:c r="J409" s="5" t="inlineStr">
        <x:is>
          <x:t xml:space="preserve">上海市浦东新区东胜路38号A区2栋2F</x:t>
        </x:is>
      </x:c>
      <x:c r="K409" s="12" t="str">
        <x:f>LEFT("91310115MA1H7PY66D",18)</x:f>
        <x:v>91310115MA1H7PY66D</x:v>
      </x:c>
    </x:row>
    <x:row r="410">
      <x:c r="A410" s="2" t="n">
        <x:v>409</x:v>
      </x:c>
      <x:c r="B410" s="2" t="inlineStr">
        <x:is>
          <x:t xml:space="preserve">688373</x:t>
        </x:is>
      </x:c>
      <x:c r="C410" s="3" t="inlineStr">
        <x:is>
          <x:t xml:space="preserve">盟科药业</x:t>
        </x:is>
      </x:c>
      <x:c r="D410" s="3" t="inlineStr">
        <x:is>
          <x:t xml:space="preserve">上海盟科药业股份有限公司</x:t>
        </x:is>
      </x:c>
      <x:c r="E410" s="2" t="inlineStr">
        <x:is>
          <x:t xml:space="preserve">上海市</x:t>
        </x:is>
      </x:c>
      <x:c r="F410" s="2" t="inlineStr">
        <x:is>
          <x:t xml:space="preserve">上海市</x:t>
        </x:is>
      </x:c>
      <x:c r="G410" s="3" t="inlineStr">
        <x:is>
          <x:t xml:space="preserve">上海市-上海市</x:t>
        </x:is>
      </x:c>
      <x:c r="H410" s="2" t="inlineStr">
        <x:is>
          <x:t xml:space="preserve">生物制品</x:t>
        </x:is>
      </x:c>
      <x:c r="I410" s="2" t="inlineStr">
        <x:is>
          <x:t xml:space="preserve">2022-08-05</x:t>
        </x:is>
      </x:c>
      <x:c r="J410" s="3" t="inlineStr">
        <x:is>
          <x:t xml:space="preserve">中国(上海)自由贸易试验区爱迪生路53号1幢1-4层101、2幢</x:t>
        </x:is>
      </x:c>
      <x:c r="K410" s="12" t="str">
        <x:f>LEFT("91310115599770596C",18)</x:f>
        <x:v>91310115599770596C</x:v>
      </x:c>
    </x:row>
    <x:row r="411">
      <x:c r="A411" s="4" t="n">
        <x:v>410</x:v>
      </x:c>
      <x:c r="B411" s="4" t="inlineStr">
        <x:is>
          <x:t xml:space="preserve">688382</x:t>
        </x:is>
      </x:c>
      <x:c r="C411" s="5" t="inlineStr">
        <x:is>
          <x:t xml:space="preserve">益方生物</x:t>
        </x:is>
      </x:c>
      <x:c r="D411" s="5" t="inlineStr">
        <x:is>
          <x:t xml:space="preserve">益方生物科技(上海)股份有限公司</x:t>
        </x:is>
      </x:c>
      <x:c r="E411" s="4" t="inlineStr">
        <x:is>
          <x:t xml:space="preserve">上海市</x:t>
        </x:is>
      </x:c>
      <x:c r="F411" s="4" t="inlineStr">
        <x:is>
          <x:t xml:space="preserve">上海市</x:t>
        </x:is>
      </x:c>
      <x:c r="G411" s="5" t="inlineStr">
        <x:is>
          <x:t xml:space="preserve">上海市-上海市</x:t>
        </x:is>
      </x:c>
      <x:c r="H411" s="4" t="inlineStr">
        <x:is>
          <x:t xml:space="preserve">生物制品</x:t>
        </x:is>
      </x:c>
      <x:c r="I411" s="4" t="inlineStr">
        <x:is>
          <x:t xml:space="preserve">2022-07-25</x:t>
        </x:is>
      </x:c>
      <x:c r="J411" s="5" t="inlineStr">
        <x:is>
          <x:t xml:space="preserve">中国(上海)自由贸易试验区李冰路67弄4号210室</x:t>
        </x:is>
      </x:c>
      <x:c r="K411" s="12" t="str">
        <x:f>LEFT("913101150609007219",18)</x:f>
        <x:v>913101150609007200</x:v>
      </x:c>
    </x:row>
    <x:row r="412">
      <x:c r="A412" s="2" t="n">
        <x:v>411</x:v>
      </x:c>
      <x:c r="B412" s="2" t="inlineStr">
        <x:is>
          <x:t xml:space="preserve">688385</x:t>
        </x:is>
      </x:c>
      <x:c r="C412" s="3" t="inlineStr">
        <x:is>
          <x:t xml:space="preserve">复旦微电</x:t>
        </x:is>
      </x:c>
      <x:c r="D412" s="3" t="inlineStr">
        <x:is>
          <x:t xml:space="preserve">上海复旦微电子集团股份有限公司</x:t>
        </x:is>
      </x:c>
      <x:c r="E412" s="2" t="inlineStr">
        <x:is>
          <x:t xml:space="preserve">上海市</x:t>
        </x:is>
      </x:c>
      <x:c r="F412" s="2" t="inlineStr">
        <x:is>
          <x:t xml:space="preserve">上海市</x:t>
        </x:is>
      </x:c>
      <x:c r="G412" s="3" t="inlineStr">
        <x:is>
          <x:t xml:space="preserve">上海市-上海市</x:t>
        </x:is>
      </x:c>
      <x:c r="H412" s="2" t="inlineStr">
        <x:is>
          <x:t xml:space="preserve">半导体</x:t>
        </x:is>
      </x:c>
      <x:c r="I412" s="2" t="inlineStr">
        <x:is>
          <x:t xml:space="preserve">2021-08-04</x:t>
        </x:is>
      </x:c>
      <x:c r="J412" s="3" t="inlineStr">
        <x:is>
          <x:t xml:space="preserve">上海市邯郸路220号</x:t>
        </x:is>
      </x:c>
      <x:c r="K412" s="12" t="str">
        <x:f>LEFT("91310000631137409B",18)</x:f>
        <x:v>91310000631137409B</x:v>
      </x:c>
    </x:row>
    <x:row r="413">
      <x:c r="A413" s="4" t="n">
        <x:v>412</x:v>
      </x:c>
      <x:c r="B413" s="4" t="inlineStr">
        <x:is>
          <x:t xml:space="preserve">688391</x:t>
        </x:is>
      </x:c>
      <x:c r="C413" s="5" t="inlineStr">
        <x:is>
          <x:t xml:space="preserve">钜泉科技</x:t>
        </x:is>
      </x:c>
      <x:c r="D413" s="5" t="inlineStr">
        <x:is>
          <x:t xml:space="preserve">钜泉光电科技(上海)股份有限公司</x:t>
        </x:is>
      </x:c>
      <x:c r="E413" s="4" t="inlineStr">
        <x:is>
          <x:t xml:space="preserve">上海市</x:t>
        </x:is>
      </x:c>
      <x:c r="F413" s="4" t="inlineStr">
        <x:is>
          <x:t xml:space="preserve">上海市</x:t>
        </x:is>
      </x:c>
      <x:c r="G413" s="5" t="inlineStr">
        <x:is>
          <x:t xml:space="preserve">上海市-上海市</x:t>
        </x:is>
      </x:c>
      <x:c r="H413" s="4" t="inlineStr">
        <x:is>
          <x:t xml:space="preserve">半导体</x:t>
        </x:is>
      </x:c>
      <x:c r="I413" s="4" t="inlineStr">
        <x:is>
          <x:t xml:space="preserve">2022-09-13</x:t>
        </x:is>
      </x:c>
      <x:c r="J413" s="5" t="inlineStr">
        <x:is>
          <x:t xml:space="preserve">中国(上海)自由贸易试验区张东路1388号16幢101室</x:t>
        </x:is>
      </x:c>
      <x:c r="K413" s="12" t="str">
        <x:f>LEFT("91310000775216587B",18)</x:f>
        <x:v>91310000775216587B</x:v>
      </x:c>
    </x:row>
    <x:row r="414">
      <x:c r="A414" s="2" t="n">
        <x:v>413</x:v>
      </x:c>
      <x:c r="B414" s="2" t="inlineStr">
        <x:is>
          <x:t xml:space="preserve">688392</x:t>
        </x:is>
      </x:c>
      <x:c r="C414" s="3" t="inlineStr">
        <x:is>
          <x:t xml:space="preserve">骄成超声</x:t>
        </x:is>
      </x:c>
      <x:c r="D414" s="3" t="inlineStr">
        <x:is>
          <x:t xml:space="preserve">上海骄成超声波技术股份有限公司</x:t>
        </x:is>
      </x:c>
      <x:c r="E414" s="2" t="inlineStr">
        <x:is>
          <x:t xml:space="preserve">上海市</x:t>
        </x:is>
      </x:c>
      <x:c r="F414" s="2" t="inlineStr">
        <x:is>
          <x:t xml:space="preserve">上海市</x:t>
        </x:is>
      </x:c>
      <x:c r="G414" s="3" t="inlineStr">
        <x:is>
          <x:t xml:space="preserve">上海市-上海市</x:t>
        </x:is>
      </x:c>
      <x:c r="H414" s="2" t="inlineStr">
        <x:is>
          <x:t xml:space="preserve">专用设备</x:t>
        </x:is>
      </x:c>
      <x:c r="I414" s="2" t="inlineStr">
        <x:is>
          <x:t xml:space="preserve">2022-09-27</x:t>
        </x:is>
      </x:c>
      <x:c r="J414" s="3" t="inlineStr">
        <x:is>
          <x:t xml:space="preserve">上海市闵行区沧源路1488号2幢三层</x:t>
        </x:is>
      </x:c>
      <x:c r="K414" s="12" t="str">
        <x:f>LEFT("91310112798906038F",18)</x:f>
        <x:v>91310112798906038F</x:v>
      </x:c>
    </x:row>
    <x:row r="415">
      <x:c r="A415" s="4" t="n">
        <x:v>414</x:v>
      </x:c>
      <x:c r="B415" s="4" t="inlineStr">
        <x:is>
          <x:t xml:space="preserve">688435</x:t>
        </x:is>
      </x:c>
      <x:c r="C415" s="5" t="inlineStr">
        <x:is>
          <x:t xml:space="preserve">英方软件</x:t>
        </x:is>
      </x:c>
      <x:c r="D415" s="5" t="inlineStr">
        <x:is>
          <x:t xml:space="preserve">上海英方软件股份有限公司</x:t>
        </x:is>
      </x:c>
      <x:c r="E415" s="4" t="inlineStr">
        <x:is>
          <x:t xml:space="preserve">上海市</x:t>
        </x:is>
      </x:c>
      <x:c r="F415" s="4" t="inlineStr">
        <x:is>
          <x:t xml:space="preserve">上海市</x:t>
        </x:is>
      </x:c>
      <x:c r="G415" s="5" t="inlineStr">
        <x:is>
          <x:t xml:space="preserve">上海市-上海市</x:t>
        </x:is>
      </x:c>
      <x:c r="H415" s="4" t="inlineStr">
        <x:is>
          <x:t xml:space="preserve">软件开发</x:t>
        </x:is>
      </x:c>
      <x:c r="I415" s="4" t="inlineStr">
        <x:is>
          <x:t xml:space="preserve">2023-01-19</x:t>
        </x:is>
      </x:c>
      <x:c r="J415" s="5" t="inlineStr">
        <x:is>
          <x:t xml:space="preserve">上海市黄浦区制造局路787号二幢151A室</x:t>
        </x:is>
      </x:c>
      <x:c r="K415" s="12" t="str">
        <x:f>LEFT("91310000580604539W",18)</x:f>
        <x:v>91310000580604539W</x:v>
      </x:c>
    </x:row>
    <x:row r="416">
      <x:c r="A416" s="2" t="n">
        <x:v>415</x:v>
      </x:c>
      <x:c r="B416" s="2" t="inlineStr">
        <x:is>
          <x:t xml:space="preserve">688479</x:t>
        </x:is>
      </x:c>
      <x:c r="C416" s="3" t="inlineStr">
        <x:is>
          <x:t xml:space="preserve">友车科技</x:t>
        </x:is>
      </x:c>
      <x:c r="D416" s="3" t="inlineStr">
        <x:is>
          <x:t xml:space="preserve">用友汽车信息科技(上海)股份有限公司</x:t>
        </x:is>
      </x:c>
      <x:c r="E416" s="2" t="inlineStr">
        <x:is>
          <x:t xml:space="preserve">上海市</x:t>
        </x:is>
      </x:c>
      <x:c r="F416" s="2" t="inlineStr">
        <x:is>
          <x:t xml:space="preserve">上海市</x:t>
        </x:is>
      </x:c>
      <x:c r="G416" s="3" t="inlineStr">
        <x:is>
          <x:t xml:space="preserve">上海市-上海市</x:t>
        </x:is>
      </x:c>
      <x:c r="H416" s="2" t="inlineStr">
        <x:is>
          <x:t xml:space="preserve">汽车服务</x:t>
        </x:is>
      </x:c>
      <x:c r="I416" s="2" t="inlineStr">
        <x:is>
          <x:t xml:space="preserve">2023-05-11</x:t>
        </x:is>
      </x:c>
      <x:c r="J416" s="3" t="inlineStr">
        <x:is>
          <x:t xml:space="preserve">上海市普陀区泸定路276弄1号201室</x:t>
        </x:is>
      </x:c>
      <x:c r="K416" s="12" t="str">
        <x:f>LEFT("91310000748059571K",18)</x:f>
        <x:v>91310000748059571K</x:v>
      </x:c>
    </x:row>
    <x:row r="417">
      <x:c r="A417" s="4" t="n">
        <x:v>416</x:v>
      </x:c>
      <x:c r="B417" s="4" t="inlineStr">
        <x:is>
          <x:t xml:space="preserve">688484</x:t>
        </x:is>
      </x:c>
      <x:c r="C417" s="5" t="inlineStr">
        <x:is>
          <x:t xml:space="preserve">南芯科技</x:t>
        </x:is>
      </x:c>
      <x:c r="D417" s="5" t="inlineStr">
        <x:is>
          <x:t xml:space="preserve">上海南芯半导体科技股份有限公司</x:t>
        </x:is>
      </x:c>
      <x:c r="E417" s="4" t="inlineStr">
        <x:is>
          <x:t xml:space="preserve">上海市</x:t>
        </x:is>
      </x:c>
      <x:c r="F417" s="4" t="inlineStr">
        <x:is>
          <x:t xml:space="preserve">上海市</x:t>
        </x:is>
      </x:c>
      <x:c r="G417" s="5" t="inlineStr">
        <x:is>
          <x:t xml:space="preserve">上海市-上海市</x:t>
        </x:is>
      </x:c>
      <x:c r="H417" s="4" t="inlineStr">
        <x:is>
          <x:t xml:space="preserve">半导体</x:t>
        </x:is>
      </x:c>
      <x:c r="I417" s="4" t="inlineStr">
        <x:is>
          <x:t xml:space="preserve">2023-04-07</x:t>
        </x:is>
      </x:c>
      <x:c r="J417" s="5" t="inlineStr">
        <x:is>
          <x:t xml:space="preserve">中国(上海)自由贸易试验区盛夏路565弄54号(4幢)1601</x:t>
        </x:is>
      </x:c>
      <x:c r="K417" s="12" t="str">
        <x:f>LEFT("91310110351027504X",18)</x:f>
        <x:v>91310110351027504X</x:v>
      </x:c>
    </x:row>
    <x:row r="418">
      <x:c r="A418" s="2" t="n">
        <x:v>417</x:v>
      </x:c>
      <x:c r="B418" s="2" t="inlineStr">
        <x:is>
          <x:t xml:space="preserve">688505</x:t>
        </x:is>
      </x:c>
      <x:c r="C418" s="3" t="inlineStr">
        <x:is>
          <x:t xml:space="preserve">复旦张江</x:t>
        </x:is>
      </x:c>
      <x:c r="D418" s="3" t="inlineStr">
        <x:is>
          <x:t xml:space="preserve">上海复旦张江生物医药股份有限公司</x:t>
        </x:is>
      </x:c>
      <x:c r="E418" s="2" t="inlineStr">
        <x:is>
          <x:t xml:space="preserve">上海市</x:t>
        </x:is>
      </x:c>
      <x:c r="F418" s="2" t="inlineStr">
        <x:is>
          <x:t xml:space="preserve">上海市</x:t>
        </x:is>
      </x:c>
      <x:c r="G418" s="3" t="inlineStr">
        <x:is>
          <x:t xml:space="preserve">上海市-上海市</x:t>
        </x:is>
      </x:c>
      <x:c r="H418" s="2" t="inlineStr">
        <x:is>
          <x:t xml:space="preserve">医药制造</x:t>
        </x:is>
      </x:c>
      <x:c r="I418" s="2" t="inlineStr">
        <x:is>
          <x:t xml:space="preserve">2020-06-19</x:t>
        </x:is>
      </x:c>
      <x:c r="J418" s="3" t="inlineStr">
        <x:is>
          <x:t xml:space="preserve">上海市浦东新区张江高科技园区蔡伦路308号</x:t>
        </x:is>
      </x:c>
      <x:c r="K418" s="12" t="str">
        <x:f>LEFT("91310000630630488L",18)</x:f>
        <x:v>91310000630630488L</x:v>
      </x:c>
    </x:row>
    <x:row r="419">
      <x:c r="A419" s="4" t="n">
        <x:v>418</x:v>
      </x:c>
      <x:c r="B419" s="4" t="inlineStr">
        <x:is>
          <x:t xml:space="preserve">688507</x:t>
        </x:is>
      </x:c>
      <x:c r="C419" s="5" t="inlineStr">
        <x:is>
          <x:t xml:space="preserve">索辰科技</x:t>
        </x:is>
      </x:c>
      <x:c r="D419" s="5" t="inlineStr">
        <x:is>
          <x:t xml:space="preserve">上海索辰信息科技股份有限公司</x:t>
        </x:is>
      </x:c>
      <x:c r="E419" s="4" t="inlineStr">
        <x:is>
          <x:t xml:space="preserve">上海市</x:t>
        </x:is>
      </x:c>
      <x:c r="F419" s="4" t="inlineStr">
        <x:is>
          <x:t xml:space="preserve">上海市</x:t>
        </x:is>
      </x:c>
      <x:c r="G419" s="5" t="inlineStr">
        <x:is>
          <x:t xml:space="preserve">上海市-上海市</x:t>
        </x:is>
      </x:c>
      <x:c r="H419" s="4" t="inlineStr">
        <x:is>
          <x:t xml:space="preserve">软件开发</x:t>
        </x:is>
      </x:c>
      <x:c r="I419" s="4" t="inlineStr">
        <x:is>
          <x:t xml:space="preserve">2023-04-18</x:t>
        </x:is>
      </x:c>
      <x:c r="J419" s="5" t="inlineStr">
        <x:is>
          <x:t xml:space="preserve">中国(上海)自由贸易试验区新金桥路27号13号楼2层</x:t>
        </x:is>
      </x:c>
      <x:c r="K419" s="12" t="str">
        <x:f>LEFT("91310000785643574Y",18)</x:f>
        <x:v>91310000785643574Y</x:v>
      </x:c>
    </x:row>
    <x:row r="420">
      <x:c r="A420" s="2" t="n">
        <x:v>419</x:v>
      </x:c>
      <x:c r="B420" s="2" t="inlineStr">
        <x:is>
          <x:t xml:space="preserve">688519</x:t>
        </x:is>
      </x:c>
      <x:c r="C420" s="3" t="inlineStr">
        <x:is>
          <x:t xml:space="preserve">南亚新材</x:t>
        </x:is>
      </x:c>
      <x:c r="D420" s="3" t="inlineStr">
        <x:is>
          <x:t xml:space="preserve">南亚新材料科技股份有限公司</x:t>
        </x:is>
      </x:c>
      <x:c r="E420" s="2" t="inlineStr">
        <x:is>
          <x:t xml:space="preserve">上海市</x:t>
        </x:is>
      </x:c>
      <x:c r="F420" s="2" t="inlineStr">
        <x:is>
          <x:t xml:space="preserve">上海市</x:t>
        </x:is>
      </x:c>
      <x:c r="G420" s="3" t="inlineStr">
        <x:is>
          <x:t xml:space="preserve">上海市-上海市</x:t>
        </x:is>
      </x:c>
      <x:c r="H420" s="2" t="inlineStr">
        <x:is>
          <x:t xml:space="preserve">电子元件</x:t>
        </x:is>
      </x:c>
      <x:c r="I420" s="2" t="inlineStr">
        <x:is>
          <x:t xml:space="preserve">2020-08-18</x:t>
        </x:is>
      </x:c>
      <x:c r="J420" s="3" t="inlineStr">
        <x:is>
          <x:t xml:space="preserve">上海市嘉定区南翔镇昌翔路158号</x:t>
        </x:is>
      </x:c>
      <x:c r="K420" s="12" t="str">
        <x:f>LEFT("913101147030104249",18)</x:f>
        <x:v>913101147030104200</x:v>
      </x:c>
    </x:row>
    <x:row r="421">
      <x:c r="A421" s="4" t="n">
        <x:v>420</x:v>
      </x:c>
      <x:c r="B421" s="4" t="inlineStr">
        <x:is>
          <x:t xml:space="preserve">688521</x:t>
        </x:is>
      </x:c>
      <x:c r="C421" s="5" t="inlineStr">
        <x:is>
          <x:t xml:space="preserve">芯原股份</x:t>
        </x:is>
      </x:c>
      <x:c r="D421" s="5" t="inlineStr">
        <x:is>
          <x:t xml:space="preserve">芯原微电子(上海)股份有限公司</x:t>
        </x:is>
      </x:c>
      <x:c r="E421" s="4" t="inlineStr">
        <x:is>
          <x:t xml:space="preserve">上海市</x:t>
        </x:is>
      </x:c>
      <x:c r="F421" s="4" t="inlineStr">
        <x:is>
          <x:t xml:space="preserve">上海市</x:t>
        </x:is>
      </x:c>
      <x:c r="G421" s="5" t="inlineStr">
        <x:is>
          <x:t xml:space="preserve">上海市-上海市</x:t>
        </x:is>
      </x:c>
      <x:c r="H421" s="4" t="inlineStr">
        <x:is>
          <x:t xml:space="preserve">半导体</x:t>
        </x:is>
      </x:c>
      <x:c r="I421" s="4" t="inlineStr">
        <x:is>
          <x:t xml:space="preserve">2020-08-18</x:t>
        </x:is>
      </x:c>
      <x:c r="J421" s="5" t="inlineStr">
        <x:is>
          <x:t xml:space="preserve">中国(上海)自由贸易试验区春晓路289号张江大厦20A</x:t>
        </x:is>
      </x:c>
      <x:c r="K421" s="12" t="str">
        <x:f>LEFT("91310115703490552J",18)</x:f>
        <x:v>91310115703490552J</x:v>
      </x:c>
    </x:row>
    <x:row r="422">
      <x:c r="A422" s="2" t="n">
        <x:v>421</x:v>
      </x:c>
      <x:c r="B422" s="2" t="inlineStr">
        <x:is>
          <x:t xml:space="preserve">688538</x:t>
        </x:is>
      </x:c>
      <x:c r="C422" s="3" t="inlineStr">
        <x:is>
          <x:t xml:space="preserve">和辉光电</x:t>
        </x:is>
      </x:c>
      <x:c r="D422" s="3" t="inlineStr">
        <x:is>
          <x:t xml:space="preserve">上海和辉光电股份有限公司</x:t>
        </x:is>
      </x:c>
      <x:c r="E422" s="2" t="inlineStr">
        <x:is>
          <x:t xml:space="preserve">上海市</x:t>
        </x:is>
      </x:c>
      <x:c r="F422" s="2" t="inlineStr">
        <x:is>
          <x:t xml:space="preserve">上海市</x:t>
        </x:is>
      </x:c>
      <x:c r="G422" s="3" t="inlineStr">
        <x:is>
          <x:t xml:space="preserve">上海市-上海市</x:t>
        </x:is>
      </x:c>
      <x:c r="H422" s="2" t="inlineStr">
        <x:is>
          <x:t xml:space="preserve">光学光电子</x:t>
        </x:is>
      </x:c>
      <x:c r="I422" s="2" t="inlineStr">
        <x:is>
          <x:t xml:space="preserve">2021-05-28</x:t>
        </x:is>
      </x:c>
      <x:c r="J422" s="3" t="inlineStr">
        <x:is>
          <x:t xml:space="preserve">上海市金山工业区九工路1568号</x:t>
        </x:is>
      </x:c>
      <x:c r="K422" s="12" t="str">
        <x:f>LEFT("91310116055891904H",18)</x:f>
        <x:v>91310116055891904H</x:v>
      </x:c>
    </x:row>
    <x:row r="423">
      <x:c r="A423" s="4" t="n">
        <x:v>422</x:v>
      </x:c>
      <x:c r="B423" s="4" t="inlineStr">
        <x:is>
          <x:t xml:space="preserve">688578</x:t>
        </x:is>
      </x:c>
      <x:c r="C423" s="5" t="inlineStr">
        <x:is>
          <x:t xml:space="preserve">艾力斯</x:t>
        </x:is>
      </x:c>
      <x:c r="D423" s="5" t="inlineStr">
        <x:is>
          <x:t xml:space="preserve">上海艾力斯医药科技股份有限公司</x:t>
        </x:is>
      </x:c>
      <x:c r="E423" s="4" t="inlineStr">
        <x:is>
          <x:t xml:space="preserve">上海市</x:t>
        </x:is>
      </x:c>
      <x:c r="F423" s="4" t="inlineStr">
        <x:is>
          <x:t xml:space="preserve">上海市</x:t>
        </x:is>
      </x:c>
      <x:c r="G423" s="5" t="inlineStr">
        <x:is>
          <x:t xml:space="preserve">上海市-上海市</x:t>
        </x:is>
      </x:c>
      <x:c r="H423" s="4" t="inlineStr">
        <x:is>
          <x:t xml:space="preserve">医药制造</x:t>
        </x:is>
      </x:c>
      <x:c r="I423" s="4" t="inlineStr">
        <x:is>
          <x:t xml:space="preserve">2020-12-02</x:t>
        </x:is>
      </x:c>
      <x:c r="J423" s="5" t="inlineStr">
        <x:is>
          <x:t xml:space="preserve">上海市浦东新区周浦镇凌霄花路268号</x:t>
        </x:is>
      </x:c>
      <x:c r="K423" s="12" t="str">
        <x:f>LEFT("91310115759595927U",18)</x:f>
        <x:v>91310115759595927U</x:v>
      </x:c>
    </x:row>
    <x:row r="424">
      <x:c r="A424" s="2" t="n">
        <x:v>423</x:v>
      </x:c>
      <x:c r="B424" s="2" t="inlineStr">
        <x:is>
          <x:t xml:space="preserve">688584</x:t>
        </x:is>
      </x:c>
      <x:c r="C424" s="3" t="inlineStr">
        <x:is>
          <x:t xml:space="preserve">上海合晶</x:t>
        </x:is>
      </x:c>
      <x:c r="D424" s="3" t="inlineStr">
        <x:is>
          <x:t xml:space="preserve">上海合晶硅材料股份有限公司</x:t>
        </x:is>
      </x:c>
      <x:c r="E424" s="2" t="inlineStr">
        <x:is>
          <x:t xml:space="preserve">上海市</x:t>
        </x:is>
      </x:c>
      <x:c r="F424" s="2" t="inlineStr">
        <x:is>
          <x:t xml:space="preserve">上海市</x:t>
        </x:is>
      </x:c>
      <x:c r="G424" s="3" t="inlineStr">
        <x:is>
          <x:t xml:space="preserve">上海市-上海市</x:t>
        </x:is>
      </x:c>
      <x:c r="H424" s="2" t="inlineStr">
        <x:is>
          <x:t xml:space="preserve">半导体</x:t>
        </x:is>
      </x:c>
      <x:c r="I424" s="2" t="inlineStr">
        <x:is>
          <x:t xml:space="preserve">2024-02-08</x:t>
        </x:is>
      </x:c>
      <x:c r="J424" s="3" t="inlineStr">
        <x:is>
          <x:t xml:space="preserve">上海市松江区石湖荡镇长塔路558号</x:t>
        </x:is>
      </x:c>
      <x:c r="K424" s="12" t="str">
        <x:f>LEFT("91310000607286404W",18)</x:f>
        <x:v>91310000607286404W</x:v>
      </x:c>
    </x:row>
    <x:row r="425">
      <x:c r="A425" s="4" t="n">
        <x:v>424</x:v>
      </x:c>
      <x:c r="B425" s="4" t="inlineStr">
        <x:is>
          <x:t xml:space="preserve">688585</x:t>
        </x:is>
      </x:c>
      <x:c r="C425" s="5" t="inlineStr">
        <x:is>
          <x:t xml:space="preserve">上纬新材</x:t>
        </x:is>
      </x:c>
      <x:c r="D425" s="5" t="inlineStr">
        <x:is>
          <x:t xml:space="preserve">上纬新材料科技股份有限公司</x:t>
        </x:is>
      </x:c>
      <x:c r="E425" s="4" t="inlineStr">
        <x:is>
          <x:t xml:space="preserve">上海市</x:t>
        </x:is>
      </x:c>
      <x:c r="F425" s="4" t="inlineStr">
        <x:is>
          <x:t xml:space="preserve">上海市</x:t>
        </x:is>
      </x:c>
      <x:c r="G425" s="5" t="inlineStr">
        <x:is>
          <x:t xml:space="preserve">上海市-上海市</x:t>
        </x:is>
      </x:c>
      <x:c r="H425" s="4" t="inlineStr">
        <x:is>
          <x:t xml:space="preserve">塑料制品</x:t>
        </x:is>
      </x:c>
      <x:c r="I425" s="4" t="inlineStr">
        <x:is>
          <x:t xml:space="preserve">2020-09-28</x:t>
        </x:is>
      </x:c>
      <x:c r="J425" s="5" t="inlineStr">
        <x:is>
          <x:t xml:space="preserve">上海市松江区松胜路618号</x:t>
        </x:is>
      </x:c>
      <x:c r="K425" s="12" t="str">
        <x:f>LEFT("9131000060742212X5",18)</x:f>
        <x:v>9131000060742212X5</x:v>
      </x:c>
    </x:row>
    <x:row r="426">
      <x:c r="A426" s="2" t="n">
        <x:v>425</x:v>
      </x:c>
      <x:c r="B426" s="2" t="inlineStr">
        <x:is>
          <x:t xml:space="preserve">688590</x:t>
        </x:is>
      </x:c>
      <x:c r="C426" s="3" t="inlineStr">
        <x:is>
          <x:t xml:space="preserve">新致软件</x:t>
        </x:is>
      </x:c>
      <x:c r="D426" s="3" t="inlineStr">
        <x:is>
          <x:t xml:space="preserve">上海新致软件股份有限公司</x:t>
        </x:is>
      </x:c>
      <x:c r="E426" s="2" t="inlineStr">
        <x:is>
          <x:t xml:space="preserve">上海市</x:t>
        </x:is>
      </x:c>
      <x:c r="F426" s="2" t="inlineStr">
        <x:is>
          <x:t xml:space="preserve">上海市</x:t>
        </x:is>
      </x:c>
      <x:c r="G426" s="3" t="inlineStr">
        <x:is>
          <x:t xml:space="preserve">上海市-上海市</x:t>
        </x:is>
      </x:c>
      <x:c r="H426" s="2" t="inlineStr">
        <x:is>
          <x:t xml:space="preserve">软件服务</x:t>
        </x:is>
      </x:c>
      <x:c r="I426" s="2" t="inlineStr">
        <x:is>
          <x:t xml:space="preserve">2020-12-07</x:t>
        </x:is>
      </x:c>
      <x:c r="J426" s="3" t="inlineStr">
        <x:is>
          <x:t xml:space="preserve">上海市浦东新区康杉路308号</x:t>
        </x:is>
      </x:c>
      <x:c r="K426" s="12" t="str">
        <x:f>LEFT("913100006075916282",18)</x:f>
        <x:v>913100006075916300</x:v>
      </x:c>
    </x:row>
    <x:row r="427">
      <x:c r="A427" s="4" t="n">
        <x:v>426</x:v>
      </x:c>
      <x:c r="B427" s="4" t="inlineStr">
        <x:is>
          <x:t xml:space="preserve">688591</x:t>
        </x:is>
      </x:c>
      <x:c r="C427" s="5" t="inlineStr">
        <x:is>
          <x:t xml:space="preserve">泰凌微</x:t>
        </x:is>
      </x:c>
      <x:c r="D427" s="5" t="inlineStr">
        <x:is>
          <x:t xml:space="preserve">泰凌微电子(上海)股份有限公司</x:t>
        </x:is>
      </x:c>
      <x:c r="E427" s="4" t="inlineStr">
        <x:is>
          <x:t xml:space="preserve">上海市</x:t>
        </x:is>
      </x:c>
      <x:c r="F427" s="4" t="inlineStr">
        <x:is>
          <x:t xml:space="preserve">上海市</x:t>
        </x:is>
      </x:c>
      <x:c r="G427" s="5" t="inlineStr">
        <x:is>
          <x:t xml:space="preserve">上海市-上海市</x:t>
        </x:is>
      </x:c>
      <x:c r="H427" s="4" t="inlineStr">
        <x:is>
          <x:t xml:space="preserve">半导体</x:t>
        </x:is>
      </x:c>
      <x:c r="I427" s="4" t="inlineStr">
        <x:is>
          <x:t xml:space="preserve">2023-08-25</x:t>
        </x:is>
      </x:c>
      <x:c r="J427" s="5" t="inlineStr">
        <x:is>
          <x:t xml:space="preserve">中国(上海)自由贸易试验区盛夏路61弄1号电梯楼层10层、11层(实际楼层9层、10层)</x:t>
        </x:is>
      </x:c>
      <x:c r="K427" s="12" t="str">
        <x:f>LEFT("91310000557430243L",18)</x:f>
        <x:v>91310000557430243L</x:v>
      </x:c>
    </x:row>
    <x:row r="428">
      <x:c r="A428" s="2" t="n">
        <x:v>427</x:v>
      </x:c>
      <x:c r="B428" s="2" t="inlineStr">
        <x:is>
          <x:t xml:space="preserve">688592</x:t>
        </x:is>
      </x:c>
      <x:c r="C428" s="3" t="inlineStr">
        <x:is>
          <x:t xml:space="preserve">司南导航</x:t>
        </x:is>
      </x:c>
      <x:c r="D428" s="3" t="inlineStr">
        <x:is>
          <x:t xml:space="preserve">上海司南导航技术股份有限公司</x:t>
        </x:is>
      </x:c>
      <x:c r="E428" s="2" t="inlineStr">
        <x:is>
          <x:t xml:space="preserve">上海市</x:t>
        </x:is>
      </x:c>
      <x:c r="F428" s="2" t="inlineStr">
        <x:is>
          <x:t xml:space="preserve">上海市</x:t>
        </x:is>
      </x:c>
      <x:c r="G428" s="3" t="inlineStr">
        <x:is>
          <x:t xml:space="preserve">上海市-上海市</x:t>
        </x:is>
      </x:c>
      <x:c r="H428" s="2" t="inlineStr">
        <x:is>
          <x:t xml:space="preserve">计算机设备</x:t>
        </x:is>
      </x:c>
      <x:c r="I428" s="2" t="inlineStr">
        <x:is>
          <x:t xml:space="preserve">2023-08-16</x:t>
        </x:is>
      </x:c>
      <x:c r="J428" s="3" t="inlineStr">
        <x:is>
          <x:t xml:space="preserve">上海市嘉定区马陆镇澄浏中路618号2幢3楼</x:t>
        </x:is>
      </x:c>
      <x:c r="K428" s="12" t="str">
        <x:f>LEFT("91310000590448621H",18)</x:f>
        <x:v>91310000590448621H</x:v>
      </x:c>
    </x:row>
    <x:row r="429">
      <x:c r="A429" s="4" t="n">
        <x:v>428</x:v>
      </x:c>
      <x:c r="B429" s="4" t="inlineStr">
        <x:is>
          <x:t xml:space="preserve">688593</x:t>
        </x:is>
      </x:c>
      <x:c r="C429" s="5" t="inlineStr">
        <x:is>
          <x:t xml:space="preserve">新相微</x:t>
        </x:is>
      </x:c>
      <x:c r="D429" s="5" t="inlineStr">
        <x:is>
          <x:t xml:space="preserve">上海新相微电子股份有限公司</x:t>
        </x:is>
      </x:c>
      <x:c r="E429" s="4" t="inlineStr">
        <x:is>
          <x:t xml:space="preserve">上海市</x:t>
        </x:is>
      </x:c>
      <x:c r="F429" s="4" t="inlineStr">
        <x:is>
          <x:t xml:space="preserve">上海市</x:t>
        </x:is>
      </x:c>
      <x:c r="G429" s="5" t="inlineStr">
        <x:is>
          <x:t xml:space="preserve">上海市-上海市</x:t>
        </x:is>
      </x:c>
      <x:c r="H429" s="4" t="inlineStr">
        <x:is>
          <x:t xml:space="preserve">半导体</x:t>
        </x:is>
      </x:c>
      <x:c r="I429" s="4" t="inlineStr">
        <x:is>
          <x:t xml:space="preserve">2023-06-01</x:t>
        </x:is>
      </x:c>
      <x:c r="J429" s="5" t="inlineStr">
        <x:is>
          <x:t xml:space="preserve">上海市徐汇区苍梧路10号3层</x:t>
        </x:is>
      </x:c>
      <x:c r="K429" s="12" t="str">
        <x:f>LEFT("91310000772864810L",18)</x:f>
        <x:v>91310000772864810L</x:v>
      </x:c>
    </x:row>
    <x:row r="430">
      <x:c r="A430" s="2" t="n">
        <x:v>429</x:v>
      </x:c>
      <x:c r="B430" s="2" t="inlineStr">
        <x:is>
          <x:t xml:space="preserve">688596</x:t>
        </x:is>
      </x:c>
      <x:c r="C430" s="3" t="inlineStr">
        <x:is>
          <x:t xml:space="preserve">正帆科技</x:t>
        </x:is>
      </x:c>
      <x:c r="D430" s="3" t="inlineStr">
        <x:is>
          <x:t xml:space="preserve">上海正帆科技股份有限公司</x:t>
        </x:is>
      </x:c>
      <x:c r="E430" s="2" t="inlineStr">
        <x:is>
          <x:t xml:space="preserve">上海市</x:t>
        </x:is>
      </x:c>
      <x:c r="F430" s="2" t="inlineStr">
        <x:is>
          <x:t xml:space="preserve">上海市</x:t>
        </x:is>
      </x:c>
      <x:c r="G430" s="3" t="inlineStr">
        <x:is>
          <x:t xml:space="preserve">上海市-上海市</x:t>
        </x:is>
      </x:c>
      <x:c r="H430" s="2" t="inlineStr">
        <x:is>
          <x:t xml:space="preserve">专用设备</x:t>
        </x:is>
      </x:c>
      <x:c r="I430" s="2" t="inlineStr">
        <x:is>
          <x:t xml:space="preserve">2020-08-20</x:t>
        </x:is>
      </x:c>
      <x:c r="J430" s="3" t="inlineStr">
        <x:is>
          <x:t xml:space="preserve">上海市闵行区春永路55号2幢</x:t>
        </x:is>
      </x:c>
      <x:c r="K430" s="12" t="str">
        <x:f>LEFT("91310000695772014M",18)</x:f>
        <x:v>91310000695772014M</x:v>
      </x:c>
    </x:row>
    <x:row r="431">
      <x:c r="A431" s="4" t="n">
        <x:v>430</x:v>
      </x:c>
      <x:c r="B431" s="4" t="inlineStr">
        <x:is>
          <x:t xml:space="preserve">688602</x:t>
        </x:is>
      </x:c>
      <x:c r="C431" s="5" t="inlineStr">
        <x:is>
          <x:t xml:space="preserve">康鹏科技</x:t>
        </x:is>
      </x:c>
      <x:c r="D431" s="5" t="inlineStr">
        <x:is>
          <x:t xml:space="preserve">上海康鹏科技股份有限公司</x:t>
        </x:is>
      </x:c>
      <x:c r="E431" s="4" t="inlineStr">
        <x:is>
          <x:t xml:space="preserve">上海市</x:t>
        </x:is>
      </x:c>
      <x:c r="F431" s="4" t="inlineStr">
        <x:is>
          <x:t xml:space="preserve">上海市</x:t>
        </x:is>
      </x:c>
      <x:c r="G431" s="5" t="inlineStr">
        <x:is>
          <x:t xml:space="preserve">上海市-上海市</x:t>
        </x:is>
      </x:c>
      <x:c r="H431" s="4" t="inlineStr">
        <x:is>
          <x:t xml:space="preserve">化学制品</x:t>
        </x:is>
      </x:c>
      <x:c r="I431" s="4" t="inlineStr">
        <x:is>
          <x:t xml:space="preserve">2023-07-20</x:t>
        </x:is>
      </x:c>
      <x:c r="J431" s="5" t="inlineStr">
        <x:is>
          <x:t xml:space="preserve">上海市普陀区祁连山南路2891弄200号1幢</x:t>
        </x:is>
      </x:c>
      <x:c r="K431" s="12" t="str">
        <x:f>LEFT("91310000632043877H",18)</x:f>
        <x:v>91310000632043877H</x:v>
      </x:c>
    </x:row>
    <x:row r="432">
      <x:c r="A432" s="2" t="n">
        <x:v>431</x:v>
      </x:c>
      <x:c r="B432" s="2" t="inlineStr">
        <x:is>
          <x:t xml:space="preserve">688603</x:t>
        </x:is>
      </x:c>
      <x:c r="C432" s="3" t="inlineStr">
        <x:is>
          <x:t xml:space="preserve">天承科技</x:t>
        </x:is>
      </x:c>
      <x:c r="D432" s="3" t="inlineStr">
        <x:is>
          <x:t xml:space="preserve">上海天承科技股份有限公司</x:t>
        </x:is>
      </x:c>
      <x:c r="E432" s="2" t="inlineStr">
        <x:is>
          <x:t xml:space="preserve">上海市</x:t>
        </x:is>
      </x:c>
      <x:c r="F432" s="2" t="inlineStr">
        <x:is>
          <x:t xml:space="preserve">上海市</x:t>
        </x:is>
      </x:c>
      <x:c r="G432" s="3" t="inlineStr">
        <x:is>
          <x:t xml:space="preserve">上海市-上海市</x:t>
        </x:is>
      </x:c>
      <x:c r="H432" s="2" t="inlineStr">
        <x:is>
          <x:t xml:space="preserve">电子元件</x:t>
        </x:is>
      </x:c>
      <x:c r="I432" s="2" t="inlineStr">
        <x:is>
          <x:t xml:space="preserve">2023-07-10</x:t>
        </x:is>
      </x:c>
      <x:c r="J432" s="3" t="inlineStr">
        <x:is>
          <x:t xml:space="preserve">中国(上海)自由贸易试验区张江路665号3F306室</x:t>
        </x:is>
      </x:c>
      <x:c r="K432" s="12" t="str">
        <x:f>LEFT("9144010156396708XL",18)</x:f>
        <x:v>9144010156396708XL</x:v>
      </x:c>
    </x:row>
    <x:row r="433">
      <x:c r="A433" s="4" t="n">
        <x:v>432</x:v>
      </x:c>
      <x:c r="B433" s="4" t="inlineStr">
        <x:is>
          <x:t xml:space="preserve">688608</x:t>
        </x:is>
      </x:c>
      <x:c r="C433" s="5" t="inlineStr">
        <x:is>
          <x:t xml:space="preserve">恒玄科技</x:t>
        </x:is>
      </x:c>
      <x:c r="D433" s="5" t="inlineStr">
        <x:is>
          <x:t xml:space="preserve">恒玄科技(上海)股份有限公司</x:t>
        </x:is>
      </x:c>
      <x:c r="E433" s="4" t="inlineStr">
        <x:is>
          <x:t xml:space="preserve">上海市</x:t>
        </x:is>
      </x:c>
      <x:c r="F433" s="4" t="inlineStr">
        <x:is>
          <x:t xml:space="preserve">上海市</x:t>
        </x:is>
      </x:c>
      <x:c r="G433" s="5" t="inlineStr">
        <x:is>
          <x:t xml:space="preserve">上海市-上海市</x:t>
        </x:is>
      </x:c>
      <x:c r="H433" s="4" t="inlineStr">
        <x:is>
          <x:t xml:space="preserve">半导体</x:t>
        </x:is>
      </x:c>
      <x:c r="I433" s="4" t="inlineStr">
        <x:is>
          <x:t xml:space="preserve">2020-12-16</x:t>
        </x:is>
      </x:c>
      <x:c r="J433" s="5" t="inlineStr">
        <x:is>
          <x:t xml:space="preserve">中国(上海)自由贸易试验区临港新片区环湖西二路800号904室</x:t>
        </x:is>
      </x:c>
      <x:c r="K433" s="12" t="str">
        <x:f>LEFT("91310115341975375J",18)</x:f>
        <x:v>91310115341975375J</x:v>
      </x:c>
    </x:row>
    <x:row r="434">
      <x:c r="A434" s="2" t="n">
        <x:v>433</x:v>
      </x:c>
      <x:c r="B434" s="2" t="inlineStr">
        <x:is>
          <x:t xml:space="preserve">688615</x:t>
        </x:is>
      </x:c>
      <x:c r="C434" s="3" t="inlineStr">
        <x:is>
          <x:t xml:space="preserve">合合信息</x:t>
        </x:is>
      </x:c>
      <x:c r="D434" s="3" t="inlineStr">
        <x:is>
          <x:t xml:space="preserve">上海合合信息科技股份有限公司</x:t>
        </x:is>
      </x:c>
      <x:c r="E434" s="2" t="inlineStr">
        <x:is>
          <x:t xml:space="preserve">上海市</x:t>
        </x:is>
      </x:c>
      <x:c r="F434" s="2" t="inlineStr">
        <x:is>
          <x:t xml:space="preserve">上海市</x:t>
        </x:is>
      </x:c>
      <x:c r="G434" s="3" t="inlineStr">
        <x:is>
          <x:t xml:space="preserve">上海市-上海市</x:t>
        </x:is>
      </x:c>
      <x:c r="H434" s="2" t="inlineStr">
        <x:is>
          <x:t xml:space="preserve">软件开发</x:t>
        </x:is>
      </x:c>
      <x:c r="I434" s="2" t="inlineStr">
        <x:is>
          <x:t xml:space="preserve">2024-09-26</x:t>
        </x:is>
      </x:c>
      <x:c r="J434" s="3" t="inlineStr">
        <x:is>
          <x:t xml:space="preserve">中国上海市静安区万荣路1256、1258号1105-1123室</x:t>
        </x:is>
      </x:c>
      <x:c r="K434" s="12" t="str">
        <x:f>LEFT("91310110791485269J",18)</x:f>
        <x:v>91310110791485269J</x:v>
      </x:c>
    </x:row>
    <x:row r="435">
      <x:c r="A435" s="4" t="n">
        <x:v>434</x:v>
      </x:c>
      <x:c r="B435" s="4" t="inlineStr">
        <x:is>
          <x:t xml:space="preserve">688648</x:t>
        </x:is>
      </x:c>
      <x:c r="C435" s="5" t="inlineStr">
        <x:is>
          <x:t xml:space="preserve">中邮科技</x:t>
        </x:is>
      </x:c>
      <x:c r="D435" s="5" t="inlineStr">
        <x:is>
          <x:t xml:space="preserve">中邮科技股份有限公司</x:t>
        </x:is>
      </x:c>
      <x:c r="E435" s="4" t="inlineStr">
        <x:is>
          <x:t xml:space="preserve">上海市</x:t>
        </x:is>
      </x:c>
      <x:c r="F435" s="4" t="inlineStr">
        <x:is>
          <x:t xml:space="preserve">上海市</x:t>
        </x:is>
      </x:c>
      <x:c r="G435" s="5" t="inlineStr">
        <x:is>
          <x:t xml:space="preserve">上海市-上海市</x:t>
        </x:is>
      </x:c>
      <x:c r="H435" s="4" t="inlineStr">
        <x:is>
          <x:t xml:space="preserve">通用设备</x:t>
        </x:is>
      </x:c>
      <x:c r="I435" s="4" t="inlineStr">
        <x:is>
          <x:t xml:space="preserve">2023-11-13</x:t>
        </x:is>
      </x:c>
      <x:c r="J435" s="5" t="inlineStr">
        <x:is>
          <x:t xml:space="preserve">上海市普陀区中山北路3185号</x:t>
        </x:is>
      </x:c>
      <x:c r="K435" s="12" t="str">
        <x:f>LEFT("91110114740072114C",18)</x:f>
        <x:v>91110114740072114C</x:v>
      </x:c>
    </x:row>
    <x:row r="436">
      <x:c r="A436" s="2" t="n">
        <x:v>435</x:v>
      </x:c>
      <x:c r="B436" s="2" t="inlineStr">
        <x:is>
          <x:t xml:space="preserve">688653</x:t>
        </x:is>
      </x:c>
      <x:c r="C436" s="3" t="inlineStr">
        <x:is>
          <x:t xml:space="preserve">康希通信</x:t>
        </x:is>
      </x:c>
      <x:c r="D436" s="3" t="inlineStr">
        <x:is>
          <x:t xml:space="preserve">格兰康希通信科技(上海)股份有限公司</x:t>
        </x:is>
      </x:c>
      <x:c r="E436" s="2" t="inlineStr">
        <x:is>
          <x:t xml:space="preserve">上海市</x:t>
        </x:is>
      </x:c>
      <x:c r="F436" s="2" t="inlineStr">
        <x:is>
          <x:t xml:space="preserve">上海市</x:t>
        </x:is>
      </x:c>
      <x:c r="G436" s="3" t="inlineStr">
        <x:is>
          <x:t xml:space="preserve">上海市-上海市</x:t>
        </x:is>
      </x:c>
      <x:c r="H436" s="2" t="inlineStr">
        <x:is>
          <x:t xml:space="preserve">半导体</x:t>
        </x:is>
      </x:c>
      <x:c r="I436" s="2" t="inlineStr">
        <x:is>
          <x:t xml:space="preserve">2023-11-17</x:t>
        </x:is>
      </x:c>
      <x:c r="J436" s="3" t="inlineStr">
        <x:is>
          <x:t xml:space="preserve">中国(上海)自由贸易试验区科苑路399号10幢4层(名义层5层)502室</x:t>
        </x:is>
      </x:c>
      <x:c r="K436" s="12" t="str">
        <x:f>LEFT("91430211351689989B",18)</x:f>
        <x:v>91430211351689989B</x:v>
      </x:c>
    </x:row>
    <x:row r="437">
      <x:c r="A437" s="4" t="n">
        <x:v>436</x:v>
      </x:c>
      <x:c r="B437" s="4" t="inlineStr">
        <x:is>
          <x:t xml:space="preserve">688660</x:t>
        </x:is>
      </x:c>
      <x:c r="C437" s="5" t="inlineStr">
        <x:is>
          <x:t xml:space="preserve">电气风电</x:t>
        </x:is>
      </x:c>
      <x:c r="D437" s="5" t="inlineStr">
        <x:is>
          <x:t xml:space="preserve">上海电气风电集团股份有限公司</x:t>
        </x:is>
      </x:c>
      <x:c r="E437" s="4" t="inlineStr">
        <x:is>
          <x:t xml:space="preserve">上海市</x:t>
        </x:is>
      </x:c>
      <x:c r="F437" s="4" t="inlineStr">
        <x:is>
          <x:t xml:space="preserve">上海市</x:t>
        </x:is>
      </x:c>
      <x:c r="G437" s="5" t="inlineStr">
        <x:is>
          <x:t xml:space="preserve">上海市-上海市</x:t>
        </x:is>
      </x:c>
      <x:c r="H437" s="4" t="inlineStr">
        <x:is>
          <x:t xml:space="preserve">风电设备</x:t>
        </x:is>
      </x:c>
      <x:c r="I437" s="4" t="inlineStr">
        <x:is>
          <x:t xml:space="preserve">2021-05-19</x:t>
        </x:is>
      </x:c>
      <x:c r="J437" s="5" t="inlineStr">
        <x:is>
          <x:t xml:space="preserve">上海市闵行区东川路555号己号楼8楼</x:t>
        </x:is>
      </x:c>
      <x:c r="K437" s="12" t="str">
        <x:f>LEFT("91310112792759719A",18)</x:f>
        <x:v>91310112792759719A</x:v>
      </x:c>
    </x:row>
    <x:row r="438">
      <x:c r="A438" s="2" t="n">
        <x:v>437</x:v>
      </x:c>
      <x:c r="B438" s="2" t="inlineStr">
        <x:is>
          <x:t xml:space="preserve">688680</x:t>
        </x:is>
      </x:c>
      <x:c r="C438" s="3" t="inlineStr">
        <x:is>
          <x:t xml:space="preserve">海优新材</x:t>
        </x:is>
      </x:c>
      <x:c r="D438" s="3" t="inlineStr">
        <x:is>
          <x:t xml:space="preserve">上海海优威新材料股份有限公司</x:t>
        </x:is>
      </x:c>
      <x:c r="E438" s="2" t="inlineStr">
        <x:is>
          <x:t xml:space="preserve">上海市</x:t>
        </x:is>
      </x:c>
      <x:c r="F438" s="2" t="inlineStr">
        <x:is>
          <x:t xml:space="preserve">上海市</x:t>
        </x:is>
      </x:c>
      <x:c r="G438" s="3" t="inlineStr">
        <x:is>
          <x:t xml:space="preserve">上海市-上海市</x:t>
        </x:is>
      </x:c>
      <x:c r="H438" s="2" t="inlineStr">
        <x:is>
          <x:t xml:space="preserve">光伏设备</x:t>
        </x:is>
      </x:c>
      <x:c r="I438" s="2" t="inlineStr">
        <x:is>
          <x:t xml:space="preserve">2021-01-22</x:t>
        </x:is>
      </x:c>
      <x:c r="J438" s="3" t="inlineStr">
        <x:is>
          <x:t xml:space="preserve">中国(上海)自由贸易试验区龙东大道3000号1号楼A幢909A室</x:t>
        </x:is>
      </x:c>
      <x:c r="K438" s="12" t="str">
        <x:f>LEFT("913100007811009510",18)</x:f>
        <x:v>913100007811009500</x:v>
      </x:c>
    </x:row>
    <x:row r="439">
      <x:c r="A439" s="4" t="n">
        <x:v>438</x:v>
      </x:c>
      <x:c r="B439" s="4" t="inlineStr">
        <x:is>
          <x:t xml:space="preserve">688682</x:t>
        </x:is>
      </x:c>
      <x:c r="C439" s="5" t="inlineStr">
        <x:is>
          <x:t xml:space="preserve">霍莱沃</x:t>
        </x:is>
      </x:c>
      <x:c r="D439" s="5" t="inlineStr">
        <x:is>
          <x:t xml:space="preserve">上海霍莱沃电子系统技术股份有限公司</x:t>
        </x:is>
      </x:c>
      <x:c r="E439" s="4" t="inlineStr">
        <x:is>
          <x:t xml:space="preserve">上海市</x:t>
        </x:is>
      </x:c>
      <x:c r="F439" s="4" t="inlineStr">
        <x:is>
          <x:t xml:space="preserve">上海市</x:t>
        </x:is>
      </x:c>
      <x:c r="G439" s="5" t="inlineStr">
        <x:is>
          <x:t xml:space="preserve">上海市-上海市</x:t>
        </x:is>
      </x:c>
      <x:c r="H439" s="4" t="inlineStr">
        <x:is>
          <x:t xml:space="preserve">通信服务</x:t>
        </x:is>
      </x:c>
      <x:c r="I439" s="4" t="inlineStr">
        <x:is>
          <x:t xml:space="preserve">2021-04-20</x:t>
        </x:is>
      </x:c>
      <x:c r="J439" s="5" t="inlineStr">
        <x:is>
          <x:t xml:space="preserve">中国(上海)自由贸易试验区郭守敬路498号15幢1层16102室</x:t>
        </x:is>
      </x:c>
      <x:c r="K439" s="12" t="str">
        <x:f>LEFT("91310000664324630E",18)</x:f>
        <x:v>91310000664324630E</x:v>
      </x:c>
    </x:row>
    <x:row r="440">
      <x:c r="A440" s="2" t="n">
        <x:v>439</x:v>
      </x:c>
      <x:c r="B440" s="2" t="inlineStr">
        <x:is>
          <x:t xml:space="preserve">688691</x:t>
        </x:is>
      </x:c>
      <x:c r="C440" s="3" t="inlineStr">
        <x:is>
          <x:t xml:space="preserve">灿芯股份</x:t>
        </x:is>
      </x:c>
      <x:c r="D440" s="3" t="inlineStr">
        <x:is>
          <x:t xml:space="preserve">灿芯半导体(上海)股份有限公司</x:t>
        </x:is>
      </x:c>
      <x:c r="E440" s="2" t="inlineStr">
        <x:is>
          <x:t xml:space="preserve">上海市</x:t>
        </x:is>
      </x:c>
      <x:c r="F440" s="2" t="inlineStr">
        <x:is>
          <x:t xml:space="preserve">上海市</x:t>
        </x:is>
      </x:c>
      <x:c r="G440" s="3" t="inlineStr">
        <x:is>
          <x:t xml:space="preserve">上海市-上海市</x:t>
        </x:is>
      </x:c>
      <x:c r="H440" s="2" t="inlineStr">
        <x:is>
          <x:t xml:space="preserve">半导体</x:t>
        </x:is>
      </x:c>
      <x:c r="I440" s="2" t="inlineStr">
        <x:is>
          <x:t xml:space="preserve">2024-04-11</x:t>
        </x:is>
      </x:c>
      <x:c r="J440" s="3" t="inlineStr">
        <x:is>
          <x:t xml:space="preserve">中国(上海)自由贸易试验区张东路1158号礼德国际2号楼6楼</x:t>
        </x:is>
      </x:c>
      <x:c r="K440" s="12" t="str">
        <x:f>LEFT("91310115677813273L",18)</x:f>
        <x:v>91310115677813273L</x:v>
      </x:c>
    </x:row>
    <x:row r="441">
      <x:c r="A441" s="4" t="n">
        <x:v>440</x:v>
      </x:c>
      <x:c r="B441" s="4" t="inlineStr">
        <x:is>
          <x:t xml:space="preserve">688710</x:t>
        </x:is>
      </x:c>
      <x:c r="C441" s="5" t="inlineStr">
        <x:is>
          <x:t xml:space="preserve">益诺思</x:t>
        </x:is>
      </x:c>
      <x:c r="D441" s="5" t="inlineStr">
        <x:is>
          <x:t xml:space="preserve">上海益诺思生物技术股份有限公司</x:t>
        </x:is>
      </x:c>
      <x:c r="E441" s="4" t="inlineStr">
        <x:is>
          <x:t xml:space="preserve">上海市</x:t>
        </x:is>
      </x:c>
      <x:c r="F441" s="4" t="inlineStr">
        <x:is>
          <x:t xml:space="preserve">上海市</x:t>
        </x:is>
      </x:c>
      <x:c r="G441" s="5" t="inlineStr">
        <x:is>
          <x:t xml:space="preserve">上海市-上海市</x:t>
        </x:is>
      </x:c>
      <x:c r="H441" s="4" t="inlineStr">
        <x:is>
          <x:t xml:space="preserve">生物制品</x:t>
        </x:is>
      </x:c>
      <x:c r="I441" s="4" t="inlineStr">
        <x:is>
          <x:t xml:space="preserve">2024-09-03</x:t>
        </x:is>
      </x:c>
      <x:c r="J441" s="5" t="inlineStr">
        <x:is>
          <x:t xml:space="preserve">中国(上海)自由贸易试验区郭守敬路199号106室</x:t>
        </x:is>
      </x:c>
      <x:c r="K441" s="12" t="str">
        <x:f>LEFT("91310000555907546T",18)</x:f>
        <x:v>91310000555907546T</x:v>
      </x:c>
    </x:row>
    <x:row r="442">
      <x:c r="A442" s="2" t="n">
        <x:v>441</x:v>
      </x:c>
      <x:c r="B442" s="2" t="inlineStr">
        <x:is>
          <x:t xml:space="preserve">688718</x:t>
        </x:is>
      </x:c>
      <x:c r="C442" s="3" t="inlineStr">
        <x:is>
          <x:t xml:space="preserve">唯赛勃</x:t>
        </x:is>
      </x:c>
      <x:c r="D442" s="3" t="inlineStr">
        <x:is>
          <x:t xml:space="preserve">上海唯赛勃新材料股份有限公司</x:t>
        </x:is>
      </x:c>
      <x:c r="E442" s="2" t="inlineStr">
        <x:is>
          <x:t xml:space="preserve">上海市</x:t>
        </x:is>
      </x:c>
      <x:c r="F442" s="2" t="inlineStr">
        <x:is>
          <x:t xml:space="preserve">上海市</x:t>
        </x:is>
      </x:c>
      <x:c r="G442" s="3" t="inlineStr">
        <x:is>
          <x:t xml:space="preserve">上海市-上海市</x:t>
        </x:is>
      </x:c>
      <x:c r="H442" s="2" t="inlineStr">
        <x:is>
          <x:t xml:space="preserve">专用设备</x:t>
        </x:is>
      </x:c>
      <x:c r="I442" s="2" t="inlineStr">
        <x:is>
          <x:t xml:space="preserve">2021-07-28</x:t>
        </x:is>
      </x:c>
      <x:c r="J442" s="3" t="inlineStr">
        <x:is>
          <x:t xml:space="preserve">上海市青浦区崧盈路899号</x:t>
        </x:is>
      </x:c>
      <x:c r="K442" s="12" t="str">
        <x:f>LEFT("91310000729394470F",18)</x:f>
        <x:v>91310000729394470F</x:v>
      </x:c>
    </x:row>
    <x:row r="443">
      <x:c r="A443" s="4" t="n">
        <x:v>442</x:v>
      </x:c>
      <x:c r="B443" s="4" t="inlineStr">
        <x:is>
          <x:t xml:space="preserve">688766</x:t>
        </x:is>
      </x:c>
      <x:c r="C443" s="5" t="inlineStr">
        <x:is>
          <x:t xml:space="preserve">普冉股份</x:t>
        </x:is>
      </x:c>
      <x:c r="D443" s="5" t="inlineStr">
        <x:is>
          <x:t xml:space="preserve">普冉半导体(上海)股份有限公司</x:t>
        </x:is>
      </x:c>
      <x:c r="E443" s="4" t="inlineStr">
        <x:is>
          <x:t xml:space="preserve">上海市</x:t>
        </x:is>
      </x:c>
      <x:c r="F443" s="4" t="inlineStr">
        <x:is>
          <x:t xml:space="preserve">上海市</x:t>
        </x:is>
      </x:c>
      <x:c r="G443" s="5" t="inlineStr">
        <x:is>
          <x:t xml:space="preserve">上海市-上海市</x:t>
        </x:is>
      </x:c>
      <x:c r="H443" s="4" t="inlineStr">
        <x:is>
          <x:t xml:space="preserve">半导体</x:t>
        </x:is>
      </x:c>
      <x:c r="I443" s="4" t="inlineStr">
        <x:is>
          <x:t xml:space="preserve">2021-08-23</x:t>
        </x:is>
      </x:c>
      <x:c r="J443" s="5" t="inlineStr">
        <x:is>
          <x:t xml:space="preserve">上海市浦东新区张江镇银冬路20弄8号地下1层、地下2层、地下3层、2层、3层、4层、5层</x:t>
        </x:is>
      </x:c>
      <x:c r="K443" s="12" t="str">
        <x:f>LEFT("91310000MA1K35P57Y",18)</x:f>
        <x:v>91310000MA1K35P57Y</x:v>
      </x:c>
    </x:row>
    <x:row r="444">
      <x:c r="A444" s="2" t="n">
        <x:v>443</x:v>
      </x:c>
      <x:c r="B444" s="2" t="inlineStr">
        <x:is>
          <x:t xml:space="preserve">688798</x:t>
        </x:is>
      </x:c>
      <x:c r="C444" s="3" t="inlineStr">
        <x:is>
          <x:t xml:space="preserve">艾为电子</x:t>
        </x:is>
      </x:c>
      <x:c r="D444" s="3" t="inlineStr">
        <x:is>
          <x:t xml:space="preserve">上海艾为电子技术股份有限公司</x:t>
        </x:is>
      </x:c>
      <x:c r="E444" s="2" t="inlineStr">
        <x:is>
          <x:t xml:space="preserve">上海市</x:t>
        </x:is>
      </x:c>
      <x:c r="F444" s="2" t="inlineStr">
        <x:is>
          <x:t xml:space="preserve">上海市</x:t>
        </x:is>
      </x:c>
      <x:c r="G444" s="3" t="inlineStr">
        <x:is>
          <x:t xml:space="preserve">上海市-上海市</x:t>
        </x:is>
      </x:c>
      <x:c r="H444" s="2" t="inlineStr">
        <x:is>
          <x:t xml:space="preserve">半导体</x:t>
        </x:is>
      </x:c>
      <x:c r="I444" s="2" t="inlineStr">
        <x:is>
          <x:t xml:space="preserve">2021-08-16</x:t>
        </x:is>
      </x:c>
      <x:c r="J444" s="3" t="inlineStr">
        <x:is>
          <x:t xml:space="preserve">上海市闵行区秀文路908弄2号1201室</x:t>
        </x:is>
      </x:c>
      <x:c r="K444" s="12" t="str">
        <x:f>LEFT("91310000676257316N",18)</x:f>
        <x:v>91310000676257316N</x:v>
      </x:c>
    </x:row>
    <x:row r="445">
      <x:c r="A445" s="4" t="n">
        <x:v>444</x:v>
      </x:c>
      <x:c r="B445" s="4" t="inlineStr">
        <x:is>
          <x:t xml:space="preserve">688802</x:t>
        </x:is>
      </x:c>
      <x:c r="C445" s="5" t="inlineStr">
        <x:is>
          <x:t xml:space="preserve">沐曦股份</x:t>
        </x:is>
      </x:c>
      <x:c r="D445" s="5" t="inlineStr">
        <x:is>
          <x:t xml:space="preserve">沐曦集成电路(上海)股份有限公司</x:t>
        </x:is>
      </x:c>
      <x:c r="E445" s="4" t="inlineStr">
        <x:is>
          <x:t xml:space="preserve">上海市</x:t>
        </x:is>
      </x:c>
      <x:c r="F445" s="4" t="inlineStr">
        <x:is>
          <x:t xml:space="preserve">上海市</x:t>
        </x:is>
      </x:c>
      <x:c r="G445" s="5" t="inlineStr">
        <x:is>
          <x:t xml:space="preserve">上海市-上海市</x:t>
        </x:is>
      </x:c>
      <x:c r="H445" s="4" t="inlineStr">
        <x:is>
          <x:t xml:space="preserve">半导体</x:t>
        </x:is>
      </x:c>
      <x:c r="I445" s="4" t="inlineStr">
        <x:is>
          <x:t xml:space="preserve">2025-12-17</x:t>
        </x:is>
      </x:c>
      <x:c r="J445" s="5" t="inlineStr">
        <x:is>
          <x:t xml:space="preserve">中国(上海)自由贸易试验区郭守敬路498号8幢19号楼3层</x:t>
        </x:is>
      </x:c>
      <x:c r="K445" s="12" t="str">
        <x:f>LEFT("91310000MA1H38T58K",18)</x:f>
        <x:v>91310000MA1H38T58K</x:v>
      </x:c>
    </x:row>
    <x:row r="446">
      <x:c r="A446" s="2" t="n">
        <x:v>445</x:v>
      </x:c>
      <x:c r="B446" s="2" t="inlineStr">
        <x:is>
          <x:t xml:space="preserve">000538</x:t>
        </x:is>
      </x:c>
      <x:c r="C446" s="3" t="inlineStr">
        <x:is>
          <x:t xml:space="preserve">云南白药</x:t>
        </x:is>
      </x:c>
      <x:c r="D446" s="3" t="inlineStr">
        <x:is>
          <x:t xml:space="preserve">云南白药集团股份有限公司</x:t>
        </x:is>
      </x:c>
      <x:c r="E446" s="2" t="inlineStr">
        <x:is>
          <x:t xml:space="preserve">云南省</x:t>
        </x:is>
      </x:c>
      <x:c r="F446" s="2" t="inlineStr">
        <x:is>
          <x:t xml:space="preserve">昆明市</x:t>
        </x:is>
      </x:c>
      <x:c r="G446" s="3" t="inlineStr">
        <x:is>
          <x:t xml:space="preserve">云南省-昆明市</x:t>
        </x:is>
      </x:c>
      <x:c r="H446" s="2" t="inlineStr">
        <x:is>
          <x:t xml:space="preserve">中药</x:t>
        </x:is>
      </x:c>
      <x:c r="I446" s="2" t="inlineStr">
        <x:is>
          <x:t xml:space="preserve">1993-12-15</x:t>
        </x:is>
      </x:c>
      <x:c r="J446" s="3" t="inlineStr">
        <x:is>
          <x:t xml:space="preserve">云南省昆明市呈贡区云南白药街3686号</x:t>
        </x:is>
      </x:c>
      <x:c r="K446" s="12" t="str">
        <x:f>LEFT("9153000021652214XX",18)</x:f>
        <x:v>9153000021652214XX</x:v>
      </x:c>
    </x:row>
    <x:row r="447">
      <x:c r="A447" s="4" t="n">
        <x:v>446</x:v>
      </x:c>
      <x:c r="B447" s="4" t="inlineStr">
        <x:is>
          <x:t xml:space="preserve">000560</x:t>
        </x:is>
      </x:c>
      <x:c r="C447" s="5" t="inlineStr">
        <x:is>
          <x:t xml:space="preserve">我爱我家</x:t>
        </x:is>
      </x:c>
      <x:c r="D447" s="5" t="inlineStr">
        <x:is>
          <x:t xml:space="preserve">我爱我家控股集团股份有限公司</x:t>
        </x:is>
      </x:c>
      <x:c r="E447" s="4" t="inlineStr">
        <x:is>
          <x:t xml:space="preserve">云南省</x:t>
        </x:is>
      </x:c>
      <x:c r="F447" s="4" t="inlineStr">
        <x:is>
          <x:t xml:space="preserve">昆明市</x:t>
        </x:is>
      </x:c>
      <x:c r="G447" s="5" t="inlineStr">
        <x:is>
          <x:t xml:space="preserve">云南省-昆明市</x:t>
        </x:is>
      </x:c>
      <x:c r="H447" s="4" t="inlineStr">
        <x:is>
          <x:t xml:space="preserve">房地产服务</x:t>
        </x:is>
      </x:c>
      <x:c r="I447" s="4" t="inlineStr">
        <x:is>
          <x:t xml:space="preserve">1994-02-02</x:t>
        </x:is>
      </x:c>
      <x:c r="J447" s="5" t="inlineStr">
        <x:is>
          <x:t xml:space="preserve">云南省昆明市东风西路1号</x:t>
        </x:is>
      </x:c>
      <x:c r="K447" s="12" t="str">
        <x:f>LEFT("915301002165755081",18)</x:f>
        <x:v>915301002165755100</x:v>
      </x:c>
    </x:row>
    <x:row r="448">
      <x:c r="A448" s="2" t="n">
        <x:v>447</x:v>
      </x:c>
      <x:c r="B448" s="2" t="inlineStr">
        <x:is>
          <x:t xml:space="preserve">000807</x:t>
        </x:is>
      </x:c>
      <x:c r="C448" s="3" t="inlineStr">
        <x:is>
          <x:t xml:space="preserve">云铝股份</x:t>
        </x:is>
      </x:c>
      <x:c r="D448" s="3" t="inlineStr">
        <x:is>
          <x:t xml:space="preserve">云南铝业股份有限公司</x:t>
        </x:is>
      </x:c>
      <x:c r="E448" s="2" t="inlineStr">
        <x:is>
          <x:t xml:space="preserve">云南省</x:t>
        </x:is>
      </x:c>
      <x:c r="F448" s="2" t="inlineStr">
        <x:is>
          <x:t xml:space="preserve">昆明市</x:t>
        </x:is>
      </x:c>
      <x:c r="G448" s="3" t="inlineStr">
        <x:is>
          <x:t xml:space="preserve">云南省-昆明市</x:t>
        </x:is>
      </x:c>
      <x:c r="H448" s="2" t="inlineStr">
        <x:is>
          <x:t xml:space="preserve">有色金属</x:t>
        </x:is>
      </x:c>
      <x:c r="I448" s="2" t="inlineStr">
        <x:is>
          <x:t xml:space="preserve">1998-04-08</x:t>
        </x:is>
      </x:c>
      <x:c r="J448" s="3" t="inlineStr">
        <x:is>
          <x:t xml:space="preserve">云南省昆明市呈贡区七甸街道</x:t>
        </x:is>
      </x:c>
      <x:c r="K448" s="12" t="str">
        <x:f>LEFT("9153000021658149XB",18)</x:f>
        <x:v>9153000021658149XB</x:v>
      </x:c>
    </x:row>
    <x:row r="449">
      <x:c r="A449" s="4" t="n">
        <x:v>448</x:v>
      </x:c>
      <x:c r="B449" s="4" t="inlineStr">
        <x:is>
          <x:t xml:space="preserve">000878</x:t>
        </x:is>
      </x:c>
      <x:c r="C449" s="5" t="inlineStr">
        <x:is>
          <x:t xml:space="preserve">云南铜业</x:t>
        </x:is>
      </x:c>
      <x:c r="D449" s="5" t="inlineStr">
        <x:is>
          <x:t xml:space="preserve">云南铜业股份有限公司</x:t>
        </x:is>
      </x:c>
      <x:c r="E449" s="4" t="inlineStr">
        <x:is>
          <x:t xml:space="preserve">云南省</x:t>
        </x:is>
      </x:c>
      <x:c r="F449" s="4" t="inlineStr">
        <x:is>
          <x:t xml:space="preserve">昆明市</x:t>
        </x:is>
      </x:c>
      <x:c r="G449" s="5" t="inlineStr">
        <x:is>
          <x:t xml:space="preserve">云南省-昆明市</x:t>
        </x:is>
      </x:c>
      <x:c r="H449" s="4" t="inlineStr">
        <x:is>
          <x:t xml:space="preserve">有色金属</x:t>
        </x:is>
      </x:c>
      <x:c r="I449" s="4" t="inlineStr">
        <x:is>
          <x:t xml:space="preserve">1998-06-02</x:t>
        </x:is>
      </x:c>
      <x:c r="J449" s="5" t="inlineStr">
        <x:is>
          <x:t xml:space="preserve">云南省昆明市安宁市青龙街道办事处</x:t>
        </x:is>
      </x:c>
      <x:c r="K449" s="12" t="str">
        <x:f>LEFT("91530000709705745A",18)</x:f>
        <x:v>91530000709705745A</x:v>
      </x:c>
    </x:row>
    <x:row r="450">
      <x:c r="A450" s="2" t="n">
        <x:v>449</x:v>
      </x:c>
      <x:c r="B450" s="2" t="inlineStr">
        <x:is>
          <x:t xml:space="preserve">000903</x:t>
        </x:is>
      </x:c>
      <x:c r="C450" s="3" t="inlineStr">
        <x:is>
          <x:t xml:space="preserve">ST云动</x:t>
        </x:is>
      </x:c>
      <x:c r="D450" s="3" t="inlineStr">
        <x:is>
          <x:t xml:space="preserve">昆明云内动力股份有限公司</x:t>
        </x:is>
      </x:c>
      <x:c r="E450" s="2" t="inlineStr">
        <x:is>
          <x:t xml:space="preserve">云南省</x:t>
        </x:is>
      </x:c>
      <x:c r="F450" s="2" t="inlineStr">
        <x:is>
          <x:t xml:space="preserve">昆明市</x:t>
        </x:is>
      </x:c>
      <x:c r="G450" s="3" t="inlineStr">
        <x:is>
          <x:t xml:space="preserve">云南省-昆明市</x:t>
        </x:is>
      </x:c>
      <x:c r="H450" s="2" t="inlineStr">
        <x:is>
          <x:t xml:space="preserve">汽车零部件</x:t>
        </x:is>
      </x:c>
      <x:c r="I450" s="2" t="inlineStr">
        <x:is>
          <x:t xml:space="preserve">1999-04-15</x:t>
        </x:is>
      </x:c>
      <x:c r="J450" s="3" t="inlineStr">
        <x:is>
          <x:t xml:space="preserve">中国(云南)自由贸易试验区昆明片区经开区经景路66号</x:t>
        </x:is>
      </x:c>
      <x:c r="K450" s="12" t="str">
        <x:f>LEFT("91530100713404849F",18)</x:f>
        <x:v>91530100713404849F</x:v>
      </x:c>
    </x:row>
    <x:row r="451">
      <x:c r="A451" s="4" t="n">
        <x:v>450</x:v>
      </x:c>
      <x:c r="B451" s="4" t="inlineStr">
        <x:is>
          <x:t xml:space="preserve">000948</x:t>
        </x:is>
      </x:c>
      <x:c r="C451" s="5" t="inlineStr">
        <x:is>
          <x:t xml:space="preserve">南天信息</x:t>
        </x:is>
      </x:c>
      <x:c r="D451" s="5" t="inlineStr">
        <x:is>
          <x:t xml:space="preserve">云南南天电子信息产业股份有限公司</x:t>
        </x:is>
      </x:c>
      <x:c r="E451" s="4" t="inlineStr">
        <x:is>
          <x:t xml:space="preserve">云南省</x:t>
        </x:is>
      </x:c>
      <x:c r="F451" s="4" t="inlineStr">
        <x:is>
          <x:t xml:space="preserve">昆明市</x:t>
        </x:is>
      </x:c>
      <x:c r="G451" s="5" t="inlineStr">
        <x:is>
          <x:t xml:space="preserve">云南省-昆明市</x:t>
        </x:is>
      </x:c>
      <x:c r="H451" s="4" t="inlineStr">
        <x:is>
          <x:t xml:space="preserve">软件服务</x:t>
        </x:is>
      </x:c>
      <x:c r="I451" s="4" t="inlineStr">
        <x:is>
          <x:t xml:space="preserve">1999-10-14</x:t>
        </x:is>
      </x:c>
      <x:c r="J451" s="5" t="inlineStr">
        <x:is>
          <x:t xml:space="preserve">云南省昆明市高新技术产业开发区产业研发基地</x:t>
        </x:is>
      </x:c>
      <x:c r="K451" s="12" t="str">
        <x:f>LEFT("91530000713401509F",18)</x:f>
        <x:v>91530000713401509F</x:v>
      </x:c>
    </x:row>
    <x:row r="452">
      <x:c r="A452" s="2" t="n">
        <x:v>451</x:v>
      </x:c>
      <x:c r="B452" s="2" t="inlineStr">
        <x:is>
          <x:t xml:space="preserve">000960</x:t>
        </x:is>
      </x:c>
      <x:c r="C452" s="3" t="inlineStr">
        <x:is>
          <x:t xml:space="preserve">锡业股份</x:t>
        </x:is>
      </x:c>
      <x:c r="D452" s="3" t="inlineStr">
        <x:is>
          <x:t xml:space="preserve">云南锡业股份有限公司</x:t>
        </x:is>
      </x:c>
      <x:c r="E452" s="2" t="inlineStr">
        <x:is>
          <x:t xml:space="preserve">云南省</x:t>
        </x:is>
      </x:c>
      <x:c r="F452" s="2" t="inlineStr">
        <x:is>
          <x:t xml:space="preserve">昆明市</x:t>
        </x:is>
      </x:c>
      <x:c r="G452" s="3" t="inlineStr">
        <x:is>
          <x:t xml:space="preserve">云南省-昆明市</x:t>
        </x:is>
      </x:c>
      <x:c r="H452" s="2" t="inlineStr">
        <x:is>
          <x:t xml:space="preserve">小金属</x:t>
        </x:is>
      </x:c>
      <x:c r="I452" s="2" t="inlineStr">
        <x:is>
          <x:t xml:space="preserve">2000-02-21</x:t>
        </x:is>
      </x:c>
      <x:c r="J452" s="3" t="inlineStr">
        <x:is>
          <x:t xml:space="preserve">云南省昆明市高新技术产业开发区</x:t>
        </x:is>
      </x:c>
      <x:c r="K452" s="12" t="str">
        <x:f>LEFT("915300007134002589",18)</x:f>
        <x:v>915300007134002600</x:v>
      </x:c>
    </x:row>
    <x:row r="453">
      <x:c r="A453" s="4" t="n">
        <x:v>452</x:v>
      </x:c>
      <x:c r="B453" s="4" t="inlineStr">
        <x:is>
          <x:t xml:space="preserve">002033</x:t>
        </x:is>
      </x:c>
      <x:c r="C453" s="5" t="inlineStr">
        <x:is>
          <x:t xml:space="preserve">丽江股份</x:t>
        </x:is>
      </x:c>
      <x:c r="D453" s="5" t="inlineStr">
        <x:is>
          <x:t xml:space="preserve">丽江玉龙旅游股份有限公司</x:t>
        </x:is>
      </x:c>
      <x:c r="E453" s="4" t="inlineStr">
        <x:is>
          <x:t xml:space="preserve">云南省</x:t>
        </x:is>
      </x:c>
      <x:c r="F453" s="4" t="inlineStr">
        <x:is>
          <x:t xml:space="preserve">丽江市</x:t>
        </x:is>
      </x:c>
      <x:c r="G453" s="5" t="inlineStr">
        <x:is>
          <x:t xml:space="preserve">云南省-丽江市</x:t>
        </x:is>
      </x:c>
      <x:c r="H453" s="4" t="inlineStr">
        <x:is>
          <x:t xml:space="preserve">旅游酒店</x:t>
        </x:is>
      </x:c>
      <x:c r="I453" s="4" t="inlineStr">
        <x:is>
          <x:t xml:space="preserve">2004-08-25</x:t>
        </x:is>
      </x:c>
      <x:c r="J453" s="5" t="inlineStr">
        <x:is>
          <x:t xml:space="preserve">丽江市古城区香格里大道760号丽江玉龙旅游大楼</x:t>
        </x:is>
      </x:c>
      <x:c r="K453" s="12" t="str">
        <x:f>LEFT("91530700622954108K",18)</x:f>
        <x:v>91530700622954108K</x:v>
      </x:c>
    </x:row>
    <x:row r="454">
      <x:c r="A454" s="2" t="n">
        <x:v>453</x:v>
      </x:c>
      <x:c r="B454" s="2" t="inlineStr">
        <x:is>
          <x:t xml:space="preserve">002053</x:t>
        </x:is>
      </x:c>
      <x:c r="C454" s="3" t="inlineStr">
        <x:is>
          <x:t xml:space="preserve">云南能投</x:t>
        </x:is>
      </x:c>
      <x:c r="D454" s="3" t="inlineStr">
        <x:is>
          <x:t xml:space="preserve">云南能源投资股份有限公司</x:t>
        </x:is>
      </x:c>
      <x:c r="E454" s="2" t="inlineStr">
        <x:is>
          <x:t xml:space="preserve">云南省</x:t>
        </x:is>
      </x:c>
      <x:c r="F454" s="2" t="inlineStr">
        <x:is>
          <x:t xml:space="preserve">昆明市</x:t>
        </x:is>
      </x:c>
      <x:c r="G454" s="3" t="inlineStr">
        <x:is>
          <x:t xml:space="preserve">云南省-昆明市</x:t>
        </x:is>
      </x:c>
      <x:c r="H454" s="2" t="inlineStr">
        <x:is>
          <x:t xml:space="preserve">化学原料</x:t>
        </x:is>
      </x:c>
      <x:c r="I454" s="2" t="inlineStr">
        <x:is>
          <x:t xml:space="preserve">2006-06-27</x:t>
        </x:is>
      </x:c>
      <x:c r="J454" s="3" t="inlineStr">
        <x:is>
          <x:t xml:space="preserve">云南省昆明市官渡区春城路276号</x:t>
        </x:is>
      </x:c>
      <x:c r="K454" s="12" t="str">
        <x:f>LEFT("915300007414512392",18)</x:f>
        <x:v>915300007414512400</x:v>
      </x:c>
    </x:row>
    <x:row r="455">
      <x:c r="A455" s="4" t="n">
        <x:v>454</x:v>
      </x:c>
      <x:c r="B455" s="4" t="inlineStr">
        <x:is>
          <x:t xml:space="preserve">002059</x:t>
        </x:is>
      </x:c>
      <x:c r="C455" s="5" t="inlineStr">
        <x:is>
          <x:t xml:space="preserve">云南旅游</x:t>
        </x:is>
      </x:c>
      <x:c r="D455" s="5" t="inlineStr">
        <x:is>
          <x:t xml:space="preserve">云南旅游股份有限公司</x:t>
        </x:is>
      </x:c>
      <x:c r="E455" s="4" t="inlineStr">
        <x:is>
          <x:t xml:space="preserve">云南省</x:t>
        </x:is>
      </x:c>
      <x:c r="F455" s="4" t="inlineStr">
        <x:is>
          <x:t xml:space="preserve">昆明市</x:t>
        </x:is>
      </x:c>
      <x:c r="G455" s="5" t="inlineStr">
        <x:is>
          <x:t xml:space="preserve">云南省-昆明市</x:t>
        </x:is>
      </x:c>
      <x:c r="H455" s="4" t="inlineStr">
        <x:is>
          <x:t xml:space="preserve">旅游酒店</x:t>
        </x:is>
      </x:c>
      <x:c r="I455" s="4" t="inlineStr">
        <x:is>
          <x:t xml:space="preserve">2006-08-10</x:t>
        </x:is>
      </x:c>
      <x:c r="J455" s="5" t="inlineStr">
        <x:is>
          <x:t xml:space="preserve">云南省昆明市盘龙区世博生态城低碳中心B栋1单元17层</x:t>
        </x:is>
      </x:c>
      <x:c r="K455" s="12" t="str">
        <x:f>LEFT("9153000071947854XF",18)</x:f>
        <x:v>9153000071947854XF</x:v>
      </x:c>
    </x:row>
    <x:row r="456">
      <x:c r="A456" s="2" t="n">
        <x:v>455</x:v>
      </x:c>
      <x:c r="B456" s="2" t="inlineStr">
        <x:is>
          <x:t xml:space="preserve">002114</x:t>
        </x:is>
      </x:c>
      <x:c r="C456" s="3" t="inlineStr">
        <x:is>
          <x:t xml:space="preserve">罗平锌电</x:t>
        </x:is>
      </x:c>
      <x:c r="D456" s="3" t="inlineStr">
        <x:is>
          <x:t xml:space="preserve">云南罗平锌电股份有限公司</x:t>
        </x:is>
      </x:c>
      <x:c r="E456" s="2" t="inlineStr">
        <x:is>
          <x:t xml:space="preserve">云南省</x:t>
        </x:is>
      </x:c>
      <x:c r="F456" s="2" t="inlineStr">
        <x:is>
          <x:t xml:space="preserve">曲靖市</x:t>
        </x:is>
      </x:c>
      <x:c r="G456" s="3" t="inlineStr">
        <x:is>
          <x:t xml:space="preserve">云南省-曲靖市</x:t>
        </x:is>
      </x:c>
      <x:c r="H456" s="2" t="inlineStr">
        <x:is>
          <x:t xml:space="preserve">有色金属</x:t>
        </x:is>
      </x:c>
      <x:c r="I456" s="2" t="inlineStr">
        <x:is>
          <x:t xml:space="preserve">2007-02-15</x:t>
        </x:is>
      </x:c>
      <x:c r="J456" s="3" t="inlineStr">
        <x:is>
          <x:t xml:space="preserve">云南省罗平县罗雄镇九龙大道南段</x:t>
        </x:is>
      </x:c>
      <x:c r="K456" s="12" t="str">
        <x:f>LEFT("915300007098268547",18)</x:f>
        <x:v>915300007098268500</x:v>
      </x:c>
    </x:row>
    <x:row r="457">
      <x:c r="A457" s="4" t="n">
        <x:v>456</x:v>
      </x:c>
      <x:c r="B457" s="4" t="inlineStr">
        <x:is>
          <x:t xml:space="preserve">002200</x:t>
        </x:is>
      </x:c>
      <x:c r="C457" s="5" t="inlineStr">
        <x:is>
          <x:t xml:space="preserve">*ST交投</x:t>
        </x:is>
      </x:c>
      <x:c r="D457" s="5" t="inlineStr">
        <x:is>
          <x:t xml:space="preserve">云南交投生态科技股份有限公司</x:t>
        </x:is>
      </x:c>
      <x:c r="E457" s="4" t="inlineStr">
        <x:is>
          <x:t xml:space="preserve">云南省</x:t>
        </x:is>
      </x:c>
      <x:c r="F457" s="4" t="inlineStr">
        <x:is>
          <x:t xml:space="preserve">昆明市</x:t>
        </x:is>
      </x:c>
      <x:c r="G457" s="5" t="inlineStr">
        <x:is>
          <x:t xml:space="preserve">云南省-昆明市</x:t>
        </x:is>
      </x:c>
      <x:c r="H457" s="4" t="inlineStr">
        <x:is>
          <x:t xml:space="preserve">农牧饲渔</x:t>
        </x:is>
      </x:c>
      <x:c r="I457" s="4" t="inlineStr">
        <x:is>
          <x:t xml:space="preserve">2007-12-21</x:t>
        </x:is>
      </x:c>
      <x:c r="J457" s="5" t="inlineStr">
        <x:is>
          <x:t xml:space="preserve">云南省昆明市经济技术开发区经浦路6号</x:t>
        </x:is>
      </x:c>
      <x:c r="K457" s="12" t="str">
        <x:f>LEFT("91530000218154686Y",18)</x:f>
        <x:v>91530000218154686Y</x:v>
      </x:c>
    </x:row>
    <x:row r="458">
      <x:c r="A458" s="2" t="n">
        <x:v>457</x:v>
      </x:c>
      <x:c r="B458" s="2" t="inlineStr">
        <x:is>
          <x:t xml:space="preserve">002265</x:t>
        </x:is>
      </x:c>
      <x:c r="C458" s="3" t="inlineStr">
        <x:is>
          <x:t xml:space="preserve">建设工业</x:t>
        </x:is>
      </x:c>
      <x:c r="D458" s="3" t="inlineStr">
        <x:is>
          <x:t xml:space="preserve">建设工业集团(云南)股份有限公司</x:t>
        </x:is>
      </x:c>
      <x:c r="E458" s="2" t="inlineStr">
        <x:is>
          <x:t xml:space="preserve">云南省</x:t>
        </x:is>
      </x:c>
      <x:c r="F458" s="2" t="inlineStr">
        <x:is>
          <x:t xml:space="preserve">昆明市</x:t>
        </x:is>
      </x:c>
      <x:c r="G458" s="3" t="inlineStr">
        <x:is>
          <x:t xml:space="preserve">云南省-昆明市</x:t>
        </x:is>
      </x:c>
      <x:c r="H458" s="2" t="inlineStr">
        <x:is>
          <x:t xml:space="preserve">汽车零部件</x:t>
        </x:is>
      </x:c>
      <x:c r="I458" s="2" t="inlineStr">
        <x:is>
          <x:t xml:space="preserve">2008-08-06</x:t>
        </x:is>
      </x:c>
      <x:c r="J458" s="3" t="inlineStr">
        <x:is>
          <x:t xml:space="preserve">云南省昆明市西山区海口山冲</x:t>
        </x:is>
      </x:c>
      <x:c r="K458" s="12" t="str">
        <x:f>LEFT("91530000216521606P",18)</x:f>
        <x:v>91530000216521606P</x:v>
      </x:c>
    </x:row>
    <x:row r="459">
      <x:c r="A459" s="4" t="n">
        <x:v>458</x:v>
      </x:c>
      <x:c r="B459" s="4" t="inlineStr">
        <x:is>
          <x:t xml:space="preserve">002428</x:t>
        </x:is>
      </x:c>
      <x:c r="C459" s="5" t="inlineStr">
        <x:is>
          <x:t xml:space="preserve">云南锗业</x:t>
        </x:is>
      </x:c>
      <x:c r="D459" s="5" t="inlineStr">
        <x:is>
          <x:t xml:space="preserve">云南临沧鑫圆锗业股份有限公司</x:t>
        </x:is>
      </x:c>
      <x:c r="E459" s="4" t="inlineStr">
        <x:is>
          <x:t xml:space="preserve">云南省</x:t>
        </x:is>
      </x:c>
      <x:c r="F459" s="4" t="inlineStr">
        <x:is>
          <x:t xml:space="preserve">临沧市</x:t>
        </x:is>
      </x:c>
      <x:c r="G459" s="5" t="inlineStr">
        <x:is>
          <x:t xml:space="preserve">云南省-临沧市</x:t>
        </x:is>
      </x:c>
      <x:c r="H459" s="4" t="inlineStr">
        <x:is>
          <x:t xml:space="preserve">小金属</x:t>
        </x:is>
      </x:c>
      <x:c r="I459" s="4" t="inlineStr">
        <x:is>
          <x:t xml:space="preserve">2010-06-08</x:t>
        </x:is>
      </x:c>
      <x:c r="J459" s="5" t="inlineStr">
        <x:is>
          <x:t xml:space="preserve">云南省临沧市临翔区忙畔街道办事处忙畔社区喜鹊窝组168号</x:t>
        </x:is>
      </x:c>
      <x:c r="K459" s="12" t="str">
        <x:f>LEFT("915300002194829991",18)</x:f>
        <x:v>915300002194830000</x:v>
      </x:c>
    </x:row>
    <x:row r="460">
      <x:c r="A460" s="2" t="n">
        <x:v>459</x:v>
      </x:c>
      <x:c r="B460" s="2" t="inlineStr">
        <x:is>
          <x:t xml:space="preserve">002727</x:t>
        </x:is>
      </x:c>
      <x:c r="C460" s="3" t="inlineStr">
        <x:is>
          <x:t xml:space="preserve">一心堂</x:t>
        </x:is>
      </x:c>
      <x:c r="D460" s="3" t="inlineStr">
        <x:is>
          <x:t xml:space="preserve">一心堂药业集团股份有限公司</x:t>
        </x:is>
      </x:c>
      <x:c r="E460" s="2" t="inlineStr">
        <x:is>
          <x:t xml:space="preserve">云南省</x:t>
        </x:is>
      </x:c>
      <x:c r="F460" s="2" t="inlineStr">
        <x:is>
          <x:t xml:space="preserve">昆明市</x:t>
        </x:is>
      </x:c>
      <x:c r="G460" s="3" t="inlineStr">
        <x:is>
          <x:t xml:space="preserve">云南省-昆明市</x:t>
        </x:is>
      </x:c>
      <x:c r="H460" s="2" t="inlineStr">
        <x:is>
          <x:t xml:space="preserve">医药商业</x:t>
        </x:is>
      </x:c>
      <x:c r="I460" s="2" t="inlineStr">
        <x:is>
          <x:t xml:space="preserve">2014-07-02</x:t>
        </x:is>
      </x:c>
      <x:c r="J460" s="3" t="inlineStr">
        <x:is>
          <x:t xml:space="preserve">云南省昆明市经济技术开发区鸿翔路1号</x:t>
        </x:is>
      </x:c>
      <x:c r="K460" s="12" t="str">
        <x:f>LEFT("91530000725287862K",18)</x:f>
        <x:v>91530000725287862K</x:v>
      </x:c>
    </x:row>
    <x:row r="461">
      <x:c r="A461" s="4" t="n">
        <x:v>460</x:v>
      </x:c>
      <x:c r="B461" s="4" t="inlineStr">
        <x:is>
          <x:t xml:space="preserve">002812</x:t>
        </x:is>
      </x:c>
      <x:c r="C461" s="5" t="inlineStr">
        <x:is>
          <x:t xml:space="preserve">恩捷股份</x:t>
        </x:is>
      </x:c>
      <x:c r="D461" s="5" t="inlineStr">
        <x:is>
          <x:t xml:space="preserve">云南恩捷新材料(集团)股份有限公司</x:t>
        </x:is>
      </x:c>
      <x:c r="E461" s="4" t="inlineStr">
        <x:is>
          <x:t xml:space="preserve">云南省</x:t>
        </x:is>
      </x:c>
      <x:c r="F461" s="4" t="inlineStr">
        <x:is>
          <x:t xml:space="preserve">玉溪市</x:t>
        </x:is>
      </x:c>
      <x:c r="G461" s="5" t="inlineStr">
        <x:is>
          <x:t xml:space="preserve">云南省-玉溪市</x:t>
        </x:is>
      </x:c>
      <x:c r="H461" s="4" t="inlineStr">
        <x:is>
          <x:t xml:space="preserve">电池</x:t>
        </x:is>
      </x:c>
      <x:c r="I461" s="4" t="inlineStr">
        <x:is>
          <x:t xml:space="preserve">2016-09-14</x:t>
        </x:is>
      </x:c>
      <x:c r="J461" s="5" t="inlineStr">
        <x:is>
          <x:t xml:space="preserve">云南省玉溪市高新区抚仙路125号</x:t>
        </x:is>
      </x:c>
      <x:c r="K461" s="12" t="str">
        <x:f>LEFT("91530000727317703K",18)</x:f>
        <x:v>91530000727317703K</x:v>
      </x:c>
    </x:row>
    <x:row r="462">
      <x:c r="A462" s="2" t="n">
        <x:v>461</x:v>
      </x:c>
      <x:c r="B462" s="2" t="inlineStr">
        <x:is>
          <x:t xml:space="preserve">300142</x:t>
        </x:is>
      </x:c>
      <x:c r="C462" s="3" t="inlineStr">
        <x:is>
          <x:t xml:space="preserve">沃森生物</x:t>
        </x:is>
      </x:c>
      <x:c r="D462" s="3" t="inlineStr">
        <x:is>
          <x:t xml:space="preserve">云南沃森生物技术股份有限公司</x:t>
        </x:is>
      </x:c>
      <x:c r="E462" s="2" t="inlineStr">
        <x:is>
          <x:t xml:space="preserve">云南省</x:t>
        </x:is>
      </x:c>
      <x:c r="F462" s="2" t="inlineStr">
        <x:is>
          <x:t xml:space="preserve">昆明市</x:t>
        </x:is>
      </x:c>
      <x:c r="G462" s="3" t="inlineStr">
        <x:is>
          <x:t xml:space="preserve">云南省-昆明市</x:t>
        </x:is>
      </x:c>
      <x:c r="H462" s="2" t="inlineStr">
        <x:is>
          <x:t xml:space="preserve">生物制品</x:t>
        </x:is>
      </x:c>
      <x:c r="I462" s="2" t="inlineStr">
        <x:is>
          <x:t xml:space="preserve">2010-11-12</x:t>
        </x:is>
      </x:c>
      <x:c r="J462" s="3" t="inlineStr">
        <x:is>
          <x:t xml:space="preserve">云南省昆明市高新区科新路395号</x:t>
        </x:is>
      </x:c>
      <x:c r="K462" s="12" t="str">
        <x:f>LEFT("91530000719480244Y",18)</x:f>
        <x:v>91530000719480244Y</x:v>
      </x:c>
    </x:row>
    <x:row r="463">
      <x:c r="A463" s="4" t="n">
        <x:v>462</x:v>
      </x:c>
      <x:c r="B463" s="4" t="inlineStr">
        <x:is>
          <x:t xml:space="preserve">300505</x:t>
        </x:is>
      </x:c>
      <x:c r="C463" s="5" t="inlineStr">
        <x:is>
          <x:t xml:space="preserve">川金诺</x:t>
        </x:is>
      </x:c>
      <x:c r="D463" s="5" t="inlineStr">
        <x:is>
          <x:t xml:space="preserve">昆明川金诺化工股份有限公司</x:t>
        </x:is>
      </x:c>
      <x:c r="E463" s="4" t="inlineStr">
        <x:is>
          <x:t xml:space="preserve">云南省</x:t>
        </x:is>
      </x:c>
      <x:c r="F463" s="4" t="inlineStr">
        <x:is>
          <x:t xml:space="preserve">昆明市</x:t>
        </x:is>
      </x:c>
      <x:c r="G463" s="5" t="inlineStr">
        <x:is>
          <x:t xml:space="preserve">云南省-昆明市</x:t>
        </x:is>
      </x:c>
      <x:c r="H463" s="4" t="inlineStr">
        <x:is>
          <x:t xml:space="preserve">化肥行业</x:t>
        </x:is>
      </x:c>
      <x:c r="I463" s="4" t="inlineStr">
        <x:is>
          <x:t xml:space="preserve">2016-03-15</x:t>
        </x:is>
      </x:c>
      <x:c r="J463" s="5" t="inlineStr">
        <x:is>
          <x:t xml:space="preserve">昆明市东川区铜都镇四方地工业园区</x:t>
        </x:is>
      </x:c>
      <x:c r="K463" s="12" t="str">
        <x:f>LEFT("91530100778560690W",18)</x:f>
        <x:v>91530100778560690W</x:v>
      </x:c>
    </x:row>
    <x:row r="464">
      <x:c r="A464" s="2" t="n">
        <x:v>463</x:v>
      </x:c>
      <x:c r="B464" s="2" t="inlineStr">
        <x:is>
          <x:t xml:space="preserve">300755</x:t>
        </x:is>
      </x:c>
      <x:c r="C464" s="3" t="inlineStr">
        <x:is>
          <x:t xml:space="preserve">华致酒行</x:t>
        </x:is>
      </x:c>
      <x:c r="D464" s="3" t="inlineStr">
        <x:is>
          <x:t xml:space="preserve">华致酒行连锁管理股份有限公司</x:t>
        </x:is>
      </x:c>
      <x:c r="E464" s="2" t="inlineStr">
        <x:is>
          <x:t xml:space="preserve">云南省</x:t>
        </x:is>
      </x:c>
      <x:c r="F464" s="2" t="inlineStr">
        <x:is>
          <x:t xml:space="preserve">南省迪庆州</x:t>
        </x:is>
      </x:c>
      <x:c r="G464" s="3" t="inlineStr">
        <x:is>
          <x:t xml:space="preserve">云南省-南省迪庆州</x:t>
        </x:is>
      </x:c>
      <x:c r="H464" s="2" t="inlineStr">
        <x:is>
          <x:t xml:space="preserve">贸易行业</x:t>
        </x:is>
      </x:c>
      <x:c r="I464" s="2" t="inlineStr">
        <x:is>
          <x:t xml:space="preserve">2019-01-29</x:t>
        </x:is>
      </x:c>
      <x:c r="J464" s="3" t="inlineStr">
        <x:is>
          <x:t xml:space="preserve">云南省迪庆州香格里拉经济开发区中心片区</x:t>
        </x:is>
      </x:c>
      <x:c r="K464" s="12" t="str">
        <x:f>LEFT("915300007755009087",18)</x:f>
        <x:v>915300007755009000</x:v>
      </x:c>
    </x:row>
    <x:row r="465">
      <x:c r="A465" s="4" t="n">
        <x:v>464</x:v>
      </x:c>
      <x:c r="B465" s="4" t="inlineStr">
        <x:is>
          <x:t xml:space="preserve">300767</x:t>
        </x:is>
      </x:c>
      <x:c r="C465" s="5" t="inlineStr">
        <x:is>
          <x:t xml:space="preserve">震安科技</x:t>
        </x:is>
      </x:c>
      <x:c r="D465" s="5" t="inlineStr">
        <x:is>
          <x:t xml:space="preserve">震安科技股份有限公司</x:t>
        </x:is>
      </x:c>
      <x:c r="E465" s="4" t="inlineStr">
        <x:is>
          <x:t xml:space="preserve">云南省</x:t>
        </x:is>
      </x:c>
      <x:c r="F465" s="4" t="inlineStr">
        <x:is>
          <x:t xml:space="preserve">昆明市</x:t>
        </x:is>
      </x:c>
      <x:c r="G465" s="5" t="inlineStr">
        <x:is>
          <x:t xml:space="preserve">云南省-昆明市</x:t>
        </x:is>
      </x:c>
      <x:c r="H465" s="4" t="inlineStr">
        <x:is>
          <x:t xml:space="preserve">橡胶制品</x:t>
        </x:is>
      </x:c>
      <x:c r="I465" s="4" t="inlineStr">
        <x:is>
          <x:t xml:space="preserve">2019-03-29</x:t>
        </x:is>
      </x:c>
      <x:c r="J465" s="5" t="inlineStr">
        <x:is>
          <x:t xml:space="preserve">昆明市官渡区工业园区昆明国际印刷包装城D-2-4-1、D-2-4-2地块</x:t>
        </x:is>
      </x:c>
      <x:c r="K465" s="12" t="str">
        <x:f>LEFT("91530000697991018H",18)</x:f>
        <x:v>91530000697991018H</x:v>
      </x:c>
    </x:row>
    <x:row r="466">
      <x:c r="A466" s="2" t="n">
        <x:v>465</x:v>
      </x:c>
      <x:c r="B466" s="2" t="inlineStr">
        <x:is>
          <x:t xml:space="preserve">300957</x:t>
        </x:is>
      </x:c>
      <x:c r="C466" s="3" t="inlineStr">
        <x:is>
          <x:t xml:space="preserve">贝泰妮</x:t>
        </x:is>
      </x:c>
      <x:c r="D466" s="3" t="inlineStr">
        <x:is>
          <x:t xml:space="preserve">云南贝泰妮生物科技集团股份有限公司</x:t>
        </x:is>
      </x:c>
      <x:c r="E466" s="2" t="inlineStr">
        <x:is>
          <x:t xml:space="preserve">云南省</x:t>
        </x:is>
      </x:c>
      <x:c r="F466" s="2" t="inlineStr">
        <x:is>
          <x:t xml:space="preserve">昆明市</x:t>
        </x:is>
      </x:c>
      <x:c r="G466" s="3" t="inlineStr">
        <x:is>
          <x:t xml:space="preserve">云南省-昆明市</x:t>
        </x:is>
      </x:c>
      <x:c r="H466" s="2" t="inlineStr">
        <x:is>
          <x:t xml:space="preserve">美容护理</x:t>
        </x:is>
      </x:c>
      <x:c r="I466" s="2" t="inlineStr">
        <x:is>
          <x:t xml:space="preserve">2021-03-25</x:t>
        </x:is>
      </x:c>
      <x:c r="J466" s="3" t="inlineStr">
        <x:is>
          <x:t xml:space="preserve">云南省昆明市高新区科医路53号</x:t>
        </x:is>
      </x:c>
      <x:c r="K466" s="12" t="str">
        <x:f>LEFT("915301005551100783",18)</x:f>
        <x:v>915301005551100800</x:v>
      </x:c>
    </x:row>
    <x:row r="467">
      <x:c r="A467" s="4" t="n">
        <x:v>466</x:v>
      </x:c>
      <x:c r="B467" s="4" t="inlineStr">
        <x:is>
          <x:t xml:space="preserve">301311</x:t>
        </x:is>
      </x:c>
      <x:c r="C467" s="5" t="inlineStr">
        <x:is>
          <x:t xml:space="preserve">昆船智能</x:t>
        </x:is>
      </x:c>
      <x:c r="D467" s="5" t="inlineStr">
        <x:is>
          <x:t xml:space="preserve">昆船智能技术股份有限公司</x:t>
        </x:is>
      </x:c>
      <x:c r="E467" s="4" t="inlineStr">
        <x:is>
          <x:t xml:space="preserve">云南省</x:t>
        </x:is>
      </x:c>
      <x:c r="F467" s="4" t="inlineStr">
        <x:is>
          <x:t xml:space="preserve">昆明市</x:t>
        </x:is>
      </x:c>
      <x:c r="G467" s="5" t="inlineStr">
        <x:is>
          <x:t xml:space="preserve">云南省-昆明市</x:t>
        </x:is>
      </x:c>
      <x:c r="H467" s="4" t="inlineStr">
        <x:is>
          <x:t xml:space="preserve">通用设备</x:t>
        </x:is>
      </x:c>
      <x:c r="I467" s="4" t="inlineStr">
        <x:is>
          <x:t xml:space="preserve">2022-11-30</x:t>
        </x:is>
      </x:c>
      <x:c r="J467" s="5" t="inlineStr">
        <x:is>
          <x:t xml:space="preserve">中国(云南)自由贸易试验区昆明片区经开区昆船工业区401大楼</x:t>
        </x:is>
      </x:c>
      <x:c r="K467" s="12" t="str">
        <x:f>LEFT("91530100709763144A",18)</x:f>
        <x:v>91530100709763144A</x:v>
      </x:c>
    </x:row>
    <x:row r="468">
      <x:c r="A468" s="2" t="n">
        <x:v>467</x:v>
      </x:c>
      <x:c r="B468" s="2" t="inlineStr">
        <x:is>
          <x:t xml:space="preserve">600025</x:t>
        </x:is>
      </x:c>
      <x:c r="C468" s="3" t="inlineStr">
        <x:is>
          <x:t xml:space="preserve">华能水电</x:t>
        </x:is>
      </x:c>
      <x:c r="D468" s="3" t="inlineStr">
        <x:is>
          <x:t xml:space="preserve">华能澜沧江水电股份有限公司</x:t>
        </x:is>
      </x:c>
      <x:c r="E468" s="2" t="inlineStr">
        <x:is>
          <x:t xml:space="preserve">云南省</x:t>
        </x:is>
      </x:c>
      <x:c r="F468" s="2" t="inlineStr">
        <x:is>
          <x:t xml:space="preserve">昆明市</x:t>
        </x:is>
      </x:c>
      <x:c r="G468" s="3" t="inlineStr">
        <x:is>
          <x:t xml:space="preserve">云南省-昆明市</x:t>
        </x:is>
      </x:c>
      <x:c r="H468" s="2" t="inlineStr">
        <x:is>
          <x:t xml:space="preserve">电力行业</x:t>
        </x:is>
      </x:c>
      <x:c r="I468" s="2" t="inlineStr">
        <x:is>
          <x:t xml:space="preserve">2017-12-15</x:t>
        </x:is>
      </x:c>
      <x:c r="J468" s="3" t="inlineStr">
        <x:is>
          <x:t xml:space="preserve">云南省昆明市官渡区世纪城中路1号</x:t>
        </x:is>
      </x:c>
      <x:c r="K468" s="12" t="str">
        <x:f>LEFT("915300007194494905",18)</x:f>
        <x:v>915300007194494800</x:v>
      </x:c>
    </x:row>
    <x:row r="469">
      <x:c r="A469" s="4" t="n">
        <x:v>468</x:v>
      </x:c>
      <x:c r="B469" s="4" t="inlineStr">
        <x:is>
          <x:t xml:space="preserve">600096</x:t>
        </x:is>
      </x:c>
      <x:c r="C469" s="5" t="inlineStr">
        <x:is>
          <x:t xml:space="preserve">云天化</x:t>
        </x:is>
      </x:c>
      <x:c r="D469" s="5" t="inlineStr">
        <x:is>
          <x:t xml:space="preserve">云南云天化股份有限公司</x:t>
        </x:is>
      </x:c>
      <x:c r="E469" s="4" t="inlineStr">
        <x:is>
          <x:t xml:space="preserve">云南省</x:t>
        </x:is>
      </x:c>
      <x:c r="F469" s="4" t="inlineStr">
        <x:is>
          <x:t xml:space="preserve">昆明市</x:t>
        </x:is>
      </x:c>
      <x:c r="G469" s="5" t="inlineStr">
        <x:is>
          <x:t xml:space="preserve">云南省-昆明市</x:t>
        </x:is>
      </x:c>
      <x:c r="H469" s="4" t="inlineStr">
        <x:is>
          <x:t xml:space="preserve">化肥行业</x:t>
        </x:is>
      </x:c>
      <x:c r="I469" s="4" t="inlineStr">
        <x:is>
          <x:t xml:space="preserve">1997-07-09</x:t>
        </x:is>
      </x:c>
      <x:c r="J469" s="5" t="inlineStr">
        <x:is>
          <x:t xml:space="preserve">云南省昆明市滇池路1417号</x:t>
        </x:is>
      </x:c>
      <x:c r="K469" s="12" t="str">
        <x:f>LEFT("915300002919937260",18)</x:f>
        <x:v>915300002919937300</x:v>
      </x:c>
    </x:row>
    <x:row r="470">
      <x:c r="A470" s="2" t="n">
        <x:v>469</x:v>
      </x:c>
      <x:c r="B470" s="2" t="inlineStr">
        <x:is>
          <x:t xml:space="preserve">600239</x:t>
        </x:is>
      </x:c>
      <x:c r="C470" s="3" t="inlineStr">
        <x:is>
          <x:t xml:space="preserve">云南城投</x:t>
        </x:is>
      </x:c>
      <x:c r="D470" s="3" t="inlineStr">
        <x:is>
          <x:t xml:space="preserve">云南城投置业股份有限公司</x:t>
        </x:is>
      </x:c>
      <x:c r="E470" s="2" t="inlineStr">
        <x:is>
          <x:t xml:space="preserve">云南省</x:t>
        </x:is>
      </x:c>
      <x:c r="F470" s="2" t="inlineStr">
        <x:is>
          <x:t xml:space="preserve">昆明市</x:t>
        </x:is>
      </x:c>
      <x:c r="G470" s="3" t="inlineStr">
        <x:is>
          <x:t xml:space="preserve">云南省-昆明市</x:t>
        </x:is>
      </x:c>
      <x:c r="H470" s="2" t="inlineStr">
        <x:is>
          <x:t xml:space="preserve">房地产服务</x:t>
        </x:is>
      </x:c>
      <x:c r="I470" s="2" t="inlineStr">
        <x:is>
          <x:t xml:space="preserve">1999-12-02</x:t>
        </x:is>
      </x:c>
      <x:c r="J470" s="3" t="inlineStr">
        <x:is>
          <x:t xml:space="preserve">云南省昆明市西山区西园南路34号融城优郡A4栋</x:t>
        </x:is>
      </x:c>
      <x:c r="K470" s="12" t="str">
        <x:f>LEFT("915300002179235351",18)</x:f>
        <x:v>915300002179235300</x:v>
      </x:c>
    </x:row>
    <x:row r="471">
      <x:c r="A471" s="4" t="n">
        <x:v>470</x:v>
      </x:c>
      <x:c r="B471" s="4" t="inlineStr">
        <x:is>
          <x:t xml:space="preserve">600265</x:t>
        </x:is>
      </x:c>
      <x:c r="C471" s="5" t="inlineStr">
        <x:is>
          <x:t xml:space="preserve">景谷林业</x:t>
        </x:is>
      </x:c>
      <x:c r="D471" s="5" t="inlineStr">
        <x:is>
          <x:t xml:space="preserve">云南景谷林业股份有限公司</x:t>
        </x:is>
      </x:c>
      <x:c r="E471" s="4" t="inlineStr">
        <x:is>
          <x:t xml:space="preserve">云南省</x:t>
        </x:is>
      </x:c>
      <x:c r="F471" s="4" t="inlineStr">
        <x:is>
          <x:t xml:space="preserve">普洱市</x:t>
        </x:is>
      </x:c>
      <x:c r="G471" s="5" t="inlineStr">
        <x:is>
          <x:t xml:space="preserve">云南省-普洱市</x:t>
        </x:is>
      </x:c>
      <x:c r="H471" s="4" t="inlineStr">
        <x:is>
          <x:t xml:space="preserve">农牧饲渔</x:t>
        </x:is>
      </x:c>
      <x:c r="I471" s="4" t="inlineStr">
        <x:is>
          <x:t xml:space="preserve">2000-08-25</x:t>
        </x:is>
      </x:c>
      <x:c r="J471" s="5" t="inlineStr">
        <x:is>
          <x:t xml:space="preserve">云南省普洱市景谷傣族彝族自治县林纸路201号</x:t>
        </x:is>
      </x:c>
      <x:c r="K471" s="12" t="str">
        <x:f>LEFT("91530000709835283M",18)</x:f>
        <x:v>91530000709835283M</x:v>
      </x:c>
    </x:row>
    <x:row r="472">
      <x:c r="A472" s="2" t="n">
        <x:v>471</x:v>
      </x:c>
      <x:c r="B472" s="2" t="inlineStr">
        <x:is>
          <x:t xml:space="preserve">600422</x:t>
        </x:is>
      </x:c>
      <x:c r="C472" s="3" t="inlineStr">
        <x:is>
          <x:t xml:space="preserve">昆药集团</x:t>
        </x:is>
      </x:c>
      <x:c r="D472" s="3" t="inlineStr">
        <x:is>
          <x:t xml:space="preserve">昆药集团股份有限公司</x:t>
        </x:is>
      </x:c>
      <x:c r="E472" s="2" t="inlineStr">
        <x:is>
          <x:t xml:space="preserve">云南省</x:t>
        </x:is>
      </x:c>
      <x:c r="F472" s="2" t="inlineStr">
        <x:is>
          <x:t xml:space="preserve">昆明市</x:t>
        </x:is>
      </x:c>
      <x:c r="G472" s="3" t="inlineStr">
        <x:is>
          <x:t xml:space="preserve">云南省-昆明市</x:t>
        </x:is>
      </x:c>
      <x:c r="H472" s="2" t="inlineStr">
        <x:is>
          <x:t xml:space="preserve">中药</x:t>
        </x:is>
      </x:c>
      <x:c r="I472" s="2" t="inlineStr">
        <x:is>
          <x:t xml:space="preserve">2000-12-06</x:t>
        </x:is>
      </x:c>
      <x:c r="J472" s="3" t="inlineStr">
        <x:is>
          <x:t xml:space="preserve">云南省昆明市国家高新技术开发区科医路166号</x:t>
        </x:is>
      </x:c>
      <x:c r="K472" s="12" t="str">
        <x:f>LEFT("91530000216562280W",18)</x:f>
        <x:v>91530000216562280W</x:v>
      </x:c>
    </x:row>
    <x:row r="473">
      <x:c r="A473" s="4" t="n">
        <x:v>472</x:v>
      </x:c>
      <x:c r="B473" s="4" t="inlineStr">
        <x:is>
          <x:t xml:space="preserve">600459</x:t>
        </x:is>
      </x:c>
      <x:c r="C473" s="5" t="inlineStr">
        <x:is>
          <x:t xml:space="preserve">贵研铂业</x:t>
        </x:is>
      </x:c>
      <x:c r="D473" s="5" t="inlineStr">
        <x:is>
          <x:t xml:space="preserve">云南省贵金属新材料控股集团股份有限公司</x:t>
        </x:is>
      </x:c>
      <x:c r="E473" s="4" t="inlineStr">
        <x:is>
          <x:t xml:space="preserve">云南省</x:t>
        </x:is>
      </x:c>
      <x:c r="F473" s="4" t="inlineStr">
        <x:is>
          <x:t xml:space="preserve">昆明市</x:t>
        </x:is>
      </x:c>
      <x:c r="G473" s="5" t="inlineStr">
        <x:is>
          <x:t xml:space="preserve">云南省-昆明市</x:t>
        </x:is>
      </x:c>
      <x:c r="H473" s="4" t="inlineStr">
        <x:is>
          <x:t xml:space="preserve">小金属</x:t>
        </x:is>
      </x:c>
      <x:c r="I473" s="4" t="inlineStr">
        <x:is>
          <x:t xml:space="preserve">2003-05-16</x:t>
        </x:is>
      </x:c>
      <x:c r="J473" s="5" t="inlineStr">
        <x:is>
          <x:t xml:space="preserve">云南省昆明市高新技术产业开发区科技路988号</x:t>
        </x:is>
      </x:c>
      <x:c r="K473" s="12" t="str">
        <x:f>LEFT("915300007194992875",18)</x:f>
        <x:v>915300007194992900</x:v>
      </x:c>
    </x:row>
    <x:row r="474">
      <x:c r="A474" s="2" t="n">
        <x:v>473</x:v>
      </x:c>
      <x:c r="B474" s="2" t="inlineStr">
        <x:is>
          <x:t xml:space="preserve">600497</x:t>
        </x:is>
      </x:c>
      <x:c r="C474" s="3" t="inlineStr">
        <x:is>
          <x:t xml:space="preserve">驰宏锌锗</x:t>
        </x:is>
      </x:c>
      <x:c r="D474" s="3" t="inlineStr">
        <x:is>
          <x:t xml:space="preserve">云南驰宏锌锗股份有限公司</x:t>
        </x:is>
      </x:c>
      <x:c r="E474" s="2" t="inlineStr">
        <x:is>
          <x:t xml:space="preserve">云南省</x:t>
        </x:is>
      </x:c>
      <x:c r="F474" s="2" t="inlineStr">
        <x:is>
          <x:t xml:space="preserve">曲靖市</x:t>
        </x:is>
      </x:c>
      <x:c r="G474" s="3" t="inlineStr">
        <x:is>
          <x:t xml:space="preserve">云南省-曲靖市</x:t>
        </x:is>
      </x:c>
      <x:c r="H474" s="2" t="inlineStr">
        <x:is>
          <x:t xml:space="preserve">有色金属</x:t>
        </x:is>
      </x:c>
      <x:c r="I474" s="2" t="inlineStr">
        <x:is>
          <x:t xml:space="preserve">2004-04-20</x:t>
        </x:is>
      </x:c>
      <x:c r="J474" s="3" t="inlineStr">
        <x:is>
          <x:t xml:space="preserve">云南省曲靖市经济技术开发区</x:t>
        </x:is>
      </x:c>
      <x:c r="K474" s="12" t="str">
        <x:f>LEFT("91530000713464526C",18)</x:f>
        <x:v>91530000713464526C</x:v>
      </x:c>
    </x:row>
    <x:row r="475">
      <x:c r="A475" s="4" t="n">
        <x:v>474</x:v>
      </x:c>
      <x:c r="B475" s="4" t="inlineStr">
        <x:is>
          <x:t xml:space="preserve">600725</x:t>
        </x:is>
      </x:c>
      <x:c r="C475" s="5" t="inlineStr">
        <x:is>
          <x:t xml:space="preserve">云维股份</x:t>
        </x:is>
      </x:c>
      <x:c r="D475" s="5" t="inlineStr">
        <x:is>
          <x:t xml:space="preserve">云南云维股份有限公司</x:t>
        </x:is>
      </x:c>
      <x:c r="E475" s="4" t="inlineStr">
        <x:is>
          <x:t xml:space="preserve">云南省</x:t>
        </x:is>
      </x:c>
      <x:c r="F475" s="4" t="inlineStr">
        <x:is>
          <x:t xml:space="preserve">昆明市</x:t>
        </x:is>
      </x:c>
      <x:c r="G475" s="5" t="inlineStr">
        <x:is>
          <x:t xml:space="preserve">云南省-昆明市</x:t>
        </x:is>
      </x:c>
      <x:c r="H475" s="4" t="inlineStr">
        <x:is>
          <x:t xml:space="preserve">煤炭行业</x:t>
        </x:is>
      </x:c>
      <x:c r="I475" s="4" t="inlineStr">
        <x:is>
          <x:t xml:space="preserve">1996-07-02</x:t>
        </x:is>
      </x:c>
      <x:c r="J475" s="5" t="inlineStr">
        <x:is>
          <x:t xml:space="preserve">云南省滇中新区大板桥街道云水路1号智能制造产业园A1栋610号</x:t>
        </x:is>
      </x:c>
      <x:c r="K475" s="12" t="str">
        <x:f>LEFT("915300002919803007",18)</x:f>
        <x:v>915300002919803000</x:v>
      </x:c>
    </x:row>
    <x:row r="476">
      <x:c r="A476" s="2" t="n">
        <x:v>475</x:v>
      </x:c>
      <x:c r="B476" s="2" t="inlineStr">
        <x:is>
          <x:t xml:space="preserve">600792</x:t>
        </x:is>
      </x:c>
      <x:c r="C476" s="3" t="inlineStr">
        <x:is>
          <x:t xml:space="preserve">云煤能源</x:t>
        </x:is>
      </x:c>
      <x:c r="D476" s="3" t="inlineStr">
        <x:is>
          <x:t xml:space="preserve">云南煤业能源股份有限公司</x:t>
        </x:is>
      </x:c>
      <x:c r="E476" s="2" t="inlineStr">
        <x:is>
          <x:t xml:space="preserve">云南省</x:t>
        </x:is>
      </x:c>
      <x:c r="F476" s="2" t="inlineStr">
        <x:is>
          <x:t xml:space="preserve">昆明市</x:t>
        </x:is>
      </x:c>
      <x:c r="G476" s="3" t="inlineStr">
        <x:is>
          <x:t xml:space="preserve">云南省-昆明市</x:t>
        </x:is>
      </x:c>
      <x:c r="H476" s="2" t="inlineStr">
        <x:is>
          <x:t xml:space="preserve">煤炭采选</x:t>
        </x:is>
      </x:c>
      <x:c r="I476" s="2" t="inlineStr">
        <x:is>
          <x:t xml:space="preserve">1997-01-23</x:t>
        </x:is>
      </x:c>
      <x:c r="J476" s="3" t="inlineStr">
        <x:is>
          <x:t xml:space="preserve">云南省昆明市安宁市金方街道办事处</x:t>
        </x:is>
      </x:c>
      <x:c r="K476" s="12" t="str">
        <x:f>LEFT("915300002919886870",18)</x:f>
        <x:v>915300002919886800</x:v>
      </x:c>
    </x:row>
    <x:row r="477">
      <x:c r="A477" s="4" t="n">
        <x:v>476</x:v>
      </x:c>
      <x:c r="B477" s="4" t="inlineStr">
        <x:is>
          <x:t xml:space="preserve">600883</x:t>
        </x:is>
      </x:c>
      <x:c r="C477" s="5" t="inlineStr">
        <x:is>
          <x:t xml:space="preserve">博闻科技</x:t>
        </x:is>
      </x:c>
      <x:c r="D477" s="5" t="inlineStr">
        <x:is>
          <x:t xml:space="preserve">云南博闻科技实业股份有限公司</x:t>
        </x:is>
      </x:c>
      <x:c r="E477" s="4" t="inlineStr">
        <x:is>
          <x:t xml:space="preserve">云南省</x:t>
        </x:is>
      </x:c>
      <x:c r="F477" s="4" t="inlineStr">
        <x:is>
          <x:t xml:space="preserve">保山市</x:t>
        </x:is>
      </x:c>
      <x:c r="G477" s="5" t="inlineStr">
        <x:is>
          <x:t xml:space="preserve">云南省-保山市</x:t>
        </x:is>
      </x:c>
      <x:c r="H477" s="4" t="inlineStr">
        <x:is>
          <x:t xml:space="preserve">农牧饲渔</x:t>
        </x:is>
      </x:c>
      <x:c r="I477" s="4" t="inlineStr">
        <x:is>
          <x:t xml:space="preserve">1995-12-08</x:t>
        </x:is>
      </x:c>
      <x:c r="J477" s="5" t="inlineStr">
        <x:is>
          <x:t xml:space="preserve">云南省保山市隆阳区永盛街道小堡子(保山工贸园区)</x:t>
        </x:is>
      </x:c>
      <x:c r="K477" s="12" t="str">
        <x:f>LEFT("91530000218920600L",18)</x:f>
        <x:v>91530000218920600L</x:v>
      </x:c>
    </x:row>
    <x:row r="478">
      <x:c r="A478" s="2" t="n">
        <x:v>477</x:v>
      </x:c>
      <x:c r="B478" s="2" t="inlineStr">
        <x:is>
          <x:t xml:space="preserve">600995</x:t>
        </x:is>
      </x:c>
      <x:c r="C478" s="3" t="inlineStr">
        <x:is>
          <x:t xml:space="preserve">南网储能</x:t>
        </x:is>
      </x:c>
      <x:c r="D478" s="3" t="inlineStr">
        <x:is>
          <x:t xml:space="preserve">南方电网储能股份有限公司</x:t>
        </x:is>
      </x:c>
      <x:c r="E478" s="2" t="inlineStr">
        <x:is>
          <x:t xml:space="preserve">云南省</x:t>
        </x:is>
      </x:c>
      <x:c r="F478" s="2" t="inlineStr">
        <x:is>
          <x:t xml:space="preserve">南省文山市</x:t>
        </x:is>
      </x:c>
      <x:c r="G478" s="3" t="inlineStr">
        <x:is>
          <x:t xml:space="preserve">云南省-南省文山市</x:t>
        </x:is>
      </x:c>
      <x:c r="H478" s="2" t="inlineStr">
        <x:is>
          <x:t xml:space="preserve">电力行业</x:t>
        </x:is>
      </x:c>
      <x:c r="I478" s="2" t="inlineStr">
        <x:is>
          <x:t xml:space="preserve">2004-06-15</x:t>
        </x:is>
      </x:c>
      <x:c r="J478" s="3" t="inlineStr">
        <x:is>
          <x:t xml:space="preserve">云南省文山市凤凰路29号</x:t>
        </x:is>
      </x:c>
      <x:c r="K478" s="12" t="str">
        <x:f>LEFT("91530000709829203J",18)</x:f>
        <x:v>91530000709829203J</x:v>
      </x:c>
    </x:row>
    <x:row r="479">
      <x:c r="A479" s="4" t="n">
        <x:v>478</x:v>
      </x:c>
      <x:c r="B479" s="4" t="inlineStr">
        <x:is>
          <x:t xml:space="preserve">601099</x:t>
        </x:is>
      </x:c>
      <x:c r="C479" s="5" t="inlineStr">
        <x:is>
          <x:t xml:space="preserve">太平洋</x:t>
        </x:is>
      </x:c>
      <x:c r="D479" s="5" t="inlineStr">
        <x:is>
          <x:t xml:space="preserve">太平洋证券股份有限公司</x:t>
        </x:is>
      </x:c>
      <x:c r="E479" s="4" t="inlineStr">
        <x:is>
          <x:t xml:space="preserve">云南省</x:t>
        </x:is>
      </x:c>
      <x:c r="F479" s="4" t="inlineStr">
        <x:is>
          <x:t xml:space="preserve">昆明市</x:t>
        </x:is>
      </x:c>
      <x:c r="G479" s="5" t="inlineStr">
        <x:is>
          <x:t xml:space="preserve">云南省-昆明市</x:t>
        </x:is>
      </x:c>
      <x:c r="H479" s="4" t="inlineStr">
        <x:is>
          <x:t xml:space="preserve">券商信托</x:t>
        </x:is>
      </x:c>
      <x:c r="I479" s="4" t="inlineStr">
        <x:is>
          <x:t xml:space="preserve">2007-12-28</x:t>
        </x:is>
      </x:c>
      <x:c r="J479" s="5" t="inlineStr">
        <x:is>
          <x:t xml:space="preserve">云南省昆明市北京路926号同德广场写字楼31楼</x:t>
        </x:is>
      </x:c>
      <x:c r="K479" s="12" t="str">
        <x:f>LEFT("91530000757165982D",18)</x:f>
        <x:v>91530000757165982D</x:v>
      </x:c>
    </x:row>
    <x:row r="480">
      <x:c r="A480" s="2" t="n">
        <x:v>479</x:v>
      </x:c>
      <x:c r="B480" s="2" t="inlineStr">
        <x:is>
          <x:t xml:space="preserve">601236</x:t>
        </x:is>
      </x:c>
      <x:c r="C480" s="3" t="inlineStr">
        <x:is>
          <x:t xml:space="preserve">红塔证券</x:t>
        </x:is>
      </x:c>
      <x:c r="D480" s="3" t="inlineStr">
        <x:is>
          <x:t xml:space="preserve">红塔证券股份有限公司</x:t>
        </x:is>
      </x:c>
      <x:c r="E480" s="2" t="inlineStr">
        <x:is>
          <x:t xml:space="preserve">云南省</x:t>
        </x:is>
      </x:c>
      <x:c r="F480" s="2" t="inlineStr">
        <x:is>
          <x:t xml:space="preserve">昆明市</x:t>
        </x:is>
      </x:c>
      <x:c r="G480" s="3" t="inlineStr">
        <x:is>
          <x:t xml:space="preserve">云南省-昆明市</x:t>
        </x:is>
      </x:c>
      <x:c r="H480" s="2" t="inlineStr">
        <x:is>
          <x:t xml:space="preserve">券商信托</x:t>
        </x:is>
      </x:c>
      <x:c r="I480" s="2" t="inlineStr">
        <x:is>
          <x:t xml:space="preserve">2019-07-05</x:t>
        </x:is>
      </x:c>
      <x:c r="J480" s="3" t="inlineStr">
        <x:is>
          <x:t xml:space="preserve">云南省昆明市北京路155号附1号</x:t>
        </x:is>
      </x:c>
      <x:c r="K480" s="12" t="str">
        <x:f>LEFT("91530000734309760N",18)</x:f>
        <x:v>91530000734309760N</x:v>
      </x:c>
    </x:row>
    <x:row r="481">
      <x:c r="A481" s="4" t="n">
        <x:v>480</x:v>
      </x:c>
      <x:c r="B481" s="4" t="inlineStr">
        <x:is>
          <x:t xml:space="preserve">605266</x:t>
        </x:is>
      </x:c>
      <x:c r="C481" s="5" t="inlineStr">
        <x:is>
          <x:t xml:space="preserve">健之佳</x:t>
        </x:is>
      </x:c>
      <x:c r="D481" s="5" t="inlineStr">
        <x:is>
          <x:t xml:space="preserve">健之佳医药连锁集团股份有限公司</x:t>
        </x:is>
      </x:c>
      <x:c r="E481" s="4" t="inlineStr">
        <x:is>
          <x:t xml:space="preserve">云南省</x:t>
        </x:is>
      </x:c>
      <x:c r="F481" s="4" t="inlineStr">
        <x:is>
          <x:t xml:space="preserve">昆明市</x:t>
        </x:is>
      </x:c>
      <x:c r="G481" s="5" t="inlineStr">
        <x:is>
          <x:t xml:space="preserve">云南省-昆明市</x:t>
        </x:is>
      </x:c>
      <x:c r="H481" s="4" t="inlineStr">
        <x:is>
          <x:t xml:space="preserve">医药商业</x:t>
        </x:is>
      </x:c>
      <x:c r="I481" s="4" t="inlineStr">
        <x:is>
          <x:t xml:space="preserve">2020-12-01</x:t>
        </x:is>
      </x:c>
      <x:c r="J481" s="5" t="inlineStr">
        <x:is>
          <x:t xml:space="preserve">云南省昆明市盘龙区联盟街道旗营街10号</x:t>
        </x:is>
      </x:c>
      <x:c r="K481" s="12" t="str">
        <x:f>LEFT("915300007670584000",18)</x:f>
        <x:v>915300007670584000</x:v>
      </x:c>
    </x:row>
    <x:row r="482">
      <x:c r="A482" s="2" t="n">
        <x:v>481</x:v>
      </x:c>
      <x:c r="B482" s="2" t="inlineStr">
        <x:is>
          <x:t xml:space="preserve">605296</x:t>
        </x:is>
      </x:c>
      <x:c r="C482" s="3" t="inlineStr">
        <x:is>
          <x:t xml:space="preserve">神农集团</x:t>
        </x:is>
      </x:c>
      <x:c r="D482" s="3" t="inlineStr">
        <x:is>
          <x:t xml:space="preserve">云南神农农业产业集团股份有限公司</x:t>
        </x:is>
      </x:c>
      <x:c r="E482" s="2" t="inlineStr">
        <x:is>
          <x:t xml:space="preserve">云南省</x:t>
        </x:is>
      </x:c>
      <x:c r="F482" s="2" t="inlineStr">
        <x:is>
          <x:t xml:space="preserve">昆明市</x:t>
        </x:is>
      </x:c>
      <x:c r="G482" s="3" t="inlineStr">
        <x:is>
          <x:t xml:space="preserve">云南省-昆明市</x:t>
        </x:is>
      </x:c>
      <x:c r="H482" s="2" t="inlineStr">
        <x:is>
          <x:t xml:space="preserve">农牧饲渔</x:t>
        </x:is>
      </x:c>
      <x:c r="I482" s="2" t="inlineStr">
        <x:is>
          <x:t xml:space="preserve">2021-05-28</x:t>
        </x:is>
      </x:c>
      <x:c r="J482" s="3" t="inlineStr">
        <x:is>
          <x:t xml:space="preserve">中国(云南)自由贸易试验区昆明片区经开区阿拉街道办事处普照海子片区14-06-1#地块</x:t>
        </x:is>
      </x:c>
      <x:c r="K482" s="12" t="str">
        <x:f>LEFT("915300007134134380",18)</x:f>
        <x:v>915300007134134400</x:v>
      </x:c>
    </x:row>
    <x:row r="483">
      <x:c r="A483" s="4" t="n">
        <x:v>482</x:v>
      </x:c>
      <x:c r="B483" s="4" t="inlineStr">
        <x:is>
          <x:t xml:space="preserve">000426</x:t>
        </x:is>
      </x:c>
      <x:c r="C483" s="5" t="inlineStr">
        <x:is>
          <x:t xml:space="preserve">兴业银锡</x:t>
        </x:is>
      </x:c>
      <x:c r="D483" s="5" t="inlineStr">
        <x:is>
          <x:t xml:space="preserve">内蒙古兴业银锡矿业股份有限公司</x:t>
        </x:is>
      </x:c>
      <x:c r="E483" s="4" t="inlineStr">
        <x:is>
          <x:t xml:space="preserve">内蒙古自治区</x:t>
        </x:is>
      </x:c>
      <x:c r="F483" s="4" t="inlineStr">
        <x:is>
          <x:t xml:space="preserve">赤峰市</x:t>
        </x:is>
      </x:c>
      <x:c r="G483" s="5" t="inlineStr">
        <x:is>
          <x:t xml:space="preserve">内蒙古自治区-赤峰市</x:t>
        </x:is>
      </x:c>
      <x:c r="H483" s="4" t="inlineStr">
        <x:is>
          <x:t xml:space="preserve">有色金属</x:t>
        </x:is>
      </x:c>
      <x:c r="I483" s="4" t="inlineStr">
        <x:is>
          <x:t xml:space="preserve">1996-08-28</x:t>
        </x:is>
      </x:c>
      <x:c r="J483" s="5" t="inlineStr">
        <x:is>
          <x:t xml:space="preserve">赤峰市新城区八家组团玉龙大街路北、天义路西兴业集团办公楼</x:t>
        </x:is>
      </x:c>
      <x:c r="K483" s="12" t="str">
        <x:f>LEFT("91150000114802589Q",18)</x:f>
        <x:v>91150000114802589Q</x:v>
      </x:c>
    </x:row>
    <x:row r="484">
      <x:c r="A484" s="2" t="n">
        <x:v>483</x:v>
      </x:c>
      <x:c r="B484" s="2" t="inlineStr">
        <x:is>
          <x:t xml:space="preserve">000683</x:t>
        </x:is>
      </x:c>
      <x:c r="C484" s="3" t="inlineStr">
        <x:is>
          <x:t xml:space="preserve">博源化工</x:t>
        </x:is>
      </x:c>
      <x:c r="D484" s="3" t="inlineStr">
        <x:is>
          <x:t xml:space="preserve">内蒙古博源化工股份有限公司</x:t>
        </x:is>
      </x:c>
      <x:c r="E484" s="2" t="inlineStr">
        <x:is>
          <x:t xml:space="preserve">内蒙古自治区</x:t>
        </x:is>
      </x:c>
      <x:c r="F484" s="2" t="inlineStr">
        <x:is>
          <x:t xml:space="preserve">鄂尔多斯市</x:t>
        </x:is>
      </x:c>
      <x:c r="G484" s="3" t="inlineStr">
        <x:is>
          <x:t xml:space="preserve">内蒙古自治区-鄂尔多斯市</x:t>
        </x:is>
      </x:c>
      <x:c r="H484" s="2" t="inlineStr">
        <x:is>
          <x:t xml:space="preserve">化学原料</x:t>
        </x:is>
      </x:c>
      <x:c r="I484" s="2" t="inlineStr">
        <x:is>
          <x:t xml:space="preserve">1997-01-31</x:t>
        </x:is>
      </x:c>
      <x:c r="J484" s="3" t="inlineStr">
        <x:is>
          <x:t xml:space="preserve">内蒙古自治区鄂尔多斯市东胜区鄂托克西街博源大厦12层</x:t>
        </x:is>
      </x:c>
      <x:c r="K484" s="12" t="str">
        <x:f>LEFT("91150000114124036R",18)</x:f>
        <x:v>91150000114124036R</x:v>
      </x:c>
    </x:row>
    <x:row r="485">
      <x:c r="A485" s="4" t="n">
        <x:v>484</x:v>
      </x:c>
      <x:c r="B485" s="4" t="inlineStr">
        <x:is>
          <x:t xml:space="preserve">000975</x:t>
        </x:is>
      </x:c>
      <x:c r="C485" s="5" t="inlineStr">
        <x:is>
          <x:t xml:space="preserve">山金国际</x:t>
        </x:is>
      </x:c>
      <x:c r="D485" s="5" t="inlineStr">
        <x:is>
          <x:t xml:space="preserve">山金国际黄金股份有限公司</x:t>
        </x:is>
      </x:c>
      <x:c r="E485" s="4" t="inlineStr">
        <x:is>
          <x:t xml:space="preserve">内蒙古自治区</x:t>
        </x:is>
      </x:c>
      <x:c r="F485" s="4" t="inlineStr">
        <x:is>
          <x:t xml:space="preserve">锡林郭勒盟</x:t>
        </x:is>
      </x:c>
      <x:c r="G485" s="5" t="inlineStr">
        <x:is>
          <x:t xml:space="preserve">内蒙古自治区-锡林郭勒盟</x:t>
        </x:is>
      </x:c>
      <x:c r="H485" s="4" t="inlineStr">
        <x:is>
          <x:t xml:space="preserve">贵金属</x:t>
        </x:is>
      </x:c>
      <x:c r="I485" s="4" t="inlineStr">
        <x:is>
          <x:t xml:space="preserve">2000-06-08</x:t>
        </x:is>
      </x:c>
      <x:c r="J485" s="5" t="inlineStr">
        <x:is>
          <x:t xml:space="preserve">内蒙古自治区锡林郭勒盟西乌珠穆沁旗巴拉嘎尔高勒镇哈拉图街</x:t>
        </x:is>
      </x:c>
      <x:c r="K485" s="12" t="str">
        <x:f>LEFT("911525007116525588",18)</x:f>
        <x:v>911525007116525600</x:v>
      </x:c>
    </x:row>
    <x:row r="486">
      <x:c r="A486" s="2" t="n">
        <x:v>485</x:v>
      </x:c>
      <x:c r="B486" s="2" t="inlineStr">
        <x:is>
          <x:t xml:space="preserve">001203</x:t>
        </x:is>
      </x:c>
      <x:c r="C486" s="3" t="inlineStr">
        <x:is>
          <x:t xml:space="preserve">大中矿业</x:t>
        </x:is>
      </x:c>
      <x:c r="D486" s="3" t="inlineStr">
        <x:is>
          <x:t xml:space="preserve">大中矿业股份有限公司</x:t>
        </x:is>
      </x:c>
      <x:c r="E486" s="2" t="inlineStr">
        <x:is>
          <x:t xml:space="preserve">内蒙古自治区</x:t>
        </x:is>
      </x:c>
      <x:c r="F486" s="2" t="inlineStr">
        <x:is>
          <x:t xml:space="preserve">巴彦淖尔市</x:t>
        </x:is>
      </x:c>
      <x:c r="G486" s="3" t="inlineStr">
        <x:is>
          <x:t xml:space="preserve">内蒙古自治区-巴彦淖尔市</x:t>
        </x:is>
      </x:c>
      <x:c r="H486" s="2" t="inlineStr">
        <x:is>
          <x:t xml:space="preserve">钢铁行业</x:t>
        </x:is>
      </x:c>
      <x:c r="I486" s="2" t="inlineStr">
        <x:is>
          <x:t xml:space="preserve">2021-05-10</x:t>
        </x:is>
      </x:c>
      <x:c r="J486" s="3" t="inlineStr">
        <x:is>
          <x:t xml:space="preserve">内蒙古自治区乌拉特前旗小佘太书记沟</x:t>
        </x:is>
      </x:c>
      <x:c r="K486" s="12" t="str">
        <x:f>LEFT("91150800701444800H",18)</x:f>
        <x:v>91150800701444800H</x:v>
      </x:c>
    </x:row>
    <x:row r="487">
      <x:c r="A487" s="4" t="n">
        <x:v>486</x:v>
      </x:c>
      <x:c r="B487" s="4" t="inlineStr">
        <x:is>
          <x:t xml:space="preserve">001269</x:t>
        </x:is>
      </x:c>
      <x:c r="C487" s="5" t="inlineStr">
        <x:is>
          <x:t xml:space="preserve">欧晶科技</x:t>
        </x:is>
      </x:c>
      <x:c r="D487" s="5" t="inlineStr">
        <x:is>
          <x:t xml:space="preserve">内蒙古欧晶科技股份有限公司</x:t>
        </x:is>
      </x:c>
      <x:c r="E487" s="4" t="inlineStr">
        <x:is>
          <x:t xml:space="preserve">内蒙古自治区</x:t>
        </x:is>
      </x:c>
      <x:c r="F487" s="4" t="inlineStr">
        <x:is>
          <x:t xml:space="preserve">呼和浩特市</x:t>
        </x:is>
      </x:c>
      <x:c r="G487" s="5" t="inlineStr">
        <x:is>
          <x:t xml:space="preserve">内蒙古自治区-呼和浩特市</x:t>
        </x:is>
      </x:c>
      <x:c r="H487" s="4" t="inlineStr">
        <x:is>
          <x:t xml:space="preserve">光伏设备</x:t>
        </x:is>
      </x:c>
      <x:c r="I487" s="4" t="inlineStr">
        <x:is>
          <x:t xml:space="preserve">2022-09-30</x:t>
        </x:is>
      </x:c>
      <x:c r="J487" s="5" t="inlineStr">
        <x:is>
          <x:t xml:space="preserve">内蒙古自治区呼和浩特市赛罕区阿木尔南街31号</x:t>
        </x:is>
      </x:c>
      <x:c r="K487" s="12" t="str">
        <x:f>LEFT("91150100573268485R",18)</x:f>
        <x:v>91150100573268485R</x:v>
      </x:c>
    </x:row>
    <x:row r="488">
      <x:c r="A488" s="2" t="n">
        <x:v>487</x:v>
      </x:c>
      <x:c r="B488" s="2" t="inlineStr">
        <x:is>
          <x:t xml:space="preserve">001369</x:t>
        </x:is>
      </x:c>
      <x:c r="C488" s="3" t="inlineStr">
        <x:is>
          <x:t xml:space="preserve">双欣材料</x:t>
        </x:is>
      </x:c>
      <x:c r="D488" s="3" t="inlineStr">
        <x:is>
          <x:t xml:space="preserve">内蒙古双欣环保材料股份有限公司</x:t>
        </x:is>
      </x:c>
      <x:c r="E488" s="2" t="inlineStr">
        <x:is>
          <x:t xml:space="preserve">内蒙古自治区</x:t>
        </x:is>
      </x:c>
      <x:c r="F488" s="2" t="inlineStr">
        <x:is>
          <x:t xml:space="preserve">鄂尔多斯市</x:t>
        </x:is>
      </x:c>
      <x:c r="G488" s="3" t="inlineStr">
        <x:is>
          <x:t xml:space="preserve">内蒙古自治区-鄂尔多斯市</x:t>
        </x:is>
      </x:c>
      <x:c r="H488" s="2" t="inlineStr">
        <x:is>
          <x:t xml:space="preserve">化纤行业</x:t>
        </x:is>
      </x:c>
      <x:c r="I488" s="2" t="inlineStr">
        <x:is>
          <x:t xml:space="preserve">2025-12-30</x:t>
        </x:is>
      </x:c>
      <x:c r="J488" s="3" t="inlineStr">
        <x:is>
          <x:t xml:space="preserve">鄂托克旗蒙西高新技术工业园</x:t>
        </x:is>
      </x:c>
      <x:c r="K488" s="12" t="str">
        <x:f>LEFT("91150600690059383Y",18)</x:f>
        <x:v>91150600690059383Y</x:v>
      </x:c>
    </x:row>
    <x:row r="489">
      <x:c r="A489" s="4" t="n">
        <x:v>488</x:v>
      </x:c>
      <x:c r="B489" s="4" t="inlineStr">
        <x:is>
          <x:t xml:space="preserve">002128</x:t>
        </x:is>
      </x:c>
      <x:c r="C489" s="5" t="inlineStr">
        <x:is>
          <x:t xml:space="preserve">电投能源</x:t>
        </x:is>
      </x:c>
      <x:c r="D489" s="5" t="inlineStr">
        <x:is>
          <x:t xml:space="preserve">内蒙古电投能源股份有限公司</x:t>
        </x:is>
      </x:c>
      <x:c r="E489" s="4" t="inlineStr">
        <x:is>
          <x:t xml:space="preserve">内蒙古自治区</x:t>
        </x:is>
      </x:c>
      <x:c r="F489" s="4" t="inlineStr">
        <x:is>
          <x:t xml:space="preserve">霍林郭勒市</x:t>
        </x:is>
      </x:c>
      <x:c r="G489" s="5" t="inlineStr">
        <x:is>
          <x:t xml:space="preserve">内蒙古自治区-霍林郭勒市</x:t>
        </x:is>
      </x:c>
      <x:c r="H489" s="4" t="inlineStr">
        <x:is>
          <x:t xml:space="preserve">煤炭采选</x:t>
        </x:is>
      </x:c>
      <x:c r="I489" s="4" t="inlineStr">
        <x:is>
          <x:t xml:space="preserve">2007-04-18</x:t>
        </x:is>
      </x:c>
      <x:c r="J489" s="5" t="inlineStr">
        <x:is>
          <x:t xml:space="preserve">内蒙古自治区霍林郭勒市哲里木大街(霍矿珠斯花区)</x:t>
        </x:is>
      </x:c>
      <x:c r="K489" s="12" t="str">
        <x:f>LEFT("911505007332663405",18)</x:f>
        <x:v>911505007332663400</x:v>
      </x:c>
    </x:row>
    <x:row r="490">
      <x:c r="A490" s="2" t="n">
        <x:v>489</x:v>
      </x:c>
      <x:c r="B490" s="2" t="inlineStr">
        <x:is>
          <x:t xml:space="preserve">002688</x:t>
        </x:is>
      </x:c>
      <x:c r="C490" s="3" t="inlineStr">
        <x:is>
          <x:t xml:space="preserve">金河生物</x:t>
        </x:is>
      </x:c>
      <x:c r="D490" s="3" t="inlineStr">
        <x:is>
          <x:t xml:space="preserve">金河生物科技股份有限公司</x:t>
        </x:is>
      </x:c>
      <x:c r="E490" s="2" t="inlineStr">
        <x:is>
          <x:t xml:space="preserve">内蒙古自治区</x:t>
        </x:is>
      </x:c>
      <x:c r="F490" s="2" t="inlineStr">
        <x:is>
          <x:t xml:space="preserve">呼和浩特市</x:t>
        </x:is>
      </x:c>
      <x:c r="G490" s="3" t="inlineStr">
        <x:is>
          <x:t xml:space="preserve">内蒙古自治区-呼和浩特市</x:t>
        </x:is>
      </x:c>
      <x:c r="H490" s="2" t="inlineStr">
        <x:is>
          <x:t xml:space="preserve">农药兽药</x:t>
        </x:is>
      </x:c>
      <x:c r="I490" s="2" t="inlineStr">
        <x:is>
          <x:t xml:space="preserve">2012-07-13</x:t>
        </x:is>
      </x:c>
      <x:c r="J490" s="3" t="inlineStr">
        <x:is>
          <x:t xml:space="preserve">内蒙古自治区托克托县新坪路71号</x:t>
        </x:is>
      </x:c>
      <x:c r="K490" s="12" t="str">
        <x:f>LEFT("91150000114368372K",18)</x:f>
        <x:v>91150000114368372K</x:v>
      </x:c>
    </x:row>
    <x:row r="491">
      <x:c r="A491" s="4" t="n">
        <x:v>490</x:v>
      </x:c>
      <x:c r="B491" s="4" t="inlineStr">
        <x:is>
          <x:t xml:space="preserve">300049</x:t>
        </x:is>
      </x:c>
      <x:c r="C491" s="5" t="inlineStr">
        <x:is>
          <x:t xml:space="preserve">福瑞医科</x:t>
        </x:is>
      </x:c>
      <x:c r="D491" s="5" t="inlineStr">
        <x:is>
          <x:t xml:space="preserve">内蒙古福瑞医疗科技股份有限公司</x:t>
        </x:is>
      </x:c>
      <x:c r="E491" s="4" t="inlineStr">
        <x:is>
          <x:t xml:space="preserve">内蒙古自治区</x:t>
        </x:is>
      </x:c>
      <x:c r="F491" s="4" t="inlineStr">
        <x:is>
          <x:t xml:space="preserve">乌兰察布市</x:t>
        </x:is>
      </x:c>
      <x:c r="G491" s="5" t="inlineStr">
        <x:is>
          <x:t xml:space="preserve">内蒙古自治区-乌兰察布市</x:t>
        </x:is>
      </x:c>
      <x:c r="H491" s="4" t="inlineStr">
        <x:is>
          <x:t xml:space="preserve">医疗器械</x:t>
        </x:is>
      </x:c>
      <x:c r="I491" s="4" t="inlineStr">
        <x:is>
          <x:t xml:space="preserve">2010-01-20</x:t>
        </x:is>
      </x:c>
      <x:c r="J491" s="5" t="inlineStr">
        <x:is>
          <x:t xml:space="preserve">内蒙古乌兰察布市集宁区解放路103号</x:t>
        </x:is>
      </x:c>
      <x:c r="K491" s="12" t="str">
        <x:f>LEFT("91150000733284733B",18)</x:f>
        <x:v>91150000733284733B</x:v>
      </x:c>
    </x:row>
    <x:row r="492">
      <x:c r="A492" s="2" t="n">
        <x:v>491</x:v>
      </x:c>
      <x:c r="B492" s="2" t="inlineStr">
        <x:is>
          <x:t xml:space="preserve">300239</x:t>
        </x:is>
      </x:c>
      <x:c r="C492" s="3" t="inlineStr">
        <x:is>
          <x:t xml:space="preserve">东宝生物</x:t>
        </x:is>
      </x:c>
      <x:c r="D492" s="3" t="inlineStr">
        <x:is>
          <x:t xml:space="preserve">包头东宝生物技术股份有限公司</x:t>
        </x:is>
      </x:c>
      <x:c r="E492" s="2" t="inlineStr">
        <x:is>
          <x:t xml:space="preserve">内蒙古自治区</x:t>
        </x:is>
      </x:c>
      <x:c r="F492" s="2" t="inlineStr">
        <x:is>
          <x:t xml:space="preserve">包头市</x:t>
        </x:is>
      </x:c>
      <x:c r="G492" s="3" t="inlineStr">
        <x:is>
          <x:t xml:space="preserve">内蒙古自治区-包头市</x:t>
        </x:is>
      </x:c>
      <x:c r="H492" s="2" t="inlineStr">
        <x:is>
          <x:t xml:space="preserve">生物制品</x:t>
        </x:is>
      </x:c>
      <x:c r="I492" s="2" t="inlineStr">
        <x:is>
          <x:t xml:space="preserve">2011-07-06</x:t>
        </x:is>
      </x:c>
      <x:c r="J492" s="3" t="inlineStr">
        <x:is>
          <x:t xml:space="preserve">内蒙古自治区包头市稀土高新技术产业开发区黄河大街46号</x:t>
        </x:is>
      </x:c>
      <x:c r="K492" s="12" t="str">
        <x:f>LEFT("911500006032671859",18)</x:f>
        <x:v>911500006032671900</x:v>
      </x:c>
    </x:row>
    <x:row r="493">
      <x:c r="A493" s="4" t="n">
        <x:v>492</x:v>
      </x:c>
      <x:c r="B493" s="4" t="inlineStr">
        <x:is>
          <x:t xml:space="preserve">300355</x:t>
        </x:is>
      </x:c>
      <x:c r="C493" s="5" t="inlineStr">
        <x:is>
          <x:t xml:space="preserve">蒙草生态</x:t>
        </x:is>
      </x:c>
      <x:c r="D493" s="5" t="inlineStr">
        <x:is>
          <x:t xml:space="preserve">蒙草生态环境(集团)股份有限公司</x:t>
        </x:is>
      </x:c>
      <x:c r="E493" s="4" t="inlineStr">
        <x:is>
          <x:t xml:space="preserve">内蒙古自治区</x:t>
        </x:is>
      </x:c>
      <x:c r="F493" s="4" t="inlineStr">
        <x:is>
          <x:t xml:space="preserve">呼和浩特市</x:t>
        </x:is>
      </x:c>
      <x:c r="G493" s="5" t="inlineStr">
        <x:is>
          <x:t xml:space="preserve">内蒙古自治区-呼和浩特市</x:t>
        </x:is>
      </x:c>
      <x:c r="H493" s="4" t="inlineStr">
        <x:is>
          <x:t xml:space="preserve">环保工程</x:t>
        </x:is>
      </x:c>
      <x:c r="I493" s="4" t="inlineStr">
        <x:is>
          <x:t xml:space="preserve">2012-09-27</x:t>
        </x:is>
      </x:c>
      <x:c r="J493" s="5" t="inlineStr">
        <x:is>
          <x:t xml:space="preserve">呼和浩特市盛乐经济园区盛乐五街南侧</x:t>
        </x:is>
      </x:c>
      <x:c r="K493" s="12" t="str">
        <x:f>LEFT("91150000720133450X",18)</x:f>
        <x:v>91150000720133450X</x:v>
      </x:c>
    </x:row>
    <x:row r="494">
      <x:c r="A494" s="2" t="n">
        <x:v>493</x:v>
      </x:c>
      <x:c r="B494" s="2" t="inlineStr">
        <x:is>
          <x:t xml:space="preserve">301622</x:t>
        </x:is>
      </x:c>
      <x:c r="C494" s="3" t="inlineStr">
        <x:is>
          <x:t xml:space="preserve">英思特</x:t>
        </x:is>
      </x:c>
      <x:c r="D494" s="3" t="inlineStr">
        <x:is>
          <x:t xml:space="preserve">包头市英思特稀磁新材料股份有限公司</x:t>
        </x:is>
      </x:c>
      <x:c r="E494" s="2" t="inlineStr">
        <x:is>
          <x:t xml:space="preserve">内蒙古自治区</x:t>
        </x:is>
      </x:c>
      <x:c r="F494" s="2" t="inlineStr">
        <x:is>
          <x:t xml:space="preserve">包头市</x:t>
        </x:is>
      </x:c>
      <x:c r="G494" s="3" t="inlineStr">
        <x:is>
          <x:t xml:space="preserve">内蒙古自治区-包头市</x:t>
        </x:is>
      </x:c>
      <x:c r="H494" s="2" t="inlineStr">
        <x:is>
          <x:t xml:space="preserve">电子元件</x:t>
        </x:is>
      </x:c>
      <x:c r="I494" s="2" t="inlineStr">
        <x:is>
          <x:t xml:space="preserve">2024-12-04</x:t>
        </x:is>
      </x:c>
      <x:c r="J494" s="3" t="inlineStr">
        <x:is>
          <x:t xml:space="preserve">内蒙古自治区包头市包头稀土高新技术产业开发区瑞成道2号英思特稀磁产业园(一照多址)</x:t>
        </x:is>
      </x:c>
      <x:c r="K494" s="12" t="str">
        <x:f>LEFT("91150291575695288Y",18)</x:f>
        <x:v>91150291575695288Y</x:v>
      </x:c>
    </x:row>
    <x:row r="495">
      <x:c r="A495" s="4" t="n">
        <x:v>494</x:v>
      </x:c>
      <x:c r="B495" s="4" t="inlineStr">
        <x:is>
          <x:t xml:space="preserve">600010</x:t>
        </x:is>
      </x:c>
      <x:c r="C495" s="5" t="inlineStr">
        <x:is>
          <x:t xml:space="preserve">包钢股份</x:t>
        </x:is>
      </x:c>
      <x:c r="D495" s="5" t="inlineStr">
        <x:is>
          <x:t xml:space="preserve">内蒙古包钢钢联股份有限公司</x:t>
        </x:is>
      </x:c>
      <x:c r="E495" s="4" t="inlineStr">
        <x:is>
          <x:t xml:space="preserve">内蒙古自治区</x:t>
        </x:is>
      </x:c>
      <x:c r="F495" s="4" t="inlineStr">
        <x:is>
          <x:t xml:space="preserve">包头市</x:t>
        </x:is>
      </x:c>
      <x:c r="G495" s="5" t="inlineStr">
        <x:is>
          <x:t xml:space="preserve">内蒙古自治区-包头市</x:t>
        </x:is>
      </x:c>
      <x:c r="H495" s="4" t="inlineStr">
        <x:is>
          <x:t xml:space="preserve">钢铁行业</x:t>
        </x:is>
      </x:c>
      <x:c r="I495" s="4" t="inlineStr">
        <x:is>
          <x:t xml:space="preserve">2001-03-09</x:t>
        </x:is>
      </x:c>
      <x:c r="J495" s="5" t="inlineStr">
        <x:is>
          <x:t xml:space="preserve">内蒙古包头市昆都仑区河西工业区</x:t>
        </x:is>
      </x:c>
      <x:c r="K495" s="12" t="str">
        <x:f>LEFT("911500007014649754",18)</x:f>
        <x:v>911500007014649700</x:v>
      </x:c>
    </x:row>
    <x:row r="496">
      <x:c r="A496" s="2" t="n">
        <x:v>495</x:v>
      </x:c>
      <x:c r="B496" s="2" t="inlineStr">
        <x:is>
          <x:t xml:space="preserve">600111</x:t>
        </x:is>
      </x:c>
      <x:c r="C496" s="3" t="inlineStr">
        <x:is>
          <x:t xml:space="preserve">北方稀土</x:t>
        </x:is>
      </x:c>
      <x:c r="D496" s="3" t="inlineStr">
        <x:is>
          <x:t xml:space="preserve">中国北方稀土(集团)高科技股份有限公司</x:t>
        </x:is>
      </x:c>
      <x:c r="E496" s="2" t="inlineStr">
        <x:is>
          <x:t xml:space="preserve">内蒙古自治区</x:t>
        </x:is>
      </x:c>
      <x:c r="F496" s="2" t="inlineStr">
        <x:is>
          <x:t xml:space="preserve">包头市</x:t>
        </x:is>
      </x:c>
      <x:c r="G496" s="3" t="inlineStr">
        <x:is>
          <x:t xml:space="preserve">内蒙古自治区-包头市</x:t>
        </x:is>
      </x:c>
      <x:c r="H496" s="2" t="inlineStr">
        <x:is>
          <x:t xml:space="preserve">小金属</x:t>
        </x:is>
      </x:c>
      <x:c r="I496" s="2" t="inlineStr">
        <x:is>
          <x:t xml:space="preserve">1997-09-24</x:t>
        </x:is>
      </x:c>
      <x:c r="J496" s="3" t="inlineStr">
        <x:is>
          <x:t xml:space="preserve">内蒙古自治区包头稀土高新技术产业开发区黄河大街83号</x:t>
        </x:is>
      </x:c>
      <x:c r="K496" s="12" t="str">
        <x:f>LEFT("91150000701463622D",18)</x:f>
        <x:v>91150000701463622D</x:v>
      </x:c>
    </x:row>
    <x:row r="497">
      <x:c r="A497" s="4" t="n">
        <x:v>496</x:v>
      </x:c>
      <x:c r="B497" s="4" t="inlineStr">
        <x:is>
          <x:t xml:space="preserve">600191</x:t>
        </x:is>
      </x:c>
      <x:c r="C497" s="5" t="inlineStr">
        <x:is>
          <x:t xml:space="preserve">华资实业</x:t>
        </x:is>
      </x:c>
      <x:c r="D497" s="5" t="inlineStr">
        <x:is>
          <x:t xml:space="preserve">包头华资实业股份有限公司</x:t>
        </x:is>
      </x:c>
      <x:c r="E497" s="4" t="inlineStr">
        <x:is>
          <x:t xml:space="preserve">内蒙古自治区</x:t>
        </x:is>
      </x:c>
      <x:c r="F497" s="4" t="inlineStr">
        <x:is>
          <x:t xml:space="preserve">包头市</x:t>
        </x:is>
      </x:c>
      <x:c r="G497" s="5" t="inlineStr">
        <x:is>
          <x:t xml:space="preserve">内蒙古自治区-包头市</x:t>
        </x:is>
      </x:c>
      <x:c r="H497" s="4" t="inlineStr">
        <x:is>
          <x:t xml:space="preserve">食品饮料</x:t>
        </x:is>
      </x:c>
      <x:c r="I497" s="4" t="inlineStr">
        <x:is>
          <x:t xml:space="preserve">1998-12-10</x:t>
        </x:is>
      </x:c>
      <x:c r="J497" s="5" t="inlineStr">
        <x:is>
          <x:t xml:space="preserve">内蒙古自治区包头市东河区铝业大道40号</x:t>
        </x:is>
      </x:c>
      <x:c r="K497" s="12" t="str">
        <x:f>LEFT("91150000701462216T",18)</x:f>
        <x:v>91150000701462216T</x:v>
      </x:c>
    </x:row>
    <x:row r="498">
      <x:c r="A498" s="2" t="n">
        <x:v>497</x:v>
      </x:c>
      <x:c r="B498" s="2" t="inlineStr">
        <x:is>
          <x:t xml:space="preserve">600201</x:t>
        </x:is>
      </x:c>
      <x:c r="C498" s="3" t="inlineStr">
        <x:is>
          <x:t xml:space="preserve">生物股份</x:t>
        </x:is>
      </x:c>
      <x:c r="D498" s="3" t="inlineStr">
        <x:is>
          <x:t xml:space="preserve">金宇生物技术股份有限公司</x:t>
        </x:is>
      </x:c>
      <x:c r="E498" s="2" t="inlineStr">
        <x:is>
          <x:t xml:space="preserve">内蒙古自治区</x:t>
        </x:is>
      </x:c>
      <x:c r="F498" s="2" t="inlineStr">
        <x:is>
          <x:t xml:space="preserve">呼和浩特市</x:t>
        </x:is>
      </x:c>
      <x:c r="G498" s="3" t="inlineStr">
        <x:is>
          <x:t xml:space="preserve">内蒙古自治区-呼和浩特市</x:t>
        </x:is>
      </x:c>
      <x:c r="H498" s="2" t="inlineStr">
        <x:is>
          <x:t xml:space="preserve">农药兽药</x:t>
        </x:is>
      </x:c>
      <x:c r="I498" s="2" t="inlineStr">
        <x:is>
          <x:t xml:space="preserve">1999-01-15</x:t>
        </x:is>
      </x:c>
      <x:c r="J498" s="3" t="inlineStr">
        <x:is>
          <x:t xml:space="preserve">内蒙古自治区呼和浩特市经济技术开发区沙尔沁工业园区金宇大街1号</x:t>
        </x:is>
      </x:c>
      <x:c r="K498" s="12" t="str">
        <x:f>LEFT("911500001141618816",18)</x:f>
        <x:v>911500001141618800</x:v>
      </x:c>
    </x:row>
    <x:row r="499">
      <x:c r="A499" s="4" t="n">
        <x:v>498</x:v>
      </x:c>
      <x:c r="B499" s="4" t="inlineStr">
        <x:is>
          <x:t xml:space="preserve">600262</x:t>
        </x:is>
      </x:c>
      <x:c r="C499" s="5" t="inlineStr">
        <x:is>
          <x:t xml:space="preserve">北方股份</x:t>
        </x:is>
      </x:c>
      <x:c r="D499" s="5" t="inlineStr">
        <x:is>
          <x:t xml:space="preserve">内蒙古北方重型汽车股份有限公司</x:t>
        </x:is>
      </x:c>
      <x:c r="E499" s="4" t="inlineStr">
        <x:is>
          <x:t xml:space="preserve">内蒙古自治区</x:t>
        </x:is>
      </x:c>
      <x:c r="F499" s="4" t="inlineStr">
        <x:is>
          <x:t xml:space="preserve">包头市</x:t>
        </x:is>
      </x:c>
      <x:c r="G499" s="5" t="inlineStr">
        <x:is>
          <x:t xml:space="preserve">内蒙古自治区-包头市</x:t>
        </x:is>
      </x:c>
      <x:c r="H499" s="4" t="inlineStr">
        <x:is>
          <x:t xml:space="preserve">专用设备</x:t>
        </x:is>
      </x:c>
      <x:c r="I499" s="4" t="inlineStr">
        <x:is>
          <x:t xml:space="preserve">2000-06-30</x:t>
        </x:is>
      </x:c>
      <x:c r="J499" s="5" t="inlineStr">
        <x:is>
          <x:t xml:space="preserve">内蒙古自治区包头稀土高新技术产业开发区</x:t>
        </x:is>
      </x:c>
      <x:c r="K499" s="12" t="str">
        <x:f>LEFT("911502006264414226",18)</x:f>
        <x:v>911502006264414200</x:v>
      </x:c>
    </x:row>
    <x:row r="500">
      <x:c r="A500" s="2" t="n">
        <x:v>499</x:v>
      </x:c>
      <x:c r="B500" s="2" t="inlineStr">
        <x:is>
          <x:t xml:space="preserve">600295</x:t>
        </x:is>
      </x:c>
      <x:c r="C500" s="3" t="inlineStr">
        <x:is>
          <x:t xml:space="preserve">鄂尔多斯</x:t>
        </x:is>
      </x:c>
      <x:c r="D500" s="3" t="inlineStr">
        <x:is>
          <x:t xml:space="preserve">内蒙古鄂尔多斯资源股份有限公司</x:t>
        </x:is>
      </x:c>
      <x:c r="E500" s="2" t="inlineStr">
        <x:is>
          <x:t xml:space="preserve">内蒙古自治区</x:t>
        </x:is>
      </x:c>
      <x:c r="F500" s="2" t="inlineStr">
        <x:is>
          <x:t xml:space="preserve">鄂尔多斯市</x:t>
        </x:is>
      </x:c>
      <x:c r="G500" s="3" t="inlineStr">
        <x:is>
          <x:t xml:space="preserve">内蒙古自治区-鄂尔多斯市</x:t>
        </x:is>
      </x:c>
      <x:c r="H500" s="2" t="inlineStr">
        <x:is>
          <x:t xml:space="preserve">钢铁行业</x:t>
        </x:is>
      </x:c>
      <x:c r="I500" s="2" t="inlineStr">
        <x:is>
          <x:t xml:space="preserve">2001-04-26</x:t>
        </x:is>
      </x:c>
      <x:c r="J500" s="3" t="inlineStr">
        <x:is>
          <x:t xml:space="preserve">内蒙古鄂尔多斯市东胜区罕台轻纺街1号</x:t>
        </x:is>
      </x:c>
      <x:c r="K500" s="12" t="str">
        <x:f>LEFT("911506006264022554",18)</x:f>
        <x:v>911506006264022500</x:v>
      </x:c>
    </x:row>
    <x:row r="501">
      <x:c r="A501" s="4" t="n">
        <x:v>500</x:v>
      </x:c>
      <x:c r="B501" s="4" t="inlineStr">
        <x:is>
          <x:t xml:space="preserve">600328</x:t>
        </x:is>
      </x:c>
      <x:c r="C501" s="5" t="inlineStr">
        <x:is>
          <x:t xml:space="preserve">中盐化工</x:t>
        </x:is>
      </x:c>
      <x:c r="D501" s="5" t="inlineStr">
        <x:is>
          <x:t xml:space="preserve">中盐内蒙古化工股份有限公司</x:t>
        </x:is>
      </x:c>
      <x:c r="E501" s="4" t="inlineStr">
        <x:is>
          <x:t xml:space="preserve">内蒙古自治区</x:t>
        </x:is>
      </x:c>
      <x:c r="F501" s="4" t="inlineStr">
        <x:is>
          <x:t xml:space="preserve">区阿拉善盟</x:t>
        </x:is>
      </x:c>
      <x:c r="G501" s="5" t="inlineStr">
        <x:is>
          <x:t xml:space="preserve">内蒙古自治区-区阿拉善盟</x:t>
        </x:is>
      </x:c>
      <x:c r="H501" s="4" t="inlineStr">
        <x:is>
          <x:t xml:space="preserve">化学原料</x:t>
        </x:is>
      </x:c>
      <x:c r="I501" s="4" t="inlineStr">
        <x:is>
          <x:t xml:space="preserve">2000-12-22</x:t>
        </x:is>
      </x:c>
      <x:c r="J501" s="5" t="inlineStr">
        <x:is>
          <x:t xml:space="preserve">内蒙古自治区阿拉善盟阿拉善经济开发区(乌斯太镇)贺兰区</x:t>
        </x:is>
      </x:c>
      <x:c r="K501" s="12" t="str">
        <x:f>LEFT("91152900701463809K",18)</x:f>
        <x:v>91152900701463809K</x:v>
      </x:c>
    </x:row>
    <x:row r="502">
      <x:c r="A502" s="2" t="n">
        <x:v>501</x:v>
      </x:c>
      <x:c r="B502" s="2" t="inlineStr">
        <x:is>
          <x:t xml:space="preserve">600844</x:t>
        </x:is>
      </x:c>
      <x:c r="C502" s="3" t="inlineStr">
        <x:is>
          <x:t xml:space="preserve">金煤科技</x:t>
        </x:is>
      </x:c>
      <x:c r="D502" s="3" t="inlineStr">
        <x:is>
          <x:t xml:space="preserve">内蒙古金煤化工科技股份有限公司</x:t>
        </x:is>
      </x:c>
      <x:c r="E502" s="2" t="inlineStr">
        <x:is>
          <x:t xml:space="preserve">内蒙古自治区</x:t>
        </x:is>
      </x:c>
      <x:c r="F502" s="2" t="inlineStr">
        <x:is>
          <x:t xml:space="preserve">呼和浩特市</x:t>
        </x:is>
      </x:c>
      <x:c r="G502" s="3" t="inlineStr">
        <x:is>
          <x:t xml:space="preserve">内蒙古自治区-呼和浩特市</x:t>
        </x:is>
      </x:c>
      <x:c r="H502" s="2" t="inlineStr">
        <x:is>
          <x:t xml:space="preserve">化学原料</x:t>
        </x:is>
      </x:c>
      <x:c r="I502" s="2" t="inlineStr">
        <x:is>
          <x:t xml:space="preserve">1994-03-11</x:t>
        </x:is>
      </x:c>
      <x:c r="J502" s="3" t="inlineStr">
        <x:is>
          <x:t xml:space="preserve">内蒙古自治区呼和浩特市敕勒川大街东方君座A座15楼</x:t>
        </x:is>
      </x:c>
      <x:c r="K502" s="12" t="str">
        <x:f>LEFT("913100001322102028",18)</x:f>
        <x:v>913100001322102000</x:v>
      </x:c>
    </x:row>
    <x:row r="503">
      <x:c r="A503" s="4" t="n">
        <x:v>502</x:v>
      </x:c>
      <x:c r="B503" s="4" t="inlineStr">
        <x:is>
          <x:t xml:space="preserve">600863</x:t>
        </x:is>
      </x:c>
      <x:c r="C503" s="5" t="inlineStr">
        <x:is>
          <x:t xml:space="preserve">华能蒙电</x:t>
        </x:is>
      </x:c>
      <x:c r="D503" s="5" t="inlineStr">
        <x:is>
          <x:t xml:space="preserve">内蒙古蒙电华能热电股份有限公司</x:t>
        </x:is>
      </x:c>
      <x:c r="E503" s="4" t="inlineStr">
        <x:is>
          <x:t xml:space="preserve">内蒙古自治区</x:t>
        </x:is>
      </x:c>
      <x:c r="F503" s="4" t="inlineStr">
        <x:is>
          <x:t xml:space="preserve">呼和浩特市</x:t>
        </x:is>
      </x:c>
      <x:c r="G503" s="5" t="inlineStr">
        <x:is>
          <x:t xml:space="preserve">内蒙古自治区-呼和浩特市</x:t>
        </x:is>
      </x:c>
      <x:c r="H503" s="4" t="inlineStr">
        <x:is>
          <x:t xml:space="preserve">电力行业</x:t>
        </x:is>
      </x:c>
      <x:c r="I503" s="4" t="inlineStr">
        <x:is>
          <x:t xml:space="preserve">1994-05-20</x:t>
        </x:is>
      </x:c>
      <x:c r="J503" s="5" t="inlineStr">
        <x:is>
          <x:t xml:space="preserve">内蒙古呼和浩特市锡林南路218号</x:t>
        </x:is>
      </x:c>
      <x:c r="K503" s="12" t="str">
        <x:f>LEFT("91150000114123615F",18)</x:f>
        <x:v>91150000114123615F</x:v>
      </x:c>
    </x:row>
    <x:row r="504">
      <x:c r="A504" s="2" t="n">
        <x:v>503</x:v>
      </x:c>
      <x:c r="B504" s="2" t="inlineStr">
        <x:is>
          <x:t xml:space="preserve">600887</x:t>
        </x:is>
      </x:c>
      <x:c r="C504" s="3" t="inlineStr">
        <x:is>
          <x:t xml:space="preserve">伊利股份</x:t>
        </x:is>
      </x:c>
      <x:c r="D504" s="3" t="inlineStr">
        <x:is>
          <x:t xml:space="preserve">内蒙古伊利实业集团股份有限公司</x:t>
        </x:is>
      </x:c>
      <x:c r="E504" s="2" t="inlineStr">
        <x:is>
          <x:t xml:space="preserve">内蒙古自治区</x:t>
        </x:is>
      </x:c>
      <x:c r="F504" s="2" t="inlineStr">
        <x:is>
          <x:t xml:space="preserve">呼和浩特市</x:t>
        </x:is>
      </x:c>
      <x:c r="G504" s="3" t="inlineStr">
        <x:is>
          <x:t xml:space="preserve">内蒙古自治区-呼和浩特市</x:t>
        </x:is>
      </x:c>
      <x:c r="H504" s="2" t="inlineStr">
        <x:is>
          <x:t xml:space="preserve">食品饮料</x:t>
        </x:is>
      </x:c>
      <x:c r="I504" s="2" t="inlineStr">
        <x:is>
          <x:t xml:space="preserve">1996-03-12</x:t>
        </x:is>
      </x:c>
      <x:c r="J504" s="3" t="inlineStr">
        <x:is>
          <x:t xml:space="preserve">内蒙古自治区呼和浩特市敕勒川乳业开发区伊利大街1号</x:t>
        </x:is>
      </x:c>
      <x:c r="K504" s="12" t="str">
        <x:f>LEFT("91150000114124263Y",18)</x:f>
        <x:v>91150000114124263Y</x:v>
      </x:c>
    </x:row>
    <x:row r="505">
      <x:c r="A505" s="4" t="n">
        <x:v>504</x:v>
      </x:c>
      <x:c r="B505" s="4" t="inlineStr">
        <x:is>
          <x:t xml:space="preserve">600967</x:t>
        </x:is>
      </x:c>
      <x:c r="C505" s="5" t="inlineStr">
        <x:is>
          <x:t xml:space="preserve">内蒙一机</x:t>
        </x:is>
      </x:c>
      <x:c r="D505" s="5" t="inlineStr">
        <x:is>
          <x:t xml:space="preserve">内蒙古第一机械集团股份有限公司</x:t>
        </x:is>
      </x:c>
      <x:c r="E505" s="4" t="inlineStr">
        <x:is>
          <x:t xml:space="preserve">内蒙古自治区</x:t>
        </x:is>
      </x:c>
      <x:c r="F505" s="4" t="inlineStr">
        <x:is>
          <x:t xml:space="preserve">包头市</x:t>
        </x:is>
      </x:c>
      <x:c r="G505" s="5" t="inlineStr">
        <x:is>
          <x:t xml:space="preserve">内蒙古自治区-包头市</x:t>
        </x:is>
      </x:c>
      <x:c r="H505" s="4" t="inlineStr">
        <x:is>
          <x:t xml:space="preserve">交运设备</x:t>
        </x:is>
      </x:c>
      <x:c r="I505" s="4" t="inlineStr">
        <x:is>
          <x:t xml:space="preserve">2004-05-18</x:t>
        </x:is>
      </x:c>
      <x:c r="J505" s="5" t="inlineStr">
        <x:is>
          <x:t xml:space="preserve">内蒙古自治区包头市青山区民主路</x:t>
        </x:is>
      </x:c>
      <x:c r="K505" s="12" t="str">
        <x:f>LEFT("91150000720180740Y",18)</x:f>
        <x:v>91150000720180740Y</x:v>
      </x:c>
    </x:row>
    <x:row r="506">
      <x:c r="A506" s="2" t="n">
        <x:v>505</x:v>
      </x:c>
      <x:c r="B506" s="2" t="inlineStr">
        <x:is>
          <x:t xml:space="preserve">600988</x:t>
        </x:is>
      </x:c>
      <x:c r="C506" s="3" t="inlineStr">
        <x:is>
          <x:t xml:space="preserve">赤峰黄金</x:t>
        </x:is>
      </x:c>
      <x:c r="D506" s="3" t="inlineStr">
        <x:is>
          <x:t xml:space="preserve">赤峰吉隆黄金矿业股份有限公司</x:t>
        </x:is>
      </x:c>
      <x:c r="E506" s="2" t="inlineStr">
        <x:is>
          <x:t xml:space="preserve">内蒙古自治区</x:t>
        </x:is>
      </x:c>
      <x:c r="F506" s="2" t="inlineStr">
        <x:is>
          <x:t xml:space="preserve">赤峰市</x:t>
        </x:is>
      </x:c>
      <x:c r="G506" s="3" t="inlineStr">
        <x:is>
          <x:t xml:space="preserve">内蒙古自治区-赤峰市</x:t>
        </x:is>
      </x:c>
      <x:c r="H506" s="2" t="inlineStr">
        <x:is>
          <x:t xml:space="preserve">贵金属</x:t>
        </x:is>
      </x:c>
      <x:c r="I506" s="2" t="inlineStr">
        <x:is>
          <x:t xml:space="preserve">2004-04-14</x:t>
        </x:is>
      </x:c>
      <x:c r="J506" s="3" t="inlineStr">
        <x:is>
          <x:t xml:space="preserve">中国内蒙古自治区赤峰市敖汉旗四道湾子镇富民村</x:t>
        </x:is>
      </x:c>
      <x:c r="K506" s="12" t="str">
        <x:f>LEFT("91150000708204391F",18)</x:f>
        <x:v>91150000708204391F</x:v>
      </x:c>
    </x:row>
    <x:row r="507">
      <x:c r="A507" s="4" t="n">
        <x:v>506</x:v>
      </x:c>
      <x:c r="B507" s="4" t="inlineStr">
        <x:is>
          <x:t xml:space="preserve">601216</x:t>
        </x:is>
      </x:c>
      <x:c r="C507" s="5" t="inlineStr">
        <x:is>
          <x:t xml:space="preserve">君正集团</x:t>
        </x:is>
      </x:c>
      <x:c r="D507" s="5" t="inlineStr">
        <x:is>
          <x:t xml:space="preserve">内蒙古君正能源化工集团股份有限公司</x:t>
        </x:is>
      </x:c>
      <x:c r="E507" s="4" t="inlineStr">
        <x:is>
          <x:t xml:space="preserve">内蒙古自治区</x:t>
        </x:is>
      </x:c>
      <x:c r="F507" s="4" t="inlineStr">
        <x:is>
          <x:t xml:space="preserve">乌海市</x:t>
        </x:is>
      </x:c>
      <x:c r="G507" s="5" t="inlineStr">
        <x:is>
          <x:t xml:space="preserve">内蒙古自治区-乌海市</x:t>
        </x:is>
      </x:c>
      <x:c r="H507" s="4" t="inlineStr">
        <x:is>
          <x:t xml:space="preserve">化学原料</x:t>
        </x:is>
      </x:c>
      <x:c r="I507" s="4" t="inlineStr">
        <x:is>
          <x:t xml:space="preserve">2011-02-22</x:t>
        </x:is>
      </x:c>
      <x:c r="J507" s="5" t="inlineStr">
        <x:is>
          <x:t xml:space="preserve">内蒙古乌海市乌达工业园区</x:t>
        </x:is>
      </x:c>
      <x:c r="K507" s="12" t="str">
        <x:f>LEFT("9115030074389683XQ",18)</x:f>
        <x:v>9115030074389683XQ</x:v>
      </x:c>
    </x:row>
    <x:row r="508">
      <x:c r="A508" s="2" t="n">
        <x:v>507</x:v>
      </x:c>
      <x:c r="B508" s="2" t="inlineStr">
        <x:is>
          <x:t xml:space="preserve">603072</x:t>
        </x:is>
      </x:c>
      <x:c r="C508" s="3" t="inlineStr">
        <x:is>
          <x:t xml:space="preserve">天和磁材</x:t>
        </x:is>
      </x:c>
      <x:c r="D508" s="3" t="inlineStr">
        <x:is>
          <x:t xml:space="preserve">包头天和磁材科技股份有限公司</x:t>
        </x:is>
      </x:c>
      <x:c r="E508" s="2" t="inlineStr">
        <x:is>
          <x:t xml:space="preserve">内蒙古自治区</x:t>
        </x:is>
      </x:c>
      <x:c r="F508" s="2" t="inlineStr">
        <x:is>
          <x:t xml:space="preserve">包头市</x:t>
        </x:is>
      </x:c>
      <x:c r="G508" s="3" t="inlineStr">
        <x:is>
          <x:t xml:space="preserve">内蒙古自治区-包头市</x:t>
        </x:is>
      </x:c>
      <x:c r="H508" s="2" t="inlineStr">
        <x:is>
          <x:t xml:space="preserve">小金属</x:t>
        </x:is>
      </x:c>
      <x:c r="I508" s="2" t="inlineStr">
        <x:is>
          <x:t xml:space="preserve">2025-01-03</x:t>
        </x:is>
      </x:c>
      <x:c r="J508" s="3" t="inlineStr">
        <x:is>
          <x:t xml:space="preserve">内蒙古自治区包头稀土高新区稀土应用产业园区</x:t>
        </x:is>
      </x:c>
      <x:c r="K508" s="12" t="str">
        <x:f>LEFT("91150291674383335D",18)</x:f>
        <x:v>91150291674383335D</x:v>
      </x:c>
    </x:row>
    <x:row r="509">
      <x:c r="A509" s="4" t="n">
        <x:v>508</x:v>
      </x:c>
      <x:c r="B509" s="4" t="inlineStr">
        <x:is>
          <x:t xml:space="preserve">603230</x:t>
        </x:is>
      </x:c>
      <x:c r="C509" s="5" t="inlineStr">
        <x:is>
          <x:t xml:space="preserve">内蒙新华</x:t>
        </x:is>
      </x:c>
      <x:c r="D509" s="5" t="inlineStr">
        <x:is>
          <x:t xml:space="preserve">内蒙古新华发行集团股份有限公司</x:t>
        </x:is>
      </x:c>
      <x:c r="E509" s="4" t="inlineStr">
        <x:is>
          <x:t xml:space="preserve">内蒙古自治区</x:t>
        </x:is>
      </x:c>
      <x:c r="F509" s="4" t="inlineStr">
        <x:is>
          <x:t xml:space="preserve">呼和浩特市</x:t>
        </x:is>
      </x:c>
      <x:c r="G509" s="5" t="inlineStr">
        <x:is>
          <x:t xml:space="preserve">内蒙古自治区-呼和浩特市</x:t>
        </x:is>
      </x:c>
      <x:c r="H509" s="4" t="inlineStr">
        <x:is>
          <x:t xml:space="preserve">文化传媒</x:t>
        </x:is>
      </x:c>
      <x:c r="I509" s="4" t="inlineStr">
        <x:is>
          <x:t xml:space="preserve">2021-12-24</x:t>
        </x:is>
      </x:c>
      <x:c r="J509" s="5" t="inlineStr">
        <x:is>
          <x:t xml:space="preserve">内蒙古自治区呼和浩特市经济技术开发区腾飞南路16号如意大厦B座1层101号等</x:t>
        </x:is>
      </x:c>
      <x:c r="K509" s="12" t="str">
        <x:f>LEFT("911500007014648448",18)</x:f>
        <x:v>911500007014648400</x:v>
      </x:c>
    </x:row>
    <x:row r="510">
      <x:c r="A510" s="2" t="n">
        <x:v>509</x:v>
      </x:c>
      <x:c r="B510" s="2" t="inlineStr">
        <x:is>
          <x:t xml:space="preserve">000008</x:t>
        </x:is>
      </x:c>
      <x:c r="C510" s="3" t="inlineStr">
        <x:is>
          <x:t xml:space="preserve">神州高铁</x:t>
        </x:is>
      </x:c>
      <x:c r="D510" s="3" t="inlineStr">
        <x:is>
          <x:t xml:space="preserve">神州高铁技术股份有限公司</x:t>
        </x:is>
      </x:c>
      <x:c r="E510" s="2" t="inlineStr">
        <x:is>
          <x:t xml:space="preserve">北京市</x:t>
        </x:is>
      </x:c>
      <x:c r="F510" s="2" t="inlineStr">
        <x:is>
          <x:t xml:space="preserve">北京市</x:t>
        </x:is>
      </x:c>
      <x:c r="G510" s="3" t="inlineStr">
        <x:is>
          <x:t xml:space="preserve">北京市-北京市</x:t>
        </x:is>
      </x:c>
      <x:c r="H510" s="2" t="inlineStr">
        <x:is>
          <x:t xml:space="preserve">交运设备</x:t>
        </x:is>
      </x:c>
      <x:c r="I510" s="2" t="inlineStr">
        <x:is>
          <x:t xml:space="preserve">1992-05-07</x:t>
        </x:is>
      </x:c>
      <x:c r="J510" s="3" t="inlineStr">
        <x:is>
          <x:t xml:space="preserve">北京市海淀区高梁桥斜街59号院1号楼16层1606</x:t>
        </x:is>
      </x:c>
      <x:c r="K510" s="12" t="str">
        <x:f>LEFT("91110000192184333K",18)</x:f>
        <x:v>91110000192184333K</x:v>
      </x:c>
    </x:row>
    <x:row r="511">
      <x:c r="A511" s="4" t="n">
        <x:v>510</x:v>
      </x:c>
      <x:c r="B511" s="4" t="inlineStr">
        <x:is>
          <x:t xml:space="preserve">000065</x:t>
        </x:is>
      </x:c>
      <x:c r="C511" s="5" t="inlineStr">
        <x:is>
          <x:t xml:space="preserve">北方国际</x:t>
        </x:is>
      </x:c>
      <x:c r="D511" s="5" t="inlineStr">
        <x:is>
          <x:t xml:space="preserve">北方国际合作股份有限公司</x:t>
        </x:is>
      </x:c>
      <x:c r="E511" s="4" t="inlineStr">
        <x:is>
          <x:t xml:space="preserve">北京市</x:t>
        </x:is>
      </x:c>
      <x:c r="F511" s="4" t="inlineStr">
        <x:is>
          <x:t xml:space="preserve">北京市</x:t>
        </x:is>
      </x:c>
      <x:c r="G511" s="5" t="inlineStr">
        <x:is>
          <x:t xml:space="preserve">北京市-北京市</x:t>
        </x:is>
      </x:c>
      <x:c r="H511" s="4" t="inlineStr">
        <x:is>
          <x:t xml:space="preserve">工程建设</x:t>
        </x:is>
      </x:c>
      <x:c r="I511" s="4" t="inlineStr">
        <x:is>
          <x:t xml:space="preserve">1998-06-05</x:t>
        </x:is>
      </x:c>
      <x:c r="J511" s="5" t="inlineStr">
        <x:is>
          <x:t xml:space="preserve">北京市丰台区南四环西路188号12区47号楼3层(301、302)</x:t>
        </x:is>
      </x:c>
      <x:c r="K511" s="12" t="str">
        <x:f>LEFT("91110000192472028J",18)</x:f>
        <x:v>91110000192472028J</x:v>
      </x:c>
    </x:row>
    <x:row r="512">
      <x:c r="A512" s="2" t="n">
        <x:v>511</x:v>
      </x:c>
      <x:c r="B512" s="2" t="inlineStr">
        <x:is>
          <x:t xml:space="preserve">000151</x:t>
        </x:is>
      </x:c>
      <x:c r="C512" s="3" t="inlineStr">
        <x:is>
          <x:t xml:space="preserve">中成股份</x:t>
        </x:is>
      </x:c>
      <x:c r="D512" s="3" t="inlineStr">
        <x:is>
          <x:t xml:space="preserve">中成进出口股份有限公司</x:t>
        </x:is>
      </x:c>
      <x:c r="E512" s="2" t="inlineStr">
        <x:is>
          <x:t xml:space="preserve">北京市</x:t>
        </x:is>
      </x:c>
      <x:c r="F512" s="2" t="inlineStr">
        <x:is>
          <x:t xml:space="preserve">北京市</x:t>
        </x:is>
      </x:c>
      <x:c r="G512" s="3" t="inlineStr">
        <x:is>
          <x:t xml:space="preserve">北京市-北京市</x:t>
        </x:is>
      </x:c>
      <x:c r="H512" s="2" t="inlineStr">
        <x:is>
          <x:t xml:space="preserve">国际贸易</x:t>
        </x:is>
      </x:c>
      <x:c r="I512" s="2" t="inlineStr">
        <x:is>
          <x:t xml:space="preserve">2000-09-06</x:t>
        </x:is>
      </x:c>
      <x:c r="J512" s="3" t="inlineStr">
        <x:is>
          <x:t xml:space="preserve">北京市丰台区南四环西路188号二区8号楼</x:t>
        </x:is>
      </x:c>
      <x:c r="K512" s="12" t="str">
        <x:f>LEFT("91110000710924101C",18)</x:f>
        <x:v>91110000710924101C</x:v>
      </x:c>
    </x:row>
    <x:row r="513">
      <x:c r="A513" s="4" t="n">
        <x:v>512</x:v>
      </x:c>
      <x:c r="B513" s="4" t="inlineStr">
        <x:is>
          <x:t xml:space="preserve">000402</x:t>
        </x:is>
      </x:c>
      <x:c r="C513" s="5" t="inlineStr">
        <x:is>
          <x:t xml:space="preserve">金融街</x:t>
        </x:is>
      </x:c>
      <x:c r="D513" s="5" t="inlineStr">
        <x:is>
          <x:t xml:space="preserve">金融街控股股份有限公司</x:t>
        </x:is>
      </x:c>
      <x:c r="E513" s="4" t="inlineStr">
        <x:is>
          <x:t xml:space="preserve">北京市</x:t>
        </x:is>
      </x:c>
      <x:c r="F513" s="4" t="inlineStr">
        <x:is>
          <x:t xml:space="preserve">北京市</x:t>
        </x:is>
      </x:c>
      <x:c r="G513" s="5" t="inlineStr">
        <x:is>
          <x:t xml:space="preserve">北京市-北京市</x:t>
        </x:is>
      </x:c>
      <x:c r="H513" s="4" t="inlineStr">
        <x:is>
          <x:t xml:space="preserve">房地产</x:t>
        </x:is>
      </x:c>
      <x:c r="I513" s="4" t="inlineStr">
        <x:is>
          <x:t xml:space="preserve">1996-06-26</x:t>
        </x:is>
      </x:c>
      <x:c r="J513" s="5" t="inlineStr">
        <x:is>
          <x:t xml:space="preserve">北京市西城区金城坊街7号</x:t>
        </x:is>
      </x:c>
      <x:c r="K513" s="12" t="str">
        <x:f>LEFT("9111000020283066XF",18)</x:f>
        <x:v>9111000020283066XF</x:v>
      </x:c>
    </x:row>
    <x:row r="514">
      <x:c r="A514" s="2" t="n">
        <x:v>513</x:v>
      </x:c>
      <x:c r="B514" s="2" t="inlineStr">
        <x:is>
          <x:t xml:space="preserve">000603</x:t>
        </x:is>
      </x:c>
      <x:c r="C514" s="3" t="inlineStr">
        <x:is>
          <x:t xml:space="preserve">盛达资源</x:t>
        </x:is>
      </x:c>
      <x:c r="D514" s="3" t="inlineStr">
        <x:is>
          <x:t xml:space="preserve">盛达金属资源股份有限公司</x:t>
        </x:is>
      </x:c>
      <x:c r="E514" s="2" t="inlineStr">
        <x:is>
          <x:t xml:space="preserve">北京市</x:t>
        </x:is>
      </x:c>
      <x:c r="F514" s="2" t="inlineStr">
        <x:is>
          <x:t xml:space="preserve">北京市</x:t>
        </x:is>
      </x:c>
      <x:c r="G514" s="3" t="inlineStr">
        <x:is>
          <x:t xml:space="preserve">北京市-北京市</x:t>
        </x:is>
      </x:c>
      <x:c r="H514" s="2" t="inlineStr">
        <x:is>
          <x:t xml:space="preserve">有色金属</x:t>
        </x:is>
      </x:c>
      <x:c r="I514" s="2" t="inlineStr">
        <x:is>
          <x:t xml:space="preserve">1996-08-23</x:t>
        </x:is>
      </x:c>
      <x:c r="J514" s="3" t="inlineStr">
        <x:is>
          <x:t xml:space="preserve">北京市大兴区瀛海镇京福路瀛海段1号</x:t>
        </x:is>
      </x:c>
      <x:c r="K514" s="12" t="str">
        <x:f>LEFT("911100002311243934",18)</x:f>
        <x:v>911100002311243900</x:v>
      </x:c>
    </x:row>
    <x:row r="515">
      <x:c r="A515" s="4" t="n">
        <x:v>514</x:v>
      </x:c>
      <x:c r="B515" s="4" t="inlineStr">
        <x:is>
          <x:t xml:space="preserve">000605</x:t>
        </x:is>
      </x:c>
      <x:c r="C515" s="5" t="inlineStr">
        <x:is>
          <x:t xml:space="preserve">渤海股份</x:t>
        </x:is>
      </x:c>
      <x:c r="D515" s="5" t="inlineStr">
        <x:is>
          <x:t xml:space="preserve">渤海水业股份有限公司</x:t>
        </x:is>
      </x:c>
      <x:c r="E515" s="4" t="inlineStr">
        <x:is>
          <x:t xml:space="preserve">北京市</x:t>
        </x:is>
      </x:c>
      <x:c r="F515" s="4" t="inlineStr">
        <x:is>
          <x:t xml:space="preserve">北京市</x:t>
        </x:is>
      </x:c>
      <x:c r="G515" s="5" t="inlineStr">
        <x:is>
          <x:t xml:space="preserve">北京市-北京市</x:t>
        </x:is>
      </x:c>
      <x:c r="H515" s="4" t="inlineStr">
        <x:is>
          <x:t xml:space="preserve">公用事业</x:t>
        </x:is>
      </x:c>
      <x:c r="I515" s="4" t="inlineStr">
        <x:is>
          <x:t xml:space="preserve">1996-09-13</x:t>
        </x:is>
      </x:c>
      <x:c r="J515" s="5" t="inlineStr">
        <x:is>
          <x:t xml:space="preserve">北京市顺义区中关村科技园顺义园临空二路1号</x:t>
        </x:is>
      </x:c>
      <x:c r="K515" s="12" t="str">
        <x:f>LEFT("911100001000238085",18)</x:f>
        <x:v>911100001000238100</x:v>
      </x:c>
    </x:row>
    <x:row r="516">
      <x:c r="A516" s="2" t="n">
        <x:v>515</x:v>
      </x:c>
      <x:c r="B516" s="2" t="inlineStr">
        <x:is>
          <x:t xml:space="preserve">000609</x:t>
        </x:is>
      </x:c>
      <x:c r="C516" s="3" t="inlineStr">
        <x:is>
          <x:t xml:space="preserve">ST中迪</x:t>
        </x:is>
      </x:c>
      <x:c r="D516" s="3" t="inlineStr">
        <x:is>
          <x:t xml:space="preserve">北京中迪投资股份有限公司</x:t>
        </x:is>
      </x:c>
      <x:c r="E516" s="2" t="inlineStr">
        <x:is>
          <x:t xml:space="preserve">北京市</x:t>
        </x:is>
      </x:c>
      <x:c r="F516" s="2" t="inlineStr">
        <x:is>
          <x:t xml:space="preserve">北京市</x:t>
        </x:is>
      </x:c>
      <x:c r="G516" s="3" t="inlineStr">
        <x:is>
          <x:t xml:space="preserve">北京市-北京市</x:t>
        </x:is>
      </x:c>
      <x:c r="H516" s="2" t="inlineStr">
        <x:is>
          <x:t xml:space="preserve">房地产</x:t>
        </x:is>
      </x:c>
      <x:c r="I516" s="2" t="inlineStr">
        <x:is>
          <x:t xml:space="preserve">1996-10-10</x:t>
        </x:is>
      </x:c>
      <x:c r="J516" s="3" t="inlineStr">
        <x:is>
          <x:t xml:space="preserve">北京市丰台区科学城海鹰路1号院6号楼5层</x:t>
        </x:is>
      </x:c>
      <x:c r="K516" s="12" t="str">
        <x:f>LEFT("911101061027678948",18)</x:f>
        <x:v>911101061027679000</x:v>
      </x:c>
    </x:row>
    <x:row r="517">
      <x:c r="A517" s="4" t="n">
        <x:v>516</x:v>
      </x:c>
      <x:c r="B517" s="4" t="inlineStr">
        <x:is>
          <x:t xml:space="preserve">000620</x:t>
        </x:is>
      </x:c>
      <x:c r="C517" s="5" t="inlineStr">
        <x:is>
          <x:t xml:space="preserve">盈新发展</x:t>
        </x:is>
      </x:c>
      <x:c r="D517" s="5" t="inlineStr">
        <x:is>
          <x:t xml:space="preserve">北京铜官盈新文化旅游发展股份有限公司</x:t>
        </x:is>
      </x:c>
      <x:c r="E517" s="4" t="inlineStr">
        <x:is>
          <x:t xml:space="preserve">北京市</x:t>
        </x:is>
      </x:c>
      <x:c r="F517" s="4" t="inlineStr">
        <x:is>
          <x:t xml:space="preserve">北京市</x:t>
        </x:is>
      </x:c>
      <x:c r="G517" s="5" t="inlineStr">
        <x:is>
          <x:t xml:space="preserve">北京市-北京市</x:t>
        </x:is>
      </x:c>
      <x:c r="H517" s="4" t="inlineStr">
        <x:is>
          <x:t xml:space="preserve">综合行业</x:t>
        </x:is>
      </x:c>
      <x:c r="I517" s="4" t="inlineStr">
        <x:is>
          <x:t xml:space="preserve">1996-10-29</x:t>
        </x:is>
      </x:c>
      <x:c r="J517" s="5" t="inlineStr">
        <x:is>
          <x:t xml:space="preserve">北京市通州区外郎营村北2号院13号楼2层101</x:t>
        </x:is>
      </x:c>
      <x:c r="K517" s="12" t="str">
        <x:f>LEFT("91110000130232395L",18)</x:f>
        <x:v>91110000130232395L</x:v>
      </x:c>
    </x:row>
    <x:row r="518">
      <x:c r="A518" s="2" t="n">
        <x:v>517</x:v>
      </x:c>
      <x:c r="B518" s="2" t="inlineStr">
        <x:is>
          <x:t xml:space="preserve">000725</x:t>
        </x:is>
      </x:c>
      <x:c r="C518" s="3" t="inlineStr">
        <x:is>
          <x:t xml:space="preserve">京东方A</x:t>
        </x:is>
      </x:c>
      <x:c r="D518" s="3" t="inlineStr">
        <x:is>
          <x:t xml:space="preserve">京东方科技集团股份有限公司</x:t>
        </x:is>
      </x:c>
      <x:c r="E518" s="2" t="inlineStr">
        <x:is>
          <x:t xml:space="preserve">北京市</x:t>
        </x:is>
      </x:c>
      <x:c r="F518" s="2" t="inlineStr">
        <x:is>
          <x:t xml:space="preserve">北京市</x:t>
        </x:is>
      </x:c>
      <x:c r="G518" s="3" t="inlineStr">
        <x:is>
          <x:t xml:space="preserve">北京市-北京市</x:t>
        </x:is>
      </x:c>
      <x:c r="H518" s="2" t="inlineStr">
        <x:is>
          <x:t xml:space="preserve">光学光电子</x:t>
        </x:is>
      </x:c>
      <x:c r="I518" s="2" t="inlineStr">
        <x:is>
          <x:t xml:space="preserve">2001-01-12</x:t>
        </x:is>
      </x:c>
      <x:c r="J518" s="3" t="inlineStr">
        <x:is>
          <x:t xml:space="preserve">中国北京市朝阳区酒仙桥路10号</x:t>
        </x:is>
      </x:c>
      <x:c r="K518" s="12" t="str">
        <x:f>LEFT("911100001011016602",18)</x:f>
        <x:v>911100001011016600</x:v>
      </x:c>
    </x:row>
    <x:row r="519">
      <x:c r="A519" s="4" t="n">
        <x:v>518</x:v>
      </x:c>
      <x:c r="B519" s="4" t="inlineStr">
        <x:is>
          <x:t xml:space="preserve">000729</x:t>
        </x:is>
      </x:c>
      <x:c r="C519" s="5" t="inlineStr">
        <x:is>
          <x:t xml:space="preserve">燕京啤酒</x:t>
        </x:is>
      </x:c>
      <x:c r="D519" s="5" t="inlineStr">
        <x:is>
          <x:t xml:space="preserve">北京燕京啤酒股份有限公司</x:t>
        </x:is>
      </x:c>
      <x:c r="E519" s="4" t="inlineStr">
        <x:is>
          <x:t xml:space="preserve">北京市</x:t>
        </x:is>
      </x:c>
      <x:c r="F519" s="4" t="inlineStr">
        <x:is>
          <x:t xml:space="preserve">北京市</x:t>
        </x:is>
      </x:c>
      <x:c r="G519" s="5" t="inlineStr">
        <x:is>
          <x:t xml:space="preserve">北京市-北京市</x:t>
        </x:is>
      </x:c>
      <x:c r="H519" s="4" t="inlineStr">
        <x:is>
          <x:t xml:space="preserve">酿酒行业</x:t>
        </x:is>
      </x:c>
      <x:c r="I519" s="4" t="inlineStr">
        <x:is>
          <x:t xml:space="preserve">1997-07-16</x:t>
        </x:is>
      </x:c>
      <x:c r="J519" s="5" t="inlineStr">
        <x:is>
          <x:t xml:space="preserve">北京市顺义区双河路9号</x:t>
        </x:is>
      </x:c>
      <x:c r="K519" s="12" t="str">
        <x:f>LEFT("91110000633646901B",18)</x:f>
        <x:v>91110000633646901B</x:v>
      </x:c>
    </x:row>
    <x:row r="520">
      <x:c r="A520" s="2" t="n">
        <x:v>519</x:v>
      </x:c>
      <x:c r="B520" s="2" t="inlineStr">
        <x:is>
          <x:t xml:space="preserve">000758</x:t>
        </x:is>
      </x:c>
      <x:c r="C520" s="3" t="inlineStr">
        <x:is>
          <x:t xml:space="preserve">中色股份</x:t>
        </x:is>
      </x:c>
      <x:c r="D520" s="3" t="inlineStr">
        <x:is>
          <x:t xml:space="preserve">中国有色金属建设股份有限公司</x:t>
        </x:is>
      </x:c>
      <x:c r="E520" s="2" t="inlineStr">
        <x:is>
          <x:t xml:space="preserve">北京市</x:t>
        </x:is>
      </x:c>
      <x:c r="F520" s="2" t="inlineStr">
        <x:is>
          <x:t xml:space="preserve">北京市</x:t>
        </x:is>
      </x:c>
      <x:c r="G520" s="3" t="inlineStr">
        <x:is>
          <x:t xml:space="preserve">北京市-北京市</x:t>
        </x:is>
      </x:c>
      <x:c r="H520" s="2" t="inlineStr">
        <x:is>
          <x:t xml:space="preserve">有色金属</x:t>
        </x:is>
      </x:c>
      <x:c r="I520" s="2" t="inlineStr">
        <x:is>
          <x:t xml:space="preserve">1997-04-16</x:t>
        </x:is>
      </x:c>
      <x:c r="J520" s="3" t="inlineStr">
        <x:is>
          <x:t xml:space="preserve">北京市丰台区西客站南广场驻京办一号楼B座中色建设大厦</x:t>
        </x:is>
      </x:c>
      <x:c r="K520" s="12" t="str">
        <x:f>LEFT("91110000100001262Q",18)</x:f>
        <x:v>91110000100001262Q</x:v>
      </x:c>
    </x:row>
    <x:row r="521">
      <x:c r="A521" s="4" t="n">
        <x:v>520</x:v>
      </x:c>
      <x:c r="B521" s="4" t="inlineStr">
        <x:is>
          <x:t xml:space="preserve">000786</x:t>
        </x:is>
      </x:c>
      <x:c r="C521" s="5" t="inlineStr">
        <x:is>
          <x:t xml:space="preserve">北新建材</x:t>
        </x:is>
      </x:c>
      <x:c r="D521" s="5" t="inlineStr">
        <x:is>
          <x:t xml:space="preserve">北新集团建材股份有限公司</x:t>
        </x:is>
      </x:c>
      <x:c r="E521" s="4" t="inlineStr">
        <x:is>
          <x:t xml:space="preserve">北京市</x:t>
        </x:is>
      </x:c>
      <x:c r="F521" s="4" t="inlineStr">
        <x:is>
          <x:t xml:space="preserve">北京市</x:t>
        </x:is>
      </x:c>
      <x:c r="G521" s="5" t="inlineStr">
        <x:is>
          <x:t xml:space="preserve">北京市-北京市</x:t>
        </x:is>
      </x:c>
      <x:c r="H521" s="4" t="inlineStr">
        <x:is>
          <x:t xml:space="preserve">装修建材</x:t>
        </x:is>
      </x:c>
      <x:c r="I521" s="4" t="inlineStr">
        <x:is>
          <x:t xml:space="preserve">1997-06-06</x:t>
        </x:is>
      </x:c>
      <x:c r="J521" s="5" t="inlineStr">
        <x:is>
          <x:t xml:space="preserve">北京市海淀区复兴路17号国海广场2号楼15层</x:t>
        </x:is>
      </x:c>
      <x:c r="K521" s="12" t="str">
        <x:f>LEFT("91110000633797400C",18)</x:f>
        <x:v>91110000633797400C</x:v>
      </x:c>
    </x:row>
    <x:row r="522">
      <x:c r="A522" s="2" t="n">
        <x:v>521</x:v>
      </x:c>
      <x:c r="B522" s="2" t="inlineStr">
        <x:is>
          <x:t xml:space="preserve">000798</x:t>
        </x:is>
      </x:c>
      <x:c r="C522" s="3" t="inlineStr">
        <x:is>
          <x:t xml:space="preserve">中水渔业</x:t>
        </x:is>
      </x:c>
      <x:c r="D522" s="3" t="inlineStr">
        <x:is>
          <x:t xml:space="preserve">中水集团远洋股份有限公司</x:t>
        </x:is>
      </x:c>
      <x:c r="E522" s="2" t="inlineStr">
        <x:is>
          <x:t xml:space="preserve">北京市</x:t>
        </x:is>
      </x:c>
      <x:c r="F522" s="2" t="inlineStr">
        <x:is>
          <x:t xml:space="preserve">北京市</x:t>
        </x:is>
      </x:c>
      <x:c r="G522" s="3" t="inlineStr">
        <x:is>
          <x:t xml:space="preserve">北京市-北京市</x:t>
        </x:is>
      </x:c>
      <x:c r="H522" s="2" t="inlineStr">
        <x:is>
          <x:t xml:space="preserve">农牧饲渔</x:t>
        </x:is>
      </x:c>
      <x:c r="I522" s="2" t="inlineStr">
        <x:is>
          <x:t xml:space="preserve">1998-02-12</x:t>
        </x:is>
      </x:c>
      <x:c r="J522" s="3" t="inlineStr">
        <x:is>
          <x:t xml:space="preserve">北京市西城区西单民丰胡同31号</x:t>
        </x:is>
      </x:c>
      <x:c r="K522" s="12" t="str">
        <x:f>LEFT("91110000100028633H",18)</x:f>
        <x:v>91110000100028633H</x:v>
      </x:c>
    </x:row>
    <x:row r="523">
      <x:c r="A523" s="4" t="n">
        <x:v>522</x:v>
      </x:c>
      <x:c r="B523" s="4" t="inlineStr">
        <x:is>
          <x:t xml:space="preserve">000802</x:t>
        </x:is>
      </x:c>
      <x:c r="C523" s="5" t="inlineStr">
        <x:is>
          <x:t xml:space="preserve">北京文化</x:t>
        </x:is>
      </x:c>
      <x:c r="D523" s="5" t="inlineStr">
        <x:is>
          <x:t xml:space="preserve">北京京西文化旅游股份有限公司</x:t>
        </x:is>
      </x:c>
      <x:c r="E523" s="4" t="inlineStr">
        <x:is>
          <x:t xml:space="preserve">北京市</x:t>
        </x:is>
      </x:c>
      <x:c r="F523" s="4" t="inlineStr">
        <x:is>
          <x:t xml:space="preserve">北京市</x:t>
        </x:is>
      </x:c>
      <x:c r="G523" s="5" t="inlineStr">
        <x:is>
          <x:t xml:space="preserve">北京市-北京市</x:t>
        </x:is>
      </x:c>
      <x:c r="H523" s="4" t="inlineStr">
        <x:is>
          <x:t xml:space="preserve">文化传媒</x:t>
        </x:is>
      </x:c>
      <x:c r="I523" s="4" t="inlineStr">
        <x:is>
          <x:t xml:space="preserve">1998-01-08</x:t>
        </x:is>
      </x:c>
      <x:c r="J523" s="5" t="inlineStr">
        <x:is>
          <x:t xml:space="preserve">北京市门头沟区水闸路21号12幢</x:t>
        </x:is>
      </x:c>
      <x:c r="K523" s="12" t="str">
        <x:f>LEFT("91110000633694436R",18)</x:f>
        <x:v>91110000633694436R</x:v>
      </x:c>
    </x:row>
    <x:row r="524">
      <x:c r="A524" s="2" t="n">
        <x:v>523</x:v>
      </x:c>
      <x:c r="B524" s="2" t="inlineStr">
        <x:is>
          <x:t xml:space="preserve">000839</x:t>
        </x:is>
      </x:c>
      <x:c r="C524" s="3" t="inlineStr">
        <x:is>
          <x:t xml:space="preserve">国安股份</x:t>
        </x:is>
      </x:c>
      <x:c r="D524" s="3" t="inlineStr">
        <x:is>
          <x:t xml:space="preserve">中信国安信息产业股份有限公司</x:t>
        </x:is>
      </x:c>
      <x:c r="E524" s="2" t="inlineStr">
        <x:is>
          <x:t xml:space="preserve">北京市</x:t>
        </x:is>
      </x:c>
      <x:c r="F524" s="2" t="inlineStr">
        <x:is>
          <x:t xml:space="preserve">北京市</x:t>
        </x:is>
      </x:c>
      <x:c r="G524" s="3" t="inlineStr">
        <x:is>
          <x:t xml:space="preserve">北京市-北京市</x:t>
        </x:is>
      </x:c>
      <x:c r="H524" s="2" t="inlineStr">
        <x:is>
          <x:t xml:space="preserve">综合行业</x:t>
        </x:is>
      </x:c>
      <x:c r="I524" s="2" t="inlineStr">
        <x:is>
          <x:t xml:space="preserve">1997-10-31</x:t>
        </x:is>
      </x:c>
      <x:c r="J524" s="3" t="inlineStr">
        <x:is>
          <x:t xml:space="preserve">北京市海淀区宝盛南路1号院11号楼三层101-01室</x:t>
        </x:is>
      </x:c>
      <x:c r="K524" s="12" t="str">
        <x:f>LEFT("911100001000278763",18)</x:f>
        <x:v>911100001000278800</x:v>
      </x:c>
    </x:row>
    <x:row r="525">
      <x:c r="A525" s="4" t="n">
        <x:v>524</x:v>
      </x:c>
      <x:c r="B525" s="4" t="inlineStr">
        <x:is>
          <x:t xml:space="preserve">000860</x:t>
        </x:is>
      </x:c>
      <x:c r="C525" s="5" t="inlineStr">
        <x:is>
          <x:t xml:space="preserve">顺鑫农业</x:t>
        </x:is>
      </x:c>
      <x:c r="D525" s="5" t="inlineStr">
        <x:is>
          <x:t xml:space="preserve">北京顺鑫农业股份有限公司</x:t>
        </x:is>
      </x:c>
      <x:c r="E525" s="4" t="inlineStr">
        <x:is>
          <x:t xml:space="preserve">北京市</x:t>
        </x:is>
      </x:c>
      <x:c r="F525" s="4" t="inlineStr">
        <x:is>
          <x:t xml:space="preserve">北京市</x:t>
        </x:is>
      </x:c>
      <x:c r="G525" s="5" t="inlineStr">
        <x:is>
          <x:t xml:space="preserve">北京市-北京市</x:t>
        </x:is>
      </x:c>
      <x:c r="H525" s="4" t="inlineStr">
        <x:is>
          <x:t xml:space="preserve">酿酒行业</x:t>
        </x:is>
      </x:c>
      <x:c r="I525" s="4" t="inlineStr">
        <x:is>
          <x:t xml:space="preserve">1998-11-04</x:t>
        </x:is>
      </x:c>
      <x:c r="J525" s="5" t="inlineStr">
        <x:is>
          <x:t xml:space="preserve">北京市顺义区站前街1号院1号楼顺鑫国际商务中心12层</x:t>
        </x:is>
      </x:c>
      <x:c r="K525" s="12" t="str">
        <x:f>LEFT("91110000633712032W",18)</x:f>
        <x:v>91110000633712032W</x:v>
      </x:c>
    </x:row>
    <x:row r="526">
      <x:c r="A526" s="2" t="n">
        <x:v>525</x:v>
      </x:c>
      <x:c r="B526" s="2" t="inlineStr">
        <x:is>
          <x:t xml:space="preserve">000882</x:t>
        </x:is>
      </x:c>
      <x:c r="C526" s="3" t="inlineStr">
        <x:is>
          <x:t xml:space="preserve">华联股份</x:t>
        </x:is>
      </x:c>
      <x:c r="D526" s="3" t="inlineStr">
        <x:is>
          <x:t xml:space="preserve">北京华联商厦股份有限公司</x:t>
        </x:is>
      </x:c>
      <x:c r="E526" s="2" t="inlineStr">
        <x:is>
          <x:t xml:space="preserve">北京市</x:t>
        </x:is>
      </x:c>
      <x:c r="F526" s="2" t="inlineStr">
        <x:is>
          <x:t xml:space="preserve">北京市</x:t>
        </x:is>
      </x:c>
      <x:c r="G526" s="3" t="inlineStr">
        <x:is>
          <x:t xml:space="preserve">北京市-北京市</x:t>
        </x:is>
      </x:c>
      <x:c r="H526" s="2" t="inlineStr">
        <x:is>
          <x:t xml:space="preserve">商业百货</x:t>
        </x:is>
      </x:c>
      <x:c r="I526" s="2" t="inlineStr">
        <x:is>
          <x:t xml:space="preserve">1998-06-16</x:t>
        </x:is>
      </x:c>
      <x:c r="J526" s="3" t="inlineStr">
        <x:is>
          <x:t xml:space="preserve">北京市通州区永乐经济技术开发区永开路1号</x:t>
        </x:is>
      </x:c>
      <x:c r="K526" s="12" t="str">
        <x:f>LEFT("9111000071092147XM",18)</x:f>
        <x:v>9111000071092147XM</x:v>
      </x:c>
    </x:row>
    <x:row r="527">
      <x:c r="A527" s="4" t="n">
        <x:v>526</x:v>
      </x:c>
      <x:c r="B527" s="4" t="inlineStr">
        <x:is>
          <x:t xml:space="preserve">000931</x:t>
        </x:is>
      </x:c>
      <x:c r="C527" s="5" t="inlineStr">
        <x:is>
          <x:t xml:space="preserve">中关村</x:t>
        </x:is>
      </x:c>
      <x:c r="D527" s="5" t="inlineStr">
        <x:is>
          <x:t xml:space="preserve">北京中关村科技发展(控股)股份有限公司</x:t>
        </x:is>
      </x:c>
      <x:c r="E527" s="4" t="inlineStr">
        <x:is>
          <x:t xml:space="preserve">北京市</x:t>
        </x:is>
      </x:c>
      <x:c r="F527" s="4" t="inlineStr">
        <x:is>
          <x:t xml:space="preserve">北京市</x:t>
        </x:is>
      </x:c>
      <x:c r="G527" s="5" t="inlineStr">
        <x:is>
          <x:t xml:space="preserve">北京市-北京市</x:t>
        </x:is>
      </x:c>
      <x:c r="H527" s="4" t="inlineStr">
        <x:is>
          <x:t xml:space="preserve">医药制造</x:t>
        </x:is>
      </x:c>
      <x:c r="I527" s="4" t="inlineStr">
        <x:is>
          <x:t xml:space="preserve">1999-07-12</x:t>
        </x:is>
      </x:c>
      <x:c r="J527" s="5" t="inlineStr">
        <x:is>
          <x:t xml:space="preserve">北京市海淀区中关村南大街32号</x:t>
        </x:is>
      </x:c>
      <x:c r="K527" s="12" t="str">
        <x:f>LEFT("91110000700225606B",18)</x:f>
        <x:v>91110000700225606B</x:v>
      </x:c>
    </x:row>
    <x:row r="528">
      <x:c r="A528" s="2" t="n">
        <x:v>527</x:v>
      </x:c>
      <x:c r="B528" s="2" t="inlineStr">
        <x:is>
          <x:t xml:space="preserve">000938</x:t>
        </x:is>
      </x:c>
      <x:c r="C528" s="3" t="inlineStr">
        <x:is>
          <x:t xml:space="preserve">紫光股份</x:t>
        </x:is>
      </x:c>
      <x:c r="D528" s="3" t="inlineStr">
        <x:is>
          <x:t xml:space="preserve">紫光股份有限公司</x:t>
        </x:is>
      </x:c>
      <x:c r="E528" s="2" t="inlineStr">
        <x:is>
          <x:t xml:space="preserve">北京市</x:t>
        </x:is>
      </x:c>
      <x:c r="F528" s="2" t="inlineStr">
        <x:is>
          <x:t xml:space="preserve">北京市</x:t>
        </x:is>
      </x:c>
      <x:c r="G528" s="3" t="inlineStr">
        <x:is>
          <x:t xml:space="preserve">北京市-北京市</x:t>
        </x:is>
      </x:c>
      <x:c r="H528" s="2" t="inlineStr">
        <x:is>
          <x:t xml:space="preserve">电子信息</x:t>
        </x:is>
      </x:c>
      <x:c r="I528" s="2" t="inlineStr">
        <x:is>
          <x:t xml:space="preserve">1999-11-04</x:t>
        </x:is>
      </x:c>
      <x:c r="J528" s="3" t="inlineStr">
        <x:is>
          <x:t xml:space="preserve">北京市海淀区清华大学紫光大楼</x:t>
        </x:is>
      </x:c>
      <x:c r="K528" s="12" t="str">
        <x:f>LEFT("91110000700218641X",18)</x:f>
        <x:v>91110000700218641X</x:v>
      </x:c>
    </x:row>
    <x:row r="529">
      <x:c r="A529" s="4" t="n">
        <x:v>528</x:v>
      </x:c>
      <x:c r="B529" s="4" t="inlineStr">
        <x:is>
          <x:t xml:space="preserve">000959</x:t>
        </x:is>
      </x:c>
      <x:c r="C529" s="5" t="inlineStr">
        <x:is>
          <x:t xml:space="preserve">首钢股份</x:t>
        </x:is>
      </x:c>
      <x:c r="D529" s="5" t="inlineStr">
        <x:is>
          <x:t xml:space="preserve">北京首钢股份有限公司</x:t>
        </x:is>
      </x:c>
      <x:c r="E529" s="4" t="inlineStr">
        <x:is>
          <x:t xml:space="preserve">北京市</x:t>
        </x:is>
      </x:c>
      <x:c r="F529" s="4" t="inlineStr">
        <x:is>
          <x:t xml:space="preserve">北京市</x:t>
        </x:is>
      </x:c>
      <x:c r="G529" s="5" t="inlineStr">
        <x:is>
          <x:t xml:space="preserve">北京市-北京市</x:t>
        </x:is>
      </x:c>
      <x:c r="H529" s="4" t="inlineStr">
        <x:is>
          <x:t xml:space="preserve">钢铁行业</x:t>
        </x:is>
      </x:c>
      <x:c r="I529" s="4" t="inlineStr">
        <x:is>
          <x:t xml:space="preserve">1999-12-16</x:t>
        </x:is>
      </x:c>
      <x:c r="J529" s="5" t="inlineStr">
        <x:is>
          <x:t xml:space="preserve">北京市石景山区石景山路</x:t>
        </x:is>
      </x:c>
      <x:c r="K529" s="12" t="str">
        <x:f>LEFT("911100007002343182",18)</x:f>
        <x:v>911100007002343200</x:v>
      </x:c>
    </x:row>
    <x:row r="530">
      <x:c r="A530" s="2" t="n">
        <x:v>529</x:v>
      </x:c>
      <x:c r="B530" s="2" t="inlineStr">
        <x:is>
          <x:t xml:space="preserve">000969</x:t>
        </x:is>
      </x:c>
      <x:c r="C530" s="3" t="inlineStr">
        <x:is>
          <x:t xml:space="preserve">安泰科技</x:t>
        </x:is>
      </x:c>
      <x:c r="D530" s="3" t="inlineStr">
        <x:is>
          <x:t xml:space="preserve">安泰科技股份有限公司</x:t>
        </x:is>
      </x:c>
      <x:c r="E530" s="2" t="inlineStr">
        <x:is>
          <x:t xml:space="preserve">北京市</x:t>
        </x:is>
      </x:c>
      <x:c r="F530" s="2" t="inlineStr">
        <x:is>
          <x:t xml:space="preserve">北京市</x:t>
        </x:is>
      </x:c>
      <x:c r="G530" s="3" t="inlineStr">
        <x:is>
          <x:t xml:space="preserve">北京市-北京市</x:t>
        </x:is>
      </x:c>
      <x:c r="H530" s="2" t="inlineStr">
        <x:is>
          <x:t xml:space="preserve">通用设备</x:t>
        </x:is>
      </x:c>
      <x:c r="I530" s="2" t="inlineStr">
        <x:is>
          <x:t xml:space="preserve">2000-05-29</x:t>
        </x:is>
      </x:c>
      <x:c r="J530" s="3" t="inlineStr">
        <x:is>
          <x:t xml:space="preserve">北京市海淀区学院南路76号</x:t>
        </x:is>
      </x:c>
      <x:c r="K530" s="12" t="str">
        <x:f>LEFT("911100006337153487",18)</x:f>
        <x:v>911100006337153500</x:v>
      </x:c>
    </x:row>
    <x:row r="531">
      <x:c r="A531" s="4" t="n">
        <x:v>530</x:v>
      </x:c>
      <x:c r="B531" s="4" t="inlineStr">
        <x:is>
          <x:t xml:space="preserve">000970</x:t>
        </x:is>
      </x:c>
      <x:c r="C531" s="5" t="inlineStr">
        <x:is>
          <x:t xml:space="preserve">中科三环</x:t>
        </x:is>
      </x:c>
      <x:c r="D531" s="5" t="inlineStr">
        <x:is>
          <x:t xml:space="preserve">北京中科三环高技术股份有限公司</x:t>
        </x:is>
      </x:c>
      <x:c r="E531" s="4" t="inlineStr">
        <x:is>
          <x:t xml:space="preserve">北京市</x:t>
        </x:is>
      </x:c>
      <x:c r="F531" s="4" t="inlineStr">
        <x:is>
          <x:t xml:space="preserve">北京市</x:t>
        </x:is>
      </x:c>
      <x:c r="G531" s="5" t="inlineStr">
        <x:is>
          <x:t xml:space="preserve">北京市-北京市</x:t>
        </x:is>
      </x:c>
      <x:c r="H531" s="4" t="inlineStr">
        <x:is>
          <x:t xml:space="preserve">小金属</x:t>
        </x:is>
      </x:c>
      <x:c r="I531" s="4" t="inlineStr">
        <x:is>
          <x:t xml:space="preserve">2000-04-20</x:t>
        </x:is>
      </x:c>
      <x:c r="J531" s="5" t="inlineStr">
        <x:is>
          <x:t xml:space="preserve">北京市海淀区中关村东路66号甲1号楼27层</x:t>
        </x:is>
      </x:c>
      <x:c r="K531" s="12" t="str">
        <x:f>LEFT("91110000700228137T",18)</x:f>
        <x:v>91110000700228137T</x:v>
      </x:c>
    </x:row>
    <x:row r="532">
      <x:c r="A532" s="2" t="n">
        <x:v>531</x:v>
      </x:c>
      <x:c r="B532" s="2" t="inlineStr">
        <x:is>
          <x:t xml:space="preserve">001210</x:t>
        </x:is>
      </x:c>
      <x:c r="C532" s="3" t="inlineStr">
        <x:is>
          <x:t xml:space="preserve">金房能源</x:t>
        </x:is>
      </x:c>
      <x:c r="D532" s="3" t="inlineStr">
        <x:is>
          <x:t xml:space="preserve">金房能源集团股份有限公司</x:t>
        </x:is>
      </x:c>
      <x:c r="E532" s="2" t="inlineStr">
        <x:is>
          <x:t xml:space="preserve">北京市</x:t>
        </x:is>
      </x:c>
      <x:c r="F532" s="2" t="inlineStr">
        <x:is>
          <x:t xml:space="preserve">北京市</x:t>
        </x:is>
      </x:c>
      <x:c r="G532" s="3" t="inlineStr">
        <x:is>
          <x:t xml:space="preserve">北京市-北京市</x:t>
        </x:is>
      </x:c>
      <x:c r="H532" s="2" t="inlineStr">
        <x:is>
          <x:t xml:space="preserve">公用事业</x:t>
        </x:is>
      </x:c>
      <x:c r="I532" s="2" t="inlineStr">
        <x:is>
          <x:t xml:space="preserve">2021-07-29</x:t>
        </x:is>
      </x:c>
      <x:c r="J532" s="3" t="inlineStr">
        <x:is>
          <x:t xml:space="preserve">北京市昌平区超前路9号B座2273室</x:t>
        </x:is>
      </x:c>
      <x:c r="K532" s="12" t="str">
        <x:f>LEFT("91110114101646767U",18)</x:f>
        <x:v>91110114101646767U</x:v>
      </x:c>
    </x:row>
    <x:row r="533">
      <x:c r="A533" s="4" t="n">
        <x:v>532</x:v>
      </x:c>
      <x:c r="B533" s="4" t="inlineStr">
        <x:is>
          <x:t xml:space="preserve">001213</x:t>
        </x:is>
      </x:c>
      <x:c r="C533" s="5" t="inlineStr">
        <x:is>
          <x:t xml:space="preserve">中铁特货</x:t>
        </x:is>
      </x:c>
      <x:c r="D533" s="5" t="inlineStr">
        <x:is>
          <x:t xml:space="preserve">中铁特货物流股份有限公司</x:t>
        </x:is>
      </x:c>
      <x:c r="E533" s="4" t="inlineStr">
        <x:is>
          <x:t xml:space="preserve">北京市</x:t>
        </x:is>
      </x:c>
      <x:c r="F533" s="4" t="inlineStr">
        <x:is>
          <x:t xml:space="preserve">北京市</x:t>
        </x:is>
      </x:c>
      <x:c r="G533" s="5" t="inlineStr">
        <x:is>
          <x:t xml:space="preserve">北京市-北京市</x:t>
        </x:is>
      </x:c>
      <x:c r="H533" s="4" t="inlineStr">
        <x:is>
          <x:t xml:space="preserve">交运物流</x:t>
        </x:is>
      </x:c>
      <x:c r="I533" s="4" t="inlineStr">
        <x:is>
          <x:t xml:space="preserve">2021-09-08</x:t>
        </x:is>
      </x:c>
      <x:c r="J533" s="5" t="inlineStr">
        <x:is>
          <x:t xml:space="preserve">北京市丰台区南四环西路188号七区24号楼1至6层全部</x:t>
        </x:is>
      </x:c>
      <x:c r="K533" s="12" t="str">
        <x:f>LEFT("91100000710932021X",18)</x:f>
        <x:v>91100000710932021X</x:v>
      </x:c>
    </x:row>
    <x:row r="534">
      <x:c r="A534" s="2" t="n">
        <x:v>533</x:v>
      </x:c>
      <x:c r="B534" s="2" t="inlineStr">
        <x:is>
          <x:t xml:space="preserve">001259</x:t>
        </x:is>
      </x:c>
      <x:c r="C534" s="3" t="inlineStr">
        <x:is>
          <x:t xml:space="preserve">利仁科技</x:t>
        </x:is>
      </x:c>
      <x:c r="D534" s="3" t="inlineStr">
        <x:is>
          <x:t xml:space="preserve">北京利仁科技股份有限公司</x:t>
        </x:is>
      </x:c>
      <x:c r="E534" s="2" t="inlineStr">
        <x:is>
          <x:t xml:space="preserve">北京市</x:t>
        </x:is>
      </x:c>
      <x:c r="F534" s="2" t="inlineStr">
        <x:is>
          <x:t xml:space="preserve">北京市</x:t>
        </x:is>
      </x:c>
      <x:c r="G534" s="3" t="inlineStr">
        <x:is>
          <x:t xml:space="preserve">北京市-北京市</x:t>
        </x:is>
      </x:c>
      <x:c r="H534" s="2" t="inlineStr">
        <x:is>
          <x:t xml:space="preserve">家电行业</x:t>
        </x:is>
      </x:c>
      <x:c r="I534" s="2" t="inlineStr">
        <x:is>
          <x:t xml:space="preserve">2022-08-31</x:t>
        </x:is>
      </x:c>
      <x:c r="J534" s="3" t="inlineStr">
        <x:is>
          <x:t xml:space="preserve">北京市西城区阜外大街甲28号京润大厦4楼</x:t>
        </x:is>
      </x:c>
      <x:c r="K534" s="12" t="str">
        <x:f>LEFT("91110102634381829U",18)</x:f>
        <x:v>91110102634381829U</x:v>
      </x:c>
    </x:row>
    <x:row r="535">
      <x:c r="A535" s="4" t="n">
        <x:v>534</x:v>
      </x:c>
      <x:c r="B535" s="4" t="inlineStr">
        <x:is>
          <x:t xml:space="preserve">001280</x:t>
        </x:is>
      </x:c>
      <x:c r="C535" s="5" t="inlineStr">
        <x:is>
          <x:t xml:space="preserve">中国铀业</x:t>
        </x:is>
      </x:c>
      <x:c r="D535" s="5" t="inlineStr">
        <x:is>
          <x:t xml:space="preserve">中国铀业股份有限公司</x:t>
        </x:is>
      </x:c>
      <x:c r="E535" s="4" t="inlineStr">
        <x:is>
          <x:t xml:space="preserve">北京市</x:t>
        </x:is>
      </x:c>
      <x:c r="F535" s="4" t="inlineStr">
        <x:is>
          <x:t xml:space="preserve">北京市</x:t>
        </x:is>
      </x:c>
      <x:c r="G535" s="5" t="inlineStr">
        <x:is>
          <x:t xml:space="preserve">北京市-北京市</x:t>
        </x:is>
      </x:c>
      <x:c r="H535" s="4" t="inlineStr">
        <x:is>
          <x:t xml:space="preserve">小金属</x:t>
        </x:is>
      </x:c>
      <x:c r="I535" s="4" t="inlineStr">
        <x:is>
          <x:t xml:space="preserve">2025-12-03</x:t>
        </x:is>
      </x:c>
      <x:c r="J535" s="5" t="inlineStr">
        <x:is>
          <x:t xml:space="preserve">北京市通州区九棵树145号26幢1层</x:t>
        </x:is>
      </x:c>
      <x:c r="K535" s="12" t="str">
        <x:f>LEFT("91110000100010265J",18)</x:f>
        <x:v>91110000100010265J</x:v>
      </x:c>
    </x:row>
    <x:row r="536">
      <x:c r="A536" s="2" t="n">
        <x:v>535</x:v>
      </x:c>
      <x:c r="B536" s="2" t="inlineStr">
        <x:is>
          <x:t xml:space="preserve">001289</x:t>
        </x:is>
      </x:c>
      <x:c r="C536" s="3" t="inlineStr">
        <x:is>
          <x:t xml:space="preserve">龙源电力</x:t>
        </x:is>
      </x:c>
      <x:c r="D536" s="3" t="inlineStr">
        <x:is>
          <x:t xml:space="preserve">龙源电力集团股份有限公司</x:t>
        </x:is>
      </x:c>
      <x:c r="E536" s="2" t="inlineStr">
        <x:is>
          <x:t xml:space="preserve">北京市</x:t>
        </x:is>
      </x:c>
      <x:c r="F536" s="2" t="inlineStr">
        <x:is>
          <x:t xml:space="preserve">北京市</x:t>
        </x:is>
      </x:c>
      <x:c r="G536" s="3" t="inlineStr">
        <x:is>
          <x:t xml:space="preserve">北京市-北京市</x:t>
        </x:is>
      </x:c>
      <x:c r="H536" s="2" t="inlineStr">
        <x:is>
          <x:t xml:space="preserve">电力行业</x:t>
        </x:is>
      </x:c>
      <x:c r="I536" s="2" t="inlineStr">
        <x:is>
          <x:t xml:space="preserve">2022-01-24</x:t>
        </x:is>
      </x:c>
      <x:c r="J536" s="3" t="inlineStr">
        <x:is>
          <x:t xml:space="preserve">北京市西城区阜成门北大街6号(c幢)20层2006室</x:t>
        </x:is>
      </x:c>
      <x:c r="K536" s="12" t="str">
        <x:f>LEFT("911100001000127624",18)</x:f>
        <x:v>911100001000127600</x:v>
      </x:c>
    </x:row>
    <x:row r="537">
      <x:c r="A537" s="4" t="n">
        <x:v>536</x:v>
      </x:c>
      <x:c r="B537" s="4" t="inlineStr">
        <x:is>
          <x:t xml:space="preserve">001391</x:t>
        </x:is>
      </x:c>
      <x:c r="C537" s="5" t="inlineStr">
        <x:is>
          <x:t xml:space="preserve">国货航</x:t>
        </x:is>
      </x:c>
      <x:c r="D537" s="5" t="inlineStr">
        <x:is>
          <x:t xml:space="preserve">中国国际货运航空股份有限公司</x:t>
        </x:is>
      </x:c>
      <x:c r="E537" s="4" t="inlineStr">
        <x:is>
          <x:t xml:space="preserve">北京市</x:t>
        </x:is>
      </x:c>
      <x:c r="F537" s="4" t="inlineStr">
        <x:is>
          <x:t xml:space="preserve">北京市</x:t>
        </x:is>
      </x:c>
      <x:c r="G537" s="5" t="inlineStr">
        <x:is>
          <x:t xml:space="preserve">北京市-北京市</x:t>
        </x:is>
      </x:c>
      <x:c r="H537" s="4" t="inlineStr">
        <x:is>
          <x:t xml:space="preserve">物流行业</x:t>
        </x:is>
      </x:c>
      <x:c r="I537" s="4" t="inlineStr">
        <x:is>
          <x:t xml:space="preserve">2024-12-30</x:t>
        </x:is>
      </x:c>
      <x:c r="J537" s="5" t="inlineStr">
        <x:is>
          <x:t xml:space="preserve">北京市顺义区天柱路29号院1幢1至9层</x:t>
        </x:is>
      </x:c>
      <x:c r="K537" s="12" t="str">
        <x:f>LEFT("91110000710932056L",18)</x:f>
        <x:v>91110000710932056L</x:v>
      </x:c>
    </x:row>
    <x:row r="538">
      <x:c r="A538" s="2" t="n">
        <x:v>537</x:v>
      </x:c>
      <x:c r="B538" s="2" t="inlineStr">
        <x:is>
          <x:t xml:space="preserve">002038</x:t>
        </x:is>
      </x:c>
      <x:c r="C538" s="3" t="inlineStr">
        <x:is>
          <x:t xml:space="preserve">双鹭药业</x:t>
        </x:is>
      </x:c>
      <x:c r="D538" s="3" t="inlineStr">
        <x:is>
          <x:t xml:space="preserve">北京双鹭药业股份有限公司</x:t>
        </x:is>
      </x:c>
      <x:c r="E538" s="2" t="inlineStr">
        <x:is>
          <x:t xml:space="preserve">北京市</x:t>
        </x:is>
      </x:c>
      <x:c r="F538" s="2" t="inlineStr">
        <x:is>
          <x:t xml:space="preserve">北京市</x:t>
        </x:is>
      </x:c>
      <x:c r="G538" s="3" t="inlineStr">
        <x:is>
          <x:t xml:space="preserve">北京市-北京市</x:t>
        </x:is>
      </x:c>
      <x:c r="H538" s="2" t="inlineStr">
        <x:is>
          <x:t xml:space="preserve">生物制品</x:t>
        </x:is>
      </x:c>
      <x:c r="I538" s="2" t="inlineStr">
        <x:is>
          <x:t xml:space="preserve">2004-09-09</x:t>
        </x:is>
      </x:c>
      <x:c r="J538" s="3" t="inlineStr">
        <x:is>
          <x:t xml:space="preserve">北京市海淀区阜石路69号碧桐园1号楼4层</x:t>
        </x:is>
      </x:c>
      <x:c r="K538" s="12" t="str">
        <x:f>LEFT("91110000102299779W",18)</x:f>
        <x:v>91110000102299779W</x:v>
      </x:c>
    </x:row>
    <x:row r="539">
      <x:c r="A539" s="4" t="n">
        <x:v>538</x:v>
      </x:c>
      <x:c r="B539" s="4" t="inlineStr">
        <x:is>
          <x:t xml:space="preserve">002051</x:t>
        </x:is>
      </x:c>
      <x:c r="C539" s="5" t="inlineStr">
        <x:is>
          <x:t xml:space="preserve">中工国际</x:t>
        </x:is>
      </x:c>
      <x:c r="D539" s="5" t="inlineStr">
        <x:is>
          <x:t xml:space="preserve">中工国际工程股份有限公司</x:t>
        </x:is>
      </x:c>
      <x:c r="E539" s="4" t="inlineStr">
        <x:is>
          <x:t xml:space="preserve">北京市</x:t>
        </x:is>
      </x:c>
      <x:c r="F539" s="4" t="inlineStr">
        <x:is>
          <x:t xml:space="preserve">北京市</x:t>
        </x:is>
      </x:c>
      <x:c r="G539" s="5" t="inlineStr">
        <x:is>
          <x:t xml:space="preserve">北京市-北京市</x:t>
        </x:is>
      </x:c>
      <x:c r="H539" s="4" t="inlineStr">
        <x:is>
          <x:t xml:space="preserve">工程建设</x:t>
        </x:is>
      </x:c>
      <x:c r="I539" s="4" t="inlineStr">
        <x:is>
          <x:t xml:space="preserve">2006-06-19</x:t>
        </x:is>
      </x:c>
      <x:c r="J539" s="5" t="inlineStr">
        <x:is>
          <x:t xml:space="preserve">北京市海淀区丹棱街3号</x:t>
        </x:is>
      </x:c>
      <x:c r="K539" s="12" t="str">
        <x:f>LEFT("91110000710928321N",18)</x:f>
        <x:v>91110000710928321N</x:v>
      </x:c>
    </x:row>
    <x:row r="540">
      <x:c r="A540" s="2" t="n">
        <x:v>539</x:v>
      </x:c>
      <x:c r="B540" s="2" t="inlineStr">
        <x:is>
          <x:t xml:space="preserve">002065</x:t>
        </x:is>
      </x:c>
      <x:c r="C540" s="3" t="inlineStr">
        <x:is>
          <x:t xml:space="preserve">东华软件</x:t>
        </x:is>
      </x:c>
      <x:c r="D540" s="3" t="inlineStr">
        <x:is>
          <x:t xml:space="preserve">东华软件股份公司</x:t>
        </x:is>
      </x:c>
      <x:c r="E540" s="2" t="inlineStr">
        <x:is>
          <x:t xml:space="preserve">北京市</x:t>
        </x:is>
      </x:c>
      <x:c r="F540" s="2" t="inlineStr">
        <x:is>
          <x:t xml:space="preserve">北京市</x:t>
        </x:is>
      </x:c>
      <x:c r="G540" s="3" t="inlineStr">
        <x:is>
          <x:t xml:space="preserve">北京市-北京市</x:t>
        </x:is>
      </x:c>
      <x:c r="H540" s="2" t="inlineStr">
        <x:is>
          <x:t xml:space="preserve">软件服务</x:t>
        </x:is>
      </x:c>
      <x:c r="I540" s="2" t="inlineStr">
        <x:is>
          <x:t xml:space="preserve">2006-08-23</x:t>
        </x:is>
      </x:c>
      <x:c r="J540" s="3" t="inlineStr">
        <x:is>
          <x:t xml:space="preserve">北京市海淀区紫金数码园3号楼15层1501</x:t>
        </x:is>
      </x:c>
      <x:c r="K540" s="12" t="str">
        <x:f>LEFT("911100007226188818",18)</x:f>
        <x:v>911100007226188800</x:v>
      </x:c>
    </x:row>
    <x:row r="541">
      <x:c r="A541" s="4" t="n">
        <x:v>540</x:v>
      </x:c>
      <x:c r="B541" s="4" t="inlineStr">
        <x:is>
          <x:t xml:space="preserve">002066</x:t>
        </x:is>
      </x:c>
      <x:c r="C541" s="5" t="inlineStr">
        <x:is>
          <x:t xml:space="preserve">瑞泰科技</x:t>
        </x:is>
      </x:c>
      <x:c r="D541" s="5" t="inlineStr">
        <x:is>
          <x:t xml:space="preserve">瑞泰科技股份有限公司</x:t>
        </x:is>
      </x:c>
      <x:c r="E541" s="4" t="inlineStr">
        <x:is>
          <x:t xml:space="preserve">北京市</x:t>
        </x:is>
      </x:c>
      <x:c r="F541" s="4" t="inlineStr">
        <x:is>
          <x:t xml:space="preserve">北京市</x:t>
        </x:is>
      </x:c>
      <x:c r="G541" s="5" t="inlineStr">
        <x:is>
          <x:t xml:space="preserve">北京市-北京市</x:t>
        </x:is>
      </x:c>
      <x:c r="H541" s="4" t="inlineStr">
        <x:is>
          <x:t xml:space="preserve">装修建材</x:t>
        </x:is>
      </x:c>
      <x:c r="I541" s="4" t="inlineStr">
        <x:is>
          <x:t xml:space="preserve">2006-08-23</x:t>
        </x:is>
      </x:c>
      <x:c r="J541" s="5" t="inlineStr">
        <x:is>
          <x:t xml:space="preserve">北京市朝阳区五里桥一街1号院27号楼</x:t>
        </x:is>
      </x:c>
      <x:c r="K541" s="12" t="str">
        <x:f>LEFT("911100007334480727",18)</x:f>
        <x:v>911100007334480800</x:v>
      </x:c>
    </x:row>
    <x:row r="542">
      <x:c r="A542" s="2" t="n">
        <x:v>541</x:v>
      </x:c>
      <x:c r="B542" s="2" t="inlineStr">
        <x:is>
          <x:t xml:space="preserve">002148</x:t>
        </x:is>
      </x:c>
      <x:c r="C542" s="3" t="inlineStr">
        <x:is>
          <x:t xml:space="preserve">北纬科技</x:t>
        </x:is>
      </x:c>
      <x:c r="D542" s="3" t="inlineStr">
        <x:is>
          <x:t xml:space="preserve">北京北纬通信科技股份有限公司</x:t>
        </x:is>
      </x:c>
      <x:c r="E542" s="2" t="inlineStr">
        <x:is>
          <x:t xml:space="preserve">北京市</x:t>
        </x:is>
      </x:c>
      <x:c r="F542" s="2" t="inlineStr">
        <x:is>
          <x:t xml:space="preserve">北京市</x:t>
        </x:is>
      </x:c>
      <x:c r="G542" s="3" t="inlineStr">
        <x:is>
          <x:t xml:space="preserve">北京市-北京市</x:t>
        </x:is>
      </x:c>
      <x:c r="H542" s="2" t="inlineStr">
        <x:is>
          <x:t xml:space="preserve">通信服务</x:t>
        </x:is>
      </x:c>
      <x:c r="I542" s="2" t="inlineStr">
        <x:is>
          <x:t xml:space="preserve">2007-08-10</x:t>
        </x:is>
      </x:c>
      <x:c r="J542" s="3" t="inlineStr">
        <x:is>
          <x:t xml:space="preserve">北京市丰台区西四环南路19号九号楼247室</x:t>
        </x:is>
      </x:c>
      <x:c r="K542" s="12" t="str">
        <x:f>LEFT("911100006336429941",18)</x:f>
        <x:v>911100006336430000</x:v>
      </x:c>
    </x:row>
    <x:row r="543">
      <x:c r="A543" s="4" t="n">
        <x:v>542</x:v>
      </x:c>
      <x:c r="B543" s="4" t="inlineStr">
        <x:is>
          <x:t xml:space="preserve">002151</x:t>
        </x:is>
      </x:c>
      <x:c r="C543" s="5" t="inlineStr">
        <x:is>
          <x:t xml:space="preserve">北斗星通</x:t>
        </x:is>
      </x:c>
      <x:c r="D543" s="5" t="inlineStr">
        <x:is>
          <x:t xml:space="preserve">北京北斗星通导航技术股份有限公司</x:t>
        </x:is>
      </x:c>
      <x:c r="E543" s="4" t="inlineStr">
        <x:is>
          <x:t xml:space="preserve">北京市</x:t>
        </x:is>
      </x:c>
      <x:c r="F543" s="4" t="inlineStr">
        <x:is>
          <x:t xml:space="preserve">北京市</x:t>
        </x:is>
      </x:c>
      <x:c r="G543" s="5" t="inlineStr">
        <x:is>
          <x:t xml:space="preserve">北京市-北京市</x:t>
        </x:is>
      </x:c>
      <x:c r="H543" s="4" t="inlineStr">
        <x:is>
          <x:t xml:space="preserve">通信设备</x:t>
        </x:is>
      </x:c>
      <x:c r="I543" s="4" t="inlineStr">
        <x:is>
          <x:t xml:space="preserve">2007-08-13</x:t>
        </x:is>
      </x:c>
      <x:c r="J543" s="5" t="inlineStr">
        <x:is>
          <x:t xml:space="preserve">北京市海淀区丰贤东路7号北斗星通大厦南二层</x:t>
        </x:is>
      </x:c>
      <x:c r="K543" s="12" t="str">
        <x:f>LEFT("91110000802017541K",18)</x:f>
        <x:v>91110000802017541K</x:v>
      </x:c>
    </x:row>
    <x:row r="544">
      <x:c r="A544" s="2" t="n">
        <x:v>543</x:v>
      </x:c>
      <x:c r="B544" s="2" t="inlineStr">
        <x:is>
          <x:t xml:space="preserve">002153</x:t>
        </x:is>
      </x:c>
      <x:c r="C544" s="3" t="inlineStr">
        <x:is>
          <x:t xml:space="preserve">石基信息</x:t>
        </x:is>
      </x:c>
      <x:c r="D544" s="3" t="inlineStr">
        <x:is>
          <x:t xml:space="preserve">北京中长石基信息技术股份有限公司</x:t>
        </x:is>
      </x:c>
      <x:c r="E544" s="2" t="inlineStr">
        <x:is>
          <x:t xml:space="preserve">北京市</x:t>
        </x:is>
      </x:c>
      <x:c r="F544" s="2" t="inlineStr">
        <x:is>
          <x:t xml:space="preserve">北京市</x:t>
        </x:is>
      </x:c>
      <x:c r="G544" s="3" t="inlineStr">
        <x:is>
          <x:t xml:space="preserve">北京市-北京市</x:t>
        </x:is>
      </x:c>
      <x:c r="H544" s="2" t="inlineStr">
        <x:is>
          <x:t xml:space="preserve">软件服务</x:t>
        </x:is>
      </x:c>
      <x:c r="I544" s="2" t="inlineStr">
        <x:is>
          <x:t xml:space="preserve">2007-08-13</x:t>
        </x:is>
      </x:c>
      <x:c r="J544" s="3" t="inlineStr">
        <x:is>
          <x:t xml:space="preserve">北京市海淀区复兴路甲65号-A11层</x:t>
        </x:is>
      </x:c>
      <x:c r="K544" s="12" t="str">
        <x:f>LEFT("91110000634342985H",18)</x:f>
        <x:v>91110000634342985H</x:v>
      </x:c>
    </x:row>
    <x:row r="545">
      <x:c r="A545" s="4" t="n">
        <x:v>544</x:v>
      </x:c>
      <x:c r="B545" s="4" t="inlineStr">
        <x:is>
          <x:t xml:space="preserve">002186</x:t>
        </x:is>
      </x:c>
      <x:c r="C545" s="5" t="inlineStr">
        <x:is>
          <x:t xml:space="preserve">全聚德</x:t>
        </x:is>
      </x:c>
      <x:c r="D545" s="5" t="inlineStr">
        <x:is>
          <x:t xml:space="preserve">中国全聚德(集团)股份有限公司</x:t>
        </x:is>
      </x:c>
      <x:c r="E545" s="4" t="inlineStr">
        <x:is>
          <x:t xml:space="preserve">北京市</x:t>
        </x:is>
      </x:c>
      <x:c r="F545" s="4" t="inlineStr">
        <x:is>
          <x:t xml:space="preserve">北京市</x:t>
        </x:is>
      </x:c>
      <x:c r="G545" s="5" t="inlineStr">
        <x:is>
          <x:t xml:space="preserve">北京市-北京市</x:t>
        </x:is>
      </x:c>
      <x:c r="H545" s="4" t="inlineStr">
        <x:is>
          <x:t xml:space="preserve">旅游酒店</x:t>
        </x:is>
      </x:c>
      <x:c r="I545" s="4" t="inlineStr">
        <x:is>
          <x:t xml:space="preserve">2007-11-20</x:t>
        </x:is>
      </x:c>
      <x:c r="J545" s="5" t="inlineStr">
        <x:is>
          <x:t xml:space="preserve">北京市西城区前门西河沿217号</x:t>
        </x:is>
      </x:c>
      <x:c r="K545" s="12" t="str">
        <x:f>LEFT("91110000101623741K",18)</x:f>
        <x:v>91110000101623741K</x:v>
      </x:c>
    </x:row>
    <x:row r="546">
      <x:c r="A546" s="2" t="n">
        <x:v>545</x:v>
      </x:c>
      <x:c r="B546" s="2" t="inlineStr">
        <x:is>
          <x:t xml:space="preserve">002271</x:t>
        </x:is>
      </x:c>
      <x:c r="C546" s="3" t="inlineStr">
        <x:is>
          <x:t xml:space="preserve">东方雨虹</x:t>
        </x:is>
      </x:c>
      <x:c r="D546" s="3" t="inlineStr">
        <x:is>
          <x:t xml:space="preserve">北京东方雨虹防水技术股份有限公司</x:t>
        </x:is>
      </x:c>
      <x:c r="E546" s="2" t="inlineStr">
        <x:is>
          <x:t xml:space="preserve">北京市</x:t>
        </x:is>
      </x:c>
      <x:c r="F546" s="2" t="inlineStr">
        <x:is>
          <x:t xml:space="preserve">北京市</x:t>
        </x:is>
      </x:c>
      <x:c r="G546" s="3" t="inlineStr">
        <x:is>
          <x:t xml:space="preserve">北京市-北京市</x:t>
        </x:is>
      </x:c>
      <x:c r="H546" s="2" t="inlineStr">
        <x:is>
          <x:t xml:space="preserve">装修建材</x:t>
        </x:is>
      </x:c>
      <x:c r="I546" s="2" t="inlineStr">
        <x:is>
          <x:t xml:space="preserve">2008-09-10</x:t>
        </x:is>
      </x:c>
      <x:c r="J546" s="3" t="inlineStr">
        <x:is>
          <x:t xml:space="preserve">北京市顺义区顺平路沙岭段甲2号</x:t>
        </x:is>
      </x:c>
      <x:c r="K546" s="12" t="str">
        <x:f>LEFT("91110000102551540H",18)</x:f>
        <x:v>91110000102551540H</x:v>
      </x:c>
    </x:row>
    <x:row r="547">
      <x:c r="A547" s="4" t="n">
        <x:v>546</x:v>
      </x:c>
      <x:c r="B547" s="4" t="inlineStr">
        <x:is>
          <x:t xml:space="preserve">002279</x:t>
        </x:is>
      </x:c>
      <x:c r="C547" s="5" t="inlineStr">
        <x:is>
          <x:t xml:space="preserve">久其软件</x:t>
        </x:is>
      </x:c>
      <x:c r="D547" s="5" t="inlineStr">
        <x:is>
          <x:t xml:space="preserve">北京久其软件股份有限公司</x:t>
        </x:is>
      </x:c>
      <x:c r="E547" s="4" t="inlineStr">
        <x:is>
          <x:t xml:space="preserve">北京市</x:t>
        </x:is>
      </x:c>
      <x:c r="F547" s="4" t="inlineStr">
        <x:is>
          <x:t xml:space="preserve">北京市</x:t>
        </x:is>
      </x:c>
      <x:c r="G547" s="5" t="inlineStr">
        <x:is>
          <x:t xml:space="preserve">北京市-北京市</x:t>
        </x:is>
      </x:c>
      <x:c r="H547" s="4" t="inlineStr">
        <x:is>
          <x:t xml:space="preserve">软件服务</x:t>
        </x:is>
      </x:c>
      <x:c r="I547" s="4" t="inlineStr">
        <x:is>
          <x:t xml:space="preserve">2009-08-11</x:t>
        </x:is>
      </x:c>
      <x:c r="J547" s="5" t="inlineStr">
        <x:is>
          <x:t xml:space="preserve">北京市海淀区文慧园甲12号楼1层</x:t>
        </x:is>
      </x:c>
      <x:c r="K547" s="12" t="str">
        <x:f>LEFT("911100007177242684",18)</x:f>
        <x:v>911100007177242600</x:v>
      </x:c>
    </x:row>
    <x:row r="548">
      <x:c r="A548" s="2" t="n">
        <x:v>547</x:v>
      </x:c>
      <x:c r="B548" s="2" t="inlineStr">
        <x:is>
          <x:t xml:space="preserve">002306</x:t>
        </x:is>
      </x:c>
      <x:c r="C548" s="3" t="inlineStr">
        <x:is>
          <x:t xml:space="preserve">*ST云网</x:t>
        </x:is>
      </x:c>
      <x:c r="D548" s="3" t="inlineStr">
        <x:is>
          <x:t xml:space="preserve">中科云网科技集团股份有限公司</x:t>
        </x:is>
      </x:c>
      <x:c r="E548" s="2" t="inlineStr">
        <x:is>
          <x:t xml:space="preserve">北京市</x:t>
        </x:is>
      </x:c>
      <x:c r="F548" s="2" t="inlineStr">
        <x:is>
          <x:t xml:space="preserve">北京市</x:t>
        </x:is>
      </x:c>
      <x:c r="G548" s="3" t="inlineStr">
        <x:is>
          <x:t xml:space="preserve">北京市-北京市</x:t>
        </x:is>
      </x:c>
      <x:c r="H548" s="2" t="inlineStr">
        <x:is>
          <x:t xml:space="preserve">旅游酒店</x:t>
        </x:is>
      </x:c>
      <x:c r="I548" s="2" t="inlineStr">
        <x:is>
          <x:t xml:space="preserve">2009-11-11</x:t>
        </x:is>
      </x:c>
      <x:c r="J548" s="3" t="inlineStr">
        <x:is>
          <x:t xml:space="preserve">北京市海淀区林风二路39号院4号楼2层209</x:t>
        </x:is>
      </x:c>
      <x:c r="K548" s="12" t="str">
        <x:f>LEFT("91110000717727215B",18)</x:f>
        <x:v>91110000717727215B</x:v>
      </x:c>
    </x:row>
    <x:row r="549">
      <x:c r="A549" s="4" t="n">
        <x:v>548</x:v>
      </x:c>
      <x:c r="B549" s="4" t="inlineStr">
        <x:is>
          <x:t xml:space="preserve">002310</x:t>
        </x:is>
      </x:c>
      <x:c r="C549" s="5" t="inlineStr">
        <x:is>
          <x:t xml:space="preserve">东方园林</x:t>
        </x:is>
      </x:c>
      <x:c r="D549" s="5" t="inlineStr">
        <x:is>
          <x:t xml:space="preserve">北京东方生态新能源股份有限公司</x:t>
        </x:is>
      </x:c>
      <x:c r="E549" s="4" t="inlineStr">
        <x:is>
          <x:t xml:space="preserve">北京市</x:t>
        </x:is>
      </x:c>
      <x:c r="F549" s="4" t="inlineStr">
        <x:is>
          <x:t xml:space="preserve">北京市</x:t>
        </x:is>
      </x:c>
      <x:c r="G549" s="5" t="inlineStr">
        <x:is>
          <x:t xml:space="preserve">北京市-北京市</x:t>
        </x:is>
      </x:c>
      <x:c r="H549" s="4" t="inlineStr">
        <x:is>
          <x:t xml:space="preserve">电力行业</x:t>
        </x:is>
      </x:c>
      <x:c r="I549" s="4" t="inlineStr">
        <x:is>
          <x:t xml:space="preserve">2009-11-27</x:t>
        </x:is>
      </x:c>
      <x:c r="J549" s="5" t="inlineStr">
        <x:is>
          <x:t xml:space="preserve">北京市朝阳区酒仙桥北路甲10号院104号楼6层601号</x:t>
        </x:is>
      </x:c>
      <x:c r="K549" s="12" t="str">
        <x:f>LEFT("91110000102116928R",18)</x:f>
        <x:v>91110000102116928R</x:v>
      </x:c>
    </x:row>
    <x:row r="550">
      <x:c r="A550" s="2" t="n">
        <x:v>549</x:v>
      </x:c>
      <x:c r="B550" s="2" t="inlineStr">
        <x:is>
          <x:t xml:space="preserve">002350</x:t>
        </x:is>
      </x:c>
      <x:c r="C550" s="3" t="inlineStr">
        <x:is>
          <x:t xml:space="preserve">北京科锐</x:t>
        </x:is>
      </x:c>
      <x:c r="D550" s="3" t="inlineStr">
        <x:is>
          <x:t xml:space="preserve">北京科锐集团股份有限公司</x:t>
        </x:is>
      </x:c>
      <x:c r="E550" s="2" t="inlineStr">
        <x:is>
          <x:t xml:space="preserve">北京市</x:t>
        </x:is>
      </x:c>
      <x:c r="F550" s="2" t="inlineStr">
        <x:is>
          <x:t xml:space="preserve">北京市</x:t>
        </x:is>
      </x:c>
      <x:c r="G550" s="3" t="inlineStr">
        <x:is>
          <x:t xml:space="preserve">北京市-北京市</x:t>
        </x:is>
      </x:c>
      <x:c r="H550" s="2" t="inlineStr">
        <x:is>
          <x:t xml:space="preserve">输配电气</x:t>
        </x:is>
      </x:c>
      <x:c r="I550" s="2" t="inlineStr">
        <x:is>
          <x:t xml:space="preserve">2010-02-03</x:t>
        </x:is>
      </x:c>
      <x:c r="J550" s="3" t="inlineStr">
        <x:is>
          <x:t xml:space="preserve">北京市海淀区西北旺东路10号院东区4号楼107</x:t>
        </x:is>
      </x:c>
      <x:c r="K550" s="12" t="str">
        <x:f>LEFT("9111000010209313X4",18)</x:f>
        <x:v>9111000010209313X4</x:v>
      </x:c>
    </x:row>
    <x:row r="551">
      <x:c r="A551" s="4" t="n">
        <x:v>550</x:v>
      </x:c>
      <x:c r="B551" s="4" t="inlineStr">
        <x:is>
          <x:t xml:space="preserve">002362</x:t>
        </x:is>
      </x:c>
      <x:c r="C551" s="5" t="inlineStr">
        <x:is>
          <x:t xml:space="preserve">汉王科技</x:t>
        </x:is>
      </x:c>
      <x:c r="D551" s="5" t="inlineStr">
        <x:is>
          <x:t xml:space="preserve">汉王科技股份有限公司</x:t>
        </x:is>
      </x:c>
      <x:c r="E551" s="4" t="inlineStr">
        <x:is>
          <x:t xml:space="preserve">北京市</x:t>
        </x:is>
      </x:c>
      <x:c r="F551" s="4" t="inlineStr">
        <x:is>
          <x:t xml:space="preserve">北京市</x:t>
        </x:is>
      </x:c>
      <x:c r="G551" s="5" t="inlineStr">
        <x:is>
          <x:t xml:space="preserve">北京市-北京市</x:t>
        </x:is>
      </x:c>
      <x:c r="H551" s="4" t="inlineStr">
        <x:is>
          <x:t xml:space="preserve">软件服务</x:t>
        </x:is>
      </x:c>
      <x:c r="I551" s="4" t="inlineStr">
        <x:is>
          <x:t xml:space="preserve">2010-03-03</x:t>
        </x:is>
      </x:c>
      <x:c r="J551" s="5" t="inlineStr">
        <x:is>
          <x:t xml:space="preserve">北京市海淀区东北旺西路8号5号楼三层</x:t>
        </x:is>
      </x:c>
      <x:c r="K551" s="12" t="str">
        <x:f>LEFT("911100006337095702",18)</x:f>
        <x:v>911100006337095700</x:v>
      </x:c>
    </x:row>
    <x:row r="552">
      <x:c r="A552" s="2" t="n">
        <x:v>551</x:v>
      </x:c>
      <x:c r="B552" s="2" t="inlineStr">
        <x:is>
          <x:t xml:space="preserve">002368</x:t>
        </x:is>
      </x:c>
      <x:c r="C552" s="3" t="inlineStr">
        <x:is>
          <x:t xml:space="preserve">太极股份</x:t>
        </x:is>
      </x:c>
      <x:c r="D552" s="3" t="inlineStr">
        <x:is>
          <x:t xml:space="preserve">太极计算机股份有限公司</x:t>
        </x:is>
      </x:c>
      <x:c r="E552" s="2" t="inlineStr">
        <x:is>
          <x:t xml:space="preserve">北京市</x:t>
        </x:is>
      </x:c>
      <x:c r="F552" s="2" t="inlineStr">
        <x:is>
          <x:t xml:space="preserve">北京市</x:t>
        </x:is>
      </x:c>
      <x:c r="G552" s="3" t="inlineStr">
        <x:is>
          <x:t xml:space="preserve">北京市-北京市</x:t>
        </x:is>
      </x:c>
      <x:c r="H552" s="2" t="inlineStr">
        <x:is>
          <x:t xml:space="preserve">互联网服务</x:t>
        </x:is>
      </x:c>
      <x:c r="I552" s="2" t="inlineStr">
        <x:is>
          <x:t xml:space="preserve">2010-03-12</x:t>
        </x:is>
      </x:c>
      <x:c r="J552" s="3" t="inlineStr">
        <x:is>
          <x:t xml:space="preserve">北京市海淀区北四环中路211号</x:t>
        </x:is>
      </x:c>
      <x:c r="K552" s="12" t="str">
        <x:f>LEFT("91110000101137049C",18)</x:f>
        <x:v>91110000101137049C</x:v>
      </x:c>
    </x:row>
    <x:row r="553">
      <x:c r="A553" s="4" t="n">
        <x:v>552</x:v>
      </x:c>
      <x:c r="B553" s="4" t="inlineStr">
        <x:is>
          <x:t xml:space="preserve">002371</x:t>
        </x:is>
      </x:c>
      <x:c r="C553" s="5" t="inlineStr">
        <x:is>
          <x:t xml:space="preserve">北方华创</x:t>
        </x:is>
      </x:c>
      <x:c r="D553" s="5" t="inlineStr">
        <x:is>
          <x:t xml:space="preserve">北方华创科技集团股份有限公司</x:t>
        </x:is>
      </x:c>
      <x:c r="E553" s="4" t="inlineStr">
        <x:is>
          <x:t xml:space="preserve">北京市</x:t>
        </x:is>
      </x:c>
      <x:c r="F553" s="4" t="inlineStr">
        <x:is>
          <x:t xml:space="preserve">北京市</x:t>
        </x:is>
      </x:c>
      <x:c r="G553" s="5" t="inlineStr">
        <x:is>
          <x:t xml:space="preserve">北京市-北京市</x:t>
        </x:is>
      </x:c>
      <x:c r="H553" s="4" t="inlineStr">
        <x:is>
          <x:t xml:space="preserve">半导体</x:t>
        </x:is>
      </x:c>
      <x:c r="I553" s="4" t="inlineStr">
        <x:is>
          <x:t xml:space="preserve">2010-03-16</x:t>
        </x:is>
      </x:c>
      <x:c r="J553" s="5" t="inlineStr">
        <x:is>
          <x:t xml:space="preserve">北京市朝阳区酒仙桥东路1号</x:t>
        </x:is>
      </x:c>
      <x:c r="K553" s="12" t="str">
        <x:f>LEFT("91110000726377528Y",18)</x:f>
        <x:v>91110000726377528Y</x:v>
      </x:c>
    </x:row>
    <x:row r="554">
      <x:c r="A554" s="2" t="n">
        <x:v>553</x:v>
      </x:c>
      <x:c r="B554" s="2" t="inlineStr">
        <x:is>
          <x:t xml:space="preserve">002373</x:t>
        </x:is>
      </x:c>
      <x:c r="C554" s="3" t="inlineStr">
        <x:is>
          <x:t xml:space="preserve">千方科技</x:t>
        </x:is>
      </x:c>
      <x:c r="D554" s="3" t="inlineStr">
        <x:is>
          <x:t xml:space="preserve">北京千方科技股份有限公司</x:t>
        </x:is>
      </x:c>
      <x:c r="E554" s="2" t="inlineStr">
        <x:is>
          <x:t xml:space="preserve">北京市</x:t>
        </x:is>
      </x:c>
      <x:c r="F554" s="2" t="inlineStr">
        <x:is>
          <x:t xml:space="preserve">北京市</x:t>
        </x:is>
      </x:c>
      <x:c r="G554" s="3" t="inlineStr">
        <x:is>
          <x:t xml:space="preserve">北京市-北京市</x:t>
        </x:is>
      </x:c>
      <x:c r="H554" s="2" t="inlineStr">
        <x:is>
          <x:t xml:space="preserve">互联网服务</x:t>
        </x:is>
      </x:c>
      <x:c r="I554" s="2" t="inlineStr">
        <x:is>
          <x:t xml:space="preserve">2010-03-18</x:t>
        </x:is>
      </x:c>
      <x:c r="J554" s="3" t="inlineStr">
        <x:is>
          <x:t xml:space="preserve">北京市海淀区东北旺西路8号中关村软件园一期27号楼B座501号</x:t>
        </x:is>
      </x:c>
      <x:c r="K554" s="12" t="str">
        <x:f>LEFT("9111000074614377XB",18)</x:f>
        <x:v>9111000074614377XB</x:v>
      </x:c>
    </x:row>
    <x:row r="555">
      <x:c r="A555" s="4" t="n">
        <x:v>554</x:v>
      </x:c>
      <x:c r="B555" s="4" t="inlineStr">
        <x:is>
          <x:t xml:space="preserve">002383</x:t>
        </x:is>
      </x:c>
      <x:c r="C555" s="5" t="inlineStr">
        <x:is>
          <x:t xml:space="preserve">合众思壮</x:t>
        </x:is>
      </x:c>
      <x:c r="D555" s="5" t="inlineStr">
        <x:is>
          <x:t xml:space="preserve">北京合众思壮科技股份有限公司</x:t>
        </x:is>
      </x:c>
      <x:c r="E555" s="4" t="inlineStr">
        <x:is>
          <x:t xml:space="preserve">北京市</x:t>
        </x:is>
      </x:c>
      <x:c r="F555" s="4" t="inlineStr">
        <x:is>
          <x:t xml:space="preserve">北京市</x:t>
        </x:is>
      </x:c>
      <x:c r="G555" s="5" t="inlineStr">
        <x:is>
          <x:t xml:space="preserve">北京市-北京市</x:t>
        </x:is>
      </x:c>
      <x:c r="H555" s="4" t="inlineStr">
        <x:is>
          <x:t xml:space="preserve">计算机设备</x:t>
        </x:is>
      </x:c>
      <x:c r="I555" s="4" t="inlineStr">
        <x:is>
          <x:t xml:space="preserve">2010-04-02</x:t>
        </x:is>
      </x:c>
      <x:c r="J555" s="5" t="inlineStr">
        <x:is>
          <x:t xml:space="preserve">北京市海淀区知春路118号知春大厦1501室</x:t>
        </x:is>
      </x:c>
      <x:c r="K555" s="12" t="str">
        <x:f>LEFT("91110000700145956E",18)</x:f>
        <x:v>91110000700145956E</x:v>
      </x:c>
    </x:row>
    <x:row r="556">
      <x:c r="A556" s="2" t="n">
        <x:v>555</x:v>
      </x:c>
      <x:c r="B556" s="2" t="inlineStr">
        <x:is>
          <x:t xml:space="preserve">002385</x:t>
        </x:is>
      </x:c>
      <x:c r="C556" s="3" t="inlineStr">
        <x:is>
          <x:t xml:space="preserve">大北农</x:t>
        </x:is>
      </x:c>
      <x:c r="D556" s="3" t="inlineStr">
        <x:is>
          <x:t xml:space="preserve">北京大北农科技集团股份有限公司</x:t>
        </x:is>
      </x:c>
      <x:c r="E556" s="2" t="inlineStr">
        <x:is>
          <x:t xml:space="preserve">北京市</x:t>
        </x:is>
      </x:c>
      <x:c r="F556" s="2" t="inlineStr">
        <x:is>
          <x:t xml:space="preserve">北京市</x:t>
        </x:is>
      </x:c>
      <x:c r="G556" s="3" t="inlineStr">
        <x:is>
          <x:t xml:space="preserve">北京市-北京市</x:t>
        </x:is>
      </x:c>
      <x:c r="H556" s="2" t="inlineStr">
        <x:is>
          <x:t xml:space="preserve">农牧饲渔</x:t>
        </x:is>
      </x:c>
      <x:c r="I556" s="2" t="inlineStr">
        <x:is>
          <x:t xml:space="preserve">2010-04-09</x:t>
        </x:is>
      </x:c>
      <x:c r="J556" s="3" t="inlineStr">
        <x:is>
          <x:t xml:space="preserve">北京市海淀区澄湾街19号院1号楼1层101</x:t>
        </x:is>
      </x:c>
      <x:c r="K556" s="12" t="str">
        <x:f>LEFT("91110000102006956C",18)</x:f>
        <x:v>91110000102006956C</x:v>
      </x:c>
    </x:row>
    <x:row r="557">
      <x:c r="A557" s="4" t="n">
        <x:v>556</x:v>
      </x:c>
      <x:c r="B557" s="4" t="inlineStr">
        <x:is>
          <x:t xml:space="preserve">002392</x:t>
        </x:is>
      </x:c>
      <x:c r="C557" s="5" t="inlineStr">
        <x:is>
          <x:t xml:space="preserve">北京利尔</x:t>
        </x:is>
      </x:c>
      <x:c r="D557" s="5" t="inlineStr">
        <x:is>
          <x:t xml:space="preserve">北京利尔高温材料股份有限公司</x:t>
        </x:is>
      </x:c>
      <x:c r="E557" s="4" t="inlineStr">
        <x:is>
          <x:t xml:space="preserve">北京市</x:t>
        </x:is>
      </x:c>
      <x:c r="F557" s="4" t="inlineStr">
        <x:is>
          <x:t xml:space="preserve">北京市</x:t>
        </x:is>
      </x:c>
      <x:c r="G557" s="5" t="inlineStr">
        <x:is>
          <x:t xml:space="preserve">北京市-北京市</x:t>
        </x:is>
      </x:c>
      <x:c r="H557" s="4" t="inlineStr">
        <x:is>
          <x:t xml:space="preserve">装修建材</x:t>
        </x:is>
      </x:c>
      <x:c r="I557" s="4" t="inlineStr">
        <x:is>
          <x:t xml:space="preserve">2010-04-23</x:t>
        </x:is>
      </x:c>
      <x:c r="J557" s="5" t="inlineStr">
        <x:is>
          <x:t xml:space="preserve">北京市昌平区小汤山镇小汤山工业园4号楼</x:t>
        </x:is>
      </x:c>
      <x:c r="K557" s="12" t="str">
        <x:f>LEFT("911100007226626717",18)</x:f>
        <x:v>911100007226626700</x:v>
      </x:c>
    </x:row>
    <x:row r="558">
      <x:c r="A558" s="2" t="n">
        <x:v>557</x:v>
      </x:c>
      <x:c r="B558" s="2" t="inlineStr">
        <x:is>
          <x:t xml:space="preserve">002405</x:t>
        </x:is>
      </x:c>
      <x:c r="C558" s="3" t="inlineStr">
        <x:is>
          <x:t xml:space="preserve">四维图新</x:t>
        </x:is>
      </x:c>
      <x:c r="D558" s="3" t="inlineStr">
        <x:is>
          <x:t xml:space="preserve">北京四维图新科技股份有限公司</x:t>
        </x:is>
      </x:c>
      <x:c r="E558" s="2" t="inlineStr">
        <x:is>
          <x:t xml:space="preserve">北京市</x:t>
        </x:is>
      </x:c>
      <x:c r="F558" s="2" t="inlineStr">
        <x:is>
          <x:t xml:space="preserve">北京市</x:t>
        </x:is>
      </x:c>
      <x:c r="G558" s="3" t="inlineStr">
        <x:is>
          <x:t xml:space="preserve">北京市-北京市</x:t>
        </x:is>
      </x:c>
      <x:c r="H558" s="2" t="inlineStr">
        <x:is>
          <x:t xml:space="preserve">软件服务</x:t>
        </x:is>
      </x:c>
      <x:c r="I558" s="2" t="inlineStr">
        <x:is>
          <x:t xml:space="preserve">2010-05-18</x:t>
        </x:is>
      </x:c>
      <x:c r="J558" s="3" t="inlineStr">
        <x:is>
          <x:t xml:space="preserve">北京市北京经济技术开发区科谷一街10号院6号楼6层606室</x:t>
        </x:is>
      </x:c>
      <x:c r="K558" s="12" t="str">
        <x:f>LEFT("91110000745467123H",18)</x:f>
        <x:v>91110000745467123H</x:v>
      </x:c>
    </x:row>
    <x:row r="559">
      <x:c r="A559" s="4" t="n">
        <x:v>558</x:v>
      </x:c>
      <x:c r="B559" s="4" t="inlineStr">
        <x:is>
          <x:t xml:space="preserve">002410</x:t>
        </x:is>
      </x:c>
      <x:c r="C559" s="5" t="inlineStr">
        <x:is>
          <x:t xml:space="preserve">广联达</x:t>
        </x:is>
      </x:c>
      <x:c r="D559" s="5" t="inlineStr">
        <x:is>
          <x:t xml:space="preserve">广联达科技股份有限公司</x:t>
        </x:is>
      </x:c>
      <x:c r="E559" s="4" t="inlineStr">
        <x:is>
          <x:t xml:space="preserve">北京市</x:t>
        </x:is>
      </x:c>
      <x:c r="F559" s="4" t="inlineStr">
        <x:is>
          <x:t xml:space="preserve">北京市</x:t>
        </x:is>
      </x:c>
      <x:c r="G559" s="5" t="inlineStr">
        <x:is>
          <x:t xml:space="preserve">北京市-北京市</x:t>
        </x:is>
      </x:c>
      <x:c r="H559" s="4" t="inlineStr">
        <x:is>
          <x:t xml:space="preserve">软件服务</x:t>
        </x:is>
      </x:c>
      <x:c r="I559" s="4" t="inlineStr">
        <x:is>
          <x:t xml:space="preserve">2010-05-25</x:t>
        </x:is>
      </x:c>
      <x:c r="J559" s="5" t="inlineStr">
        <x:is>
          <x:t xml:space="preserve">北京市海淀区西北旺东路10号院东区13号楼</x:t>
        </x:is>
      </x:c>
      <x:c r="K559" s="12" t="str">
        <x:f>LEFT("91110000700049024C",18)</x:f>
        <x:v>91110000700049024C</x:v>
      </x:c>
    </x:row>
    <x:row r="560">
      <x:c r="A560" s="2" t="n">
        <x:v>559</x:v>
      </x:c>
      <x:c r="B560" s="2" t="inlineStr">
        <x:is>
          <x:t xml:space="preserve">002413</x:t>
        </x:is>
      </x:c>
      <x:c r="C560" s="3" t="inlineStr">
        <x:is>
          <x:t xml:space="preserve">雷科防务</x:t>
        </x:is>
      </x:c>
      <x:c r="D560" s="3" t="inlineStr">
        <x:is>
          <x:t xml:space="preserve">北京雷科防务科技股份有限公司</x:t>
        </x:is>
      </x:c>
      <x:c r="E560" s="2" t="inlineStr">
        <x:is>
          <x:t xml:space="preserve">北京市</x:t>
        </x:is>
      </x:c>
      <x:c r="F560" s="2" t="inlineStr">
        <x:is>
          <x:t xml:space="preserve">北京市</x:t>
        </x:is>
      </x:c>
      <x:c r="G560" s="3" t="inlineStr">
        <x:is>
          <x:t xml:space="preserve">北京市-北京市</x:t>
        </x:is>
      </x:c>
      <x:c r="H560" s="2" t="inlineStr">
        <x:is>
          <x:t xml:space="preserve">通信设备</x:t>
        </x:is>
      </x:c>
      <x:c r="I560" s="2" t="inlineStr">
        <x:is>
          <x:t xml:space="preserve">2010-05-28</x:t>
        </x:is>
      </x:c>
      <x:c r="J560" s="3" t="inlineStr">
        <x:is>
          <x:t xml:space="preserve">北京市海淀区西三环北路甲2号院5号楼6层19室</x:t>
        </x:is>
      </x:c>
      <x:c r="K560" s="12" t="str">
        <x:f>LEFT("91320400745550891Q",18)</x:f>
        <x:v>91320400745550891Q</x:v>
      </x:c>
    </x:row>
    <x:row r="561">
      <x:c r="A561" s="4" t="n">
        <x:v>560</x:v>
      </x:c>
      <x:c r="B561" s="4" t="inlineStr">
        <x:is>
          <x:t xml:space="preserve">002439</x:t>
        </x:is>
      </x:c>
      <x:c r="C561" s="5" t="inlineStr">
        <x:is>
          <x:t xml:space="preserve">启明星辰</x:t>
        </x:is>
      </x:c>
      <x:c r="D561" s="5" t="inlineStr">
        <x:is>
          <x:t xml:space="preserve">启明星辰信息技术集团股份有限公司</x:t>
        </x:is>
      </x:c>
      <x:c r="E561" s="4" t="inlineStr">
        <x:is>
          <x:t xml:space="preserve">北京市</x:t>
        </x:is>
      </x:c>
      <x:c r="F561" s="4" t="inlineStr">
        <x:is>
          <x:t xml:space="preserve">北京市</x:t>
        </x:is>
      </x:c>
      <x:c r="G561" s="5" t="inlineStr">
        <x:is>
          <x:t xml:space="preserve">北京市-北京市</x:t>
        </x:is>
      </x:c>
      <x:c r="H561" s="4" t="inlineStr">
        <x:is>
          <x:t xml:space="preserve">软件服务</x:t>
        </x:is>
      </x:c>
      <x:c r="I561" s="4" t="inlineStr">
        <x:is>
          <x:t xml:space="preserve">2010-06-23</x:t>
        </x:is>
      </x:c>
      <x:c r="J561" s="5" t="inlineStr">
        <x:is>
          <x:t xml:space="preserve">北京市海淀区东北旺西路8号中关村软件园21号楼启明星辰大厦一层</x:t>
        </x:is>
      </x:c>
      <x:c r="K561" s="12" t="str">
        <x:f>LEFT("911100006004827014",18)</x:f>
        <x:v>911100006004827000</x:v>
      </x:c>
    </x:row>
    <x:row r="562">
      <x:c r="A562" s="2" t="n">
        <x:v>561</x:v>
      </x:c>
      <x:c r="B562" s="2" t="inlineStr">
        <x:is>
          <x:t xml:space="preserve">002453</x:t>
        </x:is>
      </x:c>
      <x:c r="C562" s="3" t="inlineStr">
        <x:is>
          <x:t xml:space="preserve">华软科技</x:t>
        </x:is>
      </x:c>
      <x:c r="D562" s="3" t="inlineStr">
        <x:is>
          <x:t xml:space="preserve">金陵华软科技股份有限公司</x:t>
        </x:is>
      </x:c>
      <x:c r="E562" s="2" t="inlineStr">
        <x:is>
          <x:t xml:space="preserve">北京市</x:t>
        </x:is>
      </x:c>
      <x:c r="F562" s="2" t="inlineStr">
        <x:is>
          <x:t xml:space="preserve">北京市</x:t>
        </x:is>
      </x:c>
      <x:c r="G562" s="3" t="inlineStr">
        <x:is>
          <x:t xml:space="preserve">北京市-北京市</x:t>
        </x:is>
      </x:c>
      <x:c r="H562" s="2" t="inlineStr">
        <x:is>
          <x:t xml:space="preserve">化学制品</x:t>
        </x:is>
      </x:c>
      <x:c r="I562" s="2" t="inlineStr">
        <x:is>
          <x:t xml:space="preserve">2010-07-20</x:t>
        </x:is>
      </x:c>
      <x:c r="J562" s="3" t="inlineStr">
        <x:is>
          <x:t xml:space="preserve">北京市海淀区东升科技园北街2号院1号楼7层101</x:t>
        </x:is>
      </x:c>
      <x:c r="K562" s="12" t="str">
        <x:f>LEFT("913205007132312124",18)</x:f>
        <x:v>913205007132312000</x:v>
      </x:c>
    </x:row>
    <x:row r="563">
      <x:c r="A563" s="4" t="n">
        <x:v>562</x:v>
      </x:c>
      <x:c r="B563" s="4" t="inlineStr">
        <x:is>
          <x:t xml:space="preserve">002462</x:t>
        </x:is>
      </x:c>
      <x:c r="C563" s="5" t="inlineStr">
        <x:is>
          <x:t xml:space="preserve">嘉事堂</x:t>
        </x:is>
      </x:c>
      <x:c r="D563" s="5" t="inlineStr">
        <x:is>
          <x:t xml:space="preserve">嘉事堂药业股份有限公司</x:t>
        </x:is>
      </x:c>
      <x:c r="E563" s="4" t="inlineStr">
        <x:is>
          <x:t xml:space="preserve">北京市</x:t>
        </x:is>
      </x:c>
      <x:c r="F563" s="4" t="inlineStr">
        <x:is>
          <x:t xml:space="preserve">北京市</x:t>
        </x:is>
      </x:c>
      <x:c r="G563" s="5" t="inlineStr">
        <x:is>
          <x:t xml:space="preserve">北京市-北京市</x:t>
        </x:is>
      </x:c>
      <x:c r="H563" s="4" t="inlineStr">
        <x:is>
          <x:t xml:space="preserve">医药商业</x:t>
        </x:is>
      </x:c>
      <x:c r="I563" s="4" t="inlineStr">
        <x:is>
          <x:t xml:space="preserve">2010-08-18</x:t>
        </x:is>
      </x:c>
      <x:c r="J563" s="5" t="inlineStr">
        <x:is>
          <x:t xml:space="preserve">北京市海淀区昆明湖南路11号1号楼</x:t>
        </x:is>
      </x:c>
      <x:c r="K563" s="12" t="str">
        <x:f>LEFT("911100006337942853",18)</x:f>
        <x:v>911100006337942900</x:v>
      </x:c>
    </x:row>
    <x:row r="564">
      <x:c r="A564" s="2" t="n">
        <x:v>563</x:v>
      </x:c>
      <x:c r="B564" s="2" t="inlineStr">
        <x:is>
          <x:t xml:space="preserve">002467</x:t>
        </x:is>
      </x:c>
      <x:c r="C564" s="3" t="inlineStr">
        <x:is>
          <x:t xml:space="preserve">二六三</x:t>
        </x:is>
      </x:c>
      <x:c r="D564" s="3" t="inlineStr">
        <x:is>
          <x:t xml:space="preserve">二六三网络通信股份有限公司</x:t>
        </x:is>
      </x:c>
      <x:c r="E564" s="2" t="inlineStr">
        <x:is>
          <x:t xml:space="preserve">北京市</x:t>
        </x:is>
      </x:c>
      <x:c r="F564" s="2" t="inlineStr">
        <x:is>
          <x:t xml:space="preserve">北京市</x:t>
        </x:is>
      </x:c>
      <x:c r="G564" s="3" t="inlineStr">
        <x:is>
          <x:t xml:space="preserve">北京市-北京市</x:t>
        </x:is>
      </x:c>
      <x:c r="H564" s="2" t="inlineStr">
        <x:is>
          <x:t xml:space="preserve">电信运营</x:t>
        </x:is>
      </x:c>
      <x:c r="I564" s="2" t="inlineStr">
        <x:is>
          <x:t xml:space="preserve">2010-09-08</x:t>
        </x:is>
      </x:c>
      <x:c r="J564" s="3" t="inlineStr">
        <x:is>
          <x:t xml:space="preserve">北京市昌平区城区镇超前路13号</x:t>
        </x:is>
      </x:c>
      <x:c r="K564" s="12" t="str">
        <x:f>LEFT("91110000700347267E",18)</x:f>
        <x:v>91110000700347267E</x:v>
      </x:c>
    </x:row>
    <x:row r="565">
      <x:c r="A565" s="4" t="n">
        <x:v>564</x:v>
      </x:c>
      <x:c r="B565" s="4" t="inlineStr">
        <x:is>
          <x:t xml:space="preserve">002542</x:t>
        </x:is>
      </x:c>
      <x:c r="C565" s="5" t="inlineStr">
        <x:is>
          <x:t xml:space="preserve">中化岩土</x:t>
        </x:is>
      </x:c>
      <x:c r="D565" s="5" t="inlineStr">
        <x:is>
          <x:t xml:space="preserve">中化岩土集团股份有限公司</x:t>
        </x:is>
      </x:c>
      <x:c r="E565" s="4" t="inlineStr">
        <x:is>
          <x:t xml:space="preserve">北京市</x:t>
        </x:is>
      </x:c>
      <x:c r="F565" s="4" t="inlineStr">
        <x:is>
          <x:t xml:space="preserve">北京市</x:t>
        </x:is>
      </x:c>
      <x:c r="G565" s="5" t="inlineStr">
        <x:is>
          <x:t xml:space="preserve">北京市-北京市</x:t>
        </x:is>
      </x:c>
      <x:c r="H565" s="4" t="inlineStr">
        <x:is>
          <x:t xml:space="preserve">工程建设</x:t>
        </x:is>
      </x:c>
      <x:c r="I565" s="4" t="inlineStr">
        <x:is>
          <x:t xml:space="preserve">2011-01-28</x:t>
        </x:is>
      </x:c>
      <x:c r="J565" s="5" t="inlineStr">
        <x:is>
          <x:t xml:space="preserve">北京市大兴区科苑路13号院1号楼</x:t>
        </x:is>
      </x:c>
      <x:c r="K565" s="12" t="str">
        <x:f>LEFT("91110000710929148A",18)</x:f>
        <x:v>91110000710929148A</x:v>
      </x:c>
    </x:row>
    <x:row r="566">
      <x:c r="A566" s="2" t="n">
        <x:v>565</x:v>
      </x:c>
      <x:c r="B566" s="2" t="inlineStr">
        <x:is>
          <x:t xml:space="preserve">002573</x:t>
        </x:is>
      </x:c>
      <x:c r="C566" s="3" t="inlineStr">
        <x:is>
          <x:t xml:space="preserve">清新环境</x:t>
        </x:is>
      </x:c>
      <x:c r="D566" s="3" t="inlineStr">
        <x:is>
          <x:t xml:space="preserve">北京清新环境技术股份有限公司</x:t>
        </x:is>
      </x:c>
      <x:c r="E566" s="2" t="inlineStr">
        <x:is>
          <x:t xml:space="preserve">北京市</x:t>
        </x:is>
      </x:c>
      <x:c r="F566" s="2" t="inlineStr">
        <x:is>
          <x:t xml:space="preserve">北京市</x:t>
        </x:is>
      </x:c>
      <x:c r="G566" s="3" t="inlineStr">
        <x:is>
          <x:t xml:space="preserve">北京市-北京市</x:t>
        </x:is>
      </x:c>
      <x:c r="H566" s="2" t="inlineStr">
        <x:is>
          <x:t xml:space="preserve">环保工程</x:t>
        </x:is>
      </x:c>
      <x:c r="I566" s="2" t="inlineStr">
        <x:is>
          <x:t xml:space="preserve">2011-04-22</x:t>
        </x:is>
      </x:c>
      <x:c r="J566" s="3" t="inlineStr">
        <x:is>
          <x:t xml:space="preserve">北京市海淀区西八里庄路69号11层11层</x:t>
        </x:is>
      </x:c>
      <x:c r="K566" s="12" t="str">
        <x:f>LEFT("91110000X003879117",18)</x:f>
        <x:v>91110000X003879117</x:v>
      </x:c>
    </x:row>
    <x:row r="567">
      <x:c r="A567" s="4" t="n">
        <x:v>566</x:v>
      </x:c>
      <x:c r="B567" s="4" t="inlineStr">
        <x:is>
          <x:t xml:space="preserve">002599</x:t>
        </x:is>
      </x:c>
      <x:c r="C567" s="5" t="inlineStr">
        <x:is>
          <x:t xml:space="preserve">盛通股份</x:t>
        </x:is>
      </x:c>
      <x:c r="D567" s="5" t="inlineStr">
        <x:is>
          <x:t xml:space="preserve">北京盛通印刷股份有限公司</x:t>
        </x:is>
      </x:c>
      <x:c r="E567" s="4" t="inlineStr">
        <x:is>
          <x:t xml:space="preserve">北京市</x:t>
        </x:is>
      </x:c>
      <x:c r="F567" s="4" t="inlineStr">
        <x:is>
          <x:t xml:space="preserve">北京市</x:t>
        </x:is>
      </x:c>
      <x:c r="G567" s="5" t="inlineStr">
        <x:is>
          <x:t xml:space="preserve">北京市-北京市</x:t>
        </x:is>
      </x:c>
      <x:c r="H567" s="4" t="inlineStr">
        <x:is>
          <x:t xml:space="preserve">包装材料</x:t>
        </x:is>
      </x:c>
      <x:c r="I567" s="4" t="inlineStr">
        <x:is>
          <x:t xml:space="preserve">2011-07-15</x:t>
        </x:is>
      </x:c>
      <x:c r="J567" s="5" t="inlineStr">
        <x:is>
          <x:t xml:space="preserve">北京市北京经济技术开发区经海三路18号</x:t>
        </x:is>
      </x:c>
      <x:c r="K567" s="12" t="str">
        <x:f>LEFT("91110000802209498L",18)</x:f>
        <x:v>91110000802209498L</x:v>
      </x:c>
    </x:row>
    <x:row r="568">
      <x:c r="A568" s="2" t="n">
        <x:v>567</x:v>
      </x:c>
      <x:c r="B568" s="2" t="inlineStr">
        <x:is>
          <x:t xml:space="preserve">002612</x:t>
        </x:is>
      </x:c>
      <x:c r="C568" s="3" t="inlineStr">
        <x:is>
          <x:t xml:space="preserve">朗姿股份</x:t>
        </x:is>
      </x:c>
      <x:c r="D568" s="3" t="inlineStr">
        <x:is>
          <x:t xml:space="preserve">朗姿股份有限公司</x:t>
        </x:is>
      </x:c>
      <x:c r="E568" s="2" t="inlineStr">
        <x:is>
          <x:t xml:space="preserve">北京市</x:t>
        </x:is>
      </x:c>
      <x:c r="F568" s="2" t="inlineStr">
        <x:is>
          <x:t xml:space="preserve">北京市</x:t>
        </x:is>
      </x:c>
      <x:c r="G568" s="3" t="inlineStr">
        <x:is>
          <x:t xml:space="preserve">北京市-北京市</x:t>
        </x:is>
      </x:c>
      <x:c r="H568" s="2" t="inlineStr">
        <x:is>
          <x:t xml:space="preserve">纺织服装</x:t>
        </x:is>
      </x:c>
      <x:c r="I568" s="2" t="inlineStr">
        <x:is>
          <x:t xml:space="preserve">2011-08-30</x:t>
        </x:is>
      </x:c>
      <x:c r="J568" s="3" t="inlineStr">
        <x:is>
          <x:t xml:space="preserve">北京市顺义区马坡镇白马路63号</x:t>
        </x:is>
      </x:c>
      <x:c r="K568" s="12" t="str">
        <x:f>LEFT("9111000079598548XH",18)</x:f>
        <x:v>9111000079598548XH</x:v>
      </x:c>
    </x:row>
    <x:row r="569">
      <x:c r="A569" s="4" t="n">
        <x:v>568</x:v>
      </x:c>
      <x:c r="B569" s="4" t="inlineStr">
        <x:is>
          <x:t xml:space="preserve">002642</x:t>
        </x:is>
      </x:c>
      <x:c r="C569" s="5" t="inlineStr">
        <x:is>
          <x:t xml:space="preserve">荣联科技</x:t>
        </x:is>
      </x:c>
      <x:c r="D569" s="5" t="inlineStr">
        <x:is>
          <x:t xml:space="preserve">荣联科技集团股份有限公司</x:t>
        </x:is>
      </x:c>
      <x:c r="E569" s="4" t="inlineStr">
        <x:is>
          <x:t xml:space="preserve">北京市</x:t>
        </x:is>
      </x:c>
      <x:c r="F569" s="4" t="inlineStr">
        <x:is>
          <x:t xml:space="preserve">北京市</x:t>
        </x:is>
      </x:c>
      <x:c r="G569" s="5" t="inlineStr">
        <x:is>
          <x:t xml:space="preserve">北京市-北京市</x:t>
        </x:is>
      </x:c>
      <x:c r="H569" s="4" t="inlineStr">
        <x:is>
          <x:t xml:space="preserve">互联网服务</x:t>
        </x:is>
      </x:c>
      <x:c r="I569" s="4" t="inlineStr">
        <x:is>
          <x:t xml:space="preserve">2011-12-20</x:t>
        </x:is>
      </x:c>
      <x:c r="J569" s="5" t="inlineStr">
        <x:is>
          <x:t xml:space="preserve">北京市海淀区北四环西路56号10层1002-1</x:t>
        </x:is>
      </x:c>
      <x:c r="K569" s="12" t="str">
        <x:f>LEFT("91110000802062406U",18)</x:f>
        <x:v>91110000802062406U</x:v>
      </x:c>
    </x:row>
    <x:row r="570">
      <x:c r="A570" s="2" t="n">
        <x:v>569</x:v>
      </x:c>
      <x:c r="B570" s="2" t="inlineStr">
        <x:is>
          <x:t xml:space="preserve">002649</x:t>
        </x:is>
      </x:c>
      <x:c r="C570" s="3" t="inlineStr">
        <x:is>
          <x:t xml:space="preserve">博彦科技</x:t>
        </x:is>
      </x:c>
      <x:c r="D570" s="3" t="inlineStr">
        <x:is>
          <x:t xml:space="preserve">博彦科技股份有限公司</x:t>
        </x:is>
      </x:c>
      <x:c r="E570" s="2" t="inlineStr">
        <x:is>
          <x:t xml:space="preserve">北京市</x:t>
        </x:is>
      </x:c>
      <x:c r="F570" s="2" t="inlineStr">
        <x:is>
          <x:t xml:space="preserve">北京市</x:t>
        </x:is>
      </x:c>
      <x:c r="G570" s="3" t="inlineStr">
        <x:is>
          <x:t xml:space="preserve">北京市-北京市</x:t>
        </x:is>
      </x:c>
      <x:c r="H570" s="2" t="inlineStr">
        <x:is>
          <x:t xml:space="preserve">互联网服务</x:t>
        </x:is>
      </x:c>
      <x:c r="I570" s="2" t="inlineStr">
        <x:is>
          <x:t xml:space="preserve">2012-01-06</x:t>
        </x:is>
      </x:c>
      <x:c r="J570" s="3" t="inlineStr">
        <x:is>
          <x:t xml:space="preserve">北京市海淀区西北旺东路10号院东区7号楼博彦科技大厦</x:t>
        </x:is>
      </x:c>
      <x:c r="K570" s="12" t="str">
        <x:f>LEFT("911100001021132178",18)</x:f>
        <x:v>911100001021132200</x:v>
      </x:c>
    </x:row>
    <x:row r="571">
      <x:c r="A571" s="4" t="n">
        <x:v>570</x:v>
      </x:c>
      <x:c r="B571" s="4" t="inlineStr">
        <x:is>
          <x:t xml:space="preserve">002657</x:t>
        </x:is>
      </x:c>
      <x:c r="C571" s="5" t="inlineStr">
        <x:is>
          <x:t xml:space="preserve">中科金财</x:t>
        </x:is>
      </x:c>
      <x:c r="D571" s="5" t="inlineStr">
        <x:is>
          <x:t xml:space="preserve">北京中科金财科技股份有限公司</x:t>
        </x:is>
      </x:c>
      <x:c r="E571" s="4" t="inlineStr">
        <x:is>
          <x:t xml:space="preserve">北京市</x:t>
        </x:is>
      </x:c>
      <x:c r="F571" s="4" t="inlineStr">
        <x:is>
          <x:t xml:space="preserve">北京市</x:t>
        </x:is>
      </x:c>
      <x:c r="G571" s="5" t="inlineStr">
        <x:is>
          <x:t xml:space="preserve">北京市-北京市</x:t>
        </x:is>
      </x:c>
      <x:c r="H571" s="4" t="inlineStr">
        <x:is>
          <x:t xml:space="preserve">互联网服务</x:t>
        </x:is>
      </x:c>
      <x:c r="I571" s="4" t="inlineStr">
        <x:is>
          <x:t xml:space="preserve">2012-02-28</x:t>
        </x:is>
      </x:c>
      <x:c r="J571" s="5" t="inlineStr">
        <x:is>
          <x:t xml:space="preserve">北京市海淀区学清路9号汇智大厦11层2单元1201B室</x:t>
        </x:is>
      </x:c>
      <x:c r="K571" s="12" t="str">
        <x:f>LEFT("91110000757740123M",18)</x:f>
        <x:v>91110000757740123M</x:v>
      </x:c>
    </x:row>
    <x:row r="572">
      <x:c r="A572" s="2" t="n">
        <x:v>571</x:v>
      </x:c>
      <x:c r="B572" s="2" t="inlineStr">
        <x:is>
          <x:t xml:space="preserve">002658</x:t>
        </x:is>
      </x:c>
      <x:c r="C572" s="3" t="inlineStr">
        <x:is>
          <x:t xml:space="preserve">雪迪龙</x:t>
        </x:is>
      </x:c>
      <x:c r="D572" s="3" t="inlineStr">
        <x:is>
          <x:t xml:space="preserve">北京雪迪龙科技股份有限公司</x:t>
        </x:is>
      </x:c>
      <x:c r="E572" s="2" t="inlineStr">
        <x:is>
          <x:t xml:space="preserve">北京市</x:t>
        </x:is>
      </x:c>
      <x:c r="F572" s="2" t="inlineStr">
        <x:is>
          <x:t xml:space="preserve">北京市</x:t>
        </x:is>
      </x:c>
      <x:c r="G572" s="3" t="inlineStr">
        <x:is>
          <x:t xml:space="preserve">北京市-北京市</x:t>
        </x:is>
      </x:c>
      <x:c r="H572" s="2" t="inlineStr">
        <x:is>
          <x:t xml:space="preserve">仪器仪表</x:t>
        </x:is>
      </x:c>
      <x:c r="I572" s="2" t="inlineStr">
        <x:is>
          <x:t xml:space="preserve">2012-03-09</x:t>
        </x:is>
      </x:c>
      <x:c r="J572" s="3" t="inlineStr">
        <x:is>
          <x:t xml:space="preserve">北京市昌平区高新三街3号</x:t>
        </x:is>
      </x:c>
      <x:c r="K572" s="12" t="str">
        <x:f>LEFT("91110000802661150M",18)</x:f>
        <x:v>91110000802661150M</x:v>
      </x:c>
    </x:row>
    <x:row r="573">
      <x:c r="A573" s="4" t="n">
        <x:v>572</x:v>
      </x:c>
      <x:c r="B573" s="4" t="inlineStr">
        <x:is>
          <x:t xml:space="preserve">002659</x:t>
        </x:is>
      </x:c>
      <x:c r="C573" s="5" t="inlineStr">
        <x:is>
          <x:t xml:space="preserve">凯文教育</x:t>
        </x:is>
      </x:c>
      <x:c r="D573" s="5" t="inlineStr">
        <x:is>
          <x:t xml:space="preserve">北京凯文德信教育科技股份有限公司</x:t>
        </x:is>
      </x:c>
      <x:c r="E573" s="4" t="inlineStr">
        <x:is>
          <x:t xml:space="preserve">北京市</x:t>
        </x:is>
      </x:c>
      <x:c r="F573" s="4" t="inlineStr">
        <x:is>
          <x:t xml:space="preserve">北京市</x:t>
        </x:is>
      </x:c>
      <x:c r="G573" s="5" t="inlineStr">
        <x:is>
          <x:t xml:space="preserve">北京市-北京市</x:t>
        </x:is>
      </x:c>
      <x:c r="H573" s="4" t="inlineStr">
        <x:is>
          <x:t xml:space="preserve">文教休闲</x:t>
        </x:is>
      </x:c>
      <x:c r="I573" s="4" t="inlineStr">
        <x:is>
          <x:t xml:space="preserve">2012-03-09</x:t>
        </x:is>
      </x:c>
      <x:c r="J573" s="5" t="inlineStr">
        <x:is>
          <x:t xml:space="preserve">北京市海淀区西三环北路甲2号院5号楼15层01室</x:t>
        </x:is>
      </x:c>
      <x:c r="K573" s="12" t="str">
        <x:f>LEFT("913200007140853767",18)</x:f>
        <x:v>913200007140853800</x:v>
      </x:c>
    </x:row>
    <x:row r="574">
      <x:c r="A574" s="2" t="n">
        <x:v>573</x:v>
      </x:c>
      <x:c r="B574" s="2" t="inlineStr">
        <x:is>
          <x:t xml:space="preserve">002662</x:t>
        </x:is>
      </x:c>
      <x:c r="C574" s="3" t="inlineStr">
        <x:is>
          <x:t xml:space="preserve">峰璟股份</x:t>
        </x:is>
      </x:c>
      <x:c r="D574" s="3" t="inlineStr">
        <x:is>
          <x:t xml:space="preserve">北京峰璟汽车零部件股份有限公司</x:t>
        </x:is>
      </x:c>
      <x:c r="E574" s="2" t="inlineStr">
        <x:is>
          <x:t xml:space="preserve">北京市</x:t>
        </x:is>
      </x:c>
      <x:c r="F574" s="2" t="inlineStr">
        <x:is>
          <x:t xml:space="preserve">北京市</x:t>
        </x:is>
      </x:c>
      <x:c r="G574" s="3" t="inlineStr">
        <x:is>
          <x:t xml:space="preserve">北京市-北京市</x:t>
        </x:is>
      </x:c>
      <x:c r="H574" s="2" t="inlineStr">
        <x:is>
          <x:t xml:space="preserve">汽车行业</x:t>
        </x:is>
      </x:c>
      <x:c r="I574" s="2" t="inlineStr">
        <x:is>
          <x:t xml:space="preserve">2012-03-09</x:t>
        </x:is>
      </x:c>
      <x:c r="J574" s="3" t="inlineStr">
        <x:is>
          <x:t xml:space="preserve">北京市通州区外郎营村北2号院35号楼4层101</x:t>
        </x:is>
      </x:c>
      <x:c r="K574" s="12" t="str">
        <x:f>LEFT("91110000738241249C",18)</x:f>
        <x:v>91110000738241249C</x:v>
      </x:c>
    </x:row>
    <x:row r="575">
      <x:c r="A575" s="4" t="n">
        <x:v>574</x:v>
      </x:c>
      <x:c r="B575" s="4" t="inlineStr">
        <x:is>
          <x:t xml:space="preserve">002701</x:t>
        </x:is>
      </x:c>
      <x:c r="C575" s="5" t="inlineStr">
        <x:is>
          <x:t xml:space="preserve">奥瑞金</x:t>
        </x:is>
      </x:c>
      <x:c r="D575" s="5" t="inlineStr">
        <x:is>
          <x:t xml:space="preserve">奥瑞金科技股份有限公司</x:t>
        </x:is>
      </x:c>
      <x:c r="E575" s="4" t="inlineStr">
        <x:is>
          <x:t xml:space="preserve">北京市</x:t>
        </x:is>
      </x:c>
      <x:c r="F575" s="4" t="inlineStr">
        <x:is>
          <x:t xml:space="preserve">北京市</x:t>
        </x:is>
      </x:c>
      <x:c r="G575" s="5" t="inlineStr">
        <x:is>
          <x:t xml:space="preserve">北京市-北京市</x:t>
        </x:is>
      </x:c>
      <x:c r="H575" s="4" t="inlineStr">
        <x:is>
          <x:t xml:space="preserve">包装材料</x:t>
        </x:is>
      </x:c>
      <x:c r="I575" s="4" t="inlineStr">
        <x:is>
          <x:t xml:space="preserve">2012-10-11</x:t>
        </x:is>
      </x:c>
      <x:c r="J575" s="5" t="inlineStr">
        <x:is>
          <x:t xml:space="preserve">北京市怀柔区雁栖经济开发区雁栖大街11号</x:t>
        </x:is>
      </x:c>
      <x:c r="K575" s="12" t="str">
        <x:f>LEFT("91110000600063689W",18)</x:f>
        <x:v>91110000600063689W</x:v>
      </x:c>
    </x:row>
    <x:row r="576">
      <x:c r="A576" s="2" t="n">
        <x:v>575</x:v>
      </x:c>
      <x:c r="B576" s="2" t="inlineStr">
        <x:is>
          <x:t xml:space="preserve">002707</x:t>
        </x:is>
      </x:c>
      <x:c r="C576" s="3" t="inlineStr">
        <x:is>
          <x:t xml:space="preserve">众信旅游</x:t>
        </x:is>
      </x:c>
      <x:c r="D576" s="3" t="inlineStr">
        <x:is>
          <x:t xml:space="preserve">众信旅游集团股份有限公司</x:t>
        </x:is>
      </x:c>
      <x:c r="E576" s="2" t="inlineStr">
        <x:is>
          <x:t xml:space="preserve">北京市</x:t>
        </x:is>
      </x:c>
      <x:c r="F576" s="2" t="inlineStr">
        <x:is>
          <x:t xml:space="preserve">北京市</x:t>
        </x:is>
      </x:c>
      <x:c r="G576" s="3" t="inlineStr">
        <x:is>
          <x:t xml:space="preserve">北京市-北京市</x:t>
        </x:is>
      </x:c>
      <x:c r="H576" s="2" t="inlineStr">
        <x:is>
          <x:t xml:space="preserve">旅游酒店</x:t>
        </x:is>
      </x:c>
      <x:c r="I576" s="2" t="inlineStr">
        <x:is>
          <x:t xml:space="preserve">2014-01-23</x:t>
        </x:is>
      </x:c>
      <x:c r="J576" s="3" t="inlineStr">
        <x:is>
          <x:t xml:space="preserve">北京市朝阳区朝阳公园路8号西2门01号</x:t>
        </x:is>
      </x:c>
      <x:c r="K576" s="12" t="str">
        <x:f>LEFT("91110000101126585H",18)</x:f>
        <x:v>91110000101126585H</x:v>
      </x:c>
    </x:row>
    <x:row r="577">
      <x:c r="A577" s="4" t="n">
        <x:v>576</x:v>
      </x:c>
      <x:c r="B577" s="4" t="inlineStr">
        <x:is>
          <x:t xml:space="preserve">002713</x:t>
        </x:is>
      </x:c>
      <x:c r="C577" s="5" t="inlineStr">
        <x:is>
          <x:t xml:space="preserve">*ST东易</x:t>
        </x:is>
      </x:c>
      <x:c r="D577" s="5" t="inlineStr">
        <x:is>
          <x:t xml:space="preserve">东易日盛家居装饰集团股份有限公司</x:t>
        </x:is>
      </x:c>
      <x:c r="E577" s="4" t="inlineStr">
        <x:is>
          <x:t xml:space="preserve">北京市</x:t>
        </x:is>
      </x:c>
      <x:c r="F577" s="4" t="inlineStr">
        <x:is>
          <x:t xml:space="preserve">北京市</x:t>
        </x:is>
      </x:c>
      <x:c r="G577" s="5" t="inlineStr">
        <x:is>
          <x:t xml:space="preserve">北京市-北京市</x:t>
        </x:is>
      </x:c>
      <x:c r="H577" s="4" t="inlineStr">
        <x:is>
          <x:t xml:space="preserve">装修装饰</x:t>
        </x:is>
      </x:c>
      <x:c r="I577" s="4" t="inlineStr">
        <x:is>
          <x:t xml:space="preserve">2014-02-19</x:t>
        </x:is>
      </x:c>
      <x:c r="J577" s="5" t="inlineStr">
        <x:is>
          <x:t xml:space="preserve">北京市房山区西潞街道长虹西路73号1幢2层215号</x:t>
        </x:is>
      </x:c>
      <x:c r="K577" s="12" t="str">
        <x:f>LEFT("911100006330023135",18)</x:f>
        <x:v>911100006330023200</x:v>
      </x:c>
    </x:row>
    <x:row r="578">
      <x:c r="A578" s="2" t="n">
        <x:v>577</x:v>
      </x:c>
      <x:c r="B578" s="2" t="inlineStr">
        <x:is>
          <x:t xml:space="preserve">002721</x:t>
        </x:is>
      </x:c>
      <x:c r="C578" s="3" t="inlineStr">
        <x:is>
          <x:t xml:space="preserve">金一文化</x:t>
        </x:is>
      </x:c>
      <x:c r="D578" s="3" t="inlineStr">
        <x:is>
          <x:t xml:space="preserve">北京金一文化发展股份有限公司</x:t>
        </x:is>
      </x:c>
      <x:c r="E578" s="2" t="inlineStr">
        <x:is>
          <x:t xml:space="preserve">北京市</x:t>
        </x:is>
      </x:c>
      <x:c r="F578" s="2" t="inlineStr">
        <x:is>
          <x:t xml:space="preserve">北京市</x:t>
        </x:is>
      </x:c>
      <x:c r="G578" s="3" t="inlineStr">
        <x:is>
          <x:t xml:space="preserve">北京市-北京市</x:t>
        </x:is>
      </x:c>
      <x:c r="H578" s="2" t="inlineStr">
        <x:is>
          <x:t xml:space="preserve">珠宝首饰</x:t>
        </x:is>
      </x:c>
      <x:c r="I578" s="2" t="inlineStr">
        <x:is>
          <x:t xml:space="preserve">2014-01-27</x:t>
        </x:is>
      </x:c>
      <x:c r="J578" s="3" t="inlineStr">
        <x:is>
          <x:t xml:space="preserve">北京市海淀区西四环北路131号院1号楼2层235号</x:t>
        </x:is>
      </x:c>
      <x:c r="K578" s="12" t="str">
        <x:f>LEFT("91110000669102172T",18)</x:f>
        <x:v>91110000669102172T</x:v>
      </x:c>
    </x:row>
    <x:row r="579">
      <x:c r="A579" s="4" t="n">
        <x:v>578</x:v>
      </x:c>
      <x:c r="B579" s="4" t="inlineStr">
        <x:is>
          <x:t xml:space="preserve">002738</x:t>
        </x:is>
      </x:c>
      <x:c r="C579" s="5" t="inlineStr">
        <x:is>
          <x:t xml:space="preserve">中矿资源</x:t>
        </x:is>
      </x:c>
      <x:c r="D579" s="5" t="inlineStr">
        <x:is>
          <x:t xml:space="preserve">中矿资源集团股份有限公司</x:t>
        </x:is>
      </x:c>
      <x:c r="E579" s="4" t="inlineStr">
        <x:is>
          <x:t xml:space="preserve">北京市</x:t>
        </x:is>
      </x:c>
      <x:c r="F579" s="4" t="inlineStr">
        <x:is>
          <x:t xml:space="preserve">北京市</x:t>
        </x:is>
      </x:c>
      <x:c r="G579" s="5" t="inlineStr">
        <x:is>
          <x:t xml:space="preserve">北京市-北京市</x:t>
        </x:is>
      </x:c>
      <x:c r="H579" s="4" t="inlineStr">
        <x:is>
          <x:t xml:space="preserve">能源金属</x:t>
        </x:is>
      </x:c>
      <x:c r="I579" s="4" t="inlineStr">
        <x:is>
          <x:t xml:space="preserve">2014-12-30</x:t>
        </x:is>
      </x:c>
      <x:c r="J579" s="5" t="inlineStr">
        <x:is>
          <x:t xml:space="preserve">北京市丰台区金泽路161号院1号楼-4至43层101内35层08</x:t>
        </x:is>
      </x:c>
      <x:c r="K579" s="12" t="str">
        <x:f>LEFT("911100007002242324",18)</x:f>
        <x:v>911100007002242300</x:v>
      </x:c>
    </x:row>
    <x:row r="580">
      <x:c r="A580" s="2" t="n">
        <x:v>579</x:v>
      </x:c>
      <x:c r="B580" s="2" t="inlineStr">
        <x:is>
          <x:t xml:space="preserve">002739</x:t>
        </x:is>
      </x:c>
      <x:c r="C580" s="3" t="inlineStr">
        <x:is>
          <x:t xml:space="preserve">万达电影</x:t>
        </x:is>
      </x:c>
      <x:c r="D580" s="3" t="inlineStr">
        <x:is>
          <x:t xml:space="preserve">万达电影股份有限公司</x:t>
        </x:is>
      </x:c>
      <x:c r="E580" s="2" t="inlineStr">
        <x:is>
          <x:t xml:space="preserve">北京市</x:t>
        </x:is>
      </x:c>
      <x:c r="F580" s="2" t="inlineStr">
        <x:is>
          <x:t xml:space="preserve">北京市</x:t>
        </x:is>
      </x:c>
      <x:c r="G580" s="3" t="inlineStr">
        <x:is>
          <x:t xml:space="preserve">北京市-北京市</x:t>
        </x:is>
      </x:c>
      <x:c r="H580" s="2" t="inlineStr">
        <x:is>
          <x:t xml:space="preserve">文化传媒</x:t>
        </x:is>
      </x:c>
      <x:c r="I580" s="2" t="inlineStr">
        <x:is>
          <x:t xml:space="preserve">2015-01-22</x:t>
        </x:is>
      </x:c>
      <x:c r="J580" s="3" t="inlineStr">
        <x:is>
          <x:t xml:space="preserve">北京市朝阳区八里庄东里1号2幢平房101号CN区</x:t>
        </x:is>
      </x:c>
      <x:c r="K580" s="12" t="str">
        <x:f>LEFT("911100007715928418",18)</x:f>
        <x:v>911100007715928400</x:v>
      </x:c>
    </x:row>
    <x:row r="581">
      <x:c r="A581" s="4" t="n">
        <x:v>580</x:v>
      </x:c>
      <x:c r="B581" s="4" t="inlineStr">
        <x:is>
          <x:t xml:space="preserve">002755</x:t>
        </x:is>
      </x:c>
      <x:c r="C581" s="5" t="inlineStr">
        <x:is>
          <x:t xml:space="preserve">奥赛康</x:t>
        </x:is>
      </x:c>
      <x:c r="D581" s="5" t="inlineStr">
        <x:is>
          <x:t xml:space="preserve">北京奥赛康药业股份有限公司</x:t>
        </x:is>
      </x:c>
      <x:c r="E581" s="4" t="inlineStr">
        <x:is>
          <x:t xml:space="preserve">北京市</x:t>
        </x:is>
      </x:c>
      <x:c r="F581" s="4" t="inlineStr">
        <x:is>
          <x:t xml:space="preserve">北京市</x:t>
        </x:is>
      </x:c>
      <x:c r="G581" s="5" t="inlineStr">
        <x:is>
          <x:t xml:space="preserve">北京市-北京市</x:t>
        </x:is>
      </x:c>
      <x:c r="H581" s="4" t="inlineStr">
        <x:is>
          <x:t xml:space="preserve">医药制造</x:t>
        </x:is>
      </x:c>
      <x:c r="I581" s="4" t="inlineStr">
        <x:is>
          <x:t xml:space="preserve">2015-05-15</x:t>
        </x:is>
      </x:c>
      <x:c r="J581" s="5" t="inlineStr">
        <x:is>
          <x:t xml:space="preserve">北京市丰台区南四环西路188号七区28号楼</x:t>
        </x:is>
      </x:c>
      <x:c r="K581" s="12" t="str">
        <x:f>LEFT("91110000108283057Y",18)</x:f>
        <x:v>91110000108283057Y</x:v>
      </x:c>
    </x:row>
    <x:row r="582">
      <x:c r="A582" s="2" t="n">
        <x:v>581</x:v>
      </x:c>
      <x:c r="B582" s="2" t="inlineStr">
        <x:is>
          <x:t xml:space="preserve">002771</x:t>
        </x:is>
      </x:c>
      <x:c r="C582" s="3" t="inlineStr">
        <x:is>
          <x:t xml:space="preserve">真视通</x:t>
        </x:is>
      </x:c>
      <x:c r="D582" s="3" t="inlineStr">
        <x:is>
          <x:t xml:space="preserve">北京真视通科技股份有限公司</x:t>
        </x:is>
      </x:c>
      <x:c r="E582" s="2" t="inlineStr">
        <x:is>
          <x:t xml:space="preserve">北京市</x:t>
        </x:is>
      </x:c>
      <x:c r="F582" s="2" t="inlineStr">
        <x:is>
          <x:t xml:space="preserve">北京市</x:t>
        </x:is>
      </x:c>
      <x:c r="G582" s="3" t="inlineStr">
        <x:is>
          <x:t xml:space="preserve">北京市-北京市</x:t>
        </x:is>
      </x:c>
      <x:c r="H582" s="2" t="inlineStr">
        <x:is>
          <x:t xml:space="preserve">互联网服务</x:t>
        </x:is>
      </x:c>
      <x:c r="I582" s="2" t="inlineStr">
        <x:is>
          <x:t xml:space="preserve">2015-06-29</x:t>
        </x:is>
      </x:c>
      <x:c r="J582" s="3" t="inlineStr">
        <x:is>
          <x:t xml:space="preserve">北京市丰台区科兴路7号3层302室</x:t>
        </x:is>
      </x:c>
      <x:c r="K582" s="12" t="str">
        <x:f>LEFT("91110000722672781M",18)</x:f>
        <x:v>91110000722672781M</x:v>
      </x:c>
    </x:row>
    <x:row r="583">
      <x:c r="A583" s="4" t="n">
        <x:v>582</x:v>
      </x:c>
      <x:c r="B583" s="4" t="inlineStr">
        <x:is>
          <x:t xml:space="preserve">002780</x:t>
        </x:is>
      </x:c>
      <x:c r="C583" s="5" t="inlineStr">
        <x:is>
          <x:t xml:space="preserve">三夫户外</x:t>
        </x:is>
      </x:c>
      <x:c r="D583" s="5" t="inlineStr">
        <x:is>
          <x:t xml:space="preserve">北京三夫户外用品股份有限公司</x:t>
        </x:is>
      </x:c>
      <x:c r="E583" s="4" t="inlineStr">
        <x:is>
          <x:t xml:space="preserve">北京市</x:t>
        </x:is>
      </x:c>
      <x:c r="F583" s="4" t="inlineStr">
        <x:is>
          <x:t xml:space="preserve">北京市</x:t>
        </x:is>
      </x:c>
      <x:c r="G583" s="5" t="inlineStr">
        <x:is>
          <x:t xml:space="preserve">北京市-北京市</x:t>
        </x:is>
      </x:c>
      <x:c r="H583" s="4" t="inlineStr">
        <x:is>
          <x:t xml:space="preserve">纺织服装</x:t>
        </x:is>
      </x:c>
      <x:c r="I583" s="4" t="inlineStr">
        <x:is>
          <x:t xml:space="preserve">2015-12-09</x:t>
        </x:is>
      </x:c>
      <x:c r="J583" s="5" t="inlineStr">
        <x:is>
          <x:t xml:space="preserve">北京市西城区马甸南村4号楼-5号(德胜园区)</x:t>
        </x:is>
      </x:c>
      <x:c r="K583" s="12" t="str">
        <x:f>LEFT("91110102801449000U",18)</x:f>
        <x:v>91110102801449000U</x:v>
      </x:c>
    </x:row>
    <x:row r="584">
      <x:c r="A584" s="2" t="n">
        <x:v>583</x:v>
      </x:c>
      <x:c r="B584" s="2" t="inlineStr">
        <x:is>
          <x:t xml:space="preserve">002819</x:t>
        </x:is>
      </x:c>
      <x:c r="C584" s="3" t="inlineStr">
        <x:is>
          <x:t xml:space="preserve">东方中科</x:t>
        </x:is>
      </x:c>
      <x:c r="D584" s="3" t="inlineStr">
        <x:is>
          <x:t xml:space="preserve">北京东方中科集成科技股份有限公司</x:t>
        </x:is>
      </x:c>
      <x:c r="E584" s="2" t="inlineStr">
        <x:is>
          <x:t xml:space="preserve">北京市</x:t>
        </x:is>
      </x:c>
      <x:c r="F584" s="2" t="inlineStr">
        <x:is>
          <x:t xml:space="preserve">北京市</x:t>
        </x:is>
      </x:c>
      <x:c r="G584" s="3" t="inlineStr">
        <x:is>
          <x:t xml:space="preserve">北京市-北京市</x:t>
        </x:is>
      </x:c>
      <x:c r="H584" s="2" t="inlineStr">
        <x:is>
          <x:t xml:space="preserve">仪器仪表</x:t>
        </x:is>
      </x:c>
      <x:c r="I584" s="2" t="inlineStr">
        <x:is>
          <x:t xml:space="preserve">2016-11-11</x:t>
        </x:is>
      </x:c>
      <x:c r="J584" s="3" t="inlineStr">
        <x:is>
          <x:t xml:space="preserve">北京市海淀区阜成路67号银都大厦12层</x:t>
        </x:is>
      </x:c>
      <x:c r="K584" s="12" t="str">
        <x:f>LEFT("911100007239681033",18)</x:f>
        <x:v>911100007239681000</x:v>
      </x:c>
    </x:row>
    <x:row r="585">
      <x:c r="A585" s="4" t="n">
        <x:v>584</x:v>
      </x:c>
      <x:c r="B585" s="4" t="inlineStr">
        <x:is>
          <x:t xml:space="preserve">002829</x:t>
        </x:is>
      </x:c>
      <x:c r="C585" s="5" t="inlineStr">
        <x:is>
          <x:t xml:space="preserve">星网宇达</x:t>
        </x:is>
      </x:c>
      <x:c r="D585" s="5" t="inlineStr">
        <x:is>
          <x:t xml:space="preserve">北京星网宇达科技股份有限公司</x:t>
        </x:is>
      </x:c>
      <x:c r="E585" s="4" t="inlineStr">
        <x:is>
          <x:t xml:space="preserve">北京市</x:t>
        </x:is>
      </x:c>
      <x:c r="F585" s="4" t="inlineStr">
        <x:is>
          <x:t xml:space="preserve">北京市</x:t>
        </x:is>
      </x:c>
      <x:c r="G585" s="5" t="inlineStr">
        <x:is>
          <x:t xml:space="preserve">北京市-北京市</x:t>
        </x:is>
      </x:c>
      <x:c r="H585" s="4" t="inlineStr">
        <x:is>
          <x:t xml:space="preserve">通信设备</x:t>
        </x:is>
      </x:c>
      <x:c r="I585" s="4" t="inlineStr">
        <x:is>
          <x:t xml:space="preserve">2016-12-13</x:t>
        </x:is>
      </x:c>
      <x:c r="J585" s="5" t="inlineStr">
        <x:is>
          <x:t xml:space="preserve">北京市北京经济技术开发区科谷二街6号院1号楼7层</x:t>
        </x:is>
      </x:c>
      <x:c r="K585" s="12" t="str">
        <x:f>LEFT("91110108776399733W",18)</x:f>
        <x:v>91110108776399733W</x:v>
      </x:c>
    </x:row>
    <x:row r="586">
      <x:c r="A586" s="2" t="n">
        <x:v>585</x:v>
      </x:c>
      <x:c r="B586" s="2" t="inlineStr">
        <x:is>
          <x:t xml:space="preserve">002878</x:t>
        </x:is>
      </x:c>
      <x:c r="C586" s="3" t="inlineStr">
        <x:is>
          <x:t xml:space="preserve">元隆雅图</x:t>
        </x:is>
      </x:c>
      <x:c r="D586" s="3" t="inlineStr">
        <x:is>
          <x:t xml:space="preserve">北京元隆雅图文化传播股份有限公司</x:t>
        </x:is>
      </x:c>
      <x:c r="E586" s="2" t="inlineStr">
        <x:is>
          <x:t xml:space="preserve">北京市</x:t>
        </x:is>
      </x:c>
      <x:c r="F586" s="2" t="inlineStr">
        <x:is>
          <x:t xml:space="preserve">北京市</x:t>
        </x:is>
      </x:c>
      <x:c r="G586" s="3" t="inlineStr">
        <x:is>
          <x:t xml:space="preserve">北京市-北京市</x:t>
        </x:is>
      </x:c>
      <x:c r="H586" s="2" t="inlineStr">
        <x:is>
          <x:t xml:space="preserve">文化传媒</x:t>
        </x:is>
      </x:c>
      <x:c r="I586" s="2" t="inlineStr">
        <x:is>
          <x:t xml:space="preserve">2017-06-06</x:t>
        </x:is>
      </x:c>
      <x:c r="J586" s="3" t="inlineStr">
        <x:is>
          <x:t xml:space="preserve">北京市西城区广安门内大街338号12层1218</x:t>
        </x:is>
      </x:c>
      <x:c r="K586" s="12" t="str">
        <x:f>LEFT("911100006337468570",18)</x:f>
        <x:v>911100006337468500</x:v>
      </x:c>
    </x:row>
    <x:row r="587">
      <x:c r="A587" s="4" t="n">
        <x:v>586</x:v>
      </x:c>
      <x:c r="B587" s="4" t="inlineStr">
        <x:is>
          <x:t xml:space="preserve">002893</x:t>
        </x:is>
      </x:c>
      <x:c r="C587" s="5" t="inlineStr">
        <x:is>
          <x:t xml:space="preserve">京能热力</x:t>
        </x:is>
      </x:c>
      <x:c r="D587" s="5" t="inlineStr">
        <x:is>
          <x:t xml:space="preserve">北京京能热力股份有限公司</x:t>
        </x:is>
      </x:c>
      <x:c r="E587" s="4" t="inlineStr">
        <x:is>
          <x:t xml:space="preserve">北京市</x:t>
        </x:is>
      </x:c>
      <x:c r="F587" s="4" t="inlineStr">
        <x:is>
          <x:t xml:space="preserve">北京市</x:t>
        </x:is>
      </x:c>
      <x:c r="G587" s="5" t="inlineStr">
        <x:is>
          <x:t xml:space="preserve">北京市-北京市</x:t>
        </x:is>
      </x:c>
      <x:c r="H587" s="4" t="inlineStr">
        <x:is>
          <x:t xml:space="preserve">公用事业</x:t>
        </x:is>
      </x:c>
      <x:c r="I587" s="4" t="inlineStr">
        <x:is>
          <x:t xml:space="preserve">2017-09-15</x:t>
        </x:is>
      </x:c>
      <x:c r="J587" s="5" t="inlineStr">
        <x:is>
          <x:t xml:space="preserve">北京市丰台区丰体南路1号院11幢1层108-1</x:t>
        </x:is>
      </x:c>
      <x:c r="K587" s="12" t="str">
        <x:f>LEFT("91110106745461928Y",18)</x:f>
        <x:v>91110106745461928Y</x:v>
      </x:c>
    </x:row>
    <x:row r="588">
      <x:c r="A588" s="2" t="n">
        <x:v>587</x:v>
      </x:c>
      <x:c r="B588" s="2" t="inlineStr">
        <x:is>
          <x:t xml:space="preserve">002933</x:t>
        </x:is>
      </x:c>
      <x:c r="C588" s="3" t="inlineStr">
        <x:is>
          <x:t xml:space="preserve">新兴装备</x:t>
        </x:is>
      </x:c>
      <x:c r="D588" s="3" t="inlineStr">
        <x:is>
          <x:t xml:space="preserve">北京新兴东方航空装备股份有限公司</x:t>
        </x:is>
      </x:c>
      <x:c r="E588" s="2" t="inlineStr">
        <x:is>
          <x:t xml:space="preserve">北京市</x:t>
        </x:is>
      </x:c>
      <x:c r="F588" s="2" t="inlineStr">
        <x:is>
          <x:t xml:space="preserve">北京市</x:t>
        </x:is>
      </x:c>
      <x:c r="G588" s="3" t="inlineStr">
        <x:is>
          <x:t xml:space="preserve">北京市-北京市</x:t>
        </x:is>
      </x:c>
      <x:c r="H588" s="2" t="inlineStr">
        <x:is>
          <x:t xml:space="preserve">航天航空</x:t>
        </x:is>
      </x:c>
      <x:c r="I588" s="2" t="inlineStr">
        <x:is>
          <x:t xml:space="preserve">2018-08-28</x:t>
        </x:is>
      </x:c>
      <x:c r="J588" s="3" t="inlineStr">
        <x:is>
          <x:t xml:space="preserve">北京市海淀区西杉创意园四区4号楼</x:t>
        </x:is>
      </x:c>
      <x:c r="K588" s="12" t="str">
        <x:f>LEFT("91110108633645490N",18)</x:f>
        <x:v>91110108633645490N</x:v>
      </x:c>
    </x:row>
    <x:row r="589">
      <x:c r="A589" s="4" t="n">
        <x:v>588</x:v>
      </x:c>
      <x:c r="B589" s="4" t="inlineStr">
        <x:is>
          <x:t xml:space="preserve">002963</x:t>
        </x:is>
      </x:c>
      <x:c r="C589" s="5" t="inlineStr">
        <x:is>
          <x:t xml:space="preserve">豪尔赛</x:t>
        </x:is>
      </x:c>
      <x:c r="D589" s="5" t="inlineStr">
        <x:is>
          <x:t xml:space="preserve">豪尔赛科技集团股份有限公司</x:t>
        </x:is>
      </x:c>
      <x:c r="E589" s="4" t="inlineStr">
        <x:is>
          <x:t xml:space="preserve">北京市</x:t>
        </x:is>
      </x:c>
      <x:c r="F589" s="4" t="inlineStr">
        <x:is>
          <x:t xml:space="preserve">北京市</x:t>
        </x:is>
      </x:c>
      <x:c r="G589" s="5" t="inlineStr">
        <x:is>
          <x:t xml:space="preserve">北京市-北京市</x:t>
        </x:is>
      </x:c>
      <x:c r="H589" s="4" t="inlineStr">
        <x:is>
          <x:t xml:space="preserve">装修装饰</x:t>
        </x:is>
      </x:c>
      <x:c r="I589" s="4" t="inlineStr">
        <x:is>
          <x:t xml:space="preserve">2019-10-28</x:t>
        </x:is>
      </x:c>
      <x:c r="J589" s="5" t="inlineStr">
        <x:is>
          <x:t xml:space="preserve">北京市海淀区中关村南大街17号3号楼1903室</x:t>
        </x:is>
      </x:c>
      <x:c r="K589" s="12" t="str">
        <x:f>LEFT("91110108723950093X",18)</x:f>
        <x:v>91110108723950093X</x:v>
      </x:c>
    </x:row>
    <x:row r="590">
      <x:c r="A590" s="2" t="n">
        <x:v>589</x:v>
      </x:c>
      <x:c r="B590" s="2" t="inlineStr">
        <x:is>
          <x:t xml:space="preserve">002985</x:t>
        </x:is>
      </x:c>
      <x:c r="C590" s="3" t="inlineStr">
        <x:is>
          <x:t xml:space="preserve">北摩高科</x:t>
        </x:is>
      </x:c>
      <x:c r="D590" s="3" t="inlineStr">
        <x:is>
          <x:t xml:space="preserve">北京北摩高科摩擦材料股份有限公司</x:t>
        </x:is>
      </x:c>
      <x:c r="E590" s="2" t="inlineStr">
        <x:is>
          <x:t xml:space="preserve">北京市</x:t>
        </x:is>
      </x:c>
      <x:c r="F590" s="2" t="inlineStr">
        <x:is>
          <x:t xml:space="preserve">北京市</x:t>
        </x:is>
      </x:c>
      <x:c r="G590" s="3" t="inlineStr">
        <x:is>
          <x:t xml:space="preserve">北京市-北京市</x:t>
        </x:is>
      </x:c>
      <x:c r="H590" s="2" t="inlineStr">
        <x:is>
          <x:t xml:space="preserve">航天航空</x:t>
        </x:is>
      </x:c>
      <x:c r="I590" s="2" t="inlineStr">
        <x:is>
          <x:t xml:space="preserve">2020-04-29</x:t>
        </x:is>
      </x:c>
      <x:c r="J590" s="3" t="inlineStr">
        <x:is>
          <x:t xml:space="preserve">北京市昌平区科技园区火炬街甲12号B218室</x:t>
        </x:is>
      </x:c>
      <x:c r="K590" s="12" t="str">
        <x:f>LEFT("91110114750127772G",18)</x:f>
        <x:v>91110114750127772G</x:v>
      </x:c>
    </x:row>
    <x:row r="591">
      <x:c r="A591" s="4" t="n">
        <x:v>590</x:v>
      </x:c>
      <x:c r="B591" s="4" t="inlineStr">
        <x:is>
          <x:t xml:space="preserve">002987</x:t>
        </x:is>
      </x:c>
      <x:c r="C591" s="5" t="inlineStr">
        <x:is>
          <x:t xml:space="preserve">京北方</x:t>
        </x:is>
      </x:c>
      <x:c r="D591" s="5" t="inlineStr">
        <x:is>
          <x:t xml:space="preserve">京北方信息技术股份有限公司</x:t>
        </x:is>
      </x:c>
      <x:c r="E591" s="4" t="inlineStr">
        <x:is>
          <x:t xml:space="preserve">北京市</x:t>
        </x:is>
      </x:c>
      <x:c r="F591" s="4" t="inlineStr">
        <x:is>
          <x:t xml:space="preserve">北京市</x:t>
        </x:is>
      </x:c>
      <x:c r="G591" s="5" t="inlineStr">
        <x:is>
          <x:t xml:space="preserve">北京市-北京市</x:t>
        </x:is>
      </x:c>
      <x:c r="H591" s="4" t="inlineStr">
        <x:is>
          <x:t xml:space="preserve">软件服务</x:t>
        </x:is>
      </x:c>
      <x:c r="I591" s="4" t="inlineStr">
        <x:is>
          <x:t xml:space="preserve">2020-05-07</x:t>
        </x:is>
      </x:c>
      <x:c r="J591" s="5" t="inlineStr">
        <x:is>
          <x:t xml:space="preserve">北京市海淀区西三环北路25号7层</x:t>
        </x:is>
      </x:c>
      <x:c r="K591" s="12" t="str">
        <x:f>LEFT("911101086976555404",18)</x:f>
        <x:v>911101086976555400</x:v>
      </x:c>
    </x:row>
    <x:row r="592">
      <x:c r="A592" s="2" t="n">
        <x:v>591</x:v>
      </x:c>
      <x:c r="B592" s="2" t="inlineStr">
        <x:is>
          <x:t xml:space="preserve">002995</x:t>
        </x:is>
      </x:c>
      <x:c r="C592" s="3" t="inlineStr">
        <x:is>
          <x:t xml:space="preserve">天地在线</x:t>
        </x:is>
      </x:c>
      <x:c r="D592" s="3" t="inlineStr">
        <x:is>
          <x:t xml:space="preserve">北京全时天地在线网络信息股份有限公司</x:t>
        </x:is>
      </x:c>
      <x:c r="E592" s="2" t="inlineStr">
        <x:is>
          <x:t xml:space="preserve">北京市</x:t>
        </x:is>
      </x:c>
      <x:c r="F592" s="2" t="inlineStr">
        <x:is>
          <x:t xml:space="preserve">北京市</x:t>
        </x:is>
      </x:c>
      <x:c r="G592" s="3" t="inlineStr">
        <x:is>
          <x:t xml:space="preserve">北京市-北京市</x:t>
        </x:is>
      </x:c>
      <x:c r="H592" s="2" t="inlineStr">
        <x:is>
          <x:t xml:space="preserve">文化传媒</x:t>
        </x:is>
      </x:c>
      <x:c r="I592" s="2" t="inlineStr">
        <x:is>
          <x:t xml:space="preserve">2020-08-05</x:t>
        </x:is>
      </x:c>
      <x:c r="J592" s="3" t="inlineStr">
        <x:is>
          <x:t xml:space="preserve">北京市东城区安定门东大街28号1号楼B单元612号</x:t>
        </x:is>
      </x:c>
      <x:c r="K592" s="12" t="str">
        <x:f>LEFT("91110101783962889A",18)</x:f>
        <x:v>91110101783962889A</x:v>
      </x:c>
    </x:row>
    <x:row r="593">
      <x:c r="A593" s="4" t="n">
        <x:v>592</x:v>
      </x:c>
      <x:c r="B593" s="4" t="inlineStr">
        <x:is>
          <x:t xml:space="preserve">003001</x:t>
        </x:is>
      </x:c>
      <x:c r="C593" s="5" t="inlineStr">
        <x:is>
          <x:t xml:space="preserve">中岩大地</x:t>
        </x:is>
      </x:c>
      <x:c r="D593" s="5" t="inlineStr">
        <x:is>
          <x:t xml:space="preserve">北京中岩大地科技股份有限公司</x:t>
        </x:is>
      </x:c>
      <x:c r="E593" s="4" t="inlineStr">
        <x:is>
          <x:t xml:space="preserve">北京市</x:t>
        </x:is>
      </x:c>
      <x:c r="F593" s="4" t="inlineStr">
        <x:is>
          <x:t xml:space="preserve">北京市</x:t>
        </x:is>
      </x:c>
      <x:c r="G593" s="5" t="inlineStr">
        <x:is>
          <x:t xml:space="preserve">北京市-北京市</x:t>
        </x:is>
      </x:c>
      <x:c r="H593" s="4" t="inlineStr">
        <x:is>
          <x:t xml:space="preserve">工程咨询服务</x:t>
        </x:is>
      </x:c>
      <x:c r="I593" s="4" t="inlineStr">
        <x:is>
          <x:t xml:space="preserve">2020-10-13</x:t>
        </x:is>
      </x:c>
      <x:c r="J593" s="5" t="inlineStr">
        <x:is>
          <x:t xml:space="preserve">北京市通州区光华路甲1号院7号楼五层506号</x:t>
        </x:is>
      </x:c>
      <x:c r="K593" s="12" t="str">
        <x:f>LEFT("911101086835621402",18)</x:f>
        <x:v>911101086835621400</x:v>
      </x:c>
    </x:row>
    <x:row r="594">
      <x:c r="A594" s="2" t="n">
        <x:v>593</x:v>
      </x:c>
      <x:c r="B594" s="2" t="inlineStr">
        <x:is>
          <x:t xml:space="preserve">003004</x:t>
        </x:is>
      </x:c>
      <x:c r="C594" s="3" t="inlineStr">
        <x:is>
          <x:t xml:space="preserve">声迅股份</x:t>
        </x:is>
      </x:c>
      <x:c r="D594" s="3" t="inlineStr">
        <x:is>
          <x:t xml:space="preserve">北京声迅电子股份有限公司</x:t>
        </x:is>
      </x:c>
      <x:c r="E594" s="2" t="inlineStr">
        <x:is>
          <x:t xml:space="preserve">北京市</x:t>
        </x:is>
      </x:c>
      <x:c r="F594" s="2" t="inlineStr">
        <x:is>
          <x:t xml:space="preserve">北京市</x:t>
        </x:is>
      </x:c>
      <x:c r="G594" s="3" t="inlineStr">
        <x:is>
          <x:t xml:space="preserve">北京市-北京市</x:t>
        </x:is>
      </x:c>
      <x:c r="H594" s="2" t="inlineStr">
        <x:is>
          <x:t xml:space="preserve">安防设备</x:t>
        </x:is>
      </x:c>
      <x:c r="I594" s="2" t="inlineStr">
        <x:is>
          <x:t xml:space="preserve">2020-11-26</x:t>
        </x:is>
      </x:c>
      <x:c r="J594" s="3" t="inlineStr">
        <x:is>
          <x:t xml:space="preserve">北京市海淀区丰豪东路9号院11号楼1至5层101</x:t>
        </x:is>
      </x:c>
      <x:c r="K594" s="12" t="str">
        <x:f>LEFT("911101081011420915",18)</x:f>
        <x:v>911101081011420900</x:v>
      </x:c>
    </x:row>
    <x:row r="595">
      <x:c r="A595" s="4" t="n">
        <x:v>594</x:v>
      </x:c>
      <x:c r="B595" s="4" t="inlineStr">
        <x:is>
          <x:t xml:space="preserve">003005</x:t>
        </x:is>
      </x:c>
      <x:c r="C595" s="5" t="inlineStr">
        <x:is>
          <x:t xml:space="preserve">竞业达</x:t>
        </x:is>
      </x:c>
      <x:c r="D595" s="5" t="inlineStr">
        <x:is>
          <x:t xml:space="preserve">北京竞业达数码科技股份有限公司</x:t>
        </x:is>
      </x:c>
      <x:c r="E595" s="4" t="inlineStr">
        <x:is>
          <x:t xml:space="preserve">北京市</x:t>
        </x:is>
      </x:c>
      <x:c r="F595" s="4" t="inlineStr">
        <x:is>
          <x:t xml:space="preserve">北京市</x:t>
        </x:is>
      </x:c>
      <x:c r="G595" s="5" t="inlineStr">
        <x:is>
          <x:t xml:space="preserve">北京市-北京市</x:t>
        </x:is>
      </x:c>
      <x:c r="H595" s="4" t="inlineStr">
        <x:is>
          <x:t xml:space="preserve">互联网服务</x:t>
        </x:is>
      </x:c>
      <x:c r="I595" s="4" t="inlineStr">
        <x:is>
          <x:t xml:space="preserve">2020-09-22</x:t>
        </x:is>
      </x:c>
      <x:c r="J595" s="5" t="inlineStr">
        <x:is>
          <x:t xml:space="preserve">北京市门头沟区石龙工业区雅安路6号院1号楼C座8层805</x:t>
        </x:is>
      </x:c>
      <x:c r="K595" s="12" t="str">
        <x:f>LEFT("91110109102367778X",18)</x:f>
        <x:v>91110109102367778X</x:v>
      </x:c>
    </x:row>
    <x:row r="596">
      <x:c r="A596" s="2" t="n">
        <x:v>595</x:v>
      </x:c>
      <x:c r="B596" s="2" t="inlineStr">
        <x:is>
          <x:t xml:space="preserve">003007</x:t>
        </x:is>
      </x:c>
      <x:c r="C596" s="3" t="inlineStr">
        <x:is>
          <x:t xml:space="preserve">直真科技</x:t>
        </x:is>
      </x:c>
      <x:c r="D596" s="3" t="inlineStr">
        <x:is>
          <x:t xml:space="preserve">北京直真科技股份有限公司</x:t>
        </x:is>
      </x:c>
      <x:c r="E596" s="2" t="inlineStr">
        <x:is>
          <x:t xml:space="preserve">北京市</x:t>
        </x:is>
      </x:c>
      <x:c r="F596" s="2" t="inlineStr">
        <x:is>
          <x:t xml:space="preserve">北京市</x:t>
        </x:is>
      </x:c>
      <x:c r="G596" s="3" t="inlineStr">
        <x:is>
          <x:t xml:space="preserve">北京市-北京市</x:t>
        </x:is>
      </x:c>
      <x:c r="H596" s="2" t="inlineStr">
        <x:is>
          <x:t xml:space="preserve">软件服务</x:t>
        </x:is>
      </x:c>
      <x:c r="I596" s="2" t="inlineStr">
        <x:is>
          <x:t xml:space="preserve">2020-09-23</x:t>
        </x:is>
      </x:c>
      <x:c r="J596" s="3" t="inlineStr">
        <x:is>
          <x:t xml:space="preserve">北京市昌平区科技园区中兴路10号C207</x:t>
        </x:is>
      </x:c>
      <x:c r="K596" s="12" t="str">
        <x:f>LEFT("91110114682851688K",18)</x:f>
        <x:v>91110114682851688K</x:v>
      </x:c>
    </x:row>
    <x:row r="597">
      <x:c r="A597" s="4" t="n">
        <x:v>596</x:v>
      </x:c>
      <x:c r="B597" s="4" t="inlineStr">
        <x:is>
          <x:t xml:space="preserve">300002</x:t>
        </x:is>
      </x:c>
      <x:c r="C597" s="5" t="inlineStr">
        <x:is>
          <x:t xml:space="preserve">神州泰岳</x:t>
        </x:is>
      </x:c>
      <x:c r="D597" s="5" t="inlineStr">
        <x:is>
          <x:t xml:space="preserve">北京神州泰岳软件股份有限公司</x:t>
        </x:is>
      </x:c>
      <x:c r="E597" s="4" t="inlineStr">
        <x:is>
          <x:t xml:space="preserve">北京市</x:t>
        </x:is>
      </x:c>
      <x:c r="F597" s="4" t="inlineStr">
        <x:is>
          <x:t xml:space="preserve">北京市</x:t>
        </x:is>
      </x:c>
      <x:c r="G597" s="5" t="inlineStr">
        <x:is>
          <x:t xml:space="preserve">北京市-北京市</x:t>
        </x:is>
      </x:c>
      <x:c r="H597" s="4" t="inlineStr">
        <x:is>
          <x:t xml:space="preserve">游戏</x:t>
        </x:is>
      </x:c>
      <x:c r="I597" s="4" t="inlineStr">
        <x:is>
          <x:t xml:space="preserve">2009-10-30</x:t>
        </x:is>
      </x:c>
      <x:c r="J597" s="5" t="inlineStr">
        <x:is>
          <x:t xml:space="preserve">北京市海淀区海淀大街34号8层818室</x:t>
        </x:is>
      </x:c>
      <x:c r="K597" s="12" t="str">
        <x:f>LEFT("91110000802090167W",18)</x:f>
        <x:v>91110000802090167W</x:v>
      </x:c>
    </x:row>
    <x:row r="598">
      <x:c r="A598" s="2" t="n">
        <x:v>597</x:v>
      </x:c>
      <x:c r="B598" s="2" t="inlineStr">
        <x:is>
          <x:t xml:space="preserve">300003</x:t>
        </x:is>
      </x:c>
      <x:c r="C598" s="3" t="inlineStr">
        <x:is>
          <x:t xml:space="preserve">乐普医疗</x:t>
        </x:is>
      </x:c>
      <x:c r="D598" s="3" t="inlineStr">
        <x:is>
          <x:t xml:space="preserve">乐普(北京)医疗器械股份有限公司</x:t>
        </x:is>
      </x:c>
      <x:c r="E598" s="2" t="inlineStr">
        <x:is>
          <x:t xml:space="preserve">北京市</x:t>
        </x:is>
      </x:c>
      <x:c r="F598" s="2" t="inlineStr">
        <x:is>
          <x:t xml:space="preserve">北京市</x:t>
        </x:is>
      </x:c>
      <x:c r="G598" s="3" t="inlineStr">
        <x:is>
          <x:t xml:space="preserve">北京市-北京市</x:t>
        </x:is>
      </x:c>
      <x:c r="H598" s="2" t="inlineStr">
        <x:is>
          <x:t xml:space="preserve">医疗器械</x:t>
        </x:is>
      </x:c>
      <x:c r="I598" s="2" t="inlineStr">
        <x:is>
          <x:t xml:space="preserve">2009-10-30</x:t>
        </x:is>
      </x:c>
      <x:c r="J598" s="3" t="inlineStr">
        <x:is>
          <x:t xml:space="preserve">北京市昌平区超前路37号</x:t>
        </x:is>
      </x:c>
      <x:c r="K598" s="12" t="str">
        <x:f>LEFT("911100007000084768",18)</x:f>
        <x:v>911100007000084700</x:v>
      </x:c>
    </x:row>
    <x:row r="599">
      <x:c r="A599" s="4" t="n">
        <x:v>598</x:v>
      </x:c>
      <x:c r="B599" s="4" t="inlineStr">
        <x:is>
          <x:t xml:space="preserve">300005</x:t>
        </x:is>
      </x:c>
      <x:c r="C599" s="5" t="inlineStr">
        <x:is>
          <x:t xml:space="preserve">探路者</x:t>
        </x:is>
      </x:c>
      <x:c r="D599" s="5" t="inlineStr">
        <x:is>
          <x:t xml:space="preserve">探路者控股集团股份有限公司</x:t>
        </x:is>
      </x:c>
      <x:c r="E599" s="4" t="inlineStr">
        <x:is>
          <x:t xml:space="preserve">北京市</x:t>
        </x:is>
      </x:c>
      <x:c r="F599" s="4" t="inlineStr">
        <x:is>
          <x:t xml:space="preserve">北京市</x:t>
        </x:is>
      </x:c>
      <x:c r="G599" s="5" t="inlineStr">
        <x:is>
          <x:t xml:space="preserve">北京市-北京市</x:t>
        </x:is>
      </x:c>
      <x:c r="H599" s="4" t="inlineStr">
        <x:is>
          <x:t xml:space="preserve">纺织服装</x:t>
        </x:is>
      </x:c>
      <x:c r="I599" s="4" t="inlineStr">
        <x:is>
          <x:t xml:space="preserve">2009-10-30</x:t>
        </x:is>
      </x:c>
      <x:c r="J599" s="5" t="inlineStr">
        <x:is>
          <x:t xml:space="preserve">北京市通州区光华路甲1号院5号楼六层613号</x:t>
        </x:is>
      </x:c>
      <x:c r="K599" s="12" t="str">
        <x:f>LEFT("91110000700205322G",18)</x:f>
        <x:v>91110000700205322G</x:v>
      </x:c>
    </x:row>
    <x:row r="600">
      <x:c r="A600" s="2" t="n">
        <x:v>599</x:v>
      </x:c>
      <x:c r="B600" s="2" t="inlineStr">
        <x:is>
          <x:t xml:space="preserve">300010</x:t>
        </x:is>
      </x:c>
      <x:c r="C600" s="3" t="inlineStr">
        <x:is>
          <x:t xml:space="preserve">豆神教育</x:t>
        </x:is>
      </x:c>
      <x:c r="D600" s="3" t="inlineStr">
        <x:is>
          <x:t xml:space="preserve">豆神教育科技(北京)股份有限公司</x:t>
        </x:is>
      </x:c>
      <x:c r="E600" s="2" t="inlineStr">
        <x:is>
          <x:t xml:space="preserve">北京市</x:t>
        </x:is>
      </x:c>
      <x:c r="F600" s="2" t="inlineStr">
        <x:is>
          <x:t xml:space="preserve">北京市</x:t>
        </x:is>
      </x:c>
      <x:c r="G600" s="3" t="inlineStr">
        <x:is>
          <x:t xml:space="preserve">北京市-北京市</x:t>
        </x:is>
      </x:c>
      <x:c r="H600" s="2" t="inlineStr">
        <x:is>
          <x:t xml:space="preserve">教育</x:t>
        </x:is>
      </x:c>
      <x:c r="I600" s="2" t="inlineStr">
        <x:is>
          <x:t xml:space="preserve">2009-10-30</x:t>
        </x:is>
      </x:c>
      <x:c r="J600" s="3" t="inlineStr">
        <x:is>
          <x:t xml:space="preserve">北京市门头沟区石龙南路6号1幢6-206室</x:t>
        </x:is>
      </x:c>
      <x:c r="K600" s="12" t="str">
        <x:f>LEFT("91110000700084217T",18)</x:f>
        <x:v>91110000700084217T</x:v>
      </x:c>
    </x:row>
    <x:row r="601">
      <x:c r="A601" s="4" t="n">
        <x:v>600</x:v>
      </x:c>
      <x:c r="B601" s="4" t="inlineStr">
        <x:is>
          <x:t xml:space="preserve">300011</x:t>
        </x:is>
      </x:c>
      <x:c r="C601" s="5" t="inlineStr">
        <x:is>
          <x:t xml:space="preserve">鼎汉技术</x:t>
        </x:is>
      </x:c>
      <x:c r="D601" s="5" t="inlineStr">
        <x:is>
          <x:t xml:space="preserve">北京鼎汉技术集团股份有限公司</x:t>
        </x:is>
      </x:c>
      <x:c r="E601" s="4" t="inlineStr">
        <x:is>
          <x:t xml:space="preserve">北京市</x:t>
        </x:is>
      </x:c>
      <x:c r="F601" s="4" t="inlineStr">
        <x:is>
          <x:t xml:space="preserve">北京市</x:t>
        </x:is>
      </x:c>
      <x:c r="G601" s="5" t="inlineStr">
        <x:is>
          <x:t xml:space="preserve">北京市-北京市</x:t>
        </x:is>
      </x:c>
      <x:c r="H601" s="4" t="inlineStr">
        <x:is>
          <x:t xml:space="preserve">交运设备</x:t>
        </x:is>
      </x:c>
      <x:c r="I601" s="4" t="inlineStr">
        <x:is>
          <x:t xml:space="preserve">2009-10-30</x:t>
        </x:is>
      </x:c>
      <x:c r="J601" s="5" t="inlineStr">
        <x:is>
          <x:t xml:space="preserve">北京市丰台区南四环西路188号十八区2号楼(园区)</x:t>
        </x:is>
      </x:c>
      <x:c r="K601" s="12" t="str">
        <x:f>LEFT("91110000740067796T",18)</x:f>
        <x:v>91110000740067796T</x:v>
      </x:c>
    </x:row>
    <x:row r="602">
      <x:c r="A602" s="2" t="n">
        <x:v>601</x:v>
      </x:c>
      <x:c r="B602" s="2" t="inlineStr">
        <x:is>
          <x:t xml:space="preserve">300016</x:t>
        </x:is>
      </x:c>
      <x:c r="C602" s="3" t="inlineStr">
        <x:is>
          <x:t xml:space="preserve">北陆药业</x:t>
        </x:is>
      </x:c>
      <x:c r="D602" s="3" t="inlineStr">
        <x:is>
          <x:t xml:space="preserve">北京北陆药业股份有限公司</x:t>
        </x:is>
      </x:c>
      <x:c r="E602" s="2" t="inlineStr">
        <x:is>
          <x:t xml:space="preserve">北京市</x:t>
        </x:is>
      </x:c>
      <x:c r="F602" s="2" t="inlineStr">
        <x:is>
          <x:t xml:space="preserve">北京市</x:t>
        </x:is>
      </x:c>
      <x:c r="G602" s="3" t="inlineStr">
        <x:is>
          <x:t xml:space="preserve">北京市-北京市</x:t>
        </x:is>
      </x:c>
      <x:c r="H602" s="2" t="inlineStr">
        <x:is>
          <x:t xml:space="preserve">医药制造</x:t>
        </x:is>
      </x:c>
      <x:c r="I602" s="2" t="inlineStr">
        <x:is>
          <x:t xml:space="preserve">2009-10-30</x:t>
        </x:is>
      </x:c>
      <x:c r="J602" s="3" t="inlineStr">
        <x:is>
          <x:t xml:space="preserve">北京市密云区水源西路3号</x:t>
        </x:is>
      </x:c>
      <x:c r="K602" s="12" t="str">
        <x:f>LEFT("91110000102017145R",18)</x:f>
        <x:v>91110000102017145R</x:v>
      </x:c>
    </x:row>
    <x:row r="603">
      <x:c r="A603" s="4" t="n">
        <x:v>602</x:v>
      </x:c>
      <x:c r="B603" s="4" t="inlineStr">
        <x:is>
          <x:t xml:space="preserve">300034</x:t>
        </x:is>
      </x:c>
      <x:c r="C603" s="5" t="inlineStr">
        <x:is>
          <x:t xml:space="preserve">钢研高纳</x:t>
        </x:is>
      </x:c>
      <x:c r="D603" s="5" t="inlineStr">
        <x:is>
          <x:t xml:space="preserve">北京钢研高纳科技股份有限公司</x:t>
        </x:is>
      </x:c>
      <x:c r="E603" s="4" t="inlineStr">
        <x:is>
          <x:t xml:space="preserve">北京市</x:t>
        </x:is>
      </x:c>
      <x:c r="F603" s="4" t="inlineStr">
        <x:is>
          <x:t xml:space="preserve">北京市</x:t>
        </x:is>
      </x:c>
      <x:c r="G603" s="5" t="inlineStr">
        <x:is>
          <x:t xml:space="preserve">北京市-北京市</x:t>
        </x:is>
      </x:c>
      <x:c r="H603" s="4" t="inlineStr">
        <x:is>
          <x:t xml:space="preserve">有色金属</x:t>
        </x:is>
      </x:c>
      <x:c r="I603" s="4" t="inlineStr">
        <x:is>
          <x:t xml:space="preserve">2009-12-25</x:t>
        </x:is>
      </x:c>
      <x:c r="J603" s="5" t="inlineStr">
        <x:is>
          <x:t xml:space="preserve">北京市海淀区大柳树南村19号</x:t>
        </x:is>
      </x:c>
      <x:c r="K603" s="12" t="str">
        <x:f>LEFT("911100007447282723",18)</x:f>
        <x:v>911100007447282700</x:v>
      </x:c>
    </x:row>
    <x:row r="604">
      <x:c r="A604" s="2" t="n">
        <x:v>603</x:v>
      </x:c>
      <x:c r="B604" s="2" t="inlineStr">
        <x:is>
          <x:t xml:space="preserve">300036</x:t>
        </x:is>
      </x:c>
      <x:c r="C604" s="3" t="inlineStr">
        <x:is>
          <x:t xml:space="preserve">超图软件</x:t>
        </x:is>
      </x:c>
      <x:c r="D604" s="3" t="inlineStr">
        <x:is>
          <x:t xml:space="preserve">北京超图软件股份有限公司</x:t>
        </x:is>
      </x:c>
      <x:c r="E604" s="2" t="inlineStr">
        <x:is>
          <x:t xml:space="preserve">北京市</x:t>
        </x:is>
      </x:c>
      <x:c r="F604" s="2" t="inlineStr">
        <x:is>
          <x:t xml:space="preserve">北京市</x:t>
        </x:is>
      </x:c>
      <x:c r="G604" s="3" t="inlineStr">
        <x:is>
          <x:t xml:space="preserve">北京市-北京市</x:t>
        </x:is>
      </x:c>
      <x:c r="H604" s="2" t="inlineStr">
        <x:is>
          <x:t xml:space="preserve">软件服务</x:t>
        </x:is>
      </x:c>
      <x:c r="I604" s="2" t="inlineStr">
        <x:is>
          <x:t xml:space="preserve">2009-12-25</x:t>
        </x:is>
      </x:c>
      <x:c r="J604" s="3" t="inlineStr">
        <x:is>
          <x:t xml:space="preserve">北京市朝阳区酒仙桥北路甲10号院电子城IT产业园107楼6层</x:t>
        </x:is>
      </x:c>
      <x:c r="K604" s="12" t="str">
        <x:f>LEFT("911100006330248381",18)</x:f>
        <x:v>911100006330248300</x:v>
      </x:c>
    </x:row>
    <x:row r="605">
      <x:c r="A605" s="4" t="n">
        <x:v>604</x:v>
      </x:c>
      <x:c r="B605" s="4" t="inlineStr">
        <x:is>
          <x:t xml:space="preserve">300045</x:t>
        </x:is>
      </x:c>
      <x:c r="C605" s="5" t="inlineStr">
        <x:is>
          <x:t xml:space="preserve">华力创通</x:t>
        </x:is>
      </x:c>
      <x:c r="D605" s="5" t="inlineStr">
        <x:is>
          <x:t xml:space="preserve">北京华力创通科技股份有限公司</x:t>
        </x:is>
      </x:c>
      <x:c r="E605" s="4" t="inlineStr">
        <x:is>
          <x:t xml:space="preserve">北京市</x:t>
        </x:is>
      </x:c>
      <x:c r="F605" s="4" t="inlineStr">
        <x:is>
          <x:t xml:space="preserve">北京市</x:t>
        </x:is>
      </x:c>
      <x:c r="G605" s="5" t="inlineStr">
        <x:is>
          <x:t xml:space="preserve">北京市-北京市</x:t>
        </x:is>
      </x:c>
      <x:c r="H605" s="4" t="inlineStr">
        <x:is>
          <x:t xml:space="preserve">计算机设备</x:t>
        </x:is>
      </x:c>
      <x:c r="I605" s="4" t="inlineStr">
        <x:is>
          <x:t xml:space="preserve">2010-01-20</x:t>
        </x:is>
      </x:c>
      <x:c r="J605" s="5" t="inlineStr">
        <x:is>
          <x:t xml:space="preserve">北京市海淀区东北旺西路8号院乙18号楼</x:t>
        </x:is>
      </x:c>
      <x:c r="K605" s="12" t="str">
        <x:f>LEFT("91110000802098193D",18)</x:f>
        <x:v>91110000802098193D</x:v>
      </x:c>
    </x:row>
    <x:row r="606">
      <x:c r="A606" s="2" t="n">
        <x:v>605</x:v>
      </x:c>
      <x:c r="B606" s="2" t="inlineStr">
        <x:is>
          <x:t xml:space="preserve">300048</x:t>
        </x:is>
      </x:c>
      <x:c r="C606" s="3" t="inlineStr">
        <x:is>
          <x:t xml:space="preserve">合康新能</x:t>
        </x:is>
      </x:c>
      <x:c r="D606" s="3" t="inlineStr">
        <x:is>
          <x:t xml:space="preserve">北京合康新能科技股份有限公司</x:t>
        </x:is>
      </x:c>
      <x:c r="E606" s="2" t="inlineStr">
        <x:is>
          <x:t xml:space="preserve">北京市</x:t>
        </x:is>
      </x:c>
      <x:c r="F606" s="2" t="inlineStr">
        <x:is>
          <x:t xml:space="preserve">北京市</x:t>
        </x:is>
      </x:c>
      <x:c r="G606" s="3" t="inlineStr">
        <x:is>
          <x:t xml:space="preserve">北京市-北京市</x:t>
        </x:is>
      </x:c>
      <x:c r="H606" s="2" t="inlineStr">
        <x:is>
          <x:t xml:space="preserve">专用设备</x:t>
        </x:is>
      </x:c>
      <x:c r="I606" s="2" t="inlineStr">
        <x:is>
          <x:t xml:space="preserve">2010-01-20</x:t>
        </x:is>
      </x:c>
      <x:c r="J606" s="3" t="inlineStr">
        <x:is>
          <x:t xml:space="preserve">北京市北京经济技术开发区博兴二路3号2幢1层</x:t>
        </x:is>
      </x:c>
      <x:c r="K606" s="12" t="str">
        <x:f>LEFT("911100007513212788",18)</x:f>
        <x:v>911100007513212800</x:v>
      </x:c>
    </x:row>
    <x:row r="607">
      <x:c r="A607" s="4" t="n">
        <x:v>606</x:v>
      </x:c>
      <x:c r="B607" s="4" t="inlineStr">
        <x:is>
          <x:t xml:space="preserve">300055</x:t>
        </x:is>
      </x:c>
      <x:c r="C607" s="5" t="inlineStr">
        <x:is>
          <x:t xml:space="preserve">万邦达</x:t>
        </x:is>
      </x:c>
      <x:c r="D607" s="5" t="inlineStr">
        <x:is>
          <x:t xml:space="preserve">北京万邦达环保技术股份有限公司</x:t>
        </x:is>
      </x:c>
      <x:c r="E607" s="4" t="inlineStr">
        <x:is>
          <x:t xml:space="preserve">北京市</x:t>
        </x:is>
      </x:c>
      <x:c r="F607" s="4" t="inlineStr">
        <x:is>
          <x:t xml:space="preserve">北京市</x:t>
        </x:is>
      </x:c>
      <x:c r="G607" s="5" t="inlineStr">
        <x:is>
          <x:t xml:space="preserve">北京市-北京市</x:t>
        </x:is>
      </x:c>
      <x:c r="H607" s="4" t="inlineStr">
        <x:is>
          <x:t xml:space="preserve">环保工程</x:t>
        </x:is>
      </x:c>
      <x:c r="I607" s="4" t="inlineStr">
        <x:is>
          <x:t xml:space="preserve">2010-02-26</x:t>
        </x:is>
      </x:c>
      <x:c r="J607" s="5" t="inlineStr">
        <x:is>
          <x:t xml:space="preserve">北京市朝阳区五里桥一街1号院22号楼4层401</x:t>
        </x:is>
      </x:c>
      <x:c r="K607" s="12" t="str">
        <x:f>LEFT("91110000634358477D",18)</x:f>
        <x:v>91110000634358477D</x:v>
      </x:c>
    </x:row>
    <x:row r="608">
      <x:c r="A608" s="2" t="n">
        <x:v>607</x:v>
      </x:c>
      <x:c r="B608" s="2" t="inlineStr">
        <x:is>
          <x:t xml:space="preserve">300058</x:t>
        </x:is>
      </x:c>
      <x:c r="C608" s="3" t="inlineStr">
        <x:is>
          <x:t xml:space="preserve">蓝色光标</x:t>
        </x:is>
      </x:c>
      <x:c r="D608" s="3" t="inlineStr">
        <x:is>
          <x:t xml:space="preserve">北京蓝色光标数据科技集团股份有限公司</x:t>
        </x:is>
      </x:c>
      <x:c r="E608" s="2" t="inlineStr">
        <x:is>
          <x:t xml:space="preserve">北京市</x:t>
        </x:is>
      </x:c>
      <x:c r="F608" s="2" t="inlineStr">
        <x:is>
          <x:t xml:space="preserve">北京市</x:t>
        </x:is>
      </x:c>
      <x:c r="G608" s="3" t="inlineStr">
        <x:is>
          <x:t xml:space="preserve">北京市-北京市</x:t>
        </x:is>
      </x:c>
      <x:c r="H608" s="2" t="inlineStr">
        <x:is>
          <x:t xml:space="preserve">文化传媒</x:t>
        </x:is>
      </x:c>
      <x:c r="I608" s="2" t="inlineStr">
        <x:is>
          <x:t xml:space="preserve">2010-02-26</x:t>
        </x:is>
      </x:c>
      <x:c r="J608" s="3" t="inlineStr">
        <x:is>
          <x:t xml:space="preserve">北京市朝阳区酒仙桥北路9号(厂区)10幢二层A5-01</x:t>
        </x:is>
      </x:c>
      <x:c r="K608" s="12" t="str">
        <x:f>LEFT("91110000744727456H",18)</x:f>
        <x:v>91110000744727456H</x:v>
      </x:c>
    </x:row>
    <x:row r="609">
      <x:c r="A609" s="4" t="n">
        <x:v>608</x:v>
      </x:c>
      <x:c r="B609" s="4" t="inlineStr">
        <x:is>
          <x:t xml:space="preserve">300065</x:t>
        </x:is>
      </x:c>
      <x:c r="C609" s="5" t="inlineStr">
        <x:is>
          <x:t xml:space="preserve">海兰信</x:t>
        </x:is>
      </x:c>
      <x:c r="D609" s="5" t="inlineStr">
        <x:is>
          <x:t xml:space="preserve">北京海兰信数据科技股份有限公司</x:t>
        </x:is>
      </x:c>
      <x:c r="E609" s="4" t="inlineStr">
        <x:is>
          <x:t xml:space="preserve">北京市</x:t>
        </x:is>
      </x:c>
      <x:c r="F609" s="4" t="inlineStr">
        <x:is>
          <x:t xml:space="preserve">北京市</x:t>
        </x:is>
      </x:c>
      <x:c r="G609" s="5" t="inlineStr">
        <x:is>
          <x:t xml:space="preserve">北京市-北京市</x:t>
        </x:is>
      </x:c>
      <x:c r="H609" s="4" t="inlineStr">
        <x:is>
          <x:t xml:space="preserve">船舶制造</x:t>
        </x:is>
      </x:c>
      <x:c r="I609" s="4" t="inlineStr">
        <x:is>
          <x:t xml:space="preserve">2010-03-26</x:t>
        </x:is>
      </x:c>
      <x:c r="J609" s="5" t="inlineStr">
        <x:is>
          <x:t xml:space="preserve">北京市海淀区地锦路7号院10号楼5层501</x:t>
        </x:is>
      </x:c>
      <x:c r="K609" s="12" t="str">
        <x:f>LEFT("91110000802062000J",18)</x:f>
        <x:v>91110000802062000J</x:v>
      </x:c>
    </x:row>
    <x:row r="610">
      <x:c r="A610" s="2" t="n">
        <x:v>609</x:v>
      </x:c>
      <x:c r="B610" s="2" t="inlineStr">
        <x:is>
          <x:t xml:space="preserve">300070</x:t>
        </x:is>
      </x:c>
      <x:c r="C610" s="3" t="inlineStr">
        <x:is>
          <x:t xml:space="preserve">碧水源</x:t>
        </x:is>
      </x:c>
      <x:c r="D610" s="3" t="inlineStr">
        <x:is>
          <x:t xml:space="preserve">北京碧水源科技股份有限公司</x:t>
        </x:is>
      </x:c>
      <x:c r="E610" s="2" t="inlineStr">
        <x:is>
          <x:t xml:space="preserve">北京市</x:t>
        </x:is>
      </x:c>
      <x:c r="F610" s="2" t="inlineStr">
        <x:is>
          <x:t xml:space="preserve">北京市</x:t>
        </x:is>
      </x:c>
      <x:c r="G610" s="3" t="inlineStr">
        <x:is>
          <x:t xml:space="preserve">北京市-北京市</x:t>
        </x:is>
      </x:c>
      <x:c r="H610" s="2" t="inlineStr">
        <x:is>
          <x:t xml:space="preserve">环保工程</x:t>
        </x:is>
      </x:c>
      <x:c r="I610" s="2" t="inlineStr">
        <x:is>
          <x:t xml:space="preserve">2010-04-21</x:t>
        </x:is>
      </x:c>
      <x:c r="J610" s="3" t="inlineStr">
        <x:is>
          <x:t xml:space="preserve">北京市海淀区生命科学园路23-2碧水源大厦</x:t>
        </x:is>
      </x:c>
      <x:c r="K610" s="12" t="str">
        <x:f>LEFT("91110000802115985Y",18)</x:f>
        <x:v>91110000802115985Y</x:v>
      </x:c>
    </x:row>
    <x:row r="611">
      <x:c r="A611" s="4" t="n">
        <x:v>610</x:v>
      </x:c>
      <x:c r="B611" s="4" t="inlineStr">
        <x:is>
          <x:t xml:space="preserve">300071</x:t>
        </x:is>
      </x:c>
      <x:c r="C611" s="5" t="inlineStr">
        <x:is>
          <x:t xml:space="preserve">福石控股</x:t>
        </x:is>
      </x:c>
      <x:c r="D611" s="5" t="inlineStr">
        <x:is>
          <x:t xml:space="preserve">北京福石控股发展股份有限公司</x:t>
        </x:is>
      </x:c>
      <x:c r="E611" s="4" t="inlineStr">
        <x:is>
          <x:t xml:space="preserve">北京市</x:t>
        </x:is>
      </x:c>
      <x:c r="F611" s="4" t="inlineStr">
        <x:is>
          <x:t xml:space="preserve">北京市</x:t>
        </x:is>
      </x:c>
      <x:c r="G611" s="5" t="inlineStr">
        <x:is>
          <x:t xml:space="preserve">北京市-北京市</x:t>
        </x:is>
      </x:c>
      <x:c r="H611" s="4" t="inlineStr">
        <x:is>
          <x:t xml:space="preserve">文化传媒</x:t>
        </x:is>
      </x:c>
      <x:c r="I611" s="4" t="inlineStr">
        <x:is>
          <x:t xml:space="preserve">2010-04-21</x:t>
        </x:is>
      </x:c>
      <x:c r="J611" s="5" t="inlineStr">
        <x:is>
          <x:t xml:space="preserve">北京市石景山区金府路32号院3号楼9层917室</x:t>
        </x:is>
      </x:c>
      <x:c r="K611" s="12" t="str">
        <x:f>LEFT("91110000746729180U",18)</x:f>
        <x:v>91110000746729180U</x:v>
      </x:c>
    </x:row>
    <x:row r="612">
      <x:c r="A612" s="2" t="n">
        <x:v>611</x:v>
      </x:c>
      <x:c r="B612" s="2" t="inlineStr">
        <x:is>
          <x:t xml:space="preserve">300072</x:t>
        </x:is>
      </x:c>
      <x:c r="C612" s="3" t="inlineStr">
        <x:is>
          <x:t xml:space="preserve">海新能科</x:t>
        </x:is>
      </x:c>
      <x:c r="D612" s="3" t="inlineStr">
        <x:is>
          <x:t xml:space="preserve">北京海新能源科技股份有限公司</x:t>
        </x:is>
      </x:c>
      <x:c r="E612" s="2" t="inlineStr">
        <x:is>
          <x:t xml:space="preserve">北京市</x:t>
        </x:is>
      </x:c>
      <x:c r="F612" s="2" t="inlineStr">
        <x:is>
          <x:t xml:space="preserve">北京市</x:t>
        </x:is>
      </x:c>
      <x:c r="G612" s="3" t="inlineStr">
        <x:is>
          <x:t xml:space="preserve">北京市-北京市</x:t>
        </x:is>
      </x:c>
      <x:c r="H612" s="2" t="inlineStr">
        <x:is>
          <x:t xml:space="preserve">化工行业</x:t>
        </x:is>
      </x:c>
      <x:c r="I612" s="2" t="inlineStr">
        <x:is>
          <x:t xml:space="preserve">2010-04-27</x:t>
        </x:is>
      </x:c>
      <x:c r="J612" s="3" t="inlineStr">
        <x:is>
          <x:t xml:space="preserve">北京市海淀区西四环北路63号馨雅大厦二层299</x:t>
        </x:is>
      </x:c>
      <x:c r="K612" s="12" t="str">
        <x:f>LEFT("91110000633025574Y",18)</x:f>
        <x:v>91110000633025574Y</x:v>
      </x:c>
    </x:row>
    <x:row r="613">
      <x:c r="A613" s="4" t="n">
        <x:v>612</x:v>
      </x:c>
      <x:c r="B613" s="4" t="inlineStr">
        <x:is>
          <x:t xml:space="preserve">300073</x:t>
        </x:is>
      </x:c>
      <x:c r="C613" s="5" t="inlineStr">
        <x:is>
          <x:t xml:space="preserve">当升科技</x:t>
        </x:is>
      </x:c>
      <x:c r="D613" s="5" t="inlineStr">
        <x:is>
          <x:t xml:space="preserve">北京当升材料科技股份有限公司</x:t>
        </x:is>
      </x:c>
      <x:c r="E613" s="4" t="inlineStr">
        <x:is>
          <x:t xml:space="preserve">北京市</x:t>
        </x:is>
      </x:c>
      <x:c r="F613" s="4" t="inlineStr">
        <x:is>
          <x:t xml:space="preserve">北京市</x:t>
        </x:is>
      </x:c>
      <x:c r="G613" s="5" t="inlineStr">
        <x:is>
          <x:t xml:space="preserve">北京市-北京市</x:t>
        </x:is>
      </x:c>
      <x:c r="H613" s="4" t="inlineStr">
        <x:is>
          <x:t xml:space="preserve">电池</x:t>
        </x:is>
      </x:c>
      <x:c r="I613" s="4" t="inlineStr">
        <x:is>
          <x:t xml:space="preserve">2010-04-27</x:t>
        </x:is>
      </x:c>
      <x:c r="J613" s="5" t="inlineStr">
        <x:is>
          <x:t xml:space="preserve">北京市丰台区南四环西路188号总部基地18区21号</x:t>
        </x:is>
      </x:c>
      <x:c r="K613" s="12" t="str">
        <x:f>LEFT("91110000633774479A",18)</x:f>
        <x:v>91110000633774479A</x:v>
      </x:c>
    </x:row>
    <x:row r="614">
      <x:c r="A614" s="2" t="n">
        <x:v>613</x:v>
      </x:c>
      <x:c r="B614" s="2" t="inlineStr">
        <x:is>
          <x:t xml:space="preserve">300075</x:t>
        </x:is>
      </x:c>
      <x:c r="C614" s="3" t="inlineStr">
        <x:is>
          <x:t xml:space="preserve">数字政通</x:t>
        </x:is>
      </x:c>
      <x:c r="D614" s="3" t="inlineStr">
        <x:is>
          <x:t xml:space="preserve">北京数字政通科技股份有限公司</x:t>
        </x:is>
      </x:c>
      <x:c r="E614" s="2" t="inlineStr">
        <x:is>
          <x:t xml:space="preserve">北京市</x:t>
        </x:is>
      </x:c>
      <x:c r="F614" s="2" t="inlineStr">
        <x:is>
          <x:t xml:space="preserve">北京市</x:t>
        </x:is>
      </x:c>
      <x:c r="G614" s="3" t="inlineStr">
        <x:is>
          <x:t xml:space="preserve">北京市-北京市</x:t>
        </x:is>
      </x:c>
      <x:c r="H614" s="2" t="inlineStr">
        <x:is>
          <x:t xml:space="preserve">软件服务</x:t>
        </x:is>
      </x:c>
      <x:c r="I614" s="2" t="inlineStr">
        <x:is>
          <x:t xml:space="preserve">2010-04-27</x:t>
        </x:is>
      </x:c>
      <x:c r="J614" s="3" t="inlineStr">
        <x:is>
          <x:t xml:space="preserve">北京市海淀区西直门北大街32号枫蓝国际中心1号楼18层1805室</x:t>
        </x:is>
      </x:c>
      <x:c r="K614" s="12" t="str">
        <x:f>LEFT("91110000801160143K",18)</x:f>
        <x:v>91110000801160143K</x:v>
      </x:c>
    </x:row>
    <x:row r="615">
      <x:c r="A615" s="4" t="n">
        <x:v>614</x:v>
      </x:c>
      <x:c r="B615" s="4" t="inlineStr">
        <x:is>
          <x:t xml:space="preserve">300079</x:t>
        </x:is>
      </x:c>
      <x:c r="C615" s="5" t="inlineStr">
        <x:is>
          <x:t xml:space="preserve">数码视讯</x:t>
        </x:is>
      </x:c>
      <x:c r="D615" s="5" t="inlineStr">
        <x:is>
          <x:t xml:space="preserve">北京数码视讯科技股份有限公司</x:t>
        </x:is>
      </x:c>
      <x:c r="E615" s="4" t="inlineStr">
        <x:is>
          <x:t xml:space="preserve">北京市</x:t>
        </x:is>
      </x:c>
      <x:c r="F615" s="4" t="inlineStr">
        <x:is>
          <x:t xml:space="preserve">北京市</x:t>
        </x:is>
      </x:c>
      <x:c r="G615" s="5" t="inlineStr">
        <x:is>
          <x:t xml:space="preserve">北京市-北京市</x:t>
        </x:is>
      </x:c>
      <x:c r="H615" s="4" t="inlineStr">
        <x:is>
          <x:t xml:space="preserve">互联网服务</x:t>
        </x:is>
      </x:c>
      <x:c r="I615" s="4" t="inlineStr">
        <x:is>
          <x:t xml:space="preserve">2010-04-30</x:t>
        </x:is>
      </x:c>
      <x:c r="J615" s="5" t="inlineStr">
        <x:is>
          <x:t xml:space="preserve">北京市海淀区上地信息产业基地开拓路15号1幢</x:t>
        </x:is>
      </x:c>
      <x:c r="K615" s="12" t="str">
        <x:f>LEFT("911100007187892239",18)</x:f>
        <x:v>911100007187892200</x:v>
      </x:c>
    </x:row>
    <x:row r="616">
      <x:c r="A616" s="2" t="n">
        <x:v>615</x:v>
      </x:c>
      <x:c r="B616" s="2" t="inlineStr">
        <x:is>
          <x:t xml:space="preserve">300081</x:t>
        </x:is>
      </x:c>
      <x:c r="C616" s="3" t="inlineStr">
        <x:is>
          <x:t xml:space="preserve">恒信东方</x:t>
        </x:is>
      </x:c>
      <x:c r="D616" s="3" t="inlineStr">
        <x:is>
          <x:t xml:space="preserve">恒信东方文化股份有限公司</x:t>
        </x:is>
      </x:c>
      <x:c r="E616" s="2" t="inlineStr">
        <x:is>
          <x:t xml:space="preserve">北京市</x:t>
        </x:is>
      </x:c>
      <x:c r="F616" s="2" t="inlineStr">
        <x:is>
          <x:t xml:space="preserve">北京市</x:t>
        </x:is>
      </x:c>
      <x:c r="G616" s="3" t="inlineStr">
        <x:is>
          <x:t xml:space="preserve">北京市-北京市</x:t>
        </x:is>
      </x:c>
      <x:c r="H616" s="2" t="inlineStr">
        <x:is>
          <x:t xml:space="preserve">通信服务</x:t>
        </x:is>
      </x:c>
      <x:c r="I616" s="2" t="inlineStr">
        <x:is>
          <x:t xml:space="preserve">2010-05-20</x:t>
        </x:is>
      </x:c>
      <x:c r="J616" s="3" t="inlineStr">
        <x:is>
          <x:t xml:space="preserve">北京市东城区藏经馆胡同2号3幢一层101</x:t>
        </x:is>
      </x:c>
      <x:c r="K616" s="12" t="str">
        <x:f>LEFT("91130100732910720N",18)</x:f>
        <x:v>91130100732910720N</x:v>
      </x:c>
    </x:row>
    <x:row r="617">
      <x:c r="A617" s="4" t="n">
        <x:v>616</x:v>
      </x:c>
      <x:c r="B617" s="4" t="inlineStr">
        <x:is>
          <x:t xml:space="preserve">300139</x:t>
        </x:is>
      </x:c>
      <x:c r="C617" s="5" t="inlineStr">
        <x:is>
          <x:t xml:space="preserve">晓程科技</x:t>
        </x:is>
      </x:c>
      <x:c r="D617" s="5" t="inlineStr">
        <x:is>
          <x:t xml:space="preserve">北京晓程科技股份有限公司</x:t>
        </x:is>
      </x:c>
      <x:c r="E617" s="4" t="inlineStr">
        <x:is>
          <x:t xml:space="preserve">北京市</x:t>
        </x:is>
      </x:c>
      <x:c r="F617" s="4" t="inlineStr">
        <x:is>
          <x:t xml:space="preserve">北京市</x:t>
        </x:is>
      </x:c>
      <x:c r="G617" s="5" t="inlineStr">
        <x:is>
          <x:t xml:space="preserve">北京市-北京市</x:t>
        </x:is>
      </x:c>
      <x:c r="H617" s="4" t="inlineStr">
        <x:is>
          <x:t xml:space="preserve">贵金属</x:t>
        </x:is>
      </x:c>
      <x:c r="I617" s="4" t="inlineStr">
        <x:is>
          <x:t xml:space="preserve">2010-11-12</x:t>
        </x:is>
      </x:c>
      <x:c r="J617" s="5" t="inlineStr">
        <x:is>
          <x:t xml:space="preserve">北京市海淀区西三环北路87号国际财经中心D座503</x:t>
        </x:is>
      </x:c>
      <x:c r="K617" s="12" t="str">
        <x:f>LEFT("911100007226161069",18)</x:f>
        <x:v>911100007226161000</x:v>
      </x:c>
    </x:row>
    <x:row r="618">
      <x:c r="A618" s="2" t="n">
        <x:v>617</x:v>
      </x:c>
      <x:c r="B618" s="2" t="inlineStr">
        <x:is>
          <x:t xml:space="preserve">300150</x:t>
        </x:is>
      </x:c>
      <x:c r="C618" s="3" t="inlineStr">
        <x:is>
          <x:t xml:space="preserve">世纪瑞尔</x:t>
        </x:is>
      </x:c>
      <x:c r="D618" s="3" t="inlineStr">
        <x:is>
          <x:t xml:space="preserve">北京世纪瑞尔技术股份有限公司</x:t>
        </x:is>
      </x:c>
      <x:c r="E618" s="2" t="inlineStr">
        <x:is>
          <x:t xml:space="preserve">北京市</x:t>
        </x:is>
      </x:c>
      <x:c r="F618" s="2" t="inlineStr">
        <x:is>
          <x:t xml:space="preserve">北京市</x:t>
        </x:is>
      </x:c>
      <x:c r="G618" s="3" t="inlineStr">
        <x:is>
          <x:t xml:space="preserve">北京市-北京市</x:t>
        </x:is>
      </x:c>
      <x:c r="H618" s="2" t="inlineStr">
        <x:is>
          <x:t xml:space="preserve">电子信息</x:t>
        </x:is>
      </x:c>
      <x:c r="I618" s="2" t="inlineStr">
        <x:is>
          <x:t xml:space="preserve">2010-12-22</x:t>
        </x:is>
      </x:c>
      <x:c r="J618" s="3" t="inlineStr">
        <x:is>
          <x:t xml:space="preserve">北京市海淀区创业路8号3号楼6层3-9</x:t>
        </x:is>
      </x:c>
      <x:c r="K618" s="12" t="str">
        <x:f>LEFT("91110000700308807J",18)</x:f>
        <x:v>91110000700308807J</x:v>
      </x:c>
    </x:row>
    <x:row r="619">
      <x:c r="A619" s="4" t="n">
        <x:v>618</x:v>
      </x:c>
      <x:c r="B619" s="4" t="inlineStr">
        <x:is>
          <x:t xml:space="preserve">300157</x:t>
        </x:is>
      </x:c>
      <x:c r="C619" s="5" t="inlineStr">
        <x:is>
          <x:t xml:space="preserve">新锦动力</x:t>
        </x:is>
      </x:c>
      <x:c r="D619" s="5" t="inlineStr">
        <x:is>
          <x:t xml:space="preserve">新锦动力集团股份有限公司</x:t>
        </x:is>
      </x:c>
      <x:c r="E619" s="4" t="inlineStr">
        <x:is>
          <x:t xml:space="preserve">北京市</x:t>
        </x:is>
      </x:c>
      <x:c r="F619" s="4" t="inlineStr">
        <x:is>
          <x:t xml:space="preserve">北京市</x:t>
        </x:is>
      </x:c>
      <x:c r="G619" s="5" t="inlineStr">
        <x:is>
          <x:t xml:space="preserve">北京市-北京市</x:t>
        </x:is>
      </x:c>
      <x:c r="H619" s="4" t="inlineStr">
        <x:is>
          <x:t xml:space="preserve">采掘行业</x:t>
        </x:is>
      </x:c>
      <x:c r="I619" s="4" t="inlineStr">
        <x:is>
          <x:t xml:space="preserve">2011-01-07</x:t>
        </x:is>
      </x:c>
      <x:c r="J619" s="5" t="inlineStr">
        <x:is>
          <x:t xml:space="preserve">北京市海淀区丰秀中路3号院4号楼401室</x:t>
        </x:is>
      </x:c>
      <x:c r="K619" s="12" t="str">
        <x:f>LEFT("91110000773370273Q",18)</x:f>
        <x:v>91110000773370273Q</x:v>
      </x:c>
    </x:row>
    <x:row r="620">
      <x:c r="A620" s="2" t="n">
        <x:v>619</x:v>
      </x:c>
      <x:c r="B620" s="2" t="inlineStr">
        <x:is>
          <x:t xml:space="preserve">300166</x:t>
        </x:is>
      </x:c>
      <x:c r="C620" s="3" t="inlineStr">
        <x:is>
          <x:t xml:space="preserve">东方国信</x:t>
        </x:is>
      </x:c>
      <x:c r="D620" s="3" t="inlineStr">
        <x:is>
          <x:t xml:space="preserve">北京东方国信科技股份有限公司</x:t>
        </x:is>
      </x:c>
      <x:c r="E620" s="2" t="inlineStr">
        <x:is>
          <x:t xml:space="preserve">北京市</x:t>
        </x:is>
      </x:c>
      <x:c r="F620" s="2" t="inlineStr">
        <x:is>
          <x:t xml:space="preserve">北京市</x:t>
        </x:is>
      </x:c>
      <x:c r="G620" s="3" t="inlineStr">
        <x:is>
          <x:t xml:space="preserve">北京市-北京市</x:t>
        </x:is>
      </x:c>
      <x:c r="H620" s="2" t="inlineStr">
        <x:is>
          <x:t xml:space="preserve">互联网服务</x:t>
        </x:is>
      </x:c>
      <x:c r="I620" s="2" t="inlineStr">
        <x:is>
          <x:t xml:space="preserve">2011-01-25</x:t>
        </x:is>
      </x:c>
      <x:c r="J620" s="3" t="inlineStr">
        <x:is>
          <x:t xml:space="preserve">北京市朝阳区创达三路1号院1号楼7层101</x:t>
        </x:is>
      </x:c>
      <x:c r="K620" s="12" t="str">
        <x:f>LEFT("91110000633027609B",18)</x:f>
        <x:v>91110000633027609B</x:v>
      </x:c>
    </x:row>
    <x:row r="621">
      <x:c r="A621" s="4" t="n">
        <x:v>620</x:v>
      </x:c>
      <x:c r="B621" s="4" t="inlineStr">
        <x:is>
          <x:t xml:space="preserve">300182</x:t>
        </x:is>
      </x:c>
      <x:c r="C621" s="5" t="inlineStr">
        <x:is>
          <x:t xml:space="preserve">捷成股份</x:t>
        </x:is>
      </x:c>
      <x:c r="D621" s="5" t="inlineStr">
        <x:is>
          <x:t xml:space="preserve">北京捷成世纪科技股份有限公司</x:t>
        </x:is>
      </x:c>
      <x:c r="E621" s="4" t="inlineStr">
        <x:is>
          <x:t xml:space="preserve">北京市</x:t>
        </x:is>
      </x:c>
      <x:c r="F621" s="4" t="inlineStr">
        <x:is>
          <x:t xml:space="preserve">北京市</x:t>
        </x:is>
      </x:c>
      <x:c r="G621" s="5" t="inlineStr">
        <x:is>
          <x:t xml:space="preserve">北京市-北京市</x:t>
        </x:is>
      </x:c>
      <x:c r="H621" s="4" t="inlineStr">
        <x:is>
          <x:t xml:space="preserve">文化传媒</x:t>
        </x:is>
      </x:c>
      <x:c r="I621" s="4" t="inlineStr">
        <x:is>
          <x:t xml:space="preserve">2011-02-22</x:t>
        </x:is>
      </x:c>
      <x:c r="J621" s="5" t="inlineStr">
        <x:is>
          <x:t xml:space="preserve">北京市昌平区百善镇半壁街村9号</x:t>
        </x:is>
      </x:c>
      <x:c r="K621" s="12" t="str">
        <x:f>LEFT("91110000793443249D",18)</x:f>
        <x:v>91110000793443249D</x:v>
      </x:c>
    </x:row>
    <x:row r="622">
      <x:c r="A622" s="2" t="n">
        <x:v>621</x:v>
      </x:c>
      <x:c r="B622" s="2" t="inlineStr">
        <x:is>
          <x:t xml:space="preserve">300191</x:t>
        </x:is>
      </x:c>
      <x:c r="C622" s="3" t="inlineStr">
        <x:is>
          <x:t xml:space="preserve">潜能恒信</x:t>
        </x:is>
      </x:c>
      <x:c r="D622" s="3" t="inlineStr">
        <x:is>
          <x:t xml:space="preserve">潜能恒信能源技术股份有限公司</x:t>
        </x:is>
      </x:c>
      <x:c r="E622" s="2" t="inlineStr">
        <x:is>
          <x:t xml:space="preserve">北京市</x:t>
        </x:is>
      </x:c>
      <x:c r="F622" s="2" t="inlineStr">
        <x:is>
          <x:t xml:space="preserve">北京市</x:t>
        </x:is>
      </x:c>
      <x:c r="G622" s="3" t="inlineStr">
        <x:is>
          <x:t xml:space="preserve">北京市-北京市</x:t>
        </x:is>
      </x:c>
      <x:c r="H622" s="2" t="inlineStr">
        <x:is>
          <x:t xml:space="preserve">采掘行业</x:t>
        </x:is>
      </x:c>
      <x:c r="I622" s="2" t="inlineStr">
        <x:is>
          <x:t xml:space="preserve">2011-03-16</x:t>
        </x:is>
      </x:c>
      <x:c r="J622" s="3" t="inlineStr">
        <x:is>
          <x:t xml:space="preserve">北京市海淀区北洼路30号1号楼A416室</x:t>
        </x:is>
      </x:c>
      <x:c r="K622" s="12" t="str">
        <x:f>LEFT("91110000756008969C",18)</x:f>
        <x:v>91110000756008969C</x:v>
      </x:c>
    </x:row>
    <x:row r="623">
      <x:c r="A623" s="4" t="n">
        <x:v>622</x:v>
      </x:c>
      <x:c r="B623" s="4" t="inlineStr">
        <x:is>
          <x:t xml:space="preserve">300200</x:t>
        </x:is>
      </x:c>
      <x:c r="C623" s="5" t="inlineStr">
        <x:is>
          <x:t xml:space="preserve">高盟新材</x:t>
        </x:is>
      </x:c>
      <x:c r="D623" s="5" t="inlineStr">
        <x:is>
          <x:t xml:space="preserve">北京高盟新材料股份有限公司</x:t>
        </x:is>
      </x:c>
      <x:c r="E623" s="4" t="inlineStr">
        <x:is>
          <x:t xml:space="preserve">北京市</x:t>
        </x:is>
      </x:c>
      <x:c r="F623" s="4" t="inlineStr">
        <x:is>
          <x:t xml:space="preserve">北京市</x:t>
        </x:is>
      </x:c>
      <x:c r="G623" s="5" t="inlineStr">
        <x:is>
          <x:t xml:space="preserve">北京市-北京市</x:t>
        </x:is>
      </x:c>
      <x:c r="H623" s="4" t="inlineStr">
        <x:is>
          <x:t xml:space="preserve">化学制品</x:t>
        </x:is>
      </x:c>
      <x:c r="I623" s="4" t="inlineStr">
        <x:is>
          <x:t xml:space="preserve">2011-04-07</x:t>
        </x:is>
      </x:c>
      <x:c r="J623" s="5" t="inlineStr">
        <x:is>
          <x:t xml:space="preserve">北京市房山区燕山东流水工业区14号</x:t>
        </x:is>
      </x:c>
      <x:c r="K623" s="12" t="str">
        <x:f>LEFT("911100001028025068",18)</x:f>
        <x:v>911100001028025100</x:v>
      </x:c>
    </x:row>
    <x:row r="624">
      <x:c r="A624" s="2" t="n">
        <x:v>623</x:v>
      </x:c>
      <x:c r="B624" s="2" t="inlineStr">
        <x:is>
          <x:t xml:space="preserve">300204</x:t>
        </x:is>
      </x:c>
      <x:c r="C624" s="3" t="inlineStr">
        <x:is>
          <x:t xml:space="preserve">舒泰神</x:t>
        </x:is>
      </x:c>
      <x:c r="D624" s="3" t="inlineStr">
        <x:is>
          <x:t xml:space="preserve">舒泰神(北京)生物制药股份有限公司</x:t>
        </x:is>
      </x:c>
      <x:c r="E624" s="2" t="inlineStr">
        <x:is>
          <x:t xml:space="preserve">北京市</x:t>
        </x:is>
      </x:c>
      <x:c r="F624" s="2" t="inlineStr">
        <x:is>
          <x:t xml:space="preserve">北京市</x:t>
        </x:is>
      </x:c>
      <x:c r="G624" s="3" t="inlineStr">
        <x:is>
          <x:t xml:space="preserve">北京市-北京市</x:t>
        </x:is>
      </x:c>
      <x:c r="H624" s="2" t="inlineStr">
        <x:is>
          <x:t xml:space="preserve">生物制品</x:t>
        </x:is>
      </x:c>
      <x:c r="I624" s="2" t="inlineStr">
        <x:is>
          <x:t xml:space="preserve">2011-04-15</x:t>
        </x:is>
      </x:c>
      <x:c r="J624" s="3" t="inlineStr">
        <x:is>
          <x:t xml:space="preserve">北京市北京经济技术开发区经海二路36号</x:t>
        </x:is>
      </x:c>
      <x:c r="K624" s="12" t="str">
        <x:f>LEFT("911100007423131451",18)</x:f>
        <x:v>911100007423131400</x:v>
      </x:c>
    </x:row>
    <x:row r="625">
      <x:c r="A625" s="4" t="n">
        <x:v>624</x:v>
      </x:c>
      <x:c r="B625" s="4" t="inlineStr">
        <x:is>
          <x:t xml:space="preserve">300212</x:t>
        </x:is>
      </x:c>
      <x:c r="C625" s="5" t="inlineStr">
        <x:is>
          <x:t xml:space="preserve">易华录</x:t>
        </x:is>
      </x:c>
      <x:c r="D625" s="5" t="inlineStr">
        <x:is>
          <x:t xml:space="preserve">北京易华录信息技术股份有限公司</x:t>
        </x:is>
      </x:c>
      <x:c r="E625" s="4" t="inlineStr">
        <x:is>
          <x:t xml:space="preserve">北京市</x:t>
        </x:is>
      </x:c>
      <x:c r="F625" s="4" t="inlineStr">
        <x:is>
          <x:t xml:space="preserve">北京市</x:t>
        </x:is>
      </x:c>
      <x:c r="G625" s="5" t="inlineStr">
        <x:is>
          <x:t xml:space="preserve">北京市-北京市</x:t>
        </x:is>
      </x:c>
      <x:c r="H625" s="4" t="inlineStr">
        <x:is>
          <x:t xml:space="preserve">互联网服务</x:t>
        </x:is>
      </x:c>
      <x:c r="I625" s="4" t="inlineStr">
        <x:is>
          <x:t xml:space="preserve">2011-05-05</x:t>
        </x:is>
      </x:c>
      <x:c r="J625" s="5" t="inlineStr">
        <x:is>
          <x:t xml:space="preserve">北京市石景山区阜石路165号院1号楼1001室</x:t>
        </x:is>
      </x:c>
      <x:c r="K625" s="12" t="str">
        <x:f>LEFT("91110000802085421K",18)</x:f>
        <x:v>91110000802085421K</x:v>
      </x:c>
    </x:row>
    <x:row r="626">
      <x:c r="A626" s="2" t="n">
        <x:v>625</x:v>
      </x:c>
      <x:c r="B626" s="2" t="inlineStr">
        <x:is>
          <x:t xml:space="preserve">300213</x:t>
        </x:is>
      </x:c>
      <x:c r="C626" s="3" t="inlineStr">
        <x:is>
          <x:t xml:space="preserve">佳讯飞鸿</x:t>
        </x:is>
      </x:c>
      <x:c r="D626" s="3" t="inlineStr">
        <x:is>
          <x:t xml:space="preserve">北京佳讯飞鸿电气股份有限公司</x:t>
        </x:is>
      </x:c>
      <x:c r="E626" s="2" t="inlineStr">
        <x:is>
          <x:t xml:space="preserve">北京市</x:t>
        </x:is>
      </x:c>
      <x:c r="F626" s="2" t="inlineStr">
        <x:is>
          <x:t xml:space="preserve">北京市</x:t>
        </x:is>
      </x:c>
      <x:c r="G626" s="3" t="inlineStr">
        <x:is>
          <x:t xml:space="preserve">北京市-北京市</x:t>
        </x:is>
      </x:c>
      <x:c r="H626" s="2" t="inlineStr">
        <x:is>
          <x:t xml:space="preserve">通讯行业</x:t>
        </x:is>
      </x:c>
      <x:c r="I626" s="2" t="inlineStr">
        <x:is>
          <x:t xml:space="preserve">2011-05-05</x:t>
        </x:is>
      </x:c>
      <x:c r="J626" s="3" t="inlineStr">
        <x:is>
          <x:t xml:space="preserve">北京海淀区锦带路88号院1号楼</x:t>
        </x:is>
      </x:c>
      <x:c r="K626" s="12" t="str">
        <x:f>LEFT("91110000101908915L",18)</x:f>
        <x:v>91110000101908915L</x:v>
      </x:c>
    </x:row>
    <x:row r="627">
      <x:c r="A627" s="4" t="n">
        <x:v>626</x:v>
      </x:c>
      <x:c r="B627" s="4" t="inlineStr">
        <x:is>
          <x:t xml:space="preserve">300223</x:t>
        </x:is>
      </x:c>
      <x:c r="C627" s="5" t="inlineStr">
        <x:is>
          <x:t xml:space="preserve">北京君正</x:t>
        </x:is>
      </x:c>
      <x:c r="D627" s="5" t="inlineStr">
        <x:is>
          <x:t xml:space="preserve">北京君正集成电路股份有限公司</x:t>
        </x:is>
      </x:c>
      <x:c r="E627" s="4" t="inlineStr">
        <x:is>
          <x:t xml:space="preserve">北京市</x:t>
        </x:is>
      </x:c>
      <x:c r="F627" s="4" t="inlineStr">
        <x:is>
          <x:t xml:space="preserve">北京市</x:t>
        </x:is>
      </x:c>
      <x:c r="G627" s="5" t="inlineStr">
        <x:is>
          <x:t xml:space="preserve">北京市-北京市</x:t>
        </x:is>
      </x:c>
      <x:c r="H627" s="4" t="inlineStr">
        <x:is>
          <x:t xml:space="preserve">半导体</x:t>
        </x:is>
      </x:c>
      <x:c r="I627" s="4" t="inlineStr">
        <x:is>
          <x:t xml:space="preserve">2011-05-31</x:t>
        </x:is>
      </x:c>
      <x:c r="J627" s="5" t="inlineStr">
        <x:is>
          <x:t xml:space="preserve">北京市海淀区西北旺东路10号院东区14号楼一层A101-A113</x:t>
        </x:is>
      </x:c>
      <x:c r="K627" s="12" t="str">
        <x:f>LEFT("911100007776681570",18)</x:f>
        <x:v>911100007776681600</x:v>
      </x:c>
    </x:row>
    <x:row r="628">
      <x:c r="A628" s="2" t="n">
        <x:v>627</x:v>
      </x:c>
      <x:c r="B628" s="2" t="inlineStr">
        <x:is>
          <x:t xml:space="preserve">300229</x:t>
        </x:is>
      </x:c>
      <x:c r="C628" s="3" t="inlineStr">
        <x:is>
          <x:t xml:space="preserve">拓尔思</x:t>
        </x:is>
      </x:c>
      <x:c r="D628" s="3" t="inlineStr">
        <x:is>
          <x:t xml:space="preserve">拓尔思信息技术股份有限公司</x:t>
        </x:is>
      </x:c>
      <x:c r="E628" s="2" t="inlineStr">
        <x:is>
          <x:t xml:space="preserve">北京市</x:t>
        </x:is>
      </x:c>
      <x:c r="F628" s="2" t="inlineStr">
        <x:is>
          <x:t xml:space="preserve">北京市</x:t>
        </x:is>
      </x:c>
      <x:c r="G628" s="3" t="inlineStr">
        <x:is>
          <x:t xml:space="preserve">北京市-北京市</x:t>
        </x:is>
      </x:c>
      <x:c r="H628" s="2" t="inlineStr">
        <x:is>
          <x:t xml:space="preserve">软件服务</x:t>
        </x:is>
      </x:c>
      <x:c r="I628" s="2" t="inlineStr">
        <x:is>
          <x:t xml:space="preserve">2011-06-15</x:t>
        </x:is>
      </x:c>
      <x:c r="J628" s="3" t="inlineStr">
        <x:is>
          <x:t xml:space="preserve">北京市海淀区建枫路(南延)6号院3号楼1至7层101</x:t>
        </x:is>
      </x:c>
      <x:c r="K628" s="12" t="str">
        <x:f>LEFT("911100006000107204",18)</x:f>
        <x:v>911100006000107300</x:v>
      </x:c>
    </x:row>
    <x:row r="629">
      <x:c r="A629" s="4" t="n">
        <x:v>628</x:v>
      </x:c>
      <x:c r="B629" s="4" t="inlineStr">
        <x:is>
          <x:t xml:space="preserve">300231</x:t>
        </x:is>
      </x:c>
      <x:c r="C629" s="5" t="inlineStr">
        <x:is>
          <x:t xml:space="preserve">银信科技</x:t>
        </x:is>
      </x:c>
      <x:c r="D629" s="5" t="inlineStr">
        <x:is>
          <x:t xml:space="preserve">北京银信长远科技股份有限公司</x:t>
        </x:is>
      </x:c>
      <x:c r="E629" s="4" t="inlineStr">
        <x:is>
          <x:t xml:space="preserve">北京市</x:t>
        </x:is>
      </x:c>
      <x:c r="F629" s="4" t="inlineStr">
        <x:is>
          <x:t xml:space="preserve">北京市</x:t>
        </x:is>
      </x:c>
      <x:c r="G629" s="5" t="inlineStr">
        <x:is>
          <x:t xml:space="preserve">北京市-北京市</x:t>
        </x:is>
      </x:c>
      <x:c r="H629" s="4" t="inlineStr">
        <x:is>
          <x:t xml:space="preserve">互联网服务</x:t>
        </x:is>
      </x:c>
      <x:c r="I629" s="4" t="inlineStr">
        <x:is>
          <x:t xml:space="preserve">2011-06-15</x:t>
        </x:is>
      </x:c>
      <x:c r="J629" s="5" t="inlineStr">
        <x:is>
          <x:t xml:space="preserve">北京市海淀区苏州街29号维亚大厦12层071室</x:t>
        </x:is>
      </x:c>
      <x:c r="K629" s="12" t="str">
        <x:f>LEFT("91110000762955583N",18)</x:f>
        <x:v>91110000762955583N</x:v>
      </x:c>
    </x:row>
    <x:row r="630">
      <x:c r="A630" s="2" t="n">
        <x:v>629</x:v>
      </x:c>
      <x:c r="B630" s="2" t="inlineStr">
        <x:is>
          <x:t xml:space="preserve">300251</x:t>
        </x:is>
      </x:c>
      <x:c r="C630" s="3" t="inlineStr">
        <x:is>
          <x:t xml:space="preserve">光线传媒</x:t>
        </x:is>
      </x:c>
      <x:c r="D630" s="3" t="inlineStr">
        <x:is>
          <x:t xml:space="preserve">北京光线传媒股份有限公司</x:t>
        </x:is>
      </x:c>
      <x:c r="E630" s="2" t="inlineStr">
        <x:is>
          <x:t xml:space="preserve">北京市</x:t>
        </x:is>
      </x:c>
      <x:c r="F630" s="2" t="inlineStr">
        <x:is>
          <x:t xml:space="preserve">北京市</x:t>
        </x:is>
      </x:c>
      <x:c r="G630" s="3" t="inlineStr">
        <x:is>
          <x:t xml:space="preserve">北京市-北京市</x:t>
        </x:is>
      </x:c>
      <x:c r="H630" s="2" t="inlineStr">
        <x:is>
          <x:t xml:space="preserve">文化传媒</x:t>
        </x:is>
      </x:c>
      <x:c r="I630" s="2" t="inlineStr">
        <x:is>
          <x:t xml:space="preserve">2011-08-03</x:t>
        </x:is>
      </x:c>
      <x:c r="J630" s="3" t="inlineStr">
        <x:is>
          <x:t xml:space="preserve">北京市东城区和平里东街11号37号楼11105号</x:t>
        </x:is>
      </x:c>
      <x:c r="K630" s="12" t="str">
        <x:f>LEFT("91110000722604869A",18)</x:f>
        <x:v>91110000722604869A</x:v>
      </x:c>
    </x:row>
    <x:row r="631">
      <x:c r="A631" s="4" t="n">
        <x:v>630</x:v>
      </x:c>
      <x:c r="B631" s="4" t="inlineStr">
        <x:is>
          <x:t xml:space="preserve">300271</x:t>
        </x:is>
      </x:c>
      <x:c r="C631" s="5" t="inlineStr">
        <x:is>
          <x:t xml:space="preserve">华宇软件</x:t>
        </x:is>
      </x:c>
      <x:c r="D631" s="5" t="inlineStr">
        <x:is>
          <x:t xml:space="preserve">北京华宇软件股份有限公司</x:t>
        </x:is>
      </x:c>
      <x:c r="E631" s="4" t="inlineStr">
        <x:is>
          <x:t xml:space="preserve">北京市</x:t>
        </x:is>
      </x:c>
      <x:c r="F631" s="4" t="inlineStr">
        <x:is>
          <x:t xml:space="preserve">北京市</x:t>
        </x:is>
      </x:c>
      <x:c r="G631" s="5" t="inlineStr">
        <x:is>
          <x:t xml:space="preserve">北京市-北京市</x:t>
        </x:is>
      </x:c>
      <x:c r="H631" s="4" t="inlineStr">
        <x:is>
          <x:t xml:space="preserve">互联网服务</x:t>
        </x:is>
      </x:c>
      <x:c r="I631" s="4" t="inlineStr">
        <x:is>
          <x:t xml:space="preserve">2011-10-26</x:t>
        </x:is>
      </x:c>
      <x:c r="J631" s="5" t="inlineStr">
        <x:is>
          <x:t xml:space="preserve">北京市海淀区中关村东路1号院清华科技园科技大厦C座25层</x:t>
        </x:is>
      </x:c>
      <x:c r="K631" s="12" t="str">
        <x:f>LEFT("91110000726360320G",18)</x:f>
        <x:v>91110000726360320G</x:v>
      </x:c>
    </x:row>
    <x:row r="632">
      <x:c r="A632" s="2" t="n">
        <x:v>631</x:v>
      </x:c>
      <x:c r="B632" s="2" t="inlineStr">
        <x:is>
          <x:t xml:space="preserve">300287</x:t>
        </x:is>
      </x:c>
      <x:c r="C632" s="3" t="inlineStr">
        <x:is>
          <x:t xml:space="preserve">飞利信</x:t>
        </x:is>
      </x:c>
      <x:c r="D632" s="3" t="inlineStr">
        <x:is>
          <x:t xml:space="preserve">北京飞利信科技股份有限公司</x:t>
        </x:is>
      </x:c>
      <x:c r="E632" s="2" t="inlineStr">
        <x:is>
          <x:t xml:space="preserve">北京市</x:t>
        </x:is>
      </x:c>
      <x:c r="F632" s="2" t="inlineStr">
        <x:is>
          <x:t xml:space="preserve">北京市</x:t>
        </x:is>
      </x:c>
      <x:c r="G632" s="3" t="inlineStr">
        <x:is>
          <x:t xml:space="preserve">北京市-北京市</x:t>
        </x:is>
      </x:c>
      <x:c r="H632" s="2" t="inlineStr">
        <x:is>
          <x:t xml:space="preserve">互联网服务</x:t>
        </x:is>
      </x:c>
      <x:c r="I632" s="2" t="inlineStr">
        <x:is>
          <x:t xml:space="preserve">2012-02-01</x:t>
        </x:is>
      </x:c>
      <x:c r="J632" s="3" t="inlineStr">
        <x:is>
          <x:t xml:space="preserve">北京市海淀区志新村二号院内10层房间号1001</x:t>
        </x:is>
      </x:c>
      <x:c r="K632" s="12" t="str">
        <x:f>LEFT("91110000743325201J",18)</x:f>
        <x:v>91110000743325201J</x:v>
      </x:c>
    </x:row>
    <x:row r="633">
      <x:c r="A633" s="4" t="n">
        <x:v>632</x:v>
      </x:c>
      <x:c r="B633" s="4" t="inlineStr">
        <x:is>
          <x:t xml:space="preserve">300289</x:t>
        </x:is>
      </x:c>
      <x:c r="C633" s="5" t="inlineStr">
        <x:is>
          <x:t xml:space="preserve">利德曼</x:t>
        </x:is>
      </x:c>
      <x:c r="D633" s="5" t="inlineStr">
        <x:is>
          <x:t xml:space="preserve">北京利德曼生化股份有限公司</x:t>
        </x:is>
      </x:c>
      <x:c r="E633" s="4" t="inlineStr">
        <x:is>
          <x:t xml:space="preserve">北京市</x:t>
        </x:is>
      </x:c>
      <x:c r="F633" s="4" t="inlineStr">
        <x:is>
          <x:t xml:space="preserve">北京市</x:t>
        </x:is>
      </x:c>
      <x:c r="G633" s="5" t="inlineStr">
        <x:is>
          <x:t xml:space="preserve">北京市-北京市</x:t>
        </x:is>
      </x:c>
      <x:c r="H633" s="4" t="inlineStr">
        <x:is>
          <x:t xml:space="preserve">医疗器械</x:t>
        </x:is>
      </x:c>
      <x:c r="I633" s="4" t="inlineStr">
        <x:is>
          <x:t xml:space="preserve">2012-02-16</x:t>
        </x:is>
      </x:c>
      <x:c r="J633" s="5" t="inlineStr">
        <x:is>
          <x:t xml:space="preserve">北京市经济技术开发区兴海路5号</x:t>
        </x:is>
      </x:c>
      <x:c r="K633" s="12" t="str">
        <x:f>LEFT("911100006000677198",18)</x:f>
        <x:v>911100006000677200</x:v>
      </x:c>
    </x:row>
    <x:row r="634">
      <x:c r="A634" s="2" t="n">
        <x:v>633</x:v>
      </x:c>
      <x:c r="B634" s="2" t="inlineStr">
        <x:is>
          <x:t xml:space="preserve">300291</x:t>
        </x:is>
      </x:c>
      <x:c r="C634" s="3" t="inlineStr">
        <x:is>
          <x:t xml:space="preserve">百纳千成</x:t>
        </x:is>
      </x:c>
      <x:c r="D634" s="3" t="inlineStr">
        <x:is>
          <x:t xml:space="preserve">北京百纳千成影视股份有限公司</x:t>
        </x:is>
      </x:c>
      <x:c r="E634" s="2" t="inlineStr">
        <x:is>
          <x:t xml:space="preserve">北京市</x:t>
        </x:is>
      </x:c>
      <x:c r="F634" s="2" t="inlineStr">
        <x:is>
          <x:t xml:space="preserve">北京市</x:t>
        </x:is>
      </x:c>
      <x:c r="G634" s="3" t="inlineStr">
        <x:is>
          <x:t xml:space="preserve">北京市-北京市</x:t>
        </x:is>
      </x:c>
      <x:c r="H634" s="2" t="inlineStr">
        <x:is>
          <x:t xml:space="preserve">文化传媒</x:t>
        </x:is>
      </x:c>
      <x:c r="I634" s="2" t="inlineStr">
        <x:is>
          <x:t xml:space="preserve">2012-02-09</x:t>
        </x:is>
      </x:c>
      <x:c r="J634" s="3" t="inlineStr">
        <x:is>
          <x:t xml:space="preserve">北京市石景山区八大处高科技园区西井路3号3号楼5365房间</x:t>
        </x:is>
      </x:c>
      <x:c r="K634" s="12" t="str">
        <x:f>LEFT("91110000740091307R",18)</x:f>
        <x:v>91110000740091307R</x:v>
      </x:c>
    </x:row>
    <x:row r="635">
      <x:c r="A635" s="4" t="n">
        <x:v>634</x:v>
      </x:c>
      <x:c r="B635" s="4" t="inlineStr">
        <x:is>
          <x:t xml:space="preserve">300296</x:t>
        </x:is>
      </x:c>
      <x:c r="C635" s="5" t="inlineStr">
        <x:is>
          <x:t xml:space="preserve">利亚德</x:t>
        </x:is>
      </x:c>
      <x:c r="D635" s="5" t="inlineStr">
        <x:is>
          <x:t xml:space="preserve">利亚德光电股份有限公司</x:t>
        </x:is>
      </x:c>
      <x:c r="E635" s="4" t="inlineStr">
        <x:is>
          <x:t xml:space="preserve">北京市</x:t>
        </x:is>
      </x:c>
      <x:c r="F635" s="4" t="inlineStr">
        <x:is>
          <x:t xml:space="preserve">北京市</x:t>
        </x:is>
      </x:c>
      <x:c r="G635" s="5" t="inlineStr">
        <x:is>
          <x:t xml:space="preserve">北京市-北京市</x:t>
        </x:is>
      </x:c>
      <x:c r="H635" s="4" t="inlineStr">
        <x:is>
          <x:t xml:space="preserve">光学光电子</x:t>
        </x:is>
      </x:c>
      <x:c r="I635" s="4" t="inlineStr">
        <x:is>
          <x:t xml:space="preserve">2012-03-15</x:t>
        </x:is>
      </x:c>
      <x:c r="J635" s="5" t="inlineStr">
        <x:is>
          <x:t xml:space="preserve">北京市海淀区颐和园北正红旗西街9号</x:t>
        </x:is>
      </x:c>
      <x:c r="K635" s="12" t="str">
        <x:f>LEFT("91110000600039822G",18)</x:f>
        <x:v>91110000600039822G</x:v>
      </x:c>
    </x:row>
    <x:row r="636">
      <x:c r="A636" s="2" t="n">
        <x:v>635</x:v>
      </x:c>
      <x:c r="B636" s="2" t="inlineStr">
        <x:is>
          <x:t xml:space="preserve">300302</x:t>
        </x:is>
      </x:c>
      <x:c r="C636" s="3" t="inlineStr">
        <x:is>
          <x:t xml:space="preserve">同有科技</x:t>
        </x:is>
      </x:c>
      <x:c r="D636" s="3" t="inlineStr">
        <x:is>
          <x:t xml:space="preserve">北京同有飞骥科技股份有限公司</x:t>
        </x:is>
      </x:c>
      <x:c r="E636" s="2" t="inlineStr">
        <x:is>
          <x:t xml:space="preserve">北京市</x:t>
        </x:is>
      </x:c>
      <x:c r="F636" s="2" t="inlineStr">
        <x:is>
          <x:t xml:space="preserve">北京市</x:t>
        </x:is>
      </x:c>
      <x:c r="G636" s="3" t="inlineStr">
        <x:is>
          <x:t xml:space="preserve">北京市-北京市</x:t>
        </x:is>
      </x:c>
      <x:c r="H636" s="2" t="inlineStr">
        <x:is>
          <x:t xml:space="preserve">软件服务</x:t>
        </x:is>
      </x:c>
      <x:c r="I636" s="2" t="inlineStr">
        <x:is>
          <x:t xml:space="preserve">2012-03-21</x:t>
        </x:is>
      </x:c>
      <x:c r="J636" s="3" t="inlineStr">
        <x:is>
          <x:t xml:space="preserve">北京市海淀区地锦路9号院2号楼-1至4层101</x:t>
        </x:is>
      </x:c>
      <x:c r="K636" s="12" t="str">
        <x:f>LEFT("911100007001499141",18)</x:f>
        <x:v>911100007001499100</x:v>
      </x:c>
    </x:row>
    <x:row r="637">
      <x:c r="A637" s="4" t="n">
        <x:v>636</x:v>
      </x:c>
      <x:c r="B637" s="4" t="inlineStr">
        <x:is>
          <x:t xml:space="preserve">300315</x:t>
        </x:is>
      </x:c>
      <x:c r="C637" s="5" t="inlineStr">
        <x:is>
          <x:t xml:space="preserve">掌趣科技</x:t>
        </x:is>
      </x:c>
      <x:c r="D637" s="5" t="inlineStr">
        <x:is>
          <x:t xml:space="preserve">北京掌趣科技股份有限公司</x:t>
        </x:is>
      </x:c>
      <x:c r="E637" s="4" t="inlineStr">
        <x:is>
          <x:t xml:space="preserve">北京市</x:t>
        </x:is>
      </x:c>
      <x:c r="F637" s="4" t="inlineStr">
        <x:is>
          <x:t xml:space="preserve">北京市</x:t>
        </x:is>
      </x:c>
      <x:c r="G637" s="5" t="inlineStr">
        <x:is>
          <x:t xml:space="preserve">北京市-北京市</x:t>
        </x:is>
      </x:c>
      <x:c r="H637" s="4" t="inlineStr">
        <x:is>
          <x:t xml:space="preserve">游戏</x:t>
        </x:is>
      </x:c>
      <x:c r="I637" s="4" t="inlineStr">
        <x:is>
          <x:t xml:space="preserve">2012-05-11</x:t>
        </x:is>
      </x:c>
      <x:c r="J637" s="5" t="inlineStr">
        <x:is>
          <x:t xml:space="preserve">北京市海淀区东北旺西路8号院34号楼1层01</x:t>
        </x:is>
      </x:c>
      <x:c r="K637" s="12" t="str">
        <x:f>LEFT("91110000765511822T",18)</x:f>
        <x:v>91110000765511822T</x:v>
      </x:c>
    </x:row>
    <x:row r="638">
      <x:c r="A638" s="2" t="n">
        <x:v>637</x:v>
      </x:c>
      <x:c r="B638" s="2" t="inlineStr">
        <x:is>
          <x:t xml:space="preserve">300318</x:t>
        </x:is>
      </x:c>
      <x:c r="C638" s="3" t="inlineStr">
        <x:is>
          <x:t xml:space="preserve">博晖创新</x:t>
        </x:is>
      </x:c>
      <x:c r="D638" s="3" t="inlineStr">
        <x:is>
          <x:t xml:space="preserve">北京博晖创新生物技术集团股份有限公司</x:t>
        </x:is>
      </x:c>
      <x:c r="E638" s="2" t="inlineStr">
        <x:is>
          <x:t xml:space="preserve">北京市</x:t>
        </x:is>
      </x:c>
      <x:c r="F638" s="2" t="inlineStr">
        <x:is>
          <x:t xml:space="preserve">北京市</x:t>
        </x:is>
      </x:c>
      <x:c r="G638" s="3" t="inlineStr">
        <x:is>
          <x:t xml:space="preserve">北京市-北京市</x:t>
        </x:is>
      </x:c>
      <x:c r="H638" s="2" t="inlineStr">
        <x:is>
          <x:t xml:space="preserve">医疗器械</x:t>
        </x:is>
      </x:c>
      <x:c r="I638" s="2" t="inlineStr">
        <x:is>
          <x:t xml:space="preserve">2012-05-23</x:t>
        </x:is>
      </x:c>
      <x:c r="J638" s="3" t="inlineStr">
        <x:is>
          <x:t xml:space="preserve">北京市昌平区生命园路9号院</x:t>
        </x:is>
      </x:c>
      <x:c r="K638" s="12" t="str">
        <x:f>LEFT("91110000726362190T",18)</x:f>
        <x:v>91110000726362190T</x:v>
      </x:c>
    </x:row>
    <x:row r="639">
      <x:c r="A639" s="4" t="n">
        <x:v>638</x:v>
      </x:c>
      <x:c r="B639" s="4" t="inlineStr">
        <x:is>
          <x:t xml:space="preserve">300324</x:t>
        </x:is>
      </x:c>
      <x:c r="C639" s="5" t="inlineStr">
        <x:is>
          <x:t xml:space="preserve">旋极信息</x:t>
        </x:is>
      </x:c>
      <x:c r="D639" s="5" t="inlineStr">
        <x:is>
          <x:t xml:space="preserve">北京旋极信息技术股份有限公司</x:t>
        </x:is>
      </x:c>
      <x:c r="E639" s="4" t="inlineStr">
        <x:is>
          <x:t xml:space="preserve">北京市</x:t>
        </x:is>
      </x:c>
      <x:c r="F639" s="4" t="inlineStr">
        <x:is>
          <x:t xml:space="preserve">北京市</x:t>
        </x:is>
      </x:c>
      <x:c r="G639" s="5" t="inlineStr">
        <x:is>
          <x:t xml:space="preserve">北京市-北京市</x:t>
        </x:is>
      </x:c>
      <x:c r="H639" s="4" t="inlineStr">
        <x:is>
          <x:t xml:space="preserve">互联网服务</x:t>
        </x:is>
      </x:c>
      <x:c r="I639" s="4" t="inlineStr">
        <x:is>
          <x:t xml:space="preserve">2012-06-08</x:t>
        </x:is>
      </x:c>
      <x:c r="J639" s="5" t="inlineStr">
        <x:is>
          <x:t xml:space="preserve">北京市大兴区经济开发区科苑路18号3幢一层111室</x:t>
        </x:is>
      </x:c>
      <x:c r="K639" s="12" t="str">
        <x:f>LEFT("911100006336942335",18)</x:f>
        <x:v>911100006336942300</x:v>
      </x:c>
    </x:row>
    <x:row r="640">
      <x:c r="A640" s="2" t="n">
        <x:v>639</x:v>
      </x:c>
      <x:c r="B640" s="2" t="inlineStr">
        <x:is>
          <x:t xml:space="preserve">300332</x:t>
        </x:is>
      </x:c>
      <x:c r="C640" s="3" t="inlineStr">
        <x:is>
          <x:t xml:space="preserve">天壕能源</x:t>
        </x:is>
      </x:c>
      <x:c r="D640" s="3" t="inlineStr">
        <x:is>
          <x:t xml:space="preserve">天壕能源股份有限公司</x:t>
        </x:is>
      </x:c>
      <x:c r="E640" s="2" t="inlineStr">
        <x:is>
          <x:t xml:space="preserve">北京市</x:t>
        </x:is>
      </x:c>
      <x:c r="F640" s="2" t="inlineStr">
        <x:is>
          <x:t xml:space="preserve">北京市</x:t>
        </x:is>
      </x:c>
      <x:c r="G640" s="3" t="inlineStr">
        <x:is>
          <x:t xml:space="preserve">北京市-北京市</x:t>
        </x:is>
      </x:c>
      <x:c r="H640" s="2" t="inlineStr">
        <x:is>
          <x:t xml:space="preserve">燃气</x:t>
        </x:is>
      </x:c>
      <x:c r="I640" s="2" t="inlineStr">
        <x:is>
          <x:t xml:space="preserve">2012-06-28</x:t>
        </x:is>
      </x:c>
      <x:c r="J640" s="3" t="inlineStr">
        <x:is>
          <x:t xml:space="preserve">北京市朝阳区朝阳门外大街甲6号22层2座2201内08</x:t>
        </x:is>
      </x:c>
      <x:c r="K640" s="12" t="str">
        <x:f>LEFT("91110000662153719Y",18)</x:f>
        <x:v>91110000662153719Y</x:v>
      </x:c>
    </x:row>
    <x:row r="641">
      <x:c r="A641" s="4" t="n">
        <x:v>640</x:v>
      </x:c>
      <x:c r="B641" s="4" t="inlineStr">
        <x:is>
          <x:t xml:space="preserve">300352</x:t>
        </x:is>
      </x:c>
      <x:c r="C641" s="5" t="inlineStr">
        <x:is>
          <x:t xml:space="preserve">北信源</x:t>
        </x:is>
      </x:c>
      <x:c r="D641" s="5" t="inlineStr">
        <x:is>
          <x:t xml:space="preserve">北京北信源软件股份有限公司</x:t>
        </x:is>
      </x:c>
      <x:c r="E641" s="4" t="inlineStr">
        <x:is>
          <x:t xml:space="preserve">北京市</x:t>
        </x:is>
      </x:c>
      <x:c r="F641" s="4" t="inlineStr">
        <x:is>
          <x:t xml:space="preserve">北京市</x:t>
        </x:is>
      </x:c>
      <x:c r="G641" s="5" t="inlineStr">
        <x:is>
          <x:t xml:space="preserve">北京市-北京市</x:t>
        </x:is>
      </x:c>
      <x:c r="H641" s="4" t="inlineStr">
        <x:is>
          <x:t xml:space="preserve">软件服务</x:t>
        </x:is>
      </x:c>
      <x:c r="I641" s="4" t="inlineStr">
        <x:is>
          <x:t xml:space="preserve">2012-09-12</x:t>
        </x:is>
      </x:c>
      <x:c r="J641" s="5" t="inlineStr">
        <x:is>
          <x:t xml:space="preserve">北京市海淀区中关村南大街34号中关村科技发展大厦C座1602室</x:t>
        </x:is>
      </x:c>
      <x:c r="K641" s="12" t="str">
        <x:f>LEFT("91110000101967333M",18)</x:f>
        <x:v>91110000101967333M</x:v>
      </x:c>
    </x:row>
    <x:row r="642">
      <x:c r="A642" s="2" t="n">
        <x:v>641</x:v>
      </x:c>
      <x:c r="B642" s="2" t="inlineStr">
        <x:is>
          <x:t xml:space="preserve">300353</x:t>
        </x:is>
      </x:c>
      <x:c r="C642" s="3" t="inlineStr">
        <x:is>
          <x:t xml:space="preserve">东土科技</x:t>
        </x:is>
      </x:c>
      <x:c r="D642" s="3" t="inlineStr">
        <x:is>
          <x:t xml:space="preserve">北京东土科技股份有限公司</x:t>
        </x:is>
      </x:c>
      <x:c r="E642" s="2" t="inlineStr">
        <x:is>
          <x:t xml:space="preserve">北京市</x:t>
        </x:is>
      </x:c>
      <x:c r="F642" s="2" t="inlineStr">
        <x:is>
          <x:t xml:space="preserve">北京市</x:t>
        </x:is>
      </x:c>
      <x:c r="G642" s="3" t="inlineStr">
        <x:is>
          <x:t xml:space="preserve">北京市-北京市</x:t>
        </x:is>
      </x:c>
      <x:c r="H642" s="2" t="inlineStr">
        <x:is>
          <x:t xml:space="preserve">通讯行业</x:t>
        </x:is>
      </x:c>
      <x:c r="I642" s="2" t="inlineStr">
        <x:is>
          <x:t xml:space="preserve">2012-09-27</x:t>
        </x:is>
      </x:c>
      <x:c r="J642" s="3" t="inlineStr">
        <x:is>
          <x:t xml:space="preserve">北京市石景山区实兴大街30号院2号楼8层901</x:t>
        </x:is>
      </x:c>
      <x:c r="K642" s="12" t="str">
        <x:f>LEFT("911100007226014149",18)</x:f>
        <x:v>911100007226014200</x:v>
      </x:c>
    </x:row>
    <x:row r="643">
      <x:c r="A643" s="4" t="n">
        <x:v>642</x:v>
      </x:c>
      <x:c r="B643" s="4" t="inlineStr">
        <x:is>
          <x:t xml:space="preserve">300364</x:t>
        </x:is>
      </x:c>
      <x:c r="C643" s="5" t="inlineStr">
        <x:is>
          <x:t xml:space="preserve">中文在线</x:t>
        </x:is>
      </x:c>
      <x:c r="D643" s="5" t="inlineStr">
        <x:is>
          <x:t xml:space="preserve">中文在线集团股份有限公司</x:t>
        </x:is>
      </x:c>
      <x:c r="E643" s="4" t="inlineStr">
        <x:is>
          <x:t xml:space="preserve">北京市</x:t>
        </x:is>
      </x:c>
      <x:c r="F643" s="4" t="inlineStr">
        <x:is>
          <x:t xml:space="preserve">北京市</x:t>
        </x:is>
      </x:c>
      <x:c r="G643" s="5" t="inlineStr">
        <x:is>
          <x:t xml:space="preserve">北京市-北京市</x:t>
        </x:is>
      </x:c>
      <x:c r="H643" s="4" t="inlineStr">
        <x:is>
          <x:t xml:space="preserve">文化传媒</x:t>
        </x:is>
      </x:c>
      <x:c r="I643" s="4" t="inlineStr">
        <x:is>
          <x:t xml:space="preserve">2015-01-21</x:t>
        </x:is>
      </x:c>
      <x:c r="J643" s="5" t="inlineStr">
        <x:is>
          <x:t xml:space="preserve">北京市东城区安定门东大街28号雍和大厦2号楼6层608号</x:t>
        </x:is>
      </x:c>
      <x:c r="K643" s="12" t="str">
        <x:f>LEFT("91110000802044347C",18)</x:f>
        <x:v>91110000802044347C</x:v>
      </x:c>
    </x:row>
    <x:row r="644">
      <x:c r="A644" s="2" t="n">
        <x:v>643</x:v>
      </x:c>
      <x:c r="B644" s="2" t="inlineStr">
        <x:is>
          <x:t xml:space="preserve">300365</x:t>
        </x:is>
      </x:c>
      <x:c r="C644" s="3" t="inlineStr">
        <x:is>
          <x:t xml:space="preserve">恒华科技</x:t>
        </x:is>
      </x:c>
      <x:c r="D644" s="3" t="inlineStr">
        <x:is>
          <x:t xml:space="preserve">北京恒华伟业科技股份有限公司</x:t>
        </x:is>
      </x:c>
      <x:c r="E644" s="2" t="inlineStr">
        <x:is>
          <x:t xml:space="preserve">北京市</x:t>
        </x:is>
      </x:c>
      <x:c r="F644" s="2" t="inlineStr">
        <x:is>
          <x:t xml:space="preserve">北京市</x:t>
        </x:is>
      </x:c>
      <x:c r="G644" s="3" t="inlineStr">
        <x:is>
          <x:t xml:space="preserve">北京市-北京市</x:t>
        </x:is>
      </x:c>
      <x:c r="H644" s="2" t="inlineStr">
        <x:is>
          <x:t xml:space="preserve">软件服务</x:t>
        </x:is>
      </x:c>
      <x:c r="I644" s="2" t="inlineStr">
        <x:is>
          <x:t xml:space="preserve">2014-01-23</x:t>
        </x:is>
      </x:c>
      <x:c r="J644" s="3" t="inlineStr">
        <x:is>
          <x:t xml:space="preserve">北京市西城区德胜门东滨河路11号4号楼3层</x:t>
        </x:is>
      </x:c>
      <x:c r="K644" s="12" t="str">
        <x:f>LEFT("91110000801210593B",18)</x:f>
        <x:v>91110000801210593B</x:v>
      </x:c>
    </x:row>
    <x:row r="645">
      <x:c r="A645" s="4" t="n">
        <x:v>644</x:v>
      </x:c>
      <x:c r="B645" s="4" t="inlineStr">
        <x:is>
          <x:t xml:space="preserve">300369</x:t>
        </x:is>
      </x:c>
      <x:c r="C645" s="5" t="inlineStr">
        <x:is>
          <x:t xml:space="preserve">绿盟科技</x:t>
        </x:is>
      </x:c>
      <x:c r="D645" s="5" t="inlineStr">
        <x:is>
          <x:t xml:space="preserve">绿盟科技集团股份有限公司</x:t>
        </x:is>
      </x:c>
      <x:c r="E645" s="4" t="inlineStr">
        <x:is>
          <x:t xml:space="preserve">北京市</x:t>
        </x:is>
      </x:c>
      <x:c r="F645" s="4" t="inlineStr">
        <x:is>
          <x:t xml:space="preserve">北京市</x:t>
        </x:is>
      </x:c>
      <x:c r="G645" s="5" t="inlineStr">
        <x:is>
          <x:t xml:space="preserve">北京市-北京市</x:t>
        </x:is>
      </x:c>
      <x:c r="H645" s="4" t="inlineStr">
        <x:is>
          <x:t xml:space="preserve">软件服务</x:t>
        </x:is>
      </x:c>
      <x:c r="I645" s="4" t="inlineStr">
        <x:is>
          <x:t xml:space="preserve">2014-01-29</x:t>
        </x:is>
      </x:c>
      <x:c r="J645" s="5" t="inlineStr">
        <x:is>
          <x:t xml:space="preserve">北京市海淀区北洼路4号益泰大厦5层</x:t>
        </x:is>
      </x:c>
      <x:c r="K645" s="12" t="str">
        <x:f>LEFT("911100007177459822",18)</x:f>
        <x:v>911100007177459800</x:v>
      </x:c>
    </x:row>
    <x:row r="646">
      <x:c r="A646" s="2" t="n">
        <x:v>645</x:v>
      </x:c>
      <x:c r="B646" s="2" t="inlineStr">
        <x:is>
          <x:t xml:space="preserve">300374</x:t>
        </x:is>
      </x:c>
      <x:c r="C646" s="3" t="inlineStr">
        <x:is>
          <x:t xml:space="preserve">中铁装配</x:t>
        </x:is>
      </x:c>
      <x:c r="D646" s="3" t="inlineStr">
        <x:is>
          <x:t xml:space="preserve">中铁装配式建筑股份有限公司</x:t>
        </x:is>
      </x:c>
      <x:c r="E646" s="2" t="inlineStr">
        <x:is>
          <x:t xml:space="preserve">北京市</x:t>
        </x:is>
      </x:c>
      <x:c r="F646" s="2" t="inlineStr">
        <x:is>
          <x:t xml:space="preserve">北京市</x:t>
        </x:is>
      </x:c>
      <x:c r="G646" s="3" t="inlineStr">
        <x:is>
          <x:t xml:space="preserve">北京市-北京市</x:t>
        </x:is>
      </x:c>
      <x:c r="H646" s="2" t="inlineStr">
        <x:is>
          <x:t xml:space="preserve">装修装饰</x:t>
        </x:is>
      </x:c>
      <x:c r="I646" s="2" t="inlineStr">
        <x:is>
          <x:t xml:space="preserve">2015-03-19</x:t>
        </x:is>
      </x:c>
      <x:c r="J646" s="3" t="inlineStr">
        <x:is>
          <x:t xml:space="preserve">北京市房山区窦店镇普安路87号</x:t>
        </x:is>
      </x:c>
      <x:c r="K646" s="12" t="str">
        <x:f>LEFT("91110000793442369X",18)</x:f>
        <x:v>91110000793442369X</x:v>
      </x:c>
    </x:row>
    <x:row r="647">
      <x:c r="A647" s="4" t="n">
        <x:v>646</x:v>
      </x:c>
      <x:c r="B647" s="4" t="inlineStr">
        <x:is>
          <x:t xml:space="preserve">300383</x:t>
        </x:is>
      </x:c>
      <x:c r="C647" s="5" t="inlineStr">
        <x:is>
          <x:t xml:space="preserve">光环新网</x:t>
        </x:is>
      </x:c>
      <x:c r="D647" s="5" t="inlineStr">
        <x:is>
          <x:t xml:space="preserve">北京光环新网科技股份有限公司</x:t>
        </x:is>
      </x:c>
      <x:c r="E647" s="4" t="inlineStr">
        <x:is>
          <x:t xml:space="preserve">北京市</x:t>
        </x:is>
      </x:c>
      <x:c r="F647" s="4" t="inlineStr">
        <x:is>
          <x:t xml:space="preserve">北京市</x:t>
        </x:is>
      </x:c>
      <x:c r="G647" s="5" t="inlineStr">
        <x:is>
          <x:t xml:space="preserve">北京市-北京市</x:t>
        </x:is>
      </x:c>
      <x:c r="H647" s="4" t="inlineStr">
        <x:is>
          <x:t xml:space="preserve">互联网服务</x:t>
        </x:is>
      </x:c>
      <x:c r="I647" s="4" t="inlineStr">
        <x:is>
          <x:t xml:space="preserve">2014-01-29</x:t>
        </x:is>
      </x:c>
      <x:c r="J647" s="5" t="inlineStr">
        <x:is>
          <x:t xml:space="preserve">北京市门头沟区石龙经济技术开发区永安路20号3号楼二层202室</x:t>
        </x:is>
      </x:c>
      <x:c r="K647" s="12" t="str">
        <x:f>LEFT("91110000700006921H",18)</x:f>
        <x:v>91110000700006921H</x:v>
      </x:c>
    </x:row>
    <x:row r="648">
      <x:c r="A648" s="2" t="n">
        <x:v>647</x:v>
      </x:c>
      <x:c r="B648" s="2" t="inlineStr">
        <x:is>
          <x:t xml:space="preserve">300384</x:t>
        </x:is>
      </x:c>
      <x:c r="C648" s="3" t="inlineStr">
        <x:is>
          <x:t xml:space="preserve">三联虹普</x:t>
        </x:is>
      </x:c>
      <x:c r="D648" s="3" t="inlineStr">
        <x:is>
          <x:t xml:space="preserve">北京三联虹普新合纤技术服务股份有限公司</x:t>
        </x:is>
      </x:c>
      <x:c r="E648" s="2" t="inlineStr">
        <x:is>
          <x:t xml:space="preserve">北京市</x:t>
        </x:is>
      </x:c>
      <x:c r="F648" s="2" t="inlineStr">
        <x:is>
          <x:t xml:space="preserve">北京市</x:t>
        </x:is>
      </x:c>
      <x:c r="G648" s="3" t="inlineStr">
        <x:is>
          <x:t xml:space="preserve">北京市-北京市</x:t>
        </x:is>
      </x:c>
      <x:c r="H648" s="2" t="inlineStr">
        <x:is>
          <x:t xml:space="preserve">专业服务</x:t>
        </x:is>
      </x:c>
      <x:c r="I648" s="2" t="inlineStr">
        <x:is>
          <x:t xml:space="preserve">2014-08-01</x:t>
        </x:is>
      </x:c>
      <x:c r="J648" s="3" t="inlineStr">
        <x:is>
          <x:t xml:space="preserve">北京市海淀区北清路68号院1号楼二层西侧01227-01302</x:t>
        </x:is>
      </x:c>
      <x:c r="K648" s="12" t="str">
        <x:f>LEFT("911100007187035811",18)</x:f>
        <x:v>911100007187035800</x:v>
      </x:c>
    </x:row>
    <x:row r="649">
      <x:c r="A649" s="4" t="n">
        <x:v>648</x:v>
      </x:c>
      <x:c r="B649" s="4" t="inlineStr">
        <x:is>
          <x:t xml:space="preserve">300386</x:t>
        </x:is>
      </x:c>
      <x:c r="C649" s="5" t="inlineStr">
        <x:is>
          <x:t xml:space="preserve">飞天诚信</x:t>
        </x:is>
      </x:c>
      <x:c r="D649" s="5" t="inlineStr">
        <x:is>
          <x:t xml:space="preserve">飞天诚信科技股份有限公司</x:t>
        </x:is>
      </x:c>
      <x:c r="E649" s="4" t="inlineStr">
        <x:is>
          <x:t xml:space="preserve">北京市</x:t>
        </x:is>
      </x:c>
      <x:c r="F649" s="4" t="inlineStr">
        <x:is>
          <x:t xml:space="preserve">北京市</x:t>
        </x:is>
      </x:c>
      <x:c r="G649" s="5" t="inlineStr">
        <x:is>
          <x:t xml:space="preserve">北京市-北京市</x:t>
        </x:is>
      </x:c>
      <x:c r="H649" s="4" t="inlineStr">
        <x:is>
          <x:t xml:space="preserve">软件服务</x:t>
        </x:is>
      </x:c>
      <x:c r="I649" s="4" t="inlineStr">
        <x:is>
          <x:t xml:space="preserve">2014-06-26</x:t>
        </x:is>
      </x:c>
      <x:c r="J649" s="5" t="inlineStr">
        <x:is>
          <x:t xml:space="preserve">北京市海淀区学清路9号汇智大厦B楼17层</x:t>
        </x:is>
      </x:c>
      <x:c r="K649" s="12" t="str">
        <x:f>LEFT("9111000070003202XF",18)</x:f>
        <x:v>9111000070003202XF</x:v>
      </x:c>
    </x:row>
    <x:row r="650">
      <x:c r="A650" s="2" t="n">
        <x:v>649</x:v>
      </x:c>
      <x:c r="B650" s="2" t="inlineStr">
        <x:is>
          <x:t xml:space="preserve">300406</x:t>
        </x:is>
      </x:c>
      <x:c r="C650" s="3" t="inlineStr">
        <x:is>
          <x:t xml:space="preserve">九强生物</x:t>
        </x:is>
      </x:c>
      <x:c r="D650" s="3" t="inlineStr">
        <x:is>
          <x:t xml:space="preserve">北京九强生物技术股份有限公司</x:t>
        </x:is>
      </x:c>
      <x:c r="E650" s="2" t="inlineStr">
        <x:is>
          <x:t xml:space="preserve">北京市</x:t>
        </x:is>
      </x:c>
      <x:c r="F650" s="2" t="inlineStr">
        <x:is>
          <x:t xml:space="preserve">北京市</x:t>
        </x:is>
      </x:c>
      <x:c r="G650" s="3" t="inlineStr">
        <x:is>
          <x:t xml:space="preserve">北京市-北京市</x:t>
        </x:is>
      </x:c>
      <x:c r="H650" s="2" t="inlineStr">
        <x:is>
          <x:t xml:space="preserve">医疗器械</x:t>
        </x:is>
      </x:c>
      <x:c r="I650" s="2" t="inlineStr">
        <x:is>
          <x:t xml:space="preserve">2014-10-30</x:t>
        </x:is>
      </x:c>
      <x:c r="J650" s="3" t="inlineStr">
        <x:is>
          <x:t xml:space="preserve">北京市海淀区花园东路15号旷怡大厦5层</x:t>
        </x:is>
      </x:c>
      <x:c r="K650" s="12" t="str">
        <x:f>LEFT("911100008020705889",18)</x:f>
        <x:v>911100008020705900</x:v>
      </x:c>
    </x:row>
    <x:row r="651">
      <x:c r="A651" s="4" t="n">
        <x:v>650</x:v>
      </x:c>
      <x:c r="B651" s="4" t="inlineStr">
        <x:is>
          <x:t xml:space="preserve">300418</x:t>
        </x:is>
      </x:c>
      <x:c r="C651" s="5" t="inlineStr">
        <x:is>
          <x:t xml:space="preserve">昆仑万维</x:t>
        </x:is>
      </x:c>
      <x:c r="D651" s="5" t="inlineStr">
        <x:is>
          <x:t xml:space="preserve">昆仑万维科技股份有限公司</x:t>
        </x:is>
      </x:c>
      <x:c r="E651" s="4" t="inlineStr">
        <x:is>
          <x:t xml:space="preserve">北京市</x:t>
        </x:is>
      </x:c>
      <x:c r="F651" s="4" t="inlineStr">
        <x:is>
          <x:t xml:space="preserve">北京市</x:t>
        </x:is>
      </x:c>
      <x:c r="G651" s="5" t="inlineStr">
        <x:is>
          <x:t xml:space="preserve">北京市-北京市</x:t>
        </x:is>
      </x:c>
      <x:c r="H651" s="4" t="inlineStr">
        <x:is>
          <x:t xml:space="preserve">互联网服务</x:t>
        </x:is>
      </x:c>
      <x:c r="I651" s="4" t="inlineStr">
        <x:is>
          <x:t xml:space="preserve">2015-01-21</x:t>
        </x:is>
      </x:c>
      <x:c r="J651" s="5" t="inlineStr">
        <x:is>
          <x:t xml:space="preserve">北京市东城区西总布胡同46号1幢3层320</x:t>
        </x:is>
      </x:c>
      <x:c r="K651" s="12" t="str">
        <x:f>LEFT("91110000673814068U",18)</x:f>
        <x:v>91110000673814068U</x:v>
      </x:c>
    </x:row>
    <x:row r="652">
      <x:c r="A652" s="2" t="n">
        <x:v>651</x:v>
      </x:c>
      <x:c r="B652" s="2" t="inlineStr">
        <x:is>
          <x:t xml:space="preserve">300419</x:t>
        </x:is>
      </x:c>
      <x:c r="C652" s="3" t="inlineStr">
        <x:is>
          <x:t xml:space="preserve">浩丰科技</x:t>
        </x:is>
      </x:c>
      <x:c r="D652" s="3" t="inlineStr">
        <x:is>
          <x:t xml:space="preserve">北京浩丰创源科技股份有限公司</x:t>
        </x:is>
      </x:c>
      <x:c r="E652" s="2" t="inlineStr">
        <x:is>
          <x:t xml:space="preserve">北京市</x:t>
        </x:is>
      </x:c>
      <x:c r="F652" s="2" t="inlineStr">
        <x:is>
          <x:t xml:space="preserve">北京市</x:t>
        </x:is>
      </x:c>
      <x:c r="G652" s="3" t="inlineStr">
        <x:is>
          <x:t xml:space="preserve">北京市-北京市</x:t>
        </x:is>
      </x:c>
      <x:c r="H652" s="2" t="inlineStr">
        <x:is>
          <x:t xml:space="preserve">电子信息</x:t>
        </x:is>
      </x:c>
      <x:c r="I652" s="2" t="inlineStr">
        <x:is>
          <x:t xml:space="preserve">2015-01-22</x:t>
        </x:is>
      </x:c>
      <x:c r="J652" s="3" t="inlineStr">
        <x:is>
          <x:t xml:space="preserve">北京市大兴区经济开发区科苑路18号3幢一层A810室</x:t>
        </x:is>
      </x:c>
      <x:c r="K652" s="12" t="str">
        <x:f>LEFT("91110000783967006U",18)</x:f>
        <x:v>91110000783967006U</x:v>
      </x:c>
    </x:row>
    <x:row r="653">
      <x:c r="A653" s="4" t="n">
        <x:v>652</x:v>
      </x:c>
      <x:c r="B653" s="4" t="inlineStr">
        <x:is>
          <x:t xml:space="preserve">300430</x:t>
        </x:is>
      </x:c>
      <x:c r="C653" s="5" t="inlineStr">
        <x:is>
          <x:t xml:space="preserve">诚益通</x:t>
        </x:is>
      </x:c>
      <x:c r="D653" s="5" t="inlineStr">
        <x:is>
          <x:t xml:space="preserve">北京诚益通控制技术集团股份有限公司</x:t>
        </x:is>
      </x:c>
      <x:c r="E653" s="4" t="inlineStr">
        <x:is>
          <x:t xml:space="preserve">北京市</x:t>
        </x:is>
      </x:c>
      <x:c r="F653" s="4" t="inlineStr">
        <x:is>
          <x:t xml:space="preserve">北京市</x:t>
        </x:is>
      </x:c>
      <x:c r="G653" s="5" t="inlineStr">
        <x:is>
          <x:t xml:space="preserve">北京市-北京市</x:t>
        </x:is>
      </x:c>
      <x:c r="H653" s="4" t="inlineStr">
        <x:is>
          <x:t xml:space="preserve">机械行业</x:t>
        </x:is>
      </x:c>
      <x:c r="I653" s="4" t="inlineStr">
        <x:is>
          <x:t xml:space="preserve">2015-03-19</x:t>
        </x:is>
      </x:c>
      <x:c r="J653" s="5" t="inlineStr">
        <x:is>
          <x:t xml:space="preserve">北京市大兴区中关村科技园区大兴生物医药产业基地永大路38号6幢4层418室</x:t>
        </x:is>
      </x:c>
      <x:c r="K653" s="12" t="str">
        <x:f>LEFT("91110000752630339B",18)</x:f>
        <x:v>91110000752630339B</x:v>
      </x:c>
    </x:row>
    <x:row r="654">
      <x:c r="A654" s="2" t="n">
        <x:v>653</x:v>
      </x:c>
      <x:c r="B654" s="2" t="inlineStr">
        <x:is>
          <x:t xml:space="preserve">300444</x:t>
        </x:is>
      </x:c>
      <x:c r="C654" s="3" t="inlineStr">
        <x:is>
          <x:t xml:space="preserve">双杰电气</x:t>
        </x:is>
      </x:c>
      <x:c r="D654" s="3" t="inlineStr">
        <x:is>
          <x:t xml:space="preserve">北京双杰电气股份有限公司</x:t>
        </x:is>
      </x:c>
      <x:c r="E654" s="2" t="inlineStr">
        <x:is>
          <x:t xml:space="preserve">北京市</x:t>
        </x:is>
      </x:c>
      <x:c r="F654" s="2" t="inlineStr">
        <x:is>
          <x:t xml:space="preserve">北京市</x:t>
        </x:is>
      </x:c>
      <x:c r="G654" s="3" t="inlineStr">
        <x:is>
          <x:t xml:space="preserve">北京市-北京市</x:t>
        </x:is>
      </x:c>
      <x:c r="H654" s="2" t="inlineStr">
        <x:is>
          <x:t xml:space="preserve">输配电气</x:t>
        </x:is>
      </x:c>
      <x:c r="I654" s="2" t="inlineStr">
        <x:is>
          <x:t xml:space="preserve">2015-04-23</x:t>
        </x:is>
      </x:c>
      <x:c r="J654" s="3" t="inlineStr">
        <x:is>
          <x:t xml:space="preserve">北京市海淀区上地三街9号D座1111</x:t>
        </x:is>
      </x:c>
      <x:c r="K654" s="12" t="str">
        <x:f>LEFT("91110000745459158T",18)</x:f>
        <x:v>91110000745459158T</x:v>
      </x:c>
    </x:row>
    <x:row r="655">
      <x:c r="A655" s="4" t="n">
        <x:v>654</x:v>
      </x:c>
      <x:c r="B655" s="4" t="inlineStr">
        <x:is>
          <x:t xml:space="preserve">300445</x:t>
        </x:is>
      </x:c>
      <x:c r="C655" s="5" t="inlineStr">
        <x:is>
          <x:t xml:space="preserve">康斯特</x:t>
        </x:is>
      </x:c>
      <x:c r="D655" s="5" t="inlineStr">
        <x:is>
          <x:t xml:space="preserve">北京康斯特仪表科技股份有限公司</x:t>
        </x:is>
      </x:c>
      <x:c r="E655" s="4" t="inlineStr">
        <x:is>
          <x:t xml:space="preserve">北京市</x:t>
        </x:is>
      </x:c>
      <x:c r="F655" s="4" t="inlineStr">
        <x:is>
          <x:t xml:space="preserve">北京市</x:t>
        </x:is>
      </x:c>
      <x:c r="G655" s="5" t="inlineStr">
        <x:is>
          <x:t xml:space="preserve">北京市-北京市</x:t>
        </x:is>
      </x:c>
      <x:c r="H655" s="4" t="inlineStr">
        <x:is>
          <x:t xml:space="preserve">仪器仪表</x:t>
        </x:is>
      </x:c>
      <x:c r="I655" s="4" t="inlineStr">
        <x:is>
          <x:t xml:space="preserve">2015-04-24</x:t>
        </x:is>
      </x:c>
      <x:c r="J655" s="5" t="inlineStr">
        <x:is>
          <x:t xml:space="preserve">北京市海淀区丰秀中路3号院5号楼</x:t>
        </x:is>
      </x:c>
      <x:c r="K655" s="12" t="str">
        <x:f>LEFT("911100007675416627",18)</x:f>
        <x:v>911100007675416600</x:v>
      </x:c>
    </x:row>
    <x:row r="656">
      <x:c r="A656" s="2" t="n">
        <x:v>655</x:v>
      </x:c>
      <x:c r="B656" s="2" t="inlineStr">
        <x:is>
          <x:t xml:space="preserve">300449</x:t>
        </x:is>
      </x:c>
      <x:c r="C656" s="3" t="inlineStr">
        <x:is>
          <x:t xml:space="preserve">汉邦高科</x:t>
        </x:is>
      </x:c>
      <x:c r="D656" s="3" t="inlineStr">
        <x:is>
          <x:t xml:space="preserve">北京汉邦高科数字技术股份有限公司</x:t>
        </x:is>
      </x:c>
      <x:c r="E656" s="2" t="inlineStr">
        <x:is>
          <x:t xml:space="preserve">北京市</x:t>
        </x:is>
      </x:c>
      <x:c r="F656" s="2" t="inlineStr">
        <x:is>
          <x:t xml:space="preserve">北京市</x:t>
        </x:is>
      </x:c>
      <x:c r="G656" s="3" t="inlineStr">
        <x:is>
          <x:t xml:space="preserve">北京市-北京市</x:t>
        </x:is>
      </x:c>
      <x:c r="H656" s="2" t="inlineStr">
        <x:is>
          <x:t xml:space="preserve">安防设备</x:t>
        </x:is>
      </x:c>
      <x:c r="I656" s="2" t="inlineStr">
        <x:is>
          <x:t xml:space="preserve">2015-04-22</x:t>
        </x:is>
      </x:c>
      <x:c r="J656" s="3" t="inlineStr">
        <x:is>
          <x:t xml:space="preserve">北京市海淀区地锦路9号院13号楼四层101-413</x:t>
        </x:is>
      </x:c>
      <x:c r="K656" s="12" t="str">
        <x:f>LEFT("91110000767525590U",18)</x:f>
        <x:v>91110000767525590U</x:v>
      </x:c>
    </x:row>
    <x:row r="657">
      <x:c r="A657" s="4" t="n">
        <x:v>656</x:v>
      </x:c>
      <x:c r="B657" s="4" t="inlineStr">
        <x:is>
          <x:t xml:space="preserve">300455</x:t>
        </x:is>
      </x:c>
      <x:c r="C657" s="5" t="inlineStr">
        <x:is>
          <x:t xml:space="preserve">航天智装</x:t>
        </x:is>
      </x:c>
      <x:c r="D657" s="5" t="inlineStr">
        <x:is>
          <x:t xml:space="preserve">北京航天神舟智能装备科技股份有限公司</x:t>
        </x:is>
      </x:c>
      <x:c r="E657" s="4" t="inlineStr">
        <x:is>
          <x:t xml:space="preserve">北京市</x:t>
        </x:is>
      </x:c>
      <x:c r="F657" s="4" t="inlineStr">
        <x:is>
          <x:t xml:space="preserve">北京市</x:t>
        </x:is>
      </x:c>
      <x:c r="G657" s="5" t="inlineStr">
        <x:is>
          <x:t xml:space="preserve">北京市-北京市</x:t>
        </x:is>
      </x:c>
      <x:c r="H657" s="4" t="inlineStr">
        <x:is>
          <x:t xml:space="preserve">计算机设备</x:t>
        </x:is>
      </x:c>
      <x:c r="I657" s="4" t="inlineStr">
        <x:is>
          <x:t xml:space="preserve">2015-05-15</x:t>
        </x:is>
      </x:c>
      <x:c r="J657" s="5" t="inlineStr">
        <x:is>
          <x:t xml:space="preserve">北京市海淀区知春路61号9层</x:t>
        </x:is>
      </x:c>
      <x:c r="K657" s="12" t="str">
        <x:f>LEFT("911100006669337202",18)</x:f>
        <x:v>911100006669337200</x:v>
      </x:c>
    </x:row>
    <x:row r="658">
      <x:c r="A658" s="2" t="n">
        <x:v>657</x:v>
      </x:c>
      <x:c r="B658" s="2" t="inlineStr">
        <x:is>
          <x:t xml:space="preserve">300456</x:t>
        </x:is>
      </x:c>
      <x:c r="C658" s="3" t="inlineStr">
        <x:is>
          <x:t xml:space="preserve">赛微电子</x:t>
        </x:is>
      </x:c>
      <x:c r="D658" s="3" t="inlineStr">
        <x:is>
          <x:t xml:space="preserve">北京赛微电子股份有限公司</x:t>
        </x:is>
      </x:c>
      <x:c r="E658" s="2" t="inlineStr">
        <x:is>
          <x:t xml:space="preserve">北京市</x:t>
        </x:is>
      </x:c>
      <x:c r="F658" s="2" t="inlineStr">
        <x:is>
          <x:t xml:space="preserve">北京市</x:t>
        </x:is>
      </x:c>
      <x:c r="G658" s="3" t="inlineStr">
        <x:is>
          <x:t xml:space="preserve">北京市-北京市</x:t>
        </x:is>
      </x:c>
      <x:c r="H658" s="2" t="inlineStr">
        <x:is>
          <x:t xml:space="preserve">半导体</x:t>
        </x:is>
      </x:c>
      <x:c r="I658" s="2" t="inlineStr">
        <x:is>
          <x:t xml:space="preserve">2015-05-14</x:t>
        </x:is>
      </x:c>
      <x:c r="J658" s="3" t="inlineStr">
        <x:is>
          <x:t xml:space="preserve">北京市西城区裕民路18号北环中心A座2607室(德胜园区)</x:t>
        </x:is>
      </x:c>
      <x:c r="K658" s="12" t="str">
        <x:f>LEFT("91110000675738150X",18)</x:f>
        <x:v>91110000675738150X</x:v>
      </x:c>
    </x:row>
    <x:row r="659">
      <x:c r="A659" s="4" t="n">
        <x:v>658</x:v>
      </x:c>
      <x:c r="B659" s="4" t="inlineStr">
        <x:is>
          <x:t xml:space="preserve">300465</x:t>
        </x:is>
      </x:c>
      <x:c r="C659" s="5" t="inlineStr">
        <x:is>
          <x:t xml:space="preserve">高伟达</x:t>
        </x:is>
      </x:c>
      <x:c r="D659" s="5" t="inlineStr">
        <x:is>
          <x:t xml:space="preserve">高伟达软件股份有限公司</x:t>
        </x:is>
      </x:c>
      <x:c r="E659" s="4" t="inlineStr">
        <x:is>
          <x:t xml:space="preserve">北京市</x:t>
        </x:is>
      </x:c>
      <x:c r="F659" s="4" t="inlineStr">
        <x:is>
          <x:t xml:space="preserve">北京市</x:t>
        </x:is>
      </x:c>
      <x:c r="G659" s="5" t="inlineStr">
        <x:is>
          <x:t xml:space="preserve">北京市-北京市</x:t>
        </x:is>
      </x:c>
      <x:c r="H659" s="4" t="inlineStr">
        <x:is>
          <x:t xml:space="preserve">软件服务</x:t>
        </x:is>
      </x:c>
      <x:c r="I659" s="4" t="inlineStr">
        <x:is>
          <x:t xml:space="preserve">2015-05-28</x:t>
        </x:is>
      </x:c>
      <x:c r="J659" s="5" t="inlineStr">
        <x:is>
          <x:t xml:space="preserve">北京市大兴区经济开发区科苑路18号3幢一层A1396室</x:t>
        </x:is>
      </x:c>
      <x:c r="K659" s="12" t="str">
        <x:f>LEFT("91110000633713369X",18)</x:f>
        <x:v>91110000633713369X</x:v>
      </x:c>
    </x:row>
    <x:row r="660">
      <x:c r="A660" s="2" t="n">
        <x:v>659</x:v>
      </x:c>
      <x:c r="B660" s="2" t="inlineStr">
        <x:is>
          <x:t xml:space="preserve">300477</x:t>
        </x:is>
      </x:c>
      <x:c r="C660" s="3" t="inlineStr">
        <x:is>
          <x:t xml:space="preserve">合纵科技</x:t>
        </x:is>
      </x:c>
      <x:c r="D660" s="3" t="inlineStr">
        <x:is>
          <x:t xml:space="preserve">合纵科技股份有限公司</x:t>
        </x:is>
      </x:c>
      <x:c r="E660" s="2" t="inlineStr">
        <x:is>
          <x:t xml:space="preserve">北京市</x:t>
        </x:is>
      </x:c>
      <x:c r="F660" s="2" t="inlineStr">
        <x:is>
          <x:t xml:space="preserve">北京市</x:t>
        </x:is>
      </x:c>
      <x:c r="G660" s="3" t="inlineStr">
        <x:is>
          <x:t xml:space="preserve">北京市-北京市</x:t>
        </x:is>
      </x:c>
      <x:c r="H660" s="2" t="inlineStr">
        <x:is>
          <x:t xml:space="preserve">输配电气</x:t>
        </x:is>
      </x:c>
      <x:c r="I660" s="2" t="inlineStr">
        <x:is>
          <x:t xml:space="preserve">2015-06-10</x:t>
        </x:is>
      </x:c>
      <x:c r="J660" s="3" t="inlineStr">
        <x:is>
          <x:t xml:space="preserve">北京市房山区弘安路87号院5号楼2层235室</x:t>
        </x:is>
      </x:c>
      <x:c r="K660" s="12" t="str">
        <x:f>LEFT("911100006336146947",18)</x:f>
        <x:v>911100006336147000</x:v>
      </x:c>
    </x:row>
    <x:row r="661">
      <x:c r="A661" s="4" t="n">
        <x:v>660</x:v>
      </x:c>
      <x:c r="B661" s="4" t="inlineStr">
        <x:is>
          <x:t xml:space="preserve">300485</x:t>
        </x:is>
      </x:c>
      <x:c r="C661" s="5" t="inlineStr">
        <x:is>
          <x:t xml:space="preserve">赛升药业</x:t>
        </x:is>
      </x:c>
      <x:c r="D661" s="5" t="inlineStr">
        <x:is>
          <x:t xml:space="preserve">北京赛升药业股份有限公司</x:t>
        </x:is>
      </x:c>
      <x:c r="E661" s="4" t="inlineStr">
        <x:is>
          <x:t xml:space="preserve">北京市</x:t>
        </x:is>
      </x:c>
      <x:c r="F661" s="4" t="inlineStr">
        <x:is>
          <x:t xml:space="preserve">北京市</x:t>
        </x:is>
      </x:c>
      <x:c r="G661" s="5" t="inlineStr">
        <x:is>
          <x:t xml:space="preserve">北京市-北京市</x:t>
        </x:is>
      </x:c>
      <x:c r="H661" s="4" t="inlineStr">
        <x:is>
          <x:t xml:space="preserve">生物制品</x:t>
        </x:is>
      </x:c>
      <x:c r="I661" s="4" t="inlineStr">
        <x:is>
          <x:t xml:space="preserve">2015-06-26</x:t>
        </x:is>
      </x:c>
      <x:c r="J661" s="5" t="inlineStr">
        <x:is>
          <x:t xml:space="preserve">北京市北京经济技术开发区兴盛街8号</x:t>
        </x:is>
      </x:c>
      <x:c r="K661" s="12" t="str">
        <x:f>LEFT("911100007002230889",18)</x:f>
        <x:v>911100007002230900</x:v>
      </x:c>
    </x:row>
    <x:row r="662">
      <x:c r="A662" s="2" t="n">
        <x:v>661</x:v>
      </x:c>
      <x:c r="B662" s="2" t="inlineStr">
        <x:is>
          <x:t xml:space="preserve">300496</x:t>
        </x:is>
      </x:c>
      <x:c r="C662" s="3" t="inlineStr">
        <x:is>
          <x:t xml:space="preserve">中科创达</x:t>
        </x:is>
      </x:c>
      <x:c r="D662" s="3" t="inlineStr">
        <x:is>
          <x:t xml:space="preserve">中科创达软件股份有限公司</x:t>
        </x:is>
      </x:c>
      <x:c r="E662" s="2" t="inlineStr">
        <x:is>
          <x:t xml:space="preserve">北京市</x:t>
        </x:is>
      </x:c>
      <x:c r="F662" s="2" t="inlineStr">
        <x:is>
          <x:t xml:space="preserve">北京市</x:t>
        </x:is>
      </x:c>
      <x:c r="G662" s="3" t="inlineStr">
        <x:is>
          <x:t xml:space="preserve">北京市-北京市</x:t>
        </x:is>
      </x:c>
      <x:c r="H662" s="2" t="inlineStr">
        <x:is>
          <x:t xml:space="preserve">电子信息</x:t>
        </x:is>
      </x:c>
      <x:c r="I662" s="2" t="inlineStr">
        <x:is>
          <x:t xml:space="preserve">2015-12-10</x:t>
        </x:is>
      </x:c>
      <x:c r="J662" s="3" t="inlineStr">
        <x:is>
          <x:t xml:space="preserve">北京市海淀区清华东路9号创达大厦1层101-105室(东升地区)</x:t>
        </x:is>
      </x:c>
      <x:c r="K662" s="12" t="str">
        <x:f>LEFT("91110000672354637K",18)</x:f>
        <x:v>91110000672354637K</x:v>
      </x:c>
    </x:row>
    <x:row r="663">
      <x:c r="A663" s="4" t="n">
        <x:v>662</x:v>
      </x:c>
      <x:c r="B663" s="4" t="inlineStr">
        <x:is>
          <x:t xml:space="preserve">300513</x:t>
        </x:is>
      </x:c>
      <x:c r="C663" s="5" t="inlineStr">
        <x:is>
          <x:t xml:space="preserve">恒实科技</x:t>
        </x:is>
      </x:c>
      <x:c r="D663" s="5" t="inlineStr">
        <x:is>
          <x:t xml:space="preserve">北京恒泰实达科技股份有限公司</x:t>
        </x:is>
      </x:c>
      <x:c r="E663" s="4" t="inlineStr">
        <x:is>
          <x:t xml:space="preserve">北京市</x:t>
        </x:is>
      </x:c>
      <x:c r="F663" s="4" t="inlineStr">
        <x:is>
          <x:t xml:space="preserve">北京市</x:t>
        </x:is>
      </x:c>
      <x:c r="G663" s="5" t="inlineStr">
        <x:is>
          <x:t xml:space="preserve">北京市-北京市</x:t>
        </x:is>
      </x:c>
      <x:c r="H663" s="4" t="inlineStr">
        <x:is>
          <x:t xml:space="preserve">通信服务</x:t>
        </x:is>
      </x:c>
      <x:c r="I663" s="4" t="inlineStr">
        <x:is>
          <x:t xml:space="preserve">2016-05-30</x:t>
        </x:is>
      </x:c>
      <x:c r="J663" s="5" t="inlineStr">
        <x:is>
          <x:t xml:space="preserve">北京市海淀区林风二路39号院1号楼11层1101</x:t>
        </x:is>
      </x:c>
      <x:c r="K663" s="12" t="str">
        <x:f>LEFT("91110000723951109B",18)</x:f>
        <x:v>91110000723951109B</x:v>
      </x:c>
    </x:row>
    <x:row r="664">
      <x:c r="A664" s="2" t="n">
        <x:v>663</x:v>
      </x:c>
      <x:c r="B664" s="2" t="inlineStr">
        <x:is>
          <x:t xml:space="preserve">300523</x:t>
        </x:is>
      </x:c>
      <x:c r="C664" s="3" t="inlineStr">
        <x:is>
          <x:t xml:space="preserve">辰安科技</x:t>
        </x:is>
      </x:c>
      <x:c r="D664" s="3" t="inlineStr">
        <x:is>
          <x:t xml:space="preserve">北京辰安科技股份有限公司</x:t>
        </x:is>
      </x:c>
      <x:c r="E664" s="2" t="inlineStr">
        <x:is>
          <x:t xml:space="preserve">北京市</x:t>
        </x:is>
      </x:c>
      <x:c r="F664" s="2" t="inlineStr">
        <x:is>
          <x:t xml:space="preserve">北京市</x:t>
        </x:is>
      </x:c>
      <x:c r="G664" s="3" t="inlineStr">
        <x:is>
          <x:t xml:space="preserve">北京市-北京市</x:t>
        </x:is>
      </x:c>
      <x:c r="H664" s="2" t="inlineStr">
        <x:is>
          <x:t xml:space="preserve">互联网服务</x:t>
        </x:is>
      </x:c>
      <x:c r="I664" s="2" t="inlineStr">
        <x:is>
          <x:t xml:space="preserve">2016-07-26</x:t>
        </x:is>
      </x:c>
      <x:c r="J664" s="3" t="inlineStr">
        <x:is>
          <x:t xml:space="preserve">北京市海淀区丰秀中路3号院1号楼-1至5层305</x:t>
        </x:is>
      </x:c>
      <x:c r="K664" s="12" t="str">
        <x:f>LEFT("91110108783233053A",18)</x:f>
        <x:v>91110108783233053A</x:v>
      </x:c>
    </x:row>
    <x:row r="665">
      <x:c r="A665" s="4" t="n">
        <x:v>664</x:v>
      </x:c>
      <x:c r="B665" s="4" t="inlineStr">
        <x:is>
          <x:t xml:space="preserve">300541</x:t>
        </x:is>
      </x:c>
      <x:c r="C665" s="5" t="inlineStr">
        <x:is>
          <x:t xml:space="preserve">先进数通</x:t>
        </x:is>
      </x:c>
      <x:c r="D665" s="5" t="inlineStr">
        <x:is>
          <x:t xml:space="preserve">北京先进数通信息技术股份公司</x:t>
        </x:is>
      </x:c>
      <x:c r="E665" s="4" t="inlineStr">
        <x:is>
          <x:t xml:space="preserve">北京市</x:t>
        </x:is>
      </x:c>
      <x:c r="F665" s="4" t="inlineStr">
        <x:is>
          <x:t xml:space="preserve">北京市</x:t>
        </x:is>
      </x:c>
      <x:c r="G665" s="5" t="inlineStr">
        <x:is>
          <x:t xml:space="preserve">北京市-北京市</x:t>
        </x:is>
      </x:c>
      <x:c r="H665" s="4" t="inlineStr">
        <x:is>
          <x:t xml:space="preserve">互联网服务</x:t>
        </x:is>
      </x:c>
      <x:c r="I665" s="4" t="inlineStr">
        <x:is>
          <x:t xml:space="preserve">2016-09-13</x:t>
        </x:is>
      </x:c>
      <x:c r="J665" s="5" t="inlineStr">
        <x:is>
          <x:t xml:space="preserve">北京市海淀区车道沟1号4号楼6层601—604室</x:t>
        </x:is>
      </x:c>
      <x:c r="K665" s="12" t="str">
        <x:f>LEFT("91110108801146341D",18)</x:f>
        <x:v>91110108801146341D</x:v>
      </x:c>
    </x:row>
    <x:row r="666">
      <x:c r="A666" s="2" t="n">
        <x:v>665</x:v>
      </x:c>
      <x:c r="B666" s="2" t="inlineStr">
        <x:is>
          <x:t xml:space="preserve">300542</x:t>
        </x:is>
      </x:c>
      <x:c r="C666" s="3" t="inlineStr">
        <x:is>
          <x:t xml:space="preserve">新晨科技</x:t>
        </x:is>
      </x:c>
      <x:c r="D666" s="3" t="inlineStr">
        <x:is>
          <x:t xml:space="preserve">新晨科技股份有限公司</x:t>
        </x:is>
      </x:c>
      <x:c r="E666" s="2" t="inlineStr">
        <x:is>
          <x:t xml:space="preserve">北京市</x:t>
        </x:is>
      </x:c>
      <x:c r="F666" s="2" t="inlineStr">
        <x:is>
          <x:t xml:space="preserve">北京市</x:t>
        </x:is>
      </x:c>
      <x:c r="G666" s="3" t="inlineStr">
        <x:is>
          <x:t xml:space="preserve">北京市-北京市</x:t>
        </x:is>
      </x:c>
      <x:c r="H666" s="2" t="inlineStr">
        <x:is>
          <x:t xml:space="preserve">软件服务</x:t>
        </x:is>
      </x:c>
      <x:c r="I666" s="2" t="inlineStr">
        <x:is>
          <x:t xml:space="preserve">2016-09-20</x:t>
        </x:is>
      </x:c>
      <x:c r="J666" s="3" t="inlineStr">
        <x:is>
          <x:t xml:space="preserve">北京市海淀区蓝靛厂东路2号院金源时代商务中心2号楼B座8层</x:t>
        </x:is>
      </x:c>
      <x:c r="K666" s="12" t="str">
        <x:f>LEFT("911101086000694820",18)</x:f>
        <x:v>911101086000694800</x:v>
      </x:c>
    </x:row>
    <x:row r="667">
      <x:c r="A667" s="4" t="n">
        <x:v>666</x:v>
      </x:c>
      <x:c r="B667" s="4" t="inlineStr">
        <x:is>
          <x:t xml:space="preserve">300552</x:t>
        </x:is>
      </x:c>
      <x:c r="C667" s="5" t="inlineStr">
        <x:is>
          <x:t xml:space="preserve">万集科技</x:t>
        </x:is>
      </x:c>
      <x:c r="D667" s="5" t="inlineStr">
        <x:is>
          <x:t xml:space="preserve">北京万集科技股份有限公司</x:t>
        </x:is>
      </x:c>
      <x:c r="E667" s="4" t="inlineStr">
        <x:is>
          <x:t xml:space="preserve">北京市</x:t>
        </x:is>
      </x:c>
      <x:c r="F667" s="4" t="inlineStr">
        <x:is>
          <x:t xml:space="preserve">北京市</x:t>
        </x:is>
      </x:c>
      <x:c r="G667" s="5" t="inlineStr">
        <x:is>
          <x:t xml:space="preserve">北京市-北京市</x:t>
        </x:is>
      </x:c>
      <x:c r="H667" s="4" t="inlineStr">
        <x:is>
          <x:t xml:space="preserve">软件服务</x:t>
        </x:is>
      </x:c>
      <x:c r="I667" s="4" t="inlineStr">
        <x:is>
          <x:t xml:space="preserve">2016-10-21</x:t>
        </x:is>
      </x:c>
      <x:c r="J667" s="5" t="inlineStr">
        <x:is>
          <x:t xml:space="preserve">北京市北京经济技术开发区荣华中路19号院1号楼B座24层2801室</x:t>
        </x:is>
      </x:c>
      <x:c r="K667" s="12" t="str">
        <x:f>LEFT("9111010810114488XN",18)</x:f>
        <x:v>9111010810114488XN</x:v>
      </x:c>
    </x:row>
    <x:row r="668">
      <x:c r="A668" s="2" t="n">
        <x:v>667</x:v>
      </x:c>
      <x:c r="B668" s="2" t="inlineStr">
        <x:is>
          <x:t xml:space="preserve">300579</x:t>
        </x:is>
      </x:c>
      <x:c r="C668" s="3" t="inlineStr">
        <x:is>
          <x:t xml:space="preserve">数字认证</x:t>
        </x:is>
      </x:c>
      <x:c r="D668" s="3" t="inlineStr">
        <x:is>
          <x:t xml:space="preserve">北京数字认证股份有限公司</x:t>
        </x:is>
      </x:c>
      <x:c r="E668" s="2" t="inlineStr">
        <x:is>
          <x:t xml:space="preserve">北京市</x:t>
        </x:is>
      </x:c>
      <x:c r="F668" s="2" t="inlineStr">
        <x:is>
          <x:t xml:space="preserve">北京市</x:t>
        </x:is>
      </x:c>
      <x:c r="G668" s="3" t="inlineStr">
        <x:is>
          <x:t xml:space="preserve">北京市-北京市</x:t>
        </x:is>
      </x:c>
      <x:c r="H668" s="2" t="inlineStr">
        <x:is>
          <x:t xml:space="preserve">软件服务</x:t>
        </x:is>
      </x:c>
      <x:c r="I668" s="2" t="inlineStr">
        <x:is>
          <x:t xml:space="preserve">2016-12-23</x:t>
        </x:is>
      </x:c>
      <x:c r="J668" s="3" t="inlineStr">
        <x:is>
          <x:t xml:space="preserve">北京市海淀区北四环西路68号1501号</x:t>
        </x:is>
      </x:c>
      <x:c r="K668" s="12" t="str">
        <x:f>LEFT("91110108722619411A",18)</x:f>
        <x:v>91110108722619411A</x:v>
      </x:c>
    </x:row>
    <x:row r="669">
      <x:c r="A669" s="4" t="n">
        <x:v>668</x:v>
      </x:c>
      <x:c r="B669" s="4" t="inlineStr">
        <x:is>
          <x:t xml:space="preserve">300593</x:t>
        </x:is>
      </x:c>
      <x:c r="C669" s="5" t="inlineStr">
        <x:is>
          <x:t xml:space="preserve">新雷能</x:t>
        </x:is>
      </x:c>
      <x:c r="D669" s="5" t="inlineStr">
        <x:is>
          <x:t xml:space="preserve">北京新雷能科技股份有限公司</x:t>
        </x:is>
      </x:c>
      <x:c r="E669" s="4" t="inlineStr">
        <x:is>
          <x:t xml:space="preserve">北京市</x:t>
        </x:is>
      </x:c>
      <x:c r="F669" s="4" t="inlineStr">
        <x:is>
          <x:t xml:space="preserve">北京市</x:t>
        </x:is>
      </x:c>
      <x:c r="G669" s="5" t="inlineStr">
        <x:is>
          <x:t xml:space="preserve">北京市-北京市</x:t>
        </x:is>
      </x:c>
      <x:c r="H669" s="4" t="inlineStr">
        <x:is>
          <x:t xml:space="preserve">电源设备</x:t>
        </x:is>
      </x:c>
      <x:c r="I669" s="4" t="inlineStr">
        <x:is>
          <x:t xml:space="preserve">2017-01-13</x:t>
        </x:is>
      </x:c>
      <x:c r="J669" s="5" t="inlineStr">
        <x:is>
          <x:t xml:space="preserve">北京市昌平区科技园区双营中路139号院1号楼一、二、三层</x:t>
        </x:is>
      </x:c>
      <x:c r="K669" s="12" t="str">
        <x:f>LEFT("91110114102699924C",18)</x:f>
        <x:v>91110114102699924C</x:v>
      </x:c>
    </x:row>
    <x:row r="670">
      <x:c r="A670" s="2" t="n">
        <x:v>669</x:v>
      </x:c>
      <x:c r="B670" s="2" t="inlineStr">
        <x:is>
          <x:t xml:space="preserve">300608</x:t>
        </x:is>
      </x:c>
      <x:c r="C670" s="3" t="inlineStr">
        <x:is>
          <x:t xml:space="preserve">思特奇</x:t>
        </x:is>
      </x:c>
      <x:c r="D670" s="3" t="inlineStr">
        <x:is>
          <x:t xml:space="preserve">北京思特奇信息技术股份有限公司</x:t>
        </x:is>
      </x:c>
      <x:c r="E670" s="2" t="inlineStr">
        <x:is>
          <x:t xml:space="preserve">北京市</x:t>
        </x:is>
      </x:c>
      <x:c r="F670" s="2" t="inlineStr">
        <x:is>
          <x:t xml:space="preserve">北京市</x:t>
        </x:is>
      </x:c>
      <x:c r="G670" s="3" t="inlineStr">
        <x:is>
          <x:t xml:space="preserve">北京市-北京市</x:t>
        </x:is>
      </x:c>
      <x:c r="H670" s="2" t="inlineStr">
        <x:is>
          <x:t xml:space="preserve">软件服务</x:t>
        </x:is>
      </x:c>
      <x:c r="I670" s="2" t="inlineStr">
        <x:is>
          <x:t xml:space="preserve">2017-02-13</x:t>
        </x:is>
      </x:c>
      <x:c r="J670" s="3" t="inlineStr">
        <x:is>
          <x:t xml:space="preserve">北京市海淀区中关村南大街6号中电信息大厦14层</x:t>
        </x:is>
      </x:c>
      <x:c r="K670" s="12" t="str">
        <x:f>LEFT("91110108633062121U",18)</x:f>
        <x:v>91110108633062121U</x:v>
      </x:c>
    </x:row>
    <x:row r="671">
      <x:c r="A671" s="4" t="n">
        <x:v>670</x:v>
      </x:c>
      <x:c r="B671" s="4" t="inlineStr">
        <x:is>
          <x:t xml:space="preserve">300612</x:t>
        </x:is>
      </x:c>
      <x:c r="C671" s="5" t="inlineStr">
        <x:is>
          <x:t xml:space="preserve">宣亚国际</x:t>
        </x:is>
      </x:c>
      <x:c r="D671" s="5" t="inlineStr">
        <x:is>
          <x:t xml:space="preserve">宣亚国际营销科技(北京)股份有限公司</x:t>
        </x:is>
      </x:c>
      <x:c r="E671" s="4" t="inlineStr">
        <x:is>
          <x:t xml:space="preserve">北京市</x:t>
        </x:is>
      </x:c>
      <x:c r="F671" s="4" t="inlineStr">
        <x:is>
          <x:t xml:space="preserve">北京市</x:t>
        </x:is>
      </x:c>
      <x:c r="G671" s="5" t="inlineStr">
        <x:is>
          <x:t xml:space="preserve">北京市-北京市</x:t>
        </x:is>
      </x:c>
      <x:c r="H671" s="4" t="inlineStr">
        <x:is>
          <x:t xml:space="preserve">文化传媒</x:t>
        </x:is>
      </x:c>
      <x:c r="I671" s="4" t="inlineStr">
        <x:is>
          <x:t xml:space="preserve">2017-02-15</x:t>
        </x:is>
      </x:c>
      <x:c r="J671" s="5" t="inlineStr">
        <x:is>
          <x:t xml:space="preserve">北京市朝阳区双桥街12号院41幢平房101室</x:t>
        </x:is>
      </x:c>
      <x:c r="K671" s="12" t="str">
        <x:f>LEFT("911100007985463865",18)</x:f>
        <x:v>911100007985463800</x:v>
      </x:c>
    </x:row>
    <x:row r="672">
      <x:c r="A672" s="2" t="n">
        <x:v>671</x:v>
      </x:c>
      <x:c r="B672" s="2" t="inlineStr">
        <x:is>
          <x:t xml:space="preserve">300661</x:t>
        </x:is>
      </x:c>
      <x:c r="C672" s="3" t="inlineStr">
        <x:is>
          <x:t xml:space="preserve">圣邦股份</x:t>
        </x:is>
      </x:c>
      <x:c r="D672" s="3" t="inlineStr">
        <x:is>
          <x:t xml:space="preserve">圣邦微电子(北京)股份有限公司</x:t>
        </x:is>
      </x:c>
      <x:c r="E672" s="2" t="inlineStr">
        <x:is>
          <x:t xml:space="preserve">北京市</x:t>
        </x:is>
      </x:c>
      <x:c r="F672" s="2" t="inlineStr">
        <x:is>
          <x:t xml:space="preserve">北京市</x:t>
        </x:is>
      </x:c>
      <x:c r="G672" s="3" t="inlineStr">
        <x:is>
          <x:t xml:space="preserve">北京市-北京市</x:t>
        </x:is>
      </x:c>
      <x:c r="H672" s="2" t="inlineStr">
        <x:is>
          <x:t xml:space="preserve">半导体</x:t>
        </x:is>
      </x:c>
      <x:c r="I672" s="2" t="inlineStr">
        <x:is>
          <x:t xml:space="preserve">2017-06-06</x:t>
        </x:is>
      </x:c>
      <x:c r="J672" s="3" t="inlineStr">
        <x:is>
          <x:t xml:space="preserve">北京市海淀区西三环北路87号11层4-1106</x:t>
        </x:is>
      </x:c>
      <x:c r="K672" s="12" t="str">
        <x:f>LEFT("91110108797556902W",18)</x:f>
        <x:v>91110108797556902W</x:v>
      </x:c>
    </x:row>
    <x:row r="673">
      <x:c r="A673" s="4" t="n">
        <x:v>672</x:v>
      </x:c>
      <x:c r="B673" s="4" t="inlineStr">
        <x:is>
          <x:t xml:space="preserve">300662</x:t>
        </x:is>
      </x:c>
      <x:c r="C673" s="5" t="inlineStr">
        <x:is>
          <x:t xml:space="preserve">科锐国际</x:t>
        </x:is>
      </x:c>
      <x:c r="D673" s="5" t="inlineStr">
        <x:is>
          <x:t xml:space="preserve">北京科锐国际人力资源股份有限公司</x:t>
        </x:is>
      </x:c>
      <x:c r="E673" s="4" t="inlineStr">
        <x:is>
          <x:t xml:space="preserve">北京市</x:t>
        </x:is>
      </x:c>
      <x:c r="F673" s="4" t="inlineStr">
        <x:is>
          <x:t xml:space="preserve">北京市</x:t>
        </x:is>
      </x:c>
      <x:c r="G673" s="5" t="inlineStr">
        <x:is>
          <x:t xml:space="preserve">北京市-北京市</x:t>
        </x:is>
      </x:c>
      <x:c r="H673" s="4" t="inlineStr">
        <x:is>
          <x:t xml:space="preserve">专业服务</x:t>
        </x:is>
      </x:c>
      <x:c r="I673" s="4" t="inlineStr">
        <x:is>
          <x:t xml:space="preserve">2017-06-08</x:t>
        </x:is>
      </x:c>
      <x:c r="J673" s="5" t="inlineStr">
        <x:is>
          <x:t xml:space="preserve">北京市朝阳区朝阳门南大街10号楼A座5层</x:t>
        </x:is>
      </x:c>
      <x:c r="K673" s="12" t="str">
        <x:f>LEFT("911100007825037280",18)</x:f>
        <x:v>911100007825037300</x:v>
      </x:c>
    </x:row>
    <x:row r="674">
      <x:c r="A674" s="2" t="n">
        <x:v>673</x:v>
      </x:c>
      <x:c r="B674" s="2" t="inlineStr">
        <x:is>
          <x:t xml:space="preserve">300663</x:t>
        </x:is>
      </x:c>
      <x:c r="C674" s="3" t="inlineStr">
        <x:is>
          <x:t xml:space="preserve">科蓝软件</x:t>
        </x:is>
      </x:c>
      <x:c r="D674" s="3" t="inlineStr">
        <x:is>
          <x:t xml:space="preserve">北京科蓝软件系统股份有限公司</x:t>
        </x:is>
      </x:c>
      <x:c r="E674" s="2" t="inlineStr">
        <x:is>
          <x:t xml:space="preserve">北京市</x:t>
        </x:is>
      </x:c>
      <x:c r="F674" s="2" t="inlineStr">
        <x:is>
          <x:t xml:space="preserve">北京市</x:t>
        </x:is>
      </x:c>
      <x:c r="G674" s="3" t="inlineStr">
        <x:is>
          <x:t xml:space="preserve">北京市-北京市</x:t>
        </x:is>
      </x:c>
      <x:c r="H674" s="2" t="inlineStr">
        <x:is>
          <x:t xml:space="preserve">软件服务</x:t>
        </x:is>
      </x:c>
      <x:c r="I674" s="2" t="inlineStr">
        <x:is>
          <x:t xml:space="preserve">2017-06-08</x:t>
        </x:is>
      </x:c>
      <x:c r="J674" s="3" t="inlineStr">
        <x:is>
          <x:t xml:space="preserve">北京市北京经济技术开发区西环南路18号A座450室</x:t>
        </x:is>
      </x:c>
      <x:c r="K674" s="12" t="str">
        <x:f>LEFT("91110302717741973K",18)</x:f>
        <x:v>91110302717741973K</x:v>
      </x:c>
    </x:row>
    <x:row r="675">
      <x:c r="A675" s="4" t="n">
        <x:v>674</x:v>
      </x:c>
      <x:c r="B675" s="4" t="inlineStr">
        <x:is>
          <x:t xml:space="preserve">300667</x:t>
        </x:is>
      </x:c>
      <x:c r="C675" s="5" t="inlineStr">
        <x:is>
          <x:t xml:space="preserve">必创科技</x:t>
        </x:is>
      </x:c>
      <x:c r="D675" s="5" t="inlineStr">
        <x:is>
          <x:t xml:space="preserve">北京必创科技股份有限公司</x:t>
        </x:is>
      </x:c>
      <x:c r="E675" s="4" t="inlineStr">
        <x:is>
          <x:t xml:space="preserve">北京市</x:t>
        </x:is>
      </x:c>
      <x:c r="F675" s="4" t="inlineStr">
        <x:is>
          <x:t xml:space="preserve">北京市</x:t>
        </x:is>
      </x:c>
      <x:c r="G675" s="5" t="inlineStr">
        <x:is>
          <x:t xml:space="preserve">北京市-北京市</x:t>
        </x:is>
      </x:c>
      <x:c r="H675" s="4" t="inlineStr">
        <x:is>
          <x:t xml:space="preserve">仪器仪表</x:t>
        </x:is>
      </x:c>
      <x:c r="I675" s="4" t="inlineStr">
        <x:is>
          <x:t xml:space="preserve">2017-06-19</x:t>
        </x:is>
      </x:c>
      <x:c r="J675" s="5" t="inlineStr">
        <x:is>
          <x:t xml:space="preserve">北京市海淀区上地七街1号2号楼六层607室</x:t>
        </x:is>
      </x:c>
      <x:c r="K675" s="12" t="str">
        <x:f>LEFT("911101087715912089",18)</x:f>
        <x:v>911101087715912100</x:v>
      </x:c>
    </x:row>
    <x:row r="676">
      <x:c r="A676" s="2" t="n">
        <x:v>675</x:v>
      </x:c>
      <x:c r="B676" s="2" t="inlineStr">
        <x:is>
          <x:t xml:space="preserve">300674</x:t>
        </x:is>
      </x:c>
      <x:c r="C676" s="3" t="inlineStr">
        <x:is>
          <x:t xml:space="preserve">宇信科技</x:t>
        </x:is>
      </x:c>
      <x:c r="D676" s="3" t="inlineStr">
        <x:is>
          <x:t xml:space="preserve">北京宇信科技集团股份有限公司</x:t>
        </x:is>
      </x:c>
      <x:c r="E676" s="2" t="inlineStr">
        <x:is>
          <x:t xml:space="preserve">北京市</x:t>
        </x:is>
      </x:c>
      <x:c r="F676" s="2" t="inlineStr">
        <x:is>
          <x:t xml:space="preserve">北京市</x:t>
        </x:is>
      </x:c>
      <x:c r="G676" s="3" t="inlineStr">
        <x:is>
          <x:t xml:space="preserve">北京市-北京市</x:t>
        </x:is>
      </x:c>
      <x:c r="H676" s="2" t="inlineStr">
        <x:is>
          <x:t xml:space="preserve">互联网服务</x:t>
        </x:is>
      </x:c>
      <x:c r="I676" s="2" t="inlineStr">
        <x:is>
          <x:t xml:space="preserve">2018-11-07</x:t>
        </x:is>
      </x:c>
      <x:c r="J676" s="3" t="inlineStr">
        <x:is>
          <x:t xml:space="preserve">北京市大兴区经济开发区科苑路18号3幢二层R2223室</x:t>
        </x:is>
      </x:c>
      <x:c r="K676" s="12" t="str">
        <x:f>LEFT("911101087921006070",18)</x:f>
        <x:v>911101087921006100</x:v>
      </x:c>
    </x:row>
    <x:row r="677">
      <x:c r="A677" s="4" t="n">
        <x:v>676</x:v>
      </x:c>
      <x:c r="B677" s="4" t="inlineStr">
        <x:is>
          <x:t xml:space="preserve">300684</x:t>
        </x:is>
      </x:c>
      <x:c r="C677" s="5" t="inlineStr">
        <x:is>
          <x:t xml:space="preserve">中石科技</x:t>
        </x:is>
      </x:c>
      <x:c r="D677" s="5" t="inlineStr">
        <x:is>
          <x:t xml:space="preserve">北京中石伟业科技股份有限公司</x:t>
        </x:is>
      </x:c>
      <x:c r="E677" s="4" t="inlineStr">
        <x:is>
          <x:t xml:space="preserve">北京市</x:t>
        </x:is>
      </x:c>
      <x:c r="F677" s="4" t="inlineStr">
        <x:is>
          <x:t xml:space="preserve">北京市</x:t>
        </x:is>
      </x:c>
      <x:c r="G677" s="5" t="inlineStr">
        <x:is>
          <x:t xml:space="preserve">北京市-北京市</x:t>
        </x:is>
      </x:c>
      <x:c r="H677" s="4" t="inlineStr">
        <x:is>
          <x:t xml:space="preserve">消费电子</x:t>
        </x:is>
      </x:c>
      <x:c r="I677" s="4" t="inlineStr">
        <x:is>
          <x:t xml:space="preserve">2017-12-27</x:t>
        </x:is>
      </x:c>
      <x:c r="J677" s="5" t="inlineStr">
        <x:is>
          <x:t xml:space="preserve">北京市经济技术开发区东环中路3号</x:t>
        </x:is>
      </x:c>
      <x:c r="K677" s="12" t="str">
        <x:f>LEFT("91110302633614168G",18)</x:f>
        <x:v>91110302633614168G</x:v>
      </x:c>
    </x:row>
    <x:row r="678">
      <x:c r="A678" s="2" t="n">
        <x:v>677</x:v>
      </x:c>
      <x:c r="B678" s="2" t="inlineStr">
        <x:is>
          <x:t xml:space="preserve">300688</x:t>
        </x:is>
      </x:c>
      <x:c r="C678" s="3" t="inlineStr">
        <x:is>
          <x:t xml:space="preserve">创业黑马</x:t>
        </x:is>
      </x:c>
      <x:c r="D678" s="3" t="inlineStr">
        <x:is>
          <x:t xml:space="preserve">创业黑马科技集团股份有限公司</x:t>
        </x:is>
      </x:c>
      <x:c r="E678" s="2" t="inlineStr">
        <x:is>
          <x:t xml:space="preserve">北京市</x:t>
        </x:is>
      </x:c>
      <x:c r="F678" s="2" t="inlineStr">
        <x:is>
          <x:t xml:space="preserve">北京市</x:t>
        </x:is>
      </x:c>
      <x:c r="G678" s="3" t="inlineStr">
        <x:is>
          <x:t xml:space="preserve">北京市-北京市</x:t>
        </x:is>
      </x:c>
      <x:c r="H678" s="2" t="inlineStr">
        <x:is>
          <x:t xml:space="preserve">教育</x:t>
        </x:is>
      </x:c>
      <x:c r="I678" s="2" t="inlineStr">
        <x:is>
          <x:t xml:space="preserve">2017-08-10</x:t>
        </x:is>
      </x:c>
      <x:c r="J678" s="3" t="inlineStr">
        <x:is>
          <x:t xml:space="preserve">北京市朝阳区酒仙桥路6号院6号楼1至18层101内8层808室</x:t>
        </x:is>
      </x:c>
      <x:c r="K678" s="12" t="str">
        <x:f>LEFT("91110105585848161G",18)</x:f>
        <x:v>91110105585848161G</x:v>
      </x:c>
    </x:row>
    <x:row r="679">
      <x:c r="A679" s="4" t="n">
        <x:v>678</x:v>
      </x:c>
      <x:c r="B679" s="4" t="inlineStr">
        <x:is>
          <x:t xml:space="preserve">300719</x:t>
        </x:is>
      </x:c>
      <x:c r="C679" s="5" t="inlineStr">
        <x:is>
          <x:t xml:space="preserve">安达维尔</x:t>
        </x:is>
      </x:c>
      <x:c r="D679" s="5" t="inlineStr">
        <x:is>
          <x:t xml:space="preserve">北京安达维尔科技股份有限公司</x:t>
        </x:is>
      </x:c>
      <x:c r="E679" s="4" t="inlineStr">
        <x:is>
          <x:t xml:space="preserve">北京市</x:t>
        </x:is>
      </x:c>
      <x:c r="F679" s="4" t="inlineStr">
        <x:is>
          <x:t xml:space="preserve">北京市</x:t>
        </x:is>
      </x:c>
      <x:c r="G679" s="5" t="inlineStr">
        <x:is>
          <x:t xml:space="preserve">北京市-北京市</x:t>
        </x:is>
      </x:c>
      <x:c r="H679" s="4" t="inlineStr">
        <x:is>
          <x:t xml:space="preserve">航天航空</x:t>
        </x:is>
      </x:c>
      <x:c r="I679" s="4" t="inlineStr">
        <x:is>
          <x:t xml:space="preserve">2017-11-09</x:t>
        </x:is>
      </x:c>
      <x:c r="J679" s="5" t="inlineStr">
        <x:is>
          <x:t xml:space="preserve">北京市海淀区知春路1号学院国际大厦11层1112室</x:t>
        </x:is>
      </x:c>
      <x:c r="K679" s="12" t="str">
        <x:f>LEFT("91110108801174860H",18)</x:f>
        <x:v>91110108801174860H</x:v>
      </x:c>
    </x:row>
    <x:row r="680">
      <x:c r="A680" s="2" t="n">
        <x:v>679</x:v>
      </x:c>
      <x:c r="B680" s="2" t="inlineStr">
        <x:is>
          <x:t xml:space="preserve">300736</x:t>
        </x:is>
      </x:c>
      <x:c r="C680" s="3" t="inlineStr">
        <x:is>
          <x:t xml:space="preserve">百邦科技</x:t>
        </x:is>
      </x:c>
      <x:c r="D680" s="3" t="inlineStr">
        <x:is>
          <x:t xml:space="preserve">北京百华悦邦科技股份有限公司</x:t>
        </x:is>
      </x:c>
      <x:c r="E680" s="2" t="inlineStr">
        <x:is>
          <x:t xml:space="preserve">北京市</x:t>
        </x:is>
      </x:c>
      <x:c r="F680" s="2" t="inlineStr">
        <x:is>
          <x:t xml:space="preserve">北京市</x:t>
        </x:is>
      </x:c>
      <x:c r="G680" s="3" t="inlineStr">
        <x:is>
          <x:t xml:space="preserve">北京市-北京市</x:t>
        </x:is>
      </x:c>
      <x:c r="H680" s="2" t="inlineStr">
        <x:is>
          <x:t xml:space="preserve">通信服务</x:t>
        </x:is>
      </x:c>
      <x:c r="I680" s="2" t="inlineStr">
        <x:is>
          <x:t xml:space="preserve">2018-01-09</x:t>
        </x:is>
      </x:c>
      <x:c r="J680" s="3" t="inlineStr">
        <x:is>
          <x:t xml:space="preserve">北京市朝阳区阜通东大街10号楼14层(15)1401</x:t>
        </x:is>
      </x:c>
      <x:c r="K680" s="12" t="str">
        <x:f>LEFT("91110105669072639R",18)</x:f>
        <x:v>91110105669072639R</x:v>
      </x:c>
    </x:row>
    <x:row r="681">
      <x:c r="A681" s="4" t="n">
        <x:v>680</x:v>
      </x:c>
      <x:c r="B681" s="4" t="inlineStr">
        <x:is>
          <x:t xml:space="preserve">300759</x:t>
        </x:is>
      </x:c>
      <x:c r="C681" s="5" t="inlineStr">
        <x:is>
          <x:t xml:space="preserve">康龙化成</x:t>
        </x:is>
      </x:c>
      <x:c r="D681" s="5" t="inlineStr">
        <x:is>
          <x:t xml:space="preserve">康龙化成(北京)新药技术股份有限公司</x:t>
        </x:is>
      </x:c>
      <x:c r="E681" s="4" t="inlineStr">
        <x:is>
          <x:t xml:space="preserve">北京市</x:t>
        </x:is>
      </x:c>
      <x:c r="F681" s="4" t="inlineStr">
        <x:is>
          <x:t xml:space="preserve">北京市</x:t>
        </x:is>
      </x:c>
      <x:c r="G681" s="5" t="inlineStr">
        <x:is>
          <x:t xml:space="preserve">北京市-北京市</x:t>
        </x:is>
      </x:c>
      <x:c r="H681" s="4" t="inlineStr">
        <x:is>
          <x:t xml:space="preserve">医疗服务</x:t>
        </x:is>
      </x:c>
      <x:c r="I681" s="4" t="inlineStr">
        <x:is>
          <x:t xml:space="preserve">2019-01-28</x:t>
        </x:is>
      </x:c>
      <x:c r="J681" s="5" t="inlineStr">
        <x:is>
          <x:t xml:space="preserve">北京市北京经济技术开发区泰河路6号1幢八层</x:t>
        </x:is>
      </x:c>
      <x:c r="K681" s="12" t="str">
        <x:f>LEFT("9111030276350109XG",18)</x:f>
        <x:v>9111030276350109XG</x:v>
      </x:c>
    </x:row>
    <x:row r="682">
      <x:c r="A682" s="2" t="n">
        <x:v>681</x:v>
      </x:c>
      <x:c r="B682" s="2" t="inlineStr">
        <x:is>
          <x:t xml:space="preserve">300773</x:t>
        </x:is>
      </x:c>
      <x:c r="C682" s="3" t="inlineStr">
        <x:is>
          <x:t xml:space="preserve">拉卡拉</x:t>
        </x:is>
      </x:c>
      <x:c r="D682" s="3" t="inlineStr">
        <x:is>
          <x:t xml:space="preserve">拉卡拉支付股份有限公司</x:t>
        </x:is>
      </x:c>
      <x:c r="E682" s="2" t="inlineStr">
        <x:is>
          <x:t xml:space="preserve">北京市</x:t>
        </x:is>
      </x:c>
      <x:c r="F682" s="2" t="inlineStr">
        <x:is>
          <x:t xml:space="preserve">北京市</x:t>
        </x:is>
      </x:c>
      <x:c r="G682" s="3" t="inlineStr">
        <x:is>
          <x:t xml:space="preserve">北京市-北京市</x:t>
        </x:is>
      </x:c>
      <x:c r="H682" s="2" t="inlineStr">
        <x:is>
          <x:t xml:space="preserve">软件服务</x:t>
        </x:is>
      </x:c>
      <x:c r="I682" s="2" t="inlineStr">
        <x:is>
          <x:t xml:space="preserve">2019-04-25</x:t>
        </x:is>
      </x:c>
      <x:c r="J682" s="3" t="inlineStr">
        <x:is>
          <x:t xml:space="preserve">北京市海淀区北清路中关村壹号D1座6层606</x:t>
        </x:is>
      </x:c>
      <x:c r="K682" s="12" t="str">
        <x:f>LEFT("91110108770425654N",18)</x:f>
        <x:v>91110108770425654N</x:v>
      </x:c>
    </x:row>
    <x:row r="683">
      <x:c r="A683" s="4" t="n">
        <x:v>682</x:v>
      </x:c>
      <x:c r="B683" s="4" t="inlineStr">
        <x:is>
          <x:t xml:space="preserve">300774</x:t>
        </x:is>
      </x:c>
      <x:c r="C683" s="5" t="inlineStr">
        <x:is>
          <x:t xml:space="preserve">倍杰特</x:t>
        </x:is>
      </x:c>
      <x:c r="D683" s="5" t="inlineStr">
        <x:is>
          <x:t xml:space="preserve">倍杰特集团股份有限公司</x:t>
        </x:is>
      </x:c>
      <x:c r="E683" s="4" t="inlineStr">
        <x:is>
          <x:t xml:space="preserve">北京市</x:t>
        </x:is>
      </x:c>
      <x:c r="F683" s="4" t="inlineStr">
        <x:is>
          <x:t xml:space="preserve">北京市</x:t>
        </x:is>
      </x:c>
      <x:c r="G683" s="5" t="inlineStr">
        <x:is>
          <x:t xml:space="preserve">北京市-北京市</x:t>
        </x:is>
      </x:c>
      <x:c r="H683" s="4" t="inlineStr">
        <x:is>
          <x:t xml:space="preserve">环保工程</x:t>
        </x:is>
      </x:c>
      <x:c r="I683" s="4" t="inlineStr">
        <x:is>
          <x:t xml:space="preserve">2021-08-04</x:t>
        </x:is>
      </x:c>
      <x:c r="J683" s="5" t="inlineStr">
        <x:is>
          <x:t xml:space="preserve">北京市北京经济技术开发区荣华中路8号院8号楼4层501(北京自贸试验区高端产业片区亦庄组团)</x:t>
        </x:is>
      </x:c>
      <x:c r="K683" s="12" t="str">
        <x:f>LEFT("911101157667548264",18)</x:f>
        <x:v>911101157667548300</x:v>
      </x:c>
    </x:row>
    <x:row r="684">
      <x:c r="A684" s="2" t="n">
        <x:v>683</x:v>
      </x:c>
      <x:c r="B684" s="2" t="inlineStr">
        <x:is>
          <x:t xml:space="preserve">300785</x:t>
        </x:is>
      </x:c>
      <x:c r="C684" s="3" t="inlineStr">
        <x:is>
          <x:t xml:space="preserve">值得买</x:t>
        </x:is>
      </x:c>
      <x:c r="D684" s="3" t="inlineStr">
        <x:is>
          <x:t xml:space="preserve">北京值得买科技股份有限公司</x:t>
        </x:is>
      </x:c>
      <x:c r="E684" s="2" t="inlineStr">
        <x:is>
          <x:t xml:space="preserve">北京市</x:t>
        </x:is>
      </x:c>
      <x:c r="F684" s="2" t="inlineStr">
        <x:is>
          <x:t xml:space="preserve">北京市</x:t>
        </x:is>
      </x:c>
      <x:c r="G684" s="3" t="inlineStr">
        <x:is>
          <x:t xml:space="preserve">北京市-北京市</x:t>
        </x:is>
      </x:c>
      <x:c r="H684" s="2" t="inlineStr">
        <x:is>
          <x:t xml:space="preserve">电子信息</x:t>
        </x:is>
      </x:c>
      <x:c r="I684" s="2" t="inlineStr">
        <x:is>
          <x:t xml:space="preserve">2019-07-15</x:t>
        </x:is>
      </x:c>
      <x:c r="J684" s="3" t="inlineStr">
        <x:is>
          <x:t xml:space="preserve">北京市丰台区汽车博物馆东路1号院3号楼33层3801</x:t>
        </x:is>
      </x:c>
      <x:c r="K684" s="12" t="str">
        <x:f>LEFT("91110106585840012D",18)</x:f>
        <x:v>91110106585840012D</x:v>
      </x:c>
    </x:row>
    <x:row r="685">
      <x:c r="A685" s="4" t="n">
        <x:v>684</x:v>
      </x:c>
      <x:c r="B685" s="4" t="inlineStr">
        <x:is>
          <x:t xml:space="preserve">300788</x:t>
        </x:is>
      </x:c>
      <x:c r="C685" s="5" t="inlineStr">
        <x:is>
          <x:t xml:space="preserve">中信出版</x:t>
        </x:is>
      </x:c>
      <x:c r="D685" s="5" t="inlineStr">
        <x:is>
          <x:t xml:space="preserve">中信出版集团股份有限公司</x:t>
        </x:is>
      </x:c>
      <x:c r="E685" s="4" t="inlineStr">
        <x:is>
          <x:t xml:space="preserve">北京市</x:t>
        </x:is>
      </x:c>
      <x:c r="F685" s="4" t="inlineStr">
        <x:is>
          <x:t xml:space="preserve">北京市</x:t>
        </x:is>
      </x:c>
      <x:c r="G685" s="5" t="inlineStr">
        <x:is>
          <x:t xml:space="preserve">北京市-北京市</x:t>
        </x:is>
      </x:c>
      <x:c r="H685" s="4" t="inlineStr">
        <x:is>
          <x:t xml:space="preserve">文化传媒</x:t>
        </x:is>
      </x:c>
      <x:c r="I685" s="4" t="inlineStr">
        <x:is>
          <x:t xml:space="preserve">2019-07-05</x:t>
        </x:is>
      </x:c>
      <x:c r="J685" s="5" t="inlineStr">
        <x:is>
          <x:t xml:space="preserve">北京市朝阳区东三环北路27号楼3层302、5层502、6层602、9层902、18层1801、1802</x:t>
        </x:is>
      </x:c>
      <x:c r="K685" s="12" t="str">
        <x:f>LEFT("91100000101729466X",18)</x:f>
        <x:v>91100000101729466X</x:v>
      </x:c>
    </x:row>
    <x:row r="686">
      <x:c r="A686" s="2" t="n">
        <x:v>685</x:v>
      </x:c>
      <x:c r="B686" s="2" t="inlineStr">
        <x:is>
          <x:t xml:space="preserve">300797</x:t>
        </x:is>
      </x:c>
      <x:c r="C686" s="3" t="inlineStr">
        <x:is>
          <x:t xml:space="preserve">钢研纳克</x:t>
        </x:is>
      </x:c>
      <x:c r="D686" s="3" t="inlineStr">
        <x:is>
          <x:t xml:space="preserve">钢研纳克检测技术股份有限公司</x:t>
        </x:is>
      </x:c>
      <x:c r="E686" s="2" t="inlineStr">
        <x:is>
          <x:t xml:space="preserve">北京市</x:t>
        </x:is>
      </x:c>
      <x:c r="F686" s="2" t="inlineStr">
        <x:is>
          <x:t xml:space="preserve">北京市</x:t>
        </x:is>
      </x:c>
      <x:c r="G686" s="3" t="inlineStr">
        <x:is>
          <x:t xml:space="preserve">北京市-北京市</x:t>
        </x:is>
      </x:c>
      <x:c r="H686" s="2" t="inlineStr">
        <x:is>
          <x:t xml:space="preserve">专业服务</x:t>
        </x:is>
      </x:c>
      <x:c r="I686" s="2" t="inlineStr">
        <x:is>
          <x:t xml:space="preserve">2019-11-01</x:t>
        </x:is>
      </x:c>
      <x:c r="J686" s="3" t="inlineStr">
        <x:is>
          <x:t xml:space="preserve">北京市海淀区高梁桥斜街13号</x:t>
        </x:is>
      </x:c>
      <x:c r="K686" s="12" t="str">
        <x:f>LEFT("91110108802071804M",18)</x:f>
        <x:v>91110108802071804M</x:v>
      </x:c>
    </x:row>
    <x:row r="687">
      <x:c r="A687" s="4" t="n">
        <x:v>686</x:v>
      </x:c>
      <x:c r="B687" s="4" t="inlineStr">
        <x:is>
          <x:t xml:space="preserve">300803</x:t>
        </x:is>
      </x:c>
      <x:c r="C687" s="5" t="inlineStr">
        <x:is>
          <x:t xml:space="preserve">指南针</x:t>
        </x:is>
      </x:c>
      <x:c r="D687" s="5" t="inlineStr">
        <x:is>
          <x:t xml:space="preserve">北京指南针科技发展股份有限公司</x:t>
        </x:is>
      </x:c>
      <x:c r="E687" s="4" t="inlineStr">
        <x:is>
          <x:t xml:space="preserve">北京市</x:t>
        </x:is>
      </x:c>
      <x:c r="F687" s="4" t="inlineStr">
        <x:is>
          <x:t xml:space="preserve">北京市</x:t>
        </x:is>
      </x:c>
      <x:c r="G687" s="5" t="inlineStr">
        <x:is>
          <x:t xml:space="preserve">北京市-北京市</x:t>
        </x:is>
      </x:c>
      <x:c r="H687" s="4" t="inlineStr">
        <x:is>
          <x:t xml:space="preserve">软件服务</x:t>
        </x:is>
      </x:c>
      <x:c r="I687" s="4" t="inlineStr">
        <x:is>
          <x:t xml:space="preserve">2019-11-18</x:t>
        </x:is>
      </x:c>
      <x:c r="J687" s="5" t="inlineStr">
        <x:is>
          <x:t xml:space="preserve">北京市昌平区北七家镇七北路42号院2号楼1单元501室</x:t>
        </x:is>
      </x:c>
      <x:c r="K687" s="12" t="str">
        <x:f>LEFT("911101087263410239",18)</x:f>
        <x:v>911101087263410200</x:v>
      </x:c>
    </x:row>
    <x:row r="688">
      <x:c r="A688" s="2" t="n">
        <x:v>687</x:v>
      </x:c>
      <x:c r="B688" s="2" t="inlineStr">
        <x:is>
          <x:t xml:space="preserve">300810</x:t>
        </x:is>
      </x:c>
      <x:c r="C688" s="3" t="inlineStr">
        <x:is>
          <x:t xml:space="preserve">中科海讯</x:t>
        </x:is>
      </x:c>
      <x:c r="D688" s="3" t="inlineStr">
        <x:is>
          <x:t xml:space="preserve">北京中科海讯数字科技股份有限公司</x:t>
        </x:is>
      </x:c>
      <x:c r="E688" s="2" t="inlineStr">
        <x:is>
          <x:t xml:space="preserve">北京市</x:t>
        </x:is>
      </x:c>
      <x:c r="F688" s="2" t="inlineStr">
        <x:is>
          <x:t xml:space="preserve">北京市</x:t>
        </x:is>
      </x:c>
      <x:c r="G688" s="3" t="inlineStr">
        <x:is>
          <x:t xml:space="preserve">北京市-北京市</x:t>
        </x:is>
      </x:c>
      <x:c r="H688" s="2" t="inlineStr">
        <x:is>
          <x:t xml:space="preserve">软件服务</x:t>
        </x:is>
      </x:c>
      <x:c r="I688" s="2" t="inlineStr">
        <x:is>
          <x:t xml:space="preserve">2019-12-06</x:t>
        </x:is>
      </x:c>
      <x:c r="J688" s="3" t="inlineStr">
        <x:is>
          <x:t xml:space="preserve">北京市海淀区地锦路33号院1号楼3层S6306室</x:t>
        </x:is>
      </x:c>
      <x:c r="K688" s="12" t="str">
        <x:f>LEFT("9111010877766050XL",18)</x:f>
        <x:v>9111010877766050XL</x:v>
      </x:c>
    </x:row>
    <x:row r="689">
      <x:c r="A689" s="4" t="n">
        <x:v>688</x:v>
      </x:c>
      <x:c r="B689" s="4" t="inlineStr">
        <x:is>
          <x:t xml:space="preserve">300825</x:t>
        </x:is>
      </x:c>
      <x:c r="C689" s="5" t="inlineStr">
        <x:is>
          <x:t xml:space="preserve">阿尔特</x:t>
        </x:is>
      </x:c>
      <x:c r="D689" s="5" t="inlineStr">
        <x:is>
          <x:t xml:space="preserve">阿尔特汽车技术股份有限公司</x:t>
        </x:is>
      </x:c>
      <x:c r="E689" s="4" t="inlineStr">
        <x:is>
          <x:t xml:space="preserve">北京市</x:t>
        </x:is>
      </x:c>
      <x:c r="F689" s="4" t="inlineStr">
        <x:is>
          <x:t xml:space="preserve">北京市</x:t>
        </x:is>
      </x:c>
      <x:c r="G689" s="5" t="inlineStr">
        <x:is>
          <x:t xml:space="preserve">北京市-北京市</x:t>
        </x:is>
      </x:c>
      <x:c r="H689" s="4" t="inlineStr">
        <x:is>
          <x:t xml:space="preserve">汽车服务</x:t>
        </x:is>
      </x:c>
      <x:c r="I689" s="4" t="inlineStr">
        <x:is>
          <x:t xml:space="preserve">2020-03-27</x:t>
        </x:is>
      </x:c>
      <x:c r="J689" s="5" t="inlineStr">
        <x:is>
          <x:t xml:space="preserve">北京市北京经济技术开发区凉水河二街7号院11号楼9层(北京自贸试验区高端产业片区亦庄组团)</x:t>
        </x:is>
      </x:c>
      <x:c r="K689" s="12" t="str">
        <x:f>LEFT("91110302662152417W",18)</x:f>
        <x:v>91110302662152417W</x:v>
      </x:c>
    </x:row>
    <x:row r="690">
      <x:c r="A690" s="2" t="n">
        <x:v>689</x:v>
      </x:c>
      <x:c r="B690" s="2" t="inlineStr">
        <x:is>
          <x:t xml:space="preserve">300846</x:t>
        </x:is>
      </x:c>
      <x:c r="C690" s="3" t="inlineStr">
        <x:is>
          <x:t xml:space="preserve">首都在线</x:t>
        </x:is>
      </x:c>
      <x:c r="D690" s="3" t="inlineStr">
        <x:is>
          <x:t xml:space="preserve">北京首都在线科技股份有限公司</x:t>
        </x:is>
      </x:c>
      <x:c r="E690" s="2" t="inlineStr">
        <x:is>
          <x:t xml:space="preserve">北京市</x:t>
        </x:is>
      </x:c>
      <x:c r="F690" s="2" t="inlineStr">
        <x:is>
          <x:t xml:space="preserve">北京市</x:t>
        </x:is>
      </x:c>
      <x:c r="G690" s="3" t="inlineStr">
        <x:is>
          <x:t xml:space="preserve">北京市-北京市</x:t>
        </x:is>
      </x:c>
      <x:c r="H690" s="2" t="inlineStr">
        <x:is>
          <x:t xml:space="preserve">互联网服务</x:t>
        </x:is>
      </x:c>
      <x:c r="I690" s="2" t="inlineStr">
        <x:is>
          <x:t xml:space="preserve">2020-07-01</x:t>
        </x:is>
      </x:c>
      <x:c r="J690" s="3" t="inlineStr">
        <x:is>
          <x:t xml:space="preserve">北京市朝阳区紫月路18号院9号楼一层101室</x:t>
        </x:is>
      </x:c>
      <x:c r="K690" s="12" t="str">
        <x:f>LEFT("911101087776681301",18)</x:f>
        <x:v>911101087776681300</x:v>
      </x:c>
    </x:row>
    <x:row r="691">
      <x:c r="A691" s="4" t="n">
        <x:v>690</x:v>
      </x:c>
      <x:c r="B691" s="4" t="inlineStr">
        <x:is>
          <x:t xml:space="preserve">300851</x:t>
        </x:is>
      </x:c>
      <x:c r="C691" s="5" t="inlineStr">
        <x:is>
          <x:t xml:space="preserve">交大思诺</x:t>
        </x:is>
      </x:c>
      <x:c r="D691" s="5" t="inlineStr">
        <x:is>
          <x:t xml:space="preserve">北京交大思诺科技股份有限公司</x:t>
        </x:is>
      </x:c>
      <x:c r="E691" s="4" t="inlineStr">
        <x:is>
          <x:t xml:space="preserve">北京市</x:t>
        </x:is>
      </x:c>
      <x:c r="F691" s="4" t="inlineStr">
        <x:is>
          <x:t xml:space="preserve">北京市</x:t>
        </x:is>
      </x:c>
      <x:c r="G691" s="5" t="inlineStr">
        <x:is>
          <x:t xml:space="preserve">北京市-北京市</x:t>
        </x:is>
      </x:c>
      <x:c r="H691" s="4" t="inlineStr">
        <x:is>
          <x:t xml:space="preserve">交运设备</x:t>
        </x:is>
      </x:c>
      <x:c r="I691" s="4" t="inlineStr">
        <x:is>
          <x:t xml:space="preserve">2020-07-17</x:t>
        </x:is>
      </x:c>
      <x:c r="J691" s="5" t="inlineStr">
        <x:is>
          <x:t xml:space="preserve">北京市昌平区回龙观镇立业路3号院2号楼1层101</x:t>
        </x:is>
      </x:c>
      <x:c r="K691" s="12" t="str">
        <x:f>LEFT("91110108802103845P",18)</x:f>
        <x:v>91110108802103845P</x:v>
      </x:c>
    </x:row>
    <x:row r="692">
      <x:c r="A692" s="2" t="n">
        <x:v>691</x:v>
      </x:c>
      <x:c r="B692" s="2" t="inlineStr">
        <x:is>
          <x:t xml:space="preserve">300858</x:t>
        </x:is>
      </x:c>
      <x:c r="C692" s="3" t="inlineStr">
        <x:is>
          <x:t xml:space="preserve">科拓生物</x:t>
        </x:is>
      </x:c>
      <x:c r="D692" s="3" t="inlineStr">
        <x:is>
          <x:t xml:space="preserve">北京科拓恒通生物技术股份有限公司</x:t>
        </x:is>
      </x:c>
      <x:c r="E692" s="2" t="inlineStr">
        <x:is>
          <x:t xml:space="preserve">北京市</x:t>
        </x:is>
      </x:c>
      <x:c r="F692" s="2" t="inlineStr">
        <x:is>
          <x:t xml:space="preserve">北京市</x:t>
        </x:is>
      </x:c>
      <x:c r="G692" s="3" t="inlineStr">
        <x:is>
          <x:t xml:space="preserve">北京市-北京市</x:t>
        </x:is>
      </x:c>
      <x:c r="H692" s="2" t="inlineStr">
        <x:is>
          <x:t xml:space="preserve">食品饮料</x:t>
        </x:is>
      </x:c>
      <x:c r="I692" s="2" t="inlineStr">
        <x:is>
          <x:t xml:space="preserve">2020-07-27</x:t>
        </x:is>
      </x:c>
      <x:c r="J692" s="3" t="inlineStr">
        <x:is>
          <x:t xml:space="preserve">北京市怀柔区雁栖经济开发区牤牛河路31号院1号-2</x:t>
        </x:is>
      </x:c>
      <x:c r="K692" s="12" t="str">
        <x:f>LEFT("91110116754160123E",18)</x:f>
        <x:v>91110116754160123E</x:v>
      </x:c>
    </x:row>
    <x:row r="693">
      <x:c r="A693" s="4" t="n">
        <x:v>692</x:v>
      </x:c>
      <x:c r="B693" s="4" t="inlineStr">
        <x:is>
          <x:t xml:space="preserve">300860</x:t>
        </x:is>
      </x:c>
      <x:c r="C693" s="5" t="inlineStr">
        <x:is>
          <x:t xml:space="preserve">锋尚文化</x:t>
        </x:is>
      </x:c>
      <x:c r="D693" s="5" t="inlineStr">
        <x:is>
          <x:t xml:space="preserve">锋尚文化集团股份有限公司</x:t>
        </x:is>
      </x:c>
      <x:c r="E693" s="4" t="inlineStr">
        <x:is>
          <x:t xml:space="preserve">北京市</x:t>
        </x:is>
      </x:c>
      <x:c r="F693" s="4" t="inlineStr">
        <x:is>
          <x:t xml:space="preserve">北京市</x:t>
        </x:is>
      </x:c>
      <x:c r="G693" s="5" t="inlineStr">
        <x:is>
          <x:t xml:space="preserve">北京市-北京市</x:t>
        </x:is>
      </x:c>
      <x:c r="H693" s="4" t="inlineStr">
        <x:is>
          <x:t xml:space="preserve">文化传媒</x:t>
        </x:is>
      </x:c>
      <x:c r="I693" s="4" t="inlineStr">
        <x:is>
          <x:t xml:space="preserve">2020-08-24</x:t>
        </x:is>
      </x:c>
      <x:c r="J693" s="5" t="inlineStr">
        <x:is>
          <x:t xml:space="preserve">北京市东城区青龙胡同1号16层1606</x:t>
        </x:is>
      </x:c>
      <x:c r="K693" s="12" t="str">
        <x:f>LEFT("91110101741558466W",18)</x:f>
        <x:v>91110101741558466W</x:v>
      </x:c>
    </x:row>
    <x:row r="694">
      <x:c r="A694" s="2" t="n">
        <x:v>693</x:v>
      </x:c>
      <x:c r="B694" s="2" t="inlineStr">
        <x:is>
          <x:t xml:space="preserve">300887</x:t>
        </x:is>
      </x:c>
      <x:c r="C694" s="3" t="inlineStr">
        <x:is>
          <x:t xml:space="preserve">谱尼测试</x:t>
        </x:is>
      </x:c>
      <x:c r="D694" s="3" t="inlineStr">
        <x:is>
          <x:t xml:space="preserve">谱尼测试集团股份有限公司</x:t>
        </x:is>
      </x:c>
      <x:c r="E694" s="2" t="inlineStr">
        <x:is>
          <x:t xml:space="preserve">北京市</x:t>
        </x:is>
      </x:c>
      <x:c r="F694" s="2" t="inlineStr">
        <x:is>
          <x:t xml:space="preserve">北京市</x:t>
        </x:is>
      </x:c>
      <x:c r="G694" s="3" t="inlineStr">
        <x:is>
          <x:t xml:space="preserve">北京市-北京市</x:t>
        </x:is>
      </x:c>
      <x:c r="H694" s="2" t="inlineStr">
        <x:is>
          <x:t xml:space="preserve">专业服务</x:t>
        </x:is>
      </x:c>
      <x:c r="I694" s="2" t="inlineStr">
        <x:is>
          <x:t xml:space="preserve">2020-09-16</x:t>
        </x:is>
      </x:c>
      <x:c r="J694" s="3" t="inlineStr">
        <x:is>
          <x:t xml:space="preserve">北京市海淀区锦带路66号院1号楼5层101</x:t>
        </x:is>
      </x:c>
      <x:c r="K694" s="12" t="str">
        <x:f>LEFT("91110108740053589U",18)</x:f>
        <x:v>91110108740053589U</x:v>
      </x:c>
    </x:row>
    <x:row r="695">
      <x:c r="A695" s="4" t="n">
        <x:v>694</x:v>
      </x:c>
      <x:c r="B695" s="4" t="inlineStr">
        <x:is>
          <x:t xml:space="preserve">300895</x:t>
        </x:is>
      </x:c>
      <x:c r="C695" s="5" t="inlineStr">
        <x:is>
          <x:t xml:space="preserve">铜牛信息</x:t>
        </x:is>
      </x:c>
      <x:c r="D695" s="5" t="inlineStr">
        <x:is>
          <x:t xml:space="preserve">北京铜牛信息科技股份有限公司</x:t>
        </x:is>
      </x:c>
      <x:c r="E695" s="4" t="inlineStr">
        <x:is>
          <x:t xml:space="preserve">北京市</x:t>
        </x:is>
      </x:c>
      <x:c r="F695" s="4" t="inlineStr">
        <x:is>
          <x:t xml:space="preserve">北京市</x:t>
        </x:is>
      </x:c>
      <x:c r="G695" s="5" t="inlineStr">
        <x:is>
          <x:t xml:space="preserve">北京市-北京市</x:t>
        </x:is>
      </x:c>
      <x:c r="H695" s="4" t="inlineStr">
        <x:is>
          <x:t xml:space="preserve">互联网服务</x:t>
        </x:is>
      </x:c>
      <x:c r="I695" s="4" t="inlineStr">
        <x:is>
          <x:t xml:space="preserve">2020-09-24</x:t>
        </x:is>
      </x:c>
      <x:c r="J695" s="5" t="inlineStr">
        <x:is>
          <x:t xml:space="preserve">北京市密云区经济开发区科技路31号</x:t>
        </x:is>
      </x:c>
      <x:c r="K695" s="12" t="str">
        <x:f>LEFT("91110108780984409U",18)</x:f>
        <x:v>91110108780984409U</x:v>
      </x:c>
    </x:row>
    <x:row r="696">
      <x:c r="A696" s="2" t="n">
        <x:v>695</x:v>
      </x:c>
      <x:c r="B696" s="2" t="inlineStr">
        <x:is>
          <x:t xml:space="preserve">300896</x:t>
        </x:is>
      </x:c>
      <x:c r="C696" s="3" t="inlineStr">
        <x:is>
          <x:t xml:space="preserve">爱美客</x:t>
        </x:is>
      </x:c>
      <x:c r="D696" s="3" t="inlineStr">
        <x:is>
          <x:t xml:space="preserve">爱美客技术发展股份有限公司</x:t>
        </x:is>
      </x:c>
      <x:c r="E696" s="2" t="inlineStr">
        <x:is>
          <x:t xml:space="preserve">北京市</x:t>
        </x:is>
      </x:c>
      <x:c r="F696" s="2" t="inlineStr">
        <x:is>
          <x:t xml:space="preserve">北京市</x:t>
        </x:is>
      </x:c>
      <x:c r="G696" s="3" t="inlineStr">
        <x:is>
          <x:t xml:space="preserve">北京市-北京市</x:t>
        </x:is>
      </x:c>
      <x:c r="H696" s="2" t="inlineStr">
        <x:is>
          <x:t xml:space="preserve">美容护理</x:t>
        </x:is>
      </x:c>
      <x:c r="I696" s="2" t="inlineStr">
        <x:is>
          <x:t xml:space="preserve">2020-09-28</x:t>
        </x:is>
      </x:c>
      <x:c r="J696" s="3" t="inlineStr">
        <x:is>
          <x:t xml:space="preserve">北京市昌平区科技园区白浮泉路10号北控科技大厦4层416B室</x:t>
        </x:is>
      </x:c>
      <x:c r="K696" s="12" t="str">
        <x:f>LEFT("91110114763510383J",18)</x:f>
        <x:v>91110114763510383J</x:v>
      </x:c>
    </x:row>
    <x:row r="697">
      <x:c r="A697" s="4" t="n">
        <x:v>696</x:v>
      </x:c>
      <x:c r="B697" s="4" t="inlineStr">
        <x:is>
          <x:t xml:space="preserve">300928</x:t>
        </x:is>
      </x:c>
      <x:c r="C697" s="5" t="inlineStr">
        <x:is>
          <x:t xml:space="preserve">华安鑫创</x:t>
        </x:is>
      </x:c>
      <x:c r="D697" s="5" t="inlineStr">
        <x:is>
          <x:t xml:space="preserve">华安鑫创控股(北京)股份有限公司</x:t>
        </x:is>
      </x:c>
      <x:c r="E697" s="4" t="inlineStr">
        <x:is>
          <x:t xml:space="preserve">北京市</x:t>
        </x:is>
      </x:c>
      <x:c r="F697" s="4" t="inlineStr">
        <x:is>
          <x:t xml:space="preserve">北京市</x:t>
        </x:is>
      </x:c>
      <x:c r="G697" s="5" t="inlineStr">
        <x:is>
          <x:t xml:space="preserve">北京市-北京市</x:t>
        </x:is>
      </x:c>
      <x:c r="H697" s="4" t="inlineStr">
        <x:is>
          <x:t xml:space="preserve">汽车行业</x:t>
        </x:is>
      </x:c>
      <x:c r="I697" s="4" t="inlineStr">
        <x:is>
          <x:t xml:space="preserve">2021-01-06</x:t>
        </x:is>
      </x:c>
      <x:c r="J697" s="5" t="inlineStr">
        <x:is>
          <x:t xml:space="preserve">北京市北京经济技术开发区科创十三街18号院5号楼3层0304A室</x:t>
        </x:is>
      </x:c>
      <x:c r="K697" s="12" t="str">
        <x:f>LEFT("91110112061289514G",18)</x:f>
        <x:v>91110112061289514G</x:v>
      </x:c>
    </x:row>
    <x:row r="698">
      <x:c r="A698" s="2" t="n">
        <x:v>697</x:v>
      </x:c>
      <x:c r="B698" s="2" t="inlineStr">
        <x:is>
          <x:t xml:space="preserve">300935</x:t>
        </x:is>
      </x:c>
      <x:c r="C698" s="3" t="inlineStr">
        <x:is>
          <x:t xml:space="preserve">盈建科</x:t>
        </x:is>
      </x:c>
      <x:c r="D698" s="3" t="inlineStr">
        <x:is>
          <x:t xml:space="preserve">北京盈建科软件股份有限公司</x:t>
        </x:is>
      </x:c>
      <x:c r="E698" s="2" t="inlineStr">
        <x:is>
          <x:t xml:space="preserve">北京市</x:t>
        </x:is>
      </x:c>
      <x:c r="F698" s="2" t="inlineStr">
        <x:is>
          <x:t xml:space="preserve">北京市</x:t>
        </x:is>
      </x:c>
      <x:c r="G698" s="3" t="inlineStr">
        <x:is>
          <x:t xml:space="preserve">北京市-北京市</x:t>
        </x:is>
      </x:c>
      <x:c r="H698" s="2" t="inlineStr">
        <x:is>
          <x:t xml:space="preserve">软件服务</x:t>
        </x:is>
      </x:c>
      <x:c r="I698" s="2" t="inlineStr">
        <x:is>
          <x:t xml:space="preserve">2021-01-20</x:t>
        </x:is>
      </x:c>
      <x:c r="J698" s="3" t="inlineStr">
        <x:is>
          <x:t xml:space="preserve">北京市海淀区花园东路11号泰兴大厦四层413室</x:t>
        </x:is>
      </x:c>
      <x:c r="K698" s="12" t="str">
        <x:f>LEFT("91110108565780884D",18)</x:f>
        <x:v>91110108565780884D</x:v>
      </x:c>
    </x:row>
    <x:row r="699">
      <x:c r="A699" s="4" t="n">
        <x:v>698</x:v>
      </x:c>
      <x:c r="B699" s="4" t="inlineStr">
        <x:is>
          <x:t xml:space="preserve">300958</x:t>
        </x:is>
      </x:c>
      <x:c r="C699" s="5" t="inlineStr">
        <x:is>
          <x:t xml:space="preserve">建工修复</x:t>
        </x:is>
      </x:c>
      <x:c r="D699" s="5" t="inlineStr">
        <x:is>
          <x:t xml:space="preserve">北京建工环境修复股份有限公司</x:t>
        </x:is>
      </x:c>
      <x:c r="E699" s="4" t="inlineStr">
        <x:is>
          <x:t xml:space="preserve">北京市</x:t>
        </x:is>
      </x:c>
      <x:c r="F699" s="4" t="inlineStr">
        <x:is>
          <x:t xml:space="preserve">北京市</x:t>
        </x:is>
      </x:c>
      <x:c r="G699" s="5" t="inlineStr">
        <x:is>
          <x:t xml:space="preserve">北京市-北京市</x:t>
        </x:is>
      </x:c>
      <x:c r="H699" s="4" t="inlineStr">
        <x:is>
          <x:t xml:space="preserve">环保工程</x:t>
        </x:is>
      </x:c>
      <x:c r="I699" s="4" t="inlineStr">
        <x:is>
          <x:t xml:space="preserve">2021-03-29</x:t>
        </x:is>
      </x:c>
      <x:c r="J699" s="5" t="inlineStr">
        <x:is>
          <x:t xml:space="preserve">北京市朝阳区京顺东街6号院16号楼3层301</x:t>
        </x:is>
      </x:c>
      <x:c r="K699" s="12" t="str">
        <x:f>LEFT("9111010566840059XP",18)</x:f>
        <x:v>9111010566840059XP</x:v>
      </x:c>
    </x:row>
    <x:row r="700">
      <x:c r="A700" s="2" t="n">
        <x:v>699</x:v>
      </x:c>
      <x:c r="B700" s="2" t="inlineStr">
        <x:is>
          <x:t xml:space="preserve">300965</x:t>
        </x:is>
      </x:c>
      <x:c r="C700" s="3" t="inlineStr">
        <x:is>
          <x:t xml:space="preserve">*ST恒宇</x:t>
        </x:is>
      </x:c>
      <x:c r="D700" s="3" t="inlineStr">
        <x:is>
          <x:t xml:space="preserve">恒宇信通航空装备(北京)股份有限公司</x:t>
        </x:is>
      </x:c>
      <x:c r="E700" s="2" t="inlineStr">
        <x:is>
          <x:t xml:space="preserve">北京市</x:t>
        </x:is>
      </x:c>
      <x:c r="F700" s="2" t="inlineStr">
        <x:is>
          <x:t xml:space="preserve">北京市</x:t>
        </x:is>
      </x:c>
      <x:c r="G700" s="3" t="inlineStr">
        <x:is>
          <x:t xml:space="preserve">北京市-北京市</x:t>
        </x:is>
      </x:c>
      <x:c r="H700" s="2" t="inlineStr">
        <x:is>
          <x:t xml:space="preserve">航天航空</x:t>
        </x:is>
      </x:c>
      <x:c r="I700" s="2" t="inlineStr">
        <x:is>
          <x:t xml:space="preserve">2021-04-02</x:t>
        </x:is>
      </x:c>
      <x:c r="J700" s="3" t="inlineStr">
        <x:is>
          <x:t xml:space="preserve">北京市顺义区北石槽镇府前西街17号院4号1至6层101内2层201室</x:t>
        </x:is>
      </x:c>
      <x:c r="K700" s="12" t="str">
        <x:f>LEFT("91110113743335987W",18)</x:f>
        <x:v>91110113743335987W</x:v>
      </x:c>
    </x:row>
    <x:row r="701">
      <x:c r="A701" s="4" t="n">
        <x:v>700</x:v>
      </x:c>
      <x:c r="B701" s="4" t="inlineStr">
        <x:is>
          <x:t xml:space="preserve">301047</x:t>
        </x:is>
      </x:c>
      <x:c r="C701" s="5" t="inlineStr">
        <x:is>
          <x:t xml:space="preserve">义翘神州</x:t>
        </x:is>
      </x:c>
      <x:c r="D701" s="5" t="inlineStr">
        <x:is>
          <x:t xml:space="preserve">北京义翘神州科技股份有限公司</x:t>
        </x:is>
      </x:c>
      <x:c r="E701" s="4" t="inlineStr">
        <x:is>
          <x:t xml:space="preserve">北京市</x:t>
        </x:is>
      </x:c>
      <x:c r="F701" s="4" t="inlineStr">
        <x:is>
          <x:t xml:space="preserve">北京市</x:t>
        </x:is>
      </x:c>
      <x:c r="G701" s="5" t="inlineStr">
        <x:is>
          <x:t xml:space="preserve">北京市-北京市</x:t>
        </x:is>
      </x:c>
      <x:c r="H701" s="4" t="inlineStr">
        <x:is>
          <x:t xml:space="preserve">生物制品</x:t>
        </x:is>
      </x:c>
      <x:c r="I701" s="4" t="inlineStr">
        <x:is>
          <x:t xml:space="preserve">2021-08-16</x:t>
        </x:is>
      </x:c>
      <x:c r="J701" s="5" t="inlineStr">
        <x:is>
          <x:t xml:space="preserve">北京市北京经济技术开发区景园街8号院1号楼9层B901</x:t>
        </x:is>
      </x:c>
      <x:c r="K701" s="12" t="str">
        <x:f>LEFT("91110302MA00AR3F76",18)</x:f>
        <x:v>91110302MA00AR3F76</x:v>
      </x:c>
    </x:row>
    <x:row r="702">
      <x:c r="A702" s="2" t="n">
        <x:v>701</x:v>
      </x:c>
      <x:c r="B702" s="2" t="inlineStr">
        <x:is>
          <x:t xml:space="preserve">301080</x:t>
        </x:is>
      </x:c>
      <x:c r="C702" s="3" t="inlineStr">
        <x:is>
          <x:t xml:space="preserve">百普赛斯</x:t>
        </x:is>
      </x:c>
      <x:c r="D702" s="3" t="inlineStr">
        <x:is>
          <x:t xml:space="preserve">北京百普赛斯生物科技股份有限公司</x:t>
        </x:is>
      </x:c>
      <x:c r="E702" s="2" t="inlineStr">
        <x:is>
          <x:t xml:space="preserve">北京市</x:t>
        </x:is>
      </x:c>
      <x:c r="F702" s="2" t="inlineStr">
        <x:is>
          <x:t xml:space="preserve">北京市</x:t>
        </x:is>
      </x:c>
      <x:c r="G702" s="3" t="inlineStr">
        <x:is>
          <x:t xml:space="preserve">北京市-北京市</x:t>
        </x:is>
      </x:c>
      <x:c r="H702" s="2" t="inlineStr">
        <x:is>
          <x:t xml:space="preserve">医疗服务</x:t>
        </x:is>
      </x:c>
      <x:c r="I702" s="2" t="inlineStr">
        <x:is>
          <x:t xml:space="preserve">2021-10-18</x:t>
        </x:is>
      </x:c>
      <x:c r="J702" s="3" t="inlineStr">
        <x:is>
          <x:t xml:space="preserve">北京市北京经济技术开发区宏达北路8号4幢4层</x:t>
        </x:is>
      </x:c>
      <x:c r="K702" s="12" t="str">
        <x:f>LEFT("911103025604366893",18)</x:f>
        <x:v>911103025604366800</x:v>
      </x:c>
    </x:row>
    <x:row r="703">
      <x:c r="A703" s="4" t="n">
        <x:v>702</x:v>
      </x:c>
      <x:c r="B703" s="4" t="inlineStr">
        <x:is>
          <x:t xml:space="preserve">301085</x:t>
        </x:is>
      </x:c>
      <x:c r="C703" s="5" t="inlineStr">
        <x:is>
          <x:t xml:space="preserve">亚康股份</x:t>
        </x:is>
      </x:c>
      <x:c r="D703" s="5" t="inlineStr">
        <x:is>
          <x:t xml:space="preserve">北京亚康万玮信息技术股份有限公司</x:t>
        </x:is>
      </x:c>
      <x:c r="E703" s="4" t="inlineStr">
        <x:is>
          <x:t xml:space="preserve">北京市</x:t>
        </x:is>
      </x:c>
      <x:c r="F703" s="4" t="inlineStr">
        <x:is>
          <x:t xml:space="preserve">北京市</x:t>
        </x:is>
      </x:c>
      <x:c r="G703" s="5" t="inlineStr">
        <x:is>
          <x:t xml:space="preserve">北京市-北京市</x:t>
        </x:is>
      </x:c>
      <x:c r="H703" s="4" t="inlineStr">
        <x:is>
          <x:t xml:space="preserve">互联网服务</x:t>
        </x:is>
      </x:c>
      <x:c r="I703" s="4" t="inlineStr">
        <x:is>
          <x:t xml:space="preserve">2021-10-18</x:t>
        </x:is>
      </x:c>
      <x:c r="J703" s="5" t="inlineStr">
        <x:is>
          <x:t xml:space="preserve">北京市大兴区经济开发区科苑路18号3幢一层A613室</x:t>
        </x:is>
      </x:c>
      <x:c r="K703" s="12" t="str">
        <x:f>LEFT("91110108663124944W",18)</x:f>
        <x:v>91110108663124944W</x:v>
      </x:c>
    </x:row>
    <x:row r="704">
      <x:c r="A704" s="2" t="n">
        <x:v>703</x:v>
      </x:c>
      <x:c r="B704" s="2" t="inlineStr">
        <x:is>
          <x:t xml:space="preserve">301120</x:t>
        </x:is>
      </x:c>
      <x:c r="C704" s="3" t="inlineStr">
        <x:is>
          <x:t xml:space="preserve">新特电气</x:t>
        </x:is>
      </x:c>
      <x:c r="D704" s="3" t="inlineStr">
        <x:is>
          <x:t xml:space="preserve">新华都特种电气股份有限公司</x:t>
        </x:is>
      </x:c>
      <x:c r="E704" s="2" t="inlineStr">
        <x:is>
          <x:t xml:space="preserve">北京市</x:t>
        </x:is>
      </x:c>
      <x:c r="F704" s="2" t="inlineStr">
        <x:is>
          <x:t xml:space="preserve">北京市</x:t>
        </x:is>
      </x:c>
      <x:c r="G704" s="3" t="inlineStr">
        <x:is>
          <x:t xml:space="preserve">北京市-北京市</x:t>
        </x:is>
      </x:c>
      <x:c r="H704" s="2" t="inlineStr">
        <x:is>
          <x:t xml:space="preserve">电网设备</x:t>
        </x:is>
      </x:c>
      <x:c r="I704" s="2" t="inlineStr">
        <x:is>
          <x:t xml:space="preserve">2022-04-19</x:t>
        </x:is>
      </x:c>
      <x:c r="J704" s="3" t="inlineStr">
        <x:is>
          <x:t xml:space="preserve">北京市朝阳区利泽中一路1号院2号楼8层办公A801</x:t>
        </x:is>
      </x:c>
      <x:c r="K704" s="12" t="str">
        <x:f>LEFT("91110105101785863E",18)</x:f>
        <x:v>91110105101785863E</x:v>
      </x:c>
    </x:row>
    <x:row r="705">
      <x:c r="A705" s="4" t="n">
        <x:v>704</x:v>
      </x:c>
      <x:c r="B705" s="4" t="inlineStr">
        <x:is>
          <x:t xml:space="preserve">301153</x:t>
        </x:is>
      </x:c>
      <x:c r="C705" s="5" t="inlineStr">
        <x:is>
          <x:t xml:space="preserve">中科江南</x:t>
        </x:is>
      </x:c>
      <x:c r="D705" s="5" t="inlineStr">
        <x:is>
          <x:t xml:space="preserve">北京中科江南信息技术股份有限公司</x:t>
        </x:is>
      </x:c>
      <x:c r="E705" s="4" t="inlineStr">
        <x:is>
          <x:t xml:space="preserve">北京市</x:t>
        </x:is>
      </x:c>
      <x:c r="F705" s="4" t="inlineStr">
        <x:is>
          <x:t xml:space="preserve">北京市</x:t>
        </x:is>
      </x:c>
      <x:c r="G705" s="5" t="inlineStr">
        <x:is>
          <x:t xml:space="preserve">北京市-北京市</x:t>
        </x:is>
      </x:c>
      <x:c r="H705" s="4" t="inlineStr">
        <x:is>
          <x:t xml:space="preserve">软件开发</x:t>
        </x:is>
      </x:c>
      <x:c r="I705" s="4" t="inlineStr">
        <x:is>
          <x:t xml:space="preserve">2022-05-18</x:t>
        </x:is>
      </x:c>
      <x:c r="J705" s="5" t="inlineStr">
        <x:is>
          <x:t xml:space="preserve">北京市海淀区万泉河路68号8号楼1710室</x:t>
        </x:is>
      </x:c>
      <x:c r="K705" s="12" t="str">
        <x:f>LEFT("91110108585861972A",18)</x:f>
        <x:v>91110108585861972A</x:v>
      </x:c>
    </x:row>
    <x:row r="706">
      <x:c r="A706" s="2" t="n">
        <x:v>705</x:v>
      </x:c>
      <x:c r="B706" s="2" t="inlineStr">
        <x:is>
          <x:t xml:space="preserve">301159</x:t>
        </x:is>
      </x:c>
      <x:c r="C706" s="3" t="inlineStr">
        <x:is>
          <x:t xml:space="preserve">三维天地</x:t>
        </x:is>
      </x:c>
      <x:c r="D706" s="3" t="inlineStr">
        <x:is>
          <x:t xml:space="preserve">北京三维天地科技股份有限公司</x:t>
        </x:is>
      </x:c>
      <x:c r="E706" s="2" t="inlineStr">
        <x:is>
          <x:t xml:space="preserve">北京市</x:t>
        </x:is>
      </x:c>
      <x:c r="F706" s="2" t="inlineStr">
        <x:is>
          <x:t xml:space="preserve">北京市</x:t>
        </x:is>
      </x:c>
      <x:c r="G706" s="3" t="inlineStr">
        <x:is>
          <x:t xml:space="preserve">北京市-北京市</x:t>
        </x:is>
      </x:c>
      <x:c r="H706" s="2" t="inlineStr">
        <x:is>
          <x:t xml:space="preserve">软件开发</x:t>
        </x:is>
      </x:c>
      <x:c r="I706" s="2" t="inlineStr">
        <x:is>
          <x:t xml:space="preserve">2022-01-07</x:t>
        </x:is>
      </x:c>
      <x:c r="J706" s="3" t="inlineStr">
        <x:is>
          <x:t xml:space="preserve">北京市海淀区西四环北路119号A座3层309室</x:t>
        </x:is>
      </x:c>
      <x:c r="K706" s="12" t="str">
        <x:f>LEFT("91110108101880422A",18)</x:f>
        <x:v>91110108101880422A</x:v>
      </x:c>
    </x:row>
    <x:row r="707">
      <x:c r="A707" s="4" t="n">
        <x:v>706</x:v>
      </x:c>
      <x:c r="B707" s="4" t="inlineStr">
        <x:is>
          <x:t xml:space="preserve">301162</x:t>
        </x:is>
      </x:c>
      <x:c r="C707" s="5" t="inlineStr">
        <x:is>
          <x:t xml:space="preserve">国能日新</x:t>
        </x:is>
      </x:c>
      <x:c r="D707" s="5" t="inlineStr">
        <x:is>
          <x:t xml:space="preserve">国能日新科技股份有限公司</x:t>
        </x:is>
      </x:c>
      <x:c r="E707" s="4" t="inlineStr">
        <x:is>
          <x:t xml:space="preserve">北京市</x:t>
        </x:is>
      </x:c>
      <x:c r="F707" s="4" t="inlineStr">
        <x:is>
          <x:t xml:space="preserve">北京市</x:t>
        </x:is>
      </x:c>
      <x:c r="G707" s="5" t="inlineStr">
        <x:is>
          <x:t xml:space="preserve">北京市-北京市</x:t>
        </x:is>
      </x:c>
      <x:c r="H707" s="4" t="inlineStr">
        <x:is>
          <x:t xml:space="preserve">软件开发</x:t>
        </x:is>
      </x:c>
      <x:c r="I707" s="4" t="inlineStr">
        <x:is>
          <x:t xml:space="preserve">2022-04-29</x:t>
        </x:is>
      </x:c>
      <x:c r="J707" s="5" t="inlineStr">
        <x:is>
          <x:t xml:space="preserve">北京市海淀区西三旗建材城内1幢二层227号</x:t>
        </x:is>
      </x:c>
      <x:c r="K707" s="12" t="str">
        <x:f>LEFT("911101086723891430",18)</x:f>
        <x:v>911101086723891500</x:v>
      </x:c>
    </x:row>
    <x:row r="708">
      <x:c r="A708" s="2" t="n">
        <x:v>707</x:v>
      </x:c>
      <x:c r="B708" s="2" t="inlineStr">
        <x:is>
          <x:t xml:space="preserve">301169</x:t>
        </x:is>
      </x:c>
      <x:c r="C708" s="3" t="inlineStr">
        <x:is>
          <x:t xml:space="preserve">零点有数</x:t>
        </x:is>
      </x:c>
      <x:c r="D708" s="3" t="inlineStr">
        <x:is>
          <x:t xml:space="preserve">北京零点有数数据科技股份有限公司</x:t>
        </x:is>
      </x:c>
      <x:c r="E708" s="2" t="inlineStr">
        <x:is>
          <x:t xml:space="preserve">北京市</x:t>
        </x:is>
      </x:c>
      <x:c r="F708" s="2" t="inlineStr">
        <x:is>
          <x:t xml:space="preserve">北京市</x:t>
        </x:is>
      </x:c>
      <x:c r="G708" s="3" t="inlineStr">
        <x:is>
          <x:t xml:space="preserve">北京市-北京市</x:t>
        </x:is>
      </x:c>
      <x:c r="H708" s="2" t="inlineStr">
        <x:is>
          <x:t xml:space="preserve">专业服务</x:t>
        </x:is>
      </x:c>
      <x:c r="I708" s="2" t="inlineStr">
        <x:is>
          <x:t xml:space="preserve">2021-11-03</x:t>
        </x:is>
      </x:c>
      <x:c r="J708" s="3" t="inlineStr">
        <x:is>
          <x:t xml:space="preserve">北京市门头沟区石龙经济开发区永安路20号3幢B1-2604室</x:t>
        </x:is>
      </x:c>
      <x:c r="K708" s="12" t="str">
        <x:f>LEFT("91110109590674493W",18)</x:f>
        <x:v>91110109590674493W</x:v>
      </x:c>
    </x:row>
    <x:row r="709">
      <x:c r="A709" s="4" t="n">
        <x:v>708</x:v>
      </x:c>
      <x:c r="B709" s="4" t="inlineStr">
        <x:is>
          <x:t xml:space="preserve">301175</x:t>
        </x:is>
      </x:c>
      <x:c r="C709" s="5" t="inlineStr">
        <x:is>
          <x:t xml:space="preserve">中科环保</x:t>
        </x:is>
      </x:c>
      <x:c r="D709" s="5" t="inlineStr">
        <x:is>
          <x:t xml:space="preserve">北京中科润宇环保科技股份有限公司</x:t>
        </x:is>
      </x:c>
      <x:c r="E709" s="4" t="inlineStr">
        <x:is>
          <x:t xml:space="preserve">北京市</x:t>
        </x:is>
      </x:c>
      <x:c r="F709" s="4" t="inlineStr">
        <x:is>
          <x:t xml:space="preserve">北京市</x:t>
        </x:is>
      </x:c>
      <x:c r="G709" s="5" t="inlineStr">
        <x:is>
          <x:t xml:space="preserve">北京市-北京市</x:t>
        </x:is>
      </x:c>
      <x:c r="H709" s="4" t="inlineStr">
        <x:is>
          <x:t xml:space="preserve">环保行业</x:t>
        </x:is>
      </x:c>
      <x:c r="I709" s="4" t="inlineStr">
        <x:is>
          <x:t xml:space="preserve">2022-07-08</x:t>
        </x:is>
      </x:c>
      <x:c r="J709" s="5" t="inlineStr">
        <x:is>
          <x:t xml:space="preserve">北京市海淀区苏州街3号9层901</x:t>
        </x:is>
      </x:c>
      <x:c r="K709" s="12" t="str">
        <x:f>LEFT("9111010859600313X0",18)</x:f>
        <x:v>9111010859600313X0</x:v>
      </x:c>
    </x:row>
    <x:row r="710">
      <x:c r="A710" s="2" t="n">
        <x:v>709</x:v>
      </x:c>
      <x:c r="B710" s="2" t="inlineStr">
        <x:is>
          <x:t xml:space="preserve">301208</x:t>
        </x:is>
      </x:c>
      <x:c r="C710" s="3" t="inlineStr">
        <x:is>
          <x:t xml:space="preserve">中亦科技</x:t>
        </x:is>
      </x:c>
      <x:c r="D710" s="3" t="inlineStr">
        <x:is>
          <x:t xml:space="preserve">北京中亦安图科技股份有限公司</x:t>
        </x:is>
      </x:c>
      <x:c r="E710" s="2" t="inlineStr">
        <x:is>
          <x:t xml:space="preserve">北京市</x:t>
        </x:is>
      </x:c>
      <x:c r="F710" s="2" t="inlineStr">
        <x:is>
          <x:t xml:space="preserve">北京市</x:t>
        </x:is>
      </x:c>
      <x:c r="G710" s="3" t="inlineStr">
        <x:is>
          <x:t xml:space="preserve">北京市-北京市</x:t>
        </x:is>
      </x:c>
      <x:c r="H710" s="2" t="inlineStr">
        <x:is>
          <x:t xml:space="preserve">软件开发</x:t>
        </x:is>
      </x:c>
      <x:c r="I710" s="2" t="inlineStr">
        <x:is>
          <x:t xml:space="preserve">2022-07-07</x:t>
        </x:is>
      </x:c>
      <x:c r="J710" s="3" t="inlineStr">
        <x:is>
          <x:t xml:space="preserve">北京市丰台区汽车博物馆东路10号院3号楼12层1201</x:t>
        </x:is>
      </x:c>
      <x:c r="K710" s="12" t="str">
        <x:f>LEFT("91110108782543551R",18)</x:f>
        <x:v>91110108782543551R</x:v>
      </x:c>
    </x:row>
    <x:row r="711">
      <x:c r="A711" s="4" t="n">
        <x:v>710</x:v>
      </x:c>
      <x:c r="B711" s="4" t="inlineStr">
        <x:is>
          <x:t xml:space="preserve">301236</x:t>
        </x:is>
      </x:c>
      <x:c r="C711" s="5" t="inlineStr">
        <x:is>
          <x:t xml:space="preserve">软通动力</x:t>
        </x:is>
      </x:c>
      <x:c r="D711" s="5" t="inlineStr">
        <x:is>
          <x:t xml:space="preserve">软通动力信息技术(集团)股份有限公司</x:t>
        </x:is>
      </x:c>
      <x:c r="E711" s="4" t="inlineStr">
        <x:is>
          <x:t xml:space="preserve">北京市</x:t>
        </x:is>
      </x:c>
      <x:c r="F711" s="4" t="inlineStr">
        <x:is>
          <x:t xml:space="preserve">北京市</x:t>
        </x:is>
      </x:c>
      <x:c r="G711" s="5" t="inlineStr">
        <x:is>
          <x:t xml:space="preserve">北京市-北京市</x:t>
        </x:is>
      </x:c>
      <x:c r="H711" s="4" t="inlineStr">
        <x:is>
          <x:t xml:space="preserve">软件开发</x:t>
        </x:is>
      </x:c>
      <x:c r="I711" s="4" t="inlineStr">
        <x:is>
          <x:t xml:space="preserve">2022-03-15</x:t>
        </x:is>
      </x:c>
      <x:c r="J711" s="5" t="inlineStr">
        <x:is>
          <x:t xml:space="preserve">北京市海淀区西北旺东路10号院东区16号楼5层502</x:t>
        </x:is>
      </x:c>
      <x:c r="K711" s="12" t="str">
        <x:f>LEFT("91110108781703664R",18)</x:f>
        <x:v>91110108781703664R</x:v>
      </x:c>
    </x:row>
    <x:row r="712">
      <x:c r="A712" s="2" t="n">
        <x:v>711</x:v>
      </x:c>
      <x:c r="B712" s="2" t="inlineStr">
        <x:is>
          <x:t xml:space="preserve">301265</x:t>
        </x:is>
      </x:c>
      <x:c r="C712" s="3" t="inlineStr">
        <x:is>
          <x:t xml:space="preserve">华新环保</x:t>
        </x:is>
      </x:c>
      <x:c r="D712" s="3" t="inlineStr">
        <x:is>
          <x:t xml:space="preserve">华新绿源环保股份有限公司</x:t>
        </x:is>
      </x:c>
      <x:c r="E712" s="2" t="inlineStr">
        <x:is>
          <x:t xml:space="preserve">北京市</x:t>
        </x:is>
      </x:c>
      <x:c r="F712" s="2" t="inlineStr">
        <x:is>
          <x:t xml:space="preserve">北京市</x:t>
        </x:is>
      </x:c>
      <x:c r="G712" s="3" t="inlineStr">
        <x:is>
          <x:t xml:space="preserve">北京市-北京市</x:t>
        </x:is>
      </x:c>
      <x:c r="H712" s="2" t="inlineStr">
        <x:is>
          <x:t xml:space="preserve">环保行业</x:t>
        </x:is>
      </x:c>
      <x:c r="I712" s="2" t="inlineStr">
        <x:is>
          <x:t xml:space="preserve">2022-12-16</x:t>
        </x:is>
      </x:c>
      <x:c r="J712" s="3" t="inlineStr">
        <x:is>
          <x:t xml:space="preserve">北京市通州区中关村科技园区通州园金桥科技产业基地景盛北一街4号3-9号</x:t>
        </x:is>
      </x:c>
      <x:c r="K712" s="12" t="str">
        <x:f>LEFT("91110112795101904A",18)</x:f>
        <x:v>91110112795101904A</x:v>
      </x:c>
    </x:row>
    <x:row r="713">
      <x:c r="A713" s="4" t="n">
        <x:v>712</x:v>
      </x:c>
      <x:c r="B713" s="4" t="inlineStr">
        <x:is>
          <x:t xml:space="preserve">301269</x:t>
        </x:is>
      </x:c>
      <x:c r="C713" s="5" t="inlineStr">
        <x:is>
          <x:t xml:space="preserve">华大九天</x:t>
        </x:is>
      </x:c>
      <x:c r="D713" s="5" t="inlineStr">
        <x:is>
          <x:t xml:space="preserve">北京华大九天科技股份有限公司</x:t>
        </x:is>
      </x:c>
      <x:c r="E713" s="4" t="inlineStr">
        <x:is>
          <x:t xml:space="preserve">北京市</x:t>
        </x:is>
      </x:c>
      <x:c r="F713" s="4" t="inlineStr">
        <x:is>
          <x:t xml:space="preserve">北京市</x:t>
        </x:is>
      </x:c>
      <x:c r="G713" s="5" t="inlineStr">
        <x:is>
          <x:t xml:space="preserve">北京市-北京市</x:t>
        </x:is>
      </x:c>
      <x:c r="H713" s="4" t="inlineStr">
        <x:is>
          <x:t xml:space="preserve">软件开发</x:t>
        </x:is>
      </x:c>
      <x:c r="I713" s="4" t="inlineStr">
        <x:is>
          <x:t xml:space="preserve">2022-07-29</x:t>
        </x:is>
      </x:c>
      <x:c r="J713" s="5" t="inlineStr">
        <x:is>
          <x:t xml:space="preserve">北京市朝阳区利泽中二路2号A座二层</x:t>
        </x:is>
      </x:c>
      <x:c r="K713" s="12" t="str">
        <x:f>LEFT("91110105690013756F",18)</x:f>
        <x:v>91110105690013756F</x:v>
      </x:c>
    </x:row>
    <x:row r="714">
      <x:c r="A714" s="2" t="n">
        <x:v>713</x:v>
      </x:c>
      <x:c r="B714" s="2" t="inlineStr">
        <x:is>
          <x:t xml:space="preserve">301270</x:t>
        </x:is>
      </x:c>
      <x:c r="C714" s="3" t="inlineStr">
        <x:is>
          <x:t xml:space="preserve">汉仪股份</x:t>
        </x:is>
      </x:c>
      <x:c r="D714" s="3" t="inlineStr">
        <x:is>
          <x:t xml:space="preserve">北京汉仪创新科技股份有限公司</x:t>
        </x:is>
      </x:c>
      <x:c r="E714" s="2" t="inlineStr">
        <x:is>
          <x:t xml:space="preserve">北京市</x:t>
        </x:is>
      </x:c>
      <x:c r="F714" s="2" t="inlineStr">
        <x:is>
          <x:t xml:space="preserve">北京市</x:t>
        </x:is>
      </x:c>
      <x:c r="G714" s="3" t="inlineStr">
        <x:is>
          <x:t xml:space="preserve">北京市-北京市</x:t>
        </x:is>
      </x:c>
      <x:c r="H714" s="2" t="inlineStr">
        <x:is>
          <x:t xml:space="preserve">互联网服务</x:t>
        </x:is>
      </x:c>
      <x:c r="I714" s="2" t="inlineStr">
        <x:is>
          <x:t xml:space="preserve">2022-08-31</x:t>
        </x:is>
      </x:c>
      <x:c r="J714" s="3" t="inlineStr">
        <x:is>
          <x:t xml:space="preserve">北京市朝阳区东三环北路甲19号楼33层3801</x:t>
        </x:is>
      </x:c>
      <x:c r="K714" s="12" t="str">
        <x:f>LEFT("9111010860002169X7",18)</x:f>
        <x:v>9111010860002169X7</x:v>
      </x:c>
    </x:row>
    <x:row r="715">
      <x:c r="A715" s="4" t="n">
        <x:v>714</x:v>
      </x:c>
      <x:c r="B715" s="4" t="inlineStr">
        <x:is>
          <x:t xml:space="preserve">301276</x:t>
        </x:is>
      </x:c>
      <x:c r="C715" s="5" t="inlineStr">
        <x:is>
          <x:t xml:space="preserve">嘉曼服饰</x:t>
        </x:is>
      </x:c>
      <x:c r="D715" s="5" t="inlineStr">
        <x:is>
          <x:t xml:space="preserve">北京嘉曼服饰股份有限公司</x:t>
        </x:is>
      </x:c>
      <x:c r="E715" s="4" t="inlineStr">
        <x:is>
          <x:t xml:space="preserve">北京市</x:t>
        </x:is>
      </x:c>
      <x:c r="F715" s="4" t="inlineStr">
        <x:is>
          <x:t xml:space="preserve">北京市</x:t>
        </x:is>
      </x:c>
      <x:c r="G715" s="5" t="inlineStr">
        <x:is>
          <x:t xml:space="preserve">北京市-北京市</x:t>
        </x:is>
      </x:c>
      <x:c r="H715" s="4" t="inlineStr">
        <x:is>
          <x:t xml:space="preserve">纺织服装</x:t>
        </x:is>
      </x:c>
      <x:c r="I715" s="4" t="inlineStr">
        <x:is>
          <x:t xml:space="preserve">2022-09-09</x:t>
        </x:is>
      </x:c>
      <x:c r="J715" s="5" t="inlineStr">
        <x:is>
          <x:t xml:space="preserve">北京市石景山区古城西街26号院1号楼8层801</x:t>
        </x:is>
      </x:c>
      <x:c r="K715" s="12" t="str">
        <x:f>LEFT("91110107102288949G",18)</x:f>
        <x:v>91110107102288949G</x:v>
      </x:c>
    </x:row>
    <x:row r="716">
      <x:c r="A716" s="2" t="n">
        <x:v>715</x:v>
      </x:c>
      <x:c r="B716" s="2" t="inlineStr">
        <x:is>
          <x:t xml:space="preserve">301293</x:t>
        </x:is>
      </x:c>
      <x:c r="C716" s="3" t="inlineStr">
        <x:is>
          <x:t xml:space="preserve">三博脑科</x:t>
        </x:is>
      </x:c>
      <x:c r="D716" s="3" t="inlineStr">
        <x:is>
          <x:t xml:space="preserve">三博脑科医院管理集团股份有限公司</x:t>
        </x:is>
      </x:c>
      <x:c r="E716" s="2" t="inlineStr">
        <x:is>
          <x:t xml:space="preserve">北京市</x:t>
        </x:is>
      </x:c>
      <x:c r="F716" s="2" t="inlineStr">
        <x:is>
          <x:t xml:space="preserve">北京市</x:t>
        </x:is>
      </x:c>
      <x:c r="G716" s="3" t="inlineStr">
        <x:is>
          <x:t xml:space="preserve">北京市-北京市</x:t>
        </x:is>
      </x:c>
      <x:c r="H716" s="2" t="inlineStr">
        <x:is>
          <x:t xml:space="preserve">医疗服务</x:t>
        </x:is>
      </x:c>
      <x:c r="I716" s="2" t="inlineStr">
        <x:is>
          <x:t xml:space="preserve">2023-05-05</x:t>
        </x:is>
      </x:c>
      <x:c r="J716" s="3" t="inlineStr">
        <x:is>
          <x:t xml:space="preserve">北京市海淀区香山一棵松50号23号楼105室</x:t>
        </x:is>
      </x:c>
      <x:c r="K716" s="12" t="str">
        <x:f>LEFT("91110108756735293H",18)</x:f>
        <x:v>91110108756735293H</x:v>
      </x:c>
    </x:row>
    <x:row r="717">
      <x:c r="A717" s="4" t="n">
        <x:v>716</x:v>
      </x:c>
      <x:c r="B717" s="4" t="inlineStr">
        <x:is>
          <x:t xml:space="preserve">301302</x:t>
        </x:is>
      </x:c>
      <x:c r="C717" s="5" t="inlineStr">
        <x:is>
          <x:t xml:space="preserve">华如科技</x:t>
        </x:is>
      </x:c>
      <x:c r="D717" s="5" t="inlineStr">
        <x:is>
          <x:t xml:space="preserve">北京华如科技股份有限公司</x:t>
        </x:is>
      </x:c>
      <x:c r="E717" s="4" t="inlineStr">
        <x:is>
          <x:t xml:space="preserve">北京市</x:t>
        </x:is>
      </x:c>
      <x:c r="F717" s="4" t="inlineStr">
        <x:is>
          <x:t xml:space="preserve">北京市</x:t>
        </x:is>
      </x:c>
      <x:c r="G717" s="5" t="inlineStr">
        <x:is>
          <x:t xml:space="preserve">北京市-北京市</x:t>
        </x:is>
      </x:c>
      <x:c r="H717" s="4" t="inlineStr">
        <x:is>
          <x:t xml:space="preserve">软件开发</x:t>
        </x:is>
      </x:c>
      <x:c r="I717" s="4" t="inlineStr">
        <x:is>
          <x:t xml:space="preserve">2022-06-23</x:t>
        </x:is>
      </x:c>
      <x:c r="J717" s="5" t="inlineStr">
        <x:is>
          <x:t xml:space="preserve">北京市海淀区西北旺东路10号院东区14号楼君正大厦B座三层301-305室、四层401-410室</x:t>
        </x:is>
      </x:c>
      <x:c r="K717" s="12" t="str">
        <x:f>LEFT("91110108587705789X",18)</x:f>
        <x:v>91110108587705789X</x:v>
      </x:c>
    </x:row>
    <x:row r="718">
      <x:c r="A718" s="2" t="n">
        <x:v>717</x:v>
      </x:c>
      <x:c r="B718" s="2" t="inlineStr">
        <x:is>
          <x:t xml:space="preserve">301333</x:t>
        </x:is>
      </x:c>
      <x:c r="C718" s="3" t="inlineStr">
        <x:is>
          <x:t xml:space="preserve">诺思格</x:t>
        </x:is>
      </x:c>
      <x:c r="D718" s="3" t="inlineStr">
        <x:is>
          <x:t xml:space="preserve">诺思格(北京)医药科技股份有限公司</x:t>
        </x:is>
      </x:c>
      <x:c r="E718" s="2" t="inlineStr">
        <x:is>
          <x:t xml:space="preserve">北京市</x:t>
        </x:is>
      </x:c>
      <x:c r="F718" s="2" t="inlineStr">
        <x:is>
          <x:t xml:space="preserve">北京市</x:t>
        </x:is>
      </x:c>
      <x:c r="G718" s="3" t="inlineStr">
        <x:is>
          <x:t xml:space="preserve">北京市-北京市</x:t>
        </x:is>
      </x:c>
      <x:c r="H718" s="2" t="inlineStr">
        <x:is>
          <x:t xml:space="preserve">医疗服务</x:t>
        </x:is>
      </x:c>
      <x:c r="I718" s="2" t="inlineStr">
        <x:is>
          <x:t xml:space="preserve">2022-08-02</x:t>
        </x:is>
      </x:c>
      <x:c r="J718" s="3" t="inlineStr">
        <x:is>
          <x:t xml:space="preserve">北京市通州区经济开发区东区创益西路518号</x:t>
        </x:is>
      </x:c>
      <x:c r="K718" s="12" t="str">
        <x:f>LEFT("91110112678751510H",18)</x:f>
        <x:v>91110112678751510H</x:v>
      </x:c>
    </x:row>
    <x:row r="719">
      <x:c r="A719" s="4" t="n">
        <x:v>718</x:v>
      </x:c>
      <x:c r="B719" s="4" t="inlineStr">
        <x:is>
          <x:t xml:space="preserve">301367</x:t>
        </x:is>
      </x:c>
      <x:c r="C719" s="5" t="inlineStr">
        <x:is>
          <x:t xml:space="preserve">瑞迈特</x:t>
        </x:is>
      </x:c>
      <x:c r="D719" s="5" t="inlineStr">
        <x:is>
          <x:t xml:space="preserve">北京瑞迈特医疗科技股份有限公司</x:t>
        </x:is>
      </x:c>
      <x:c r="E719" s="4" t="inlineStr">
        <x:is>
          <x:t xml:space="preserve">北京市</x:t>
        </x:is>
      </x:c>
      <x:c r="F719" s="4" t="inlineStr">
        <x:is>
          <x:t xml:space="preserve">北京市</x:t>
        </x:is>
      </x:c>
      <x:c r="G719" s="5" t="inlineStr">
        <x:is>
          <x:t xml:space="preserve">北京市-北京市</x:t>
        </x:is>
      </x:c>
      <x:c r="H719" s="4" t="inlineStr">
        <x:is>
          <x:t xml:space="preserve">医疗器械</x:t>
        </x:is>
      </x:c>
      <x:c r="I719" s="4" t="inlineStr">
        <x:is>
          <x:t xml:space="preserve">2022-11-01</x:t>
        </x:is>
      </x:c>
      <x:c r="J719" s="5" t="inlineStr">
        <x:is>
          <x:t xml:space="preserve">北京市海淀区阜成路115号丰裕写字楼A座110号</x:t>
        </x:is>
      </x:c>
      <x:c r="K719" s="12" t="str">
        <x:f>LEFT("9111010872636740X9",18)</x:f>
        <x:v>9111010872636740X9</x:v>
      </x:c>
    </x:row>
    <x:row r="720">
      <x:c r="A720" s="2" t="n">
        <x:v>719</x:v>
      </x:c>
      <x:c r="B720" s="2" t="inlineStr">
        <x:is>
          <x:t xml:space="preserve">301370</x:t>
        </x:is>
      </x:c>
      <x:c r="C720" s="3" t="inlineStr">
        <x:is>
          <x:t xml:space="preserve">国科恒泰</x:t>
        </x:is>
      </x:c>
      <x:c r="D720" s="3" t="inlineStr">
        <x:is>
          <x:t xml:space="preserve">国科恒泰(北京)医疗科技股份有限公司</x:t>
        </x:is>
      </x:c>
      <x:c r="E720" s="2" t="inlineStr">
        <x:is>
          <x:t xml:space="preserve">北京市</x:t>
        </x:is>
      </x:c>
      <x:c r="F720" s="2" t="inlineStr">
        <x:is>
          <x:t xml:space="preserve">北京市</x:t>
        </x:is>
      </x:c>
      <x:c r="G720" s="3" t="inlineStr">
        <x:is>
          <x:t xml:space="preserve">北京市-北京市</x:t>
        </x:is>
      </x:c>
      <x:c r="H720" s="2" t="inlineStr">
        <x:is>
          <x:t xml:space="preserve">贸易行业</x:t>
        </x:is>
      </x:c>
      <x:c r="I720" s="2" t="inlineStr">
        <x:is>
          <x:t xml:space="preserve">2023-07-12</x:t>
        </x:is>
      </x:c>
      <x:c r="J720" s="3" t="inlineStr">
        <x:is>
          <x:t xml:space="preserve">北京市经济技术开发区经海四路25号6号楼5层501C室</x:t>
        </x:is>
      </x:c>
      <x:c r="K720" s="12" t="str">
        <x:f>LEFT("91110302062833606R",18)</x:f>
        <x:v>91110302062833606R</x:v>
      </x:c>
    </x:row>
    <x:row r="721">
      <x:c r="A721" s="4" t="n">
        <x:v>720</x:v>
      </x:c>
      <x:c r="B721" s="4" t="inlineStr">
        <x:is>
          <x:t xml:space="preserve">301372</x:t>
        </x:is>
      </x:c>
      <x:c r="C721" s="5" t="inlineStr">
        <x:is>
          <x:t xml:space="preserve">科净源</x:t>
        </x:is>
      </x:c>
      <x:c r="D721" s="5" t="inlineStr">
        <x:is>
          <x:t xml:space="preserve">北京科净源科技股份有限公司</x:t>
        </x:is>
      </x:c>
      <x:c r="E721" s="4" t="inlineStr">
        <x:is>
          <x:t xml:space="preserve">北京市</x:t>
        </x:is>
      </x:c>
      <x:c r="F721" s="4" t="inlineStr">
        <x:is>
          <x:t xml:space="preserve">北京市</x:t>
        </x:is>
      </x:c>
      <x:c r="G721" s="5" t="inlineStr">
        <x:is>
          <x:t xml:space="preserve">北京市-北京市</x:t>
        </x:is>
      </x:c>
      <x:c r="H721" s="4" t="inlineStr">
        <x:is>
          <x:t xml:space="preserve">环保行业</x:t>
        </x:is>
      </x:c>
      <x:c r="I721" s="4" t="inlineStr">
        <x:is>
          <x:t xml:space="preserve">2023-08-11</x:t>
        </x:is>
      </x:c>
      <x:c r="J721" s="5" t="inlineStr">
        <x:is>
          <x:t xml:space="preserve">北京市顺义区东盈路19号</x:t>
        </x:is>
      </x:c>
      <x:c r="K721" s="12" t="str">
        <x:f>LEFT("91110108802019598M",18)</x:f>
        <x:v>91110108802019598M</x:v>
      </x:c>
    </x:row>
    <x:row r="722">
      <x:c r="A722" s="2" t="n">
        <x:v>721</x:v>
      </x:c>
      <x:c r="B722" s="2" t="inlineStr">
        <x:is>
          <x:t xml:space="preserve">301380</x:t>
        </x:is>
      </x:c>
      <x:c r="C722" s="3" t="inlineStr">
        <x:is>
          <x:t xml:space="preserve">挖金客</x:t>
        </x:is>
      </x:c>
      <x:c r="D722" s="3" t="inlineStr">
        <x:is>
          <x:t xml:space="preserve">北京挖金客信息科技股份有限公司</x:t>
        </x:is>
      </x:c>
      <x:c r="E722" s="2" t="inlineStr">
        <x:is>
          <x:t xml:space="preserve">北京市</x:t>
        </x:is>
      </x:c>
      <x:c r="F722" s="2" t="inlineStr">
        <x:is>
          <x:t xml:space="preserve">北京市</x:t>
        </x:is>
      </x:c>
      <x:c r="G722" s="3" t="inlineStr">
        <x:is>
          <x:t xml:space="preserve">北京市-北京市</x:t>
        </x:is>
      </x:c>
      <x:c r="H722" s="2" t="inlineStr">
        <x:is>
          <x:t xml:space="preserve">互联网服务</x:t>
        </x:is>
      </x:c>
      <x:c r="I722" s="2" t="inlineStr">
        <x:is>
          <x:t xml:space="preserve">2022-10-25</x:t>
        </x:is>
      </x:c>
      <x:c r="J722" s="3" t="inlineStr">
        <x:is>
          <x:t xml:space="preserve">北京市海淀区知春路51号1幢408</x:t>
        </x:is>
      </x:c>
      <x:c r="K722" s="12" t="str">
        <x:f>LEFT("91110108569475721M",18)</x:f>
        <x:v>91110108569475721M</x:v>
      </x:c>
    </x:row>
    <x:row r="723">
      <x:c r="A723" s="4" t="n">
        <x:v>722</x:v>
      </x:c>
      <x:c r="B723" s="4" t="inlineStr">
        <x:is>
          <x:t xml:space="preserve">301508</x:t>
        </x:is>
      </x:c>
      <x:c r="C723" s="5" t="inlineStr">
        <x:is>
          <x:t xml:space="preserve">中机认检</x:t>
        </x:is>
      </x:c>
      <x:c r="D723" s="5" t="inlineStr">
        <x:is>
          <x:t xml:space="preserve">中机寰宇认证检验股份有限公司</x:t>
        </x:is>
      </x:c>
      <x:c r="E723" s="4" t="inlineStr">
        <x:is>
          <x:t xml:space="preserve">北京市</x:t>
        </x:is>
      </x:c>
      <x:c r="F723" s="4" t="inlineStr">
        <x:is>
          <x:t xml:space="preserve">北京市</x:t>
        </x:is>
      </x:c>
      <x:c r="G723" s="5" t="inlineStr">
        <x:is>
          <x:t xml:space="preserve">北京市-北京市</x:t>
        </x:is>
      </x:c>
      <x:c r="H723" s="4" t="inlineStr">
        <x:is>
          <x:t xml:space="preserve">专业服务</x:t>
        </x:is>
      </x:c>
      <x:c r="I723" s="4" t="inlineStr">
        <x:is>
          <x:t xml:space="preserve">2023-12-01</x:t>
        </x:is>
      </x:c>
      <x:c r="J723" s="5" t="inlineStr">
        <x:is>
          <x:t xml:space="preserve">北京市大兴区北臧村镇天荣街32号</x:t>
        </x:is>
      </x:c>
      <x:c r="K723" s="12" t="str">
        <x:f>LEFT("91110115756728827T",18)</x:f>
        <x:v>91110115756728827T</x:v>
      </x:c>
    </x:row>
    <x:row r="724">
      <x:c r="A724" s="2" t="n">
        <x:v>723</x:v>
      </x:c>
      <x:c r="B724" s="2" t="inlineStr">
        <x:is>
          <x:t xml:space="preserve">301571</x:t>
        </x:is>
      </x:c>
      <x:c r="C724" s="3" t="inlineStr">
        <x:is>
          <x:t xml:space="preserve">国科天成</x:t>
        </x:is>
      </x:c>
      <x:c r="D724" s="3" t="inlineStr">
        <x:is>
          <x:t xml:space="preserve">国科天成科技股份有限公司</x:t>
        </x:is>
      </x:c>
      <x:c r="E724" s="2" t="inlineStr">
        <x:is>
          <x:t xml:space="preserve">北京市</x:t>
        </x:is>
      </x:c>
      <x:c r="F724" s="2" t="inlineStr">
        <x:is>
          <x:t xml:space="preserve">北京市</x:t>
        </x:is>
      </x:c>
      <x:c r="G724" s="3" t="inlineStr">
        <x:is>
          <x:t xml:space="preserve">北京市-北京市</x:t>
        </x:is>
      </x:c>
      <x:c r="H724" s="2" t="inlineStr">
        <x:is>
          <x:t xml:space="preserve">电子元件</x:t>
        </x:is>
      </x:c>
      <x:c r="I724" s="2" t="inlineStr">
        <x:is>
          <x:t xml:space="preserve">2024-08-21</x:t>
        </x:is>
      </x:c>
      <x:c r="J724" s="3" t="inlineStr">
        <x:is>
          <x:t xml:space="preserve">北京市海淀区西北旺镇永翔北路3号院5号楼房屋101</x:t>
        </x:is>
      </x:c>
      <x:c r="K724" s="12" t="str">
        <x:f>LEFT("91110108089647010H",18)</x:f>
        <x:v>91110108089647010H</x:v>
      </x:c>
    </x:row>
    <x:row r="725">
      <x:c r="A725" s="4" t="n">
        <x:v>724</x:v>
      </x:c>
      <x:c r="B725" s="4" t="inlineStr">
        <x:is>
          <x:t xml:space="preserve">301598</x:t>
        </x:is>
      </x:c>
      <x:c r="C725" s="5" t="inlineStr">
        <x:is>
          <x:t xml:space="preserve">博科测试</x:t>
        </x:is>
      </x:c>
      <x:c r="D725" s="5" t="inlineStr">
        <x:is>
          <x:t xml:space="preserve">北京博科测试系统股份有限公司</x:t>
        </x:is>
      </x:c>
      <x:c r="E725" s="4" t="inlineStr">
        <x:is>
          <x:t xml:space="preserve">北京市</x:t>
        </x:is>
      </x:c>
      <x:c r="F725" s="4" t="inlineStr">
        <x:is>
          <x:t xml:space="preserve">北京市</x:t>
        </x:is>
      </x:c>
      <x:c r="G725" s="5" t="inlineStr">
        <x:is>
          <x:t xml:space="preserve">北京市-北京市</x:t>
        </x:is>
      </x:c>
      <x:c r="H725" s="4" t="inlineStr">
        <x:is>
          <x:t xml:space="preserve">专用设备</x:t>
        </x:is>
      </x:c>
      <x:c r="I725" s="4" t="inlineStr">
        <x:is>
          <x:t xml:space="preserve">2024-12-20</x:t>
        </x:is>
      </x:c>
      <x:c r="J725" s="5" t="inlineStr">
        <x:is>
          <x:t xml:space="preserve">北京市北京经济技术开发区景盛中街20号</x:t>
        </x:is>
      </x:c>
      <x:c r="K725" s="12" t="str">
        <x:f>LEFT("911101127889851669",18)</x:f>
        <x:v>911101127889851600</x:v>
      </x:c>
    </x:row>
    <x:row r="726">
      <x:c r="A726" s="2" t="n">
        <x:v>725</x:v>
      </x:c>
      <x:c r="B726" s="2" t="inlineStr">
        <x:is>
          <x:t xml:space="preserve">301668</x:t>
        </x:is>
      </x:c>
      <x:c r="C726" s="3" t="inlineStr">
        <x:is>
          <x:t xml:space="preserve">昊创瑞通</x:t>
        </x:is>
      </x:c>
      <x:c r="D726" s="3" t="inlineStr">
        <x:is>
          <x:t xml:space="preserve">北京昊创瑞通电气设备股份有限公司</x:t>
        </x:is>
      </x:c>
      <x:c r="E726" s="2" t="inlineStr">
        <x:is>
          <x:t xml:space="preserve">北京市</x:t>
        </x:is>
      </x:c>
      <x:c r="F726" s="2" t="inlineStr">
        <x:is>
          <x:t xml:space="preserve">北京市</x:t>
        </x:is>
      </x:c>
      <x:c r="G726" s="3" t="inlineStr">
        <x:is>
          <x:t xml:space="preserve">北京市-北京市</x:t>
        </x:is>
      </x:c>
      <x:c r="H726" s="2" t="inlineStr">
        <x:is>
          <x:t xml:space="preserve">--</x:t>
        </x:is>
      </x:c>
      <x:c r="I726" s="2" t="inlineStr">
        <x:is>
          <x:t xml:space="preserve">2025-09-26</x:t>
        </x:is>
      </x:c>
      <x:c r="J726" s="3" t="inlineStr">
        <x:is>
          <x:t xml:space="preserve">北京市丰台区金泽西路2号院1号楼-4至42层101内A座908</x:t>
        </x:is>
      </x:c>
      <x:c r="K726" s="12" t="str">
        <x:f>LEFT("9111010679903098XG",18)</x:f>
        <x:v>9111010679903098XG</x:v>
      </x:c>
    </x:row>
    <x:row r="727">
      <x:c r="A727" s="4" t="n">
        <x:v>726</x:v>
      </x:c>
      <x:c r="B727" s="4" t="inlineStr">
        <x:is>
          <x:t xml:space="preserve">600007</x:t>
        </x:is>
      </x:c>
      <x:c r="C727" s="5" t="inlineStr">
        <x:is>
          <x:t xml:space="preserve">中国国贸</x:t>
        </x:is>
      </x:c>
      <x:c r="D727" s="5" t="inlineStr">
        <x:is>
          <x:t xml:space="preserve">中国国际贸易中心股份有限公司</x:t>
        </x:is>
      </x:c>
      <x:c r="E727" s="4" t="inlineStr">
        <x:is>
          <x:t xml:space="preserve">北京市</x:t>
        </x:is>
      </x:c>
      <x:c r="F727" s="4" t="inlineStr">
        <x:is>
          <x:t xml:space="preserve">北京市</x:t>
        </x:is>
      </x:c>
      <x:c r="G727" s="5" t="inlineStr">
        <x:is>
          <x:t xml:space="preserve">北京市-北京市</x:t>
        </x:is>
      </x:c>
      <x:c r="H727" s="4" t="inlineStr">
        <x:is>
          <x:t xml:space="preserve">房地产</x:t>
        </x:is>
      </x:c>
      <x:c r="I727" s="4" t="inlineStr">
        <x:is>
          <x:t xml:space="preserve">1999-03-12</x:t>
        </x:is>
      </x:c>
      <x:c r="J727" s="5" t="inlineStr">
        <x:is>
          <x:t xml:space="preserve">北京市建国门外大街1号</x:t>
        </x:is>
      </x:c>
      <x:c r="K727" s="12" t="str">
        <x:f>LEFT("91110000100027884X",18)</x:f>
        <x:v>91110000100027884X</x:v>
      </x:c>
    </x:row>
    <x:row r="728">
      <x:c r="A728" s="2" t="n">
        <x:v>727</x:v>
      </x:c>
      <x:c r="B728" s="2" t="inlineStr">
        <x:is>
          <x:t xml:space="preserve">600008</x:t>
        </x:is>
      </x:c>
      <x:c r="C728" s="3" t="inlineStr">
        <x:is>
          <x:t xml:space="preserve">首创环保</x:t>
        </x:is>
      </x:c>
      <x:c r="D728" s="3" t="inlineStr">
        <x:is>
          <x:t xml:space="preserve">北京首创生态环保集团股份有限公司</x:t>
        </x:is>
      </x:c>
      <x:c r="E728" s="2" t="inlineStr">
        <x:is>
          <x:t xml:space="preserve">北京市</x:t>
        </x:is>
      </x:c>
      <x:c r="F728" s="2" t="inlineStr">
        <x:is>
          <x:t xml:space="preserve">北京市</x:t>
        </x:is>
      </x:c>
      <x:c r="G728" s="3" t="inlineStr">
        <x:is>
          <x:t xml:space="preserve">北京市-北京市</x:t>
        </x:is>
      </x:c>
      <x:c r="H728" s="2" t="inlineStr">
        <x:is>
          <x:t xml:space="preserve">公用事业</x:t>
        </x:is>
      </x:c>
      <x:c r="I728" s="2" t="inlineStr">
        <x:is>
          <x:t xml:space="preserve">2000-04-27</x:t>
        </x:is>
      </x:c>
      <x:c r="J728" s="3" t="inlineStr">
        <x:is>
          <x:t xml:space="preserve">北京市西城区车公庄大街21号39幢16层</x:t>
        </x:is>
      </x:c>
      <x:c r="K728" s="12" t="str">
        <x:f>LEFT("91110000700231088J",18)</x:f>
        <x:v>91110000700231088J</x:v>
      </x:c>
    </x:row>
    <x:row r="729">
      <x:c r="A729" s="4" t="n">
        <x:v>728</x:v>
      </x:c>
      <x:c r="B729" s="4" t="inlineStr">
        <x:is>
          <x:t xml:space="preserve">600015</x:t>
        </x:is>
      </x:c>
      <x:c r="C729" s="5" t="inlineStr">
        <x:is>
          <x:t xml:space="preserve">华夏银行</x:t>
        </x:is>
      </x:c>
      <x:c r="D729" s="5" t="inlineStr">
        <x:is>
          <x:t xml:space="preserve">华夏银行股份有限公司</x:t>
        </x:is>
      </x:c>
      <x:c r="E729" s="4" t="inlineStr">
        <x:is>
          <x:t xml:space="preserve">北京市</x:t>
        </x:is>
      </x:c>
      <x:c r="F729" s="4" t="inlineStr">
        <x:is>
          <x:t xml:space="preserve">北京市</x:t>
        </x:is>
      </x:c>
      <x:c r="G729" s="5" t="inlineStr">
        <x:is>
          <x:t xml:space="preserve">北京市-北京市</x:t>
        </x:is>
      </x:c>
      <x:c r="H729" s="4" t="inlineStr">
        <x:is>
          <x:t xml:space="preserve">银行</x:t>
        </x:is>
      </x:c>
      <x:c r="I729" s="4" t="inlineStr">
        <x:is>
          <x:t xml:space="preserve">2003-09-12</x:t>
        </x:is>
      </x:c>
      <x:c r="J729" s="5" t="inlineStr">
        <x:is>
          <x:t xml:space="preserve">北京市东城区建国门内大街22号</x:t>
        </x:is>
      </x:c>
      <x:c r="K729" s="12" t="str">
        <x:f>LEFT("9111000010112001XW",18)</x:f>
        <x:v>9111000010112001XW</x:v>
      </x:c>
    </x:row>
    <x:row r="730">
      <x:c r="A730" s="2" t="n">
        <x:v>729</x:v>
      </x:c>
      <x:c r="B730" s="2" t="inlineStr">
        <x:is>
          <x:t xml:space="preserve">600016</x:t>
        </x:is>
      </x:c>
      <x:c r="C730" s="3" t="inlineStr">
        <x:is>
          <x:t xml:space="preserve">民生银行</x:t>
        </x:is>
      </x:c>
      <x:c r="D730" s="3" t="inlineStr">
        <x:is>
          <x:t xml:space="preserve">中国民生银行股份有限公司</x:t>
        </x:is>
      </x:c>
      <x:c r="E730" s="2" t="inlineStr">
        <x:is>
          <x:t xml:space="preserve">北京市</x:t>
        </x:is>
      </x:c>
      <x:c r="F730" s="2" t="inlineStr">
        <x:is>
          <x:t xml:space="preserve">北京市</x:t>
        </x:is>
      </x:c>
      <x:c r="G730" s="3" t="inlineStr">
        <x:is>
          <x:t xml:space="preserve">北京市-北京市</x:t>
        </x:is>
      </x:c>
      <x:c r="H730" s="2" t="inlineStr">
        <x:is>
          <x:t xml:space="preserve">银行</x:t>
        </x:is>
      </x:c>
      <x:c r="I730" s="2" t="inlineStr">
        <x:is>
          <x:t xml:space="preserve">2000-12-19</x:t>
        </x:is>
      </x:c>
      <x:c r="J730" s="3" t="inlineStr">
        <x:is>
          <x:t xml:space="preserve">中国北京市西城区复兴门内大街2号</x:t>
        </x:is>
      </x:c>
      <x:c r="K730" s="12" t="str">
        <x:f>LEFT("91110000100018988F",18)</x:f>
        <x:v>91110000100018988F</x:v>
      </x:c>
    </x:row>
    <x:row r="731">
      <x:c r="A731" s="4" t="n">
        <x:v>730</x:v>
      </x:c>
      <x:c r="B731" s="4" t="inlineStr">
        <x:is>
          <x:t xml:space="preserve">600028</x:t>
        </x:is>
      </x:c>
      <x:c r="C731" s="5" t="inlineStr">
        <x:is>
          <x:t xml:space="preserve">中国石化</x:t>
        </x:is>
      </x:c>
      <x:c r="D731" s="5" t="inlineStr">
        <x:is>
          <x:t xml:space="preserve">中国石油化工股份有限公司</x:t>
        </x:is>
      </x:c>
      <x:c r="E731" s="4" t="inlineStr">
        <x:is>
          <x:t xml:space="preserve">北京市</x:t>
        </x:is>
      </x:c>
      <x:c r="F731" s="4" t="inlineStr">
        <x:is>
          <x:t xml:space="preserve">北京市</x:t>
        </x:is>
      </x:c>
      <x:c r="G731" s="5" t="inlineStr">
        <x:is>
          <x:t xml:space="preserve">北京市-北京市</x:t>
        </x:is>
      </x:c>
      <x:c r="H731" s="4" t="inlineStr">
        <x:is>
          <x:t xml:space="preserve">石油行业</x:t>
        </x:is>
      </x:c>
      <x:c r="I731" s="4" t="inlineStr">
        <x:is>
          <x:t xml:space="preserve">2001-08-08</x:t>
        </x:is>
      </x:c>
      <x:c r="J731" s="5" t="inlineStr">
        <x:is>
          <x:t xml:space="preserve">中国北京市朝阳区朝阳门北大街22号</x:t>
        </x:is>
      </x:c>
      <x:c r="K731" s="12" t="str">
        <x:f>LEFT("91110000710926094P",18)</x:f>
        <x:v>91110000710926094P</x:v>
      </x:c>
    </x:row>
    <x:row r="732">
      <x:c r="A732" s="2" t="n">
        <x:v>731</x:v>
      </x:c>
      <x:c r="B732" s="2" t="inlineStr">
        <x:is>
          <x:t xml:space="preserve">600031</x:t>
        </x:is>
      </x:c>
      <x:c r="C732" s="3" t="inlineStr">
        <x:is>
          <x:t xml:space="preserve">三一重工</x:t>
        </x:is>
      </x:c>
      <x:c r="D732" s="3" t="inlineStr">
        <x:is>
          <x:t xml:space="preserve">三一重工股份有限公司</x:t>
        </x:is>
      </x:c>
      <x:c r="E732" s="2" t="inlineStr">
        <x:is>
          <x:t xml:space="preserve">北京市</x:t>
        </x:is>
      </x:c>
      <x:c r="F732" s="2" t="inlineStr">
        <x:is>
          <x:t xml:space="preserve">北京市</x:t>
        </x:is>
      </x:c>
      <x:c r="G732" s="3" t="inlineStr">
        <x:is>
          <x:t xml:space="preserve">北京市-北京市</x:t>
        </x:is>
      </x:c>
      <x:c r="H732" s="2" t="inlineStr">
        <x:is>
          <x:t xml:space="preserve">工程机械</x:t>
        </x:is>
      </x:c>
      <x:c r="I732" s="2" t="inlineStr">
        <x:is>
          <x:t xml:space="preserve">2003-07-03</x:t>
        </x:is>
      </x:c>
      <x:c r="J732" s="3" t="inlineStr">
        <x:is>
          <x:t xml:space="preserve">北京市昌平区北清路8号6幢5楼</x:t>
        </x:is>
      </x:c>
      <x:c r="K732" s="12" t="str">
        <x:f>LEFT("91110000616800612P",18)</x:f>
        <x:v>91110000616800612P</x:v>
      </x:c>
    </x:row>
    <x:row r="733">
      <x:c r="A733" s="4" t="n">
        <x:v>732</x:v>
      </x:c>
      <x:c r="B733" s="4" t="inlineStr">
        <x:is>
          <x:t xml:space="preserve">600037</x:t>
        </x:is>
      </x:c>
      <x:c r="C733" s="5" t="inlineStr">
        <x:is>
          <x:t xml:space="preserve">歌华有线</x:t>
        </x:is>
      </x:c>
      <x:c r="D733" s="5" t="inlineStr">
        <x:is>
          <x:t xml:space="preserve">北京歌华有线电视网络股份有限公司</x:t>
        </x:is>
      </x:c>
      <x:c r="E733" s="4" t="inlineStr">
        <x:is>
          <x:t xml:space="preserve">北京市</x:t>
        </x:is>
      </x:c>
      <x:c r="F733" s="4" t="inlineStr">
        <x:is>
          <x:t xml:space="preserve">北京市</x:t>
        </x:is>
      </x:c>
      <x:c r="G733" s="5" t="inlineStr">
        <x:is>
          <x:t xml:space="preserve">北京市-北京市</x:t>
        </x:is>
      </x:c>
      <x:c r="H733" s="4" t="inlineStr">
        <x:is>
          <x:t xml:space="preserve">文化传媒</x:t>
        </x:is>
      </x:c>
      <x:c r="I733" s="4" t="inlineStr">
        <x:is>
          <x:t xml:space="preserve">2001-02-08</x:t>
        </x:is>
      </x:c>
      <x:c r="J733" s="5" t="inlineStr">
        <x:is>
          <x:t xml:space="preserve">中国北京市海淀区西三环北路87号4层409</x:t>
        </x:is>
      </x:c>
      <x:c r="K733" s="12" t="str">
        <x:f>LEFT("911100007002336492",18)</x:f>
        <x:v>911100007002336500</x:v>
      </x:c>
    </x:row>
    <x:row r="734">
      <x:c r="A734" s="2" t="n">
        <x:v>733</x:v>
      </x:c>
      <x:c r="B734" s="2" t="inlineStr">
        <x:is>
          <x:t xml:space="preserve">600050</x:t>
        </x:is>
      </x:c>
      <x:c r="C734" s="3" t="inlineStr">
        <x:is>
          <x:t xml:space="preserve">中国联通</x:t>
        </x:is>
      </x:c>
      <x:c r="D734" s="3" t="inlineStr">
        <x:is>
          <x:t xml:space="preserve">中国联合网络通信股份有限公司</x:t>
        </x:is>
      </x:c>
      <x:c r="E734" s="2" t="inlineStr">
        <x:is>
          <x:t xml:space="preserve">北京市</x:t>
        </x:is>
      </x:c>
      <x:c r="F734" s="2" t="inlineStr">
        <x:is>
          <x:t xml:space="preserve">北京市</x:t>
        </x:is>
      </x:c>
      <x:c r="G734" s="3" t="inlineStr">
        <x:is>
          <x:t xml:space="preserve">北京市-北京市</x:t>
        </x:is>
      </x:c>
      <x:c r="H734" s="2" t="inlineStr">
        <x:is>
          <x:t xml:space="preserve">电信运营</x:t>
        </x:is>
      </x:c>
      <x:c r="I734" s="2" t="inlineStr">
        <x:is>
          <x:t xml:space="preserve">2002-10-09</x:t>
        </x:is>
      </x:c>
      <x:c r="J734" s="3" t="inlineStr">
        <x:is>
          <x:t xml:space="preserve">北京市西城区金融大街21号4楼</x:t>
        </x:is>
      </x:c>
      <x:c r="K734" s="12" t="str">
        <x:f>LEFT("91310000710929383P",18)</x:f>
        <x:v>91310000710929383P</x:v>
      </x:c>
    </x:row>
    <x:row r="735">
      <x:c r="A735" s="4" t="n">
        <x:v>734</x:v>
      </x:c>
      <x:c r="B735" s="4" t="inlineStr">
        <x:is>
          <x:t xml:space="preserve">600055</x:t>
        </x:is>
      </x:c>
      <x:c r="C735" s="5" t="inlineStr">
        <x:is>
          <x:t xml:space="preserve">万东医疗</x:t>
        </x:is>
      </x:c>
      <x:c r="D735" s="5" t="inlineStr">
        <x:is>
          <x:t xml:space="preserve">北京万东医疗科技股份有限公司</x:t>
        </x:is>
      </x:c>
      <x:c r="E735" s="4" t="inlineStr">
        <x:is>
          <x:t xml:space="preserve">北京市</x:t>
        </x:is>
      </x:c>
      <x:c r="F735" s="4" t="inlineStr">
        <x:is>
          <x:t xml:space="preserve">北京市</x:t>
        </x:is>
      </x:c>
      <x:c r="G735" s="5" t="inlineStr">
        <x:is>
          <x:t xml:space="preserve">北京市-北京市</x:t>
        </x:is>
      </x:c>
      <x:c r="H735" s="4" t="inlineStr">
        <x:is>
          <x:t xml:space="preserve">医疗器械</x:t>
        </x:is>
      </x:c>
      <x:c r="I735" s="4" t="inlineStr">
        <x:is>
          <x:t xml:space="preserve">1997-05-19</x:t>
        </x:is>
      </x:c>
      <x:c r="J735" s="5" t="inlineStr">
        <x:is>
          <x:t xml:space="preserve">北京市朝阳区酒仙桥东路9号院3号楼</x:t>
        </x:is>
      </x:c>
      <x:c r="K735" s="12" t="str">
        <x:f>LEFT("9111000063379674X4",18)</x:f>
        <x:v>9111000063379674X4</x:v>
      </x:c>
    </x:row>
    <x:row r="736">
      <x:c r="A736" s="2" t="n">
        <x:v>735</x:v>
      </x:c>
      <x:c r="B736" s="2" t="inlineStr">
        <x:is>
          <x:t xml:space="preserve">600056</x:t>
        </x:is>
      </x:c>
      <x:c r="C736" s="3" t="inlineStr">
        <x:is>
          <x:t xml:space="preserve">中国医药</x:t>
        </x:is>
      </x:c>
      <x:c r="D736" s="3" t="inlineStr">
        <x:is>
          <x:t xml:space="preserve">中国医药健康产业股份有限公司</x:t>
        </x:is>
      </x:c>
      <x:c r="E736" s="2" t="inlineStr">
        <x:is>
          <x:t xml:space="preserve">北京市</x:t>
        </x:is>
      </x:c>
      <x:c r="F736" s="2" t="inlineStr">
        <x:is>
          <x:t xml:space="preserve">北京市</x:t>
        </x:is>
      </x:c>
      <x:c r="G736" s="3" t="inlineStr">
        <x:is>
          <x:t xml:space="preserve">北京市-北京市</x:t>
        </x:is>
      </x:c>
      <x:c r="H736" s="2" t="inlineStr">
        <x:is>
          <x:t xml:space="preserve">医药商业</x:t>
        </x:is>
      </x:c>
      <x:c r="I736" s="2" t="inlineStr">
        <x:is>
          <x:t xml:space="preserve">1997-05-15</x:t>
        </x:is>
      </x:c>
      <x:c r="J736" s="3" t="inlineStr">
        <x:is>
          <x:t xml:space="preserve">北京市丰台区西营街1号院1区1号楼25-28层</x:t>
        </x:is>
      </x:c>
      <x:c r="K736" s="12" t="str">
        <x:f>LEFT("911100001000265317",18)</x:f>
        <x:v>911100001000265300</x:v>
      </x:c>
    </x:row>
    <x:row r="737">
      <x:c r="A737" s="4" t="n">
        <x:v>736</x:v>
      </x:c>
      <x:c r="B737" s="4" t="inlineStr">
        <x:is>
          <x:t xml:space="preserve">600058</x:t>
        </x:is>
      </x:c>
      <x:c r="C737" s="5" t="inlineStr">
        <x:is>
          <x:t xml:space="preserve">五矿发展</x:t>
        </x:is>
      </x:c>
      <x:c r="D737" s="5" t="inlineStr">
        <x:is>
          <x:t xml:space="preserve">五矿发展股份有限公司</x:t>
        </x:is>
      </x:c>
      <x:c r="E737" s="4" t="inlineStr">
        <x:is>
          <x:t xml:space="preserve">北京市</x:t>
        </x:is>
      </x:c>
      <x:c r="F737" s="4" t="inlineStr">
        <x:is>
          <x:t xml:space="preserve">北京市</x:t>
        </x:is>
      </x:c>
      <x:c r="G737" s="5" t="inlineStr">
        <x:is>
          <x:t xml:space="preserve">北京市-北京市</x:t>
        </x:is>
      </x:c>
      <x:c r="H737" s="4" t="inlineStr">
        <x:is>
          <x:t xml:space="preserve">国际贸易</x:t>
        </x:is>
      </x:c>
      <x:c r="I737" s="4" t="inlineStr">
        <x:is>
          <x:t xml:space="preserve">1997-05-28</x:t>
        </x:is>
      </x:c>
      <x:c r="J737" s="5" t="inlineStr">
        <x:is>
          <x:t xml:space="preserve">北京海淀区三里河路5号</x:t>
        </x:is>
      </x:c>
      <x:c r="K737" s="12" t="str">
        <x:f>LEFT("91110000100026638J",18)</x:f>
        <x:v>91110000100026638J</x:v>
      </x:c>
    </x:row>
    <x:row r="738">
      <x:c r="A738" s="2" t="n">
        <x:v>737</x:v>
      </x:c>
      <x:c r="B738" s="2" t="inlineStr">
        <x:is>
          <x:t xml:space="preserve">600062</x:t>
        </x:is>
      </x:c>
      <x:c r="C738" s="3" t="inlineStr">
        <x:is>
          <x:t xml:space="preserve">华润双鹤</x:t>
        </x:is>
      </x:c>
      <x:c r="D738" s="3" t="inlineStr">
        <x:is>
          <x:t xml:space="preserve">华润双鹤药业股份有限公司</x:t>
        </x:is>
      </x:c>
      <x:c r="E738" s="2" t="inlineStr">
        <x:is>
          <x:t xml:space="preserve">北京市</x:t>
        </x:is>
      </x:c>
      <x:c r="F738" s="2" t="inlineStr">
        <x:is>
          <x:t xml:space="preserve">北京市</x:t>
        </x:is>
      </x:c>
      <x:c r="G738" s="3" t="inlineStr">
        <x:is>
          <x:t xml:space="preserve">北京市-北京市</x:t>
        </x:is>
      </x:c>
      <x:c r="H738" s="2" t="inlineStr">
        <x:is>
          <x:t xml:space="preserve">医药制造</x:t>
        </x:is>
      </x:c>
      <x:c r="I738" s="2" t="inlineStr">
        <x:is>
          <x:t xml:space="preserve">1997-05-22</x:t>
        </x:is>
      </x:c>
      <x:c r="J738" s="3" t="inlineStr">
        <x:is>
          <x:t xml:space="preserve">北京市朝阳区望京利泽东二路1号</x:t>
        </x:is>
      </x:c>
      <x:c r="K738" s="12" t="str">
        <x:f>LEFT("91110000633796475U",18)</x:f>
        <x:v>91110000633796475U</x:v>
      </x:c>
    </x:row>
    <x:row r="739">
      <x:c r="A739" s="4" t="n">
        <x:v>738</x:v>
      </x:c>
      <x:c r="B739" s="4" t="inlineStr">
        <x:is>
          <x:t xml:space="preserve">600085</x:t>
        </x:is>
      </x:c>
      <x:c r="C739" s="5" t="inlineStr">
        <x:is>
          <x:t xml:space="preserve">同仁堂</x:t>
        </x:is>
      </x:c>
      <x:c r="D739" s="5" t="inlineStr">
        <x:is>
          <x:t xml:space="preserve">北京同仁堂股份有限公司</x:t>
        </x:is>
      </x:c>
      <x:c r="E739" s="4" t="inlineStr">
        <x:is>
          <x:t xml:space="preserve">北京市</x:t>
        </x:is>
      </x:c>
      <x:c r="F739" s="4" t="inlineStr">
        <x:is>
          <x:t xml:space="preserve">北京市</x:t>
        </x:is>
      </x:c>
      <x:c r="G739" s="5" t="inlineStr">
        <x:is>
          <x:t xml:space="preserve">北京市-北京市</x:t>
        </x:is>
      </x:c>
      <x:c r="H739" s="4" t="inlineStr">
        <x:is>
          <x:t xml:space="preserve">中药</x:t>
        </x:is>
      </x:c>
      <x:c r="I739" s="4" t="inlineStr">
        <x:is>
          <x:t xml:space="preserve">1997-06-25</x:t>
        </x:is>
      </x:c>
      <x:c r="J739" s="5" t="inlineStr">
        <x:is>
          <x:t xml:space="preserve">北京市大兴区中关村科技园区大兴生物医药产业基地天贵大街33号</x:t>
        </x:is>
      </x:c>
      <x:c r="K739" s="12" t="str">
        <x:f>LEFT("911100006336462669",18)</x:f>
        <x:v>911100006336462700</x:v>
      </x:c>
    </x:row>
    <x:row r="740">
      <x:c r="A740" s="2" t="n">
        <x:v>739</x:v>
      </x:c>
      <x:c r="B740" s="2" t="inlineStr">
        <x:is>
          <x:t xml:space="preserve">600100</x:t>
        </x:is>
      </x:c>
      <x:c r="C740" s="3" t="inlineStr">
        <x:is>
          <x:t xml:space="preserve">同方股份</x:t>
        </x:is>
      </x:c>
      <x:c r="D740" s="3" t="inlineStr">
        <x:is>
          <x:t xml:space="preserve">同方股份有限公司</x:t>
        </x:is>
      </x:c>
      <x:c r="E740" s="2" t="inlineStr">
        <x:is>
          <x:t xml:space="preserve">北京市</x:t>
        </x:is>
      </x:c>
      <x:c r="F740" s="2" t="inlineStr">
        <x:is>
          <x:t xml:space="preserve">北京市</x:t>
        </x:is>
      </x:c>
      <x:c r="G740" s="3" t="inlineStr">
        <x:is>
          <x:t xml:space="preserve">北京市-北京市</x:t>
        </x:is>
      </x:c>
      <x:c r="H740" s="2" t="inlineStr">
        <x:is>
          <x:t xml:space="preserve">计算机设备</x:t>
        </x:is>
      </x:c>
      <x:c r="I740" s="2" t="inlineStr">
        <x:is>
          <x:t xml:space="preserve">1997-06-27</x:t>
        </x:is>
      </x:c>
      <x:c r="J740" s="3" t="inlineStr">
        <x:is>
          <x:t xml:space="preserve">北京海淀区王庄路1号清华同方科技大厦A座30层</x:t>
        </x:is>
      </x:c>
      <x:c r="K740" s="12" t="str">
        <x:f>LEFT("91110000100026793Y",18)</x:f>
        <x:v>91110000100026793Y</x:v>
      </x:c>
    </x:row>
    <x:row r="741">
      <x:c r="A741" s="4" t="n">
        <x:v>740</x:v>
      </x:c>
      <x:c r="B741" s="4" t="inlineStr">
        <x:is>
          <x:t xml:space="preserve">600118</x:t>
        </x:is>
      </x:c>
      <x:c r="C741" s="5" t="inlineStr">
        <x:is>
          <x:t xml:space="preserve">中国卫星</x:t>
        </x:is>
      </x:c>
      <x:c r="D741" s="5" t="inlineStr">
        <x:is>
          <x:t xml:space="preserve">中国东方红卫星股份有限公司</x:t>
        </x:is>
      </x:c>
      <x:c r="E741" s="4" t="inlineStr">
        <x:is>
          <x:t xml:space="preserve">北京市</x:t>
        </x:is>
      </x:c>
      <x:c r="F741" s="4" t="inlineStr">
        <x:is>
          <x:t xml:space="preserve">北京市</x:t>
        </x:is>
      </x:c>
      <x:c r="G741" s="5" t="inlineStr">
        <x:is>
          <x:t xml:space="preserve">北京市-北京市</x:t>
        </x:is>
      </x:c>
      <x:c r="H741" s="4" t="inlineStr">
        <x:is>
          <x:t xml:space="preserve">航天航空</x:t>
        </x:is>
      </x:c>
      <x:c r="I741" s="4" t="inlineStr">
        <x:is>
          <x:t xml:space="preserve">1997-09-08</x:t>
        </x:is>
      </x:c>
      <x:c r="J741" s="5" t="inlineStr">
        <x:is>
          <x:t xml:space="preserve">北京市海淀区中关村南大街31号神舟科技大厦12层</x:t>
        </x:is>
      </x:c>
      <x:c r="K741" s="12" t="str">
        <x:f>LEFT("911100001000274544",18)</x:f>
        <x:v>911100001000274600</x:v>
      </x:c>
    </x:row>
    <x:row r="742">
      <x:c r="A742" s="2" t="n">
        <x:v>741</x:v>
      </x:c>
      <x:c r="B742" s="2" t="inlineStr">
        <x:is>
          <x:t xml:space="preserve">600138</x:t>
        </x:is>
      </x:c>
      <x:c r="C742" s="3" t="inlineStr">
        <x:is>
          <x:t xml:space="preserve">中青旅</x:t>
        </x:is>
      </x:c>
      <x:c r="D742" s="3" t="inlineStr">
        <x:is>
          <x:t xml:space="preserve">中青旅控股股份有限公司</x:t>
        </x:is>
      </x:c>
      <x:c r="E742" s="2" t="inlineStr">
        <x:is>
          <x:t xml:space="preserve">北京市</x:t>
        </x:is>
      </x:c>
      <x:c r="F742" s="2" t="inlineStr">
        <x:is>
          <x:t xml:space="preserve">北京市</x:t>
        </x:is>
      </x:c>
      <x:c r="G742" s="3" t="inlineStr">
        <x:is>
          <x:t xml:space="preserve">北京市-北京市</x:t>
        </x:is>
      </x:c>
      <x:c r="H742" s="2" t="inlineStr">
        <x:is>
          <x:t xml:space="preserve">旅游酒店</x:t>
        </x:is>
      </x:c>
      <x:c r="I742" s="2" t="inlineStr">
        <x:is>
          <x:t xml:space="preserve">1997-12-03</x:t>
        </x:is>
      </x:c>
      <x:c r="J742" s="3" t="inlineStr">
        <x:is>
          <x:t xml:space="preserve">北京市东城区东直门南大街5号</x:t>
        </x:is>
      </x:c>
      <x:c r="K742" s="12" t="str">
        <x:f>LEFT("91110000100028158N",18)</x:f>
        <x:v>91110000100028158N</x:v>
      </x:c>
    </x:row>
    <x:row r="743">
      <x:c r="A743" s="4" t="n">
        <x:v>742</x:v>
      </x:c>
      <x:c r="B743" s="4" t="inlineStr">
        <x:is>
          <x:t xml:space="preserve">600155</x:t>
        </x:is>
      </x:c>
      <x:c r="C743" s="5" t="inlineStr">
        <x:is>
          <x:t xml:space="preserve">华创云信</x:t>
        </x:is>
      </x:c>
      <x:c r="D743" s="5" t="inlineStr">
        <x:is>
          <x:t xml:space="preserve">华创云信数字技术股份有限公司</x:t>
        </x:is>
      </x:c>
      <x:c r="E743" s="4" t="inlineStr">
        <x:is>
          <x:t xml:space="preserve">北京市</x:t>
        </x:is>
      </x:c>
      <x:c r="F743" s="4" t="inlineStr">
        <x:is>
          <x:t xml:space="preserve">北京市</x:t>
        </x:is>
      </x:c>
      <x:c r="G743" s="5" t="inlineStr">
        <x:is>
          <x:t xml:space="preserve">北京市-北京市</x:t>
        </x:is>
      </x:c>
      <x:c r="H743" s="4" t="inlineStr">
        <x:is>
          <x:t xml:space="preserve">券商信托</x:t>
        </x:is>
      </x:c>
      <x:c r="I743" s="4" t="inlineStr">
        <x:is>
          <x:t xml:space="preserve">1998-09-18</x:t>
        </x:is>
      </x:c>
      <x:c r="J743" s="5" t="inlineStr">
        <x:is>
          <x:t xml:space="preserve">北京市西城区锦什坊街26号楼3层301-2</x:t>
        </x:is>
      </x:c>
      <x:c r="K743" s="12" t="str">
        <x:f>LEFT("91130605700838787Q",18)</x:f>
        <x:v>91130605700838787Q</x:v>
      </x:c>
    </x:row>
    <x:row r="744">
      <x:c r="A744" s="2" t="n">
        <x:v>743</x:v>
      </x:c>
      <x:c r="B744" s="2" t="inlineStr">
        <x:is>
          <x:t xml:space="preserve">600159</x:t>
        </x:is>
      </x:c>
      <x:c r="C744" s="3" t="inlineStr">
        <x:is>
          <x:t xml:space="preserve">大龙地产</x:t>
        </x:is>
      </x:c>
      <x:c r="D744" s="3" t="inlineStr">
        <x:is>
          <x:t xml:space="preserve">北京市大龙伟业房地产开发股份有限公司</x:t>
        </x:is>
      </x:c>
      <x:c r="E744" s="2" t="inlineStr">
        <x:is>
          <x:t xml:space="preserve">北京市</x:t>
        </x:is>
      </x:c>
      <x:c r="F744" s="2" t="inlineStr">
        <x:is>
          <x:t xml:space="preserve">北京市</x:t>
        </x:is>
      </x:c>
      <x:c r="G744" s="3" t="inlineStr">
        <x:is>
          <x:t xml:space="preserve">北京市-北京市</x:t>
        </x:is>
      </x:c>
      <x:c r="H744" s="2" t="inlineStr">
        <x:is>
          <x:t xml:space="preserve">房地产</x:t>
        </x:is>
      </x:c>
      <x:c r="I744" s="2" t="inlineStr">
        <x:is>
          <x:t xml:space="preserve">1998-05-26</x:t>
        </x:is>
      </x:c>
      <x:c r="J744" s="3" t="inlineStr">
        <x:is>
          <x:t xml:space="preserve">北京市顺义区府前东街甲2号</x:t>
        </x:is>
      </x:c>
      <x:c r="K744" s="12" t="str">
        <x:f>LEFT("91110000783954328P",18)</x:f>
        <x:v>91110000783954328P</x:v>
      </x:c>
    </x:row>
    <x:row r="745">
      <x:c r="A745" s="4" t="n">
        <x:v>744</x:v>
      </x:c>
      <x:c r="B745" s="4" t="inlineStr">
        <x:is>
          <x:t xml:space="preserve">600161</x:t>
        </x:is>
      </x:c>
      <x:c r="C745" s="5" t="inlineStr">
        <x:is>
          <x:t xml:space="preserve">天坛生物</x:t>
        </x:is>
      </x:c>
      <x:c r="D745" s="5" t="inlineStr">
        <x:is>
          <x:t xml:space="preserve">北京天坛生物制品股份有限公司</x:t>
        </x:is>
      </x:c>
      <x:c r="E745" s="4" t="inlineStr">
        <x:is>
          <x:t xml:space="preserve">北京市</x:t>
        </x:is>
      </x:c>
      <x:c r="F745" s="4" t="inlineStr">
        <x:is>
          <x:t xml:space="preserve">北京市</x:t>
        </x:is>
      </x:c>
      <x:c r="G745" s="5" t="inlineStr">
        <x:is>
          <x:t xml:space="preserve">北京市-北京市</x:t>
        </x:is>
      </x:c>
      <x:c r="H745" s="4" t="inlineStr">
        <x:is>
          <x:t xml:space="preserve">生物制品</x:t>
        </x:is>
      </x:c>
      <x:c r="I745" s="4" t="inlineStr">
        <x:is>
          <x:t xml:space="preserve">1998-06-16</x:t>
        </x:is>
      </x:c>
      <x:c r="J745" s="5" t="inlineStr">
        <x:is>
          <x:t xml:space="preserve">北京经济技术开发区博兴二路6号院8号楼521室</x:t>
        </x:is>
      </x:c>
      <x:c r="K745" s="12" t="str">
        <x:f>LEFT("91110000600069802M",18)</x:f>
        <x:v>91110000600069802M</x:v>
      </x:c>
    </x:row>
    <x:row r="746">
      <x:c r="A746" s="2" t="n">
        <x:v>745</x:v>
      </x:c>
      <x:c r="B746" s="2" t="inlineStr">
        <x:is>
          <x:t xml:space="preserve">600166</x:t>
        </x:is>
      </x:c>
      <x:c r="C746" s="3" t="inlineStr">
        <x:is>
          <x:t xml:space="preserve">福田汽车</x:t>
        </x:is>
      </x:c>
      <x:c r="D746" s="3" t="inlineStr">
        <x:is>
          <x:t xml:space="preserve">北汽福田汽车股份有限公司</x:t>
        </x:is>
      </x:c>
      <x:c r="E746" s="2" t="inlineStr">
        <x:is>
          <x:t xml:space="preserve">北京市</x:t>
        </x:is>
      </x:c>
      <x:c r="F746" s="2" t="inlineStr">
        <x:is>
          <x:t xml:space="preserve">北京市</x:t>
        </x:is>
      </x:c>
      <x:c r="G746" s="3" t="inlineStr">
        <x:is>
          <x:t xml:space="preserve">北京市-北京市</x:t>
        </x:is>
      </x:c>
      <x:c r="H746" s="2" t="inlineStr">
        <x:is>
          <x:t xml:space="preserve">汽车整车</x:t>
        </x:is>
      </x:c>
      <x:c r="I746" s="2" t="inlineStr">
        <x:is>
          <x:t xml:space="preserve">1998-06-02</x:t>
        </x:is>
      </x:c>
      <x:c r="J746" s="3" t="inlineStr">
        <x:is>
          <x:t xml:space="preserve">北京市昌平区沙河镇沙阳路老牛湾村北</x:t>
        </x:is>
      </x:c>
      <x:c r="K746" s="12" t="str">
        <x:f>LEFT("911100001012029043",18)</x:f>
        <x:v>911100001012029000</x:v>
      </x:c>
    </x:row>
    <x:row r="747">
      <x:c r="A747" s="4" t="n">
        <x:v>746</x:v>
      </x:c>
      <x:c r="B747" s="4" t="inlineStr">
        <x:is>
          <x:t xml:space="preserve">600195</x:t>
        </x:is>
      </x:c>
      <x:c r="C747" s="5" t="inlineStr">
        <x:is>
          <x:t xml:space="preserve">中牧股份</x:t>
        </x:is>
      </x:c>
      <x:c r="D747" s="5" t="inlineStr">
        <x:is>
          <x:t xml:space="preserve">中牧实业股份有限公司</x:t>
        </x:is>
      </x:c>
      <x:c r="E747" s="4" t="inlineStr">
        <x:is>
          <x:t xml:space="preserve">北京市</x:t>
        </x:is>
      </x:c>
      <x:c r="F747" s="4" t="inlineStr">
        <x:is>
          <x:t xml:space="preserve">北京市</x:t>
        </x:is>
      </x:c>
      <x:c r="G747" s="5" t="inlineStr">
        <x:is>
          <x:t xml:space="preserve">北京市-北京市</x:t>
        </x:is>
      </x:c>
      <x:c r="H747" s="4" t="inlineStr">
        <x:is>
          <x:t xml:space="preserve">农药兽药</x:t>
        </x:is>
      </x:c>
      <x:c r="I747" s="4" t="inlineStr">
        <x:is>
          <x:t xml:space="preserve">1999-01-07</x:t>
        </x:is>
      </x:c>
      <x:c r="J747" s="5" t="inlineStr">
        <x:is>
          <x:t xml:space="preserve">北京市丰台区南四环西路188号八区16-19号楼</x:t>
        </x:is>
      </x:c>
      <x:c r="K747" s="12" t="str">
        <x:f>LEFT("9111000071092358XT",18)</x:f>
        <x:v>9111000071092358XT</x:v>
      </x:c>
    </x:row>
    <x:row r="748">
      <x:c r="A748" s="2" t="n">
        <x:v>747</x:v>
      </x:c>
      <x:c r="B748" s="2" t="inlineStr">
        <x:is>
          <x:t xml:space="preserve">600198</x:t>
        </x:is>
      </x:c>
      <x:c r="C748" s="3" t="inlineStr">
        <x:is>
          <x:t xml:space="preserve">大唐电信</x:t>
        </x:is>
      </x:c>
      <x:c r="D748" s="3" t="inlineStr">
        <x:is>
          <x:t xml:space="preserve">大唐电信科技股份有限公司</x:t>
        </x:is>
      </x:c>
      <x:c r="E748" s="2" t="inlineStr">
        <x:is>
          <x:t xml:space="preserve">北京市</x:t>
        </x:is>
      </x:c>
      <x:c r="F748" s="2" t="inlineStr">
        <x:is>
          <x:t xml:space="preserve">北京市</x:t>
        </x:is>
      </x:c>
      <x:c r="G748" s="3" t="inlineStr">
        <x:is>
          <x:t xml:space="preserve">北京市-北京市</x:t>
        </x:is>
      </x:c>
      <x:c r="H748" s="2" t="inlineStr">
        <x:is>
          <x:t xml:space="preserve">通信设备</x:t>
        </x:is>
      </x:c>
      <x:c r="I748" s="2" t="inlineStr">
        <x:is>
          <x:t xml:space="preserve">1998-10-21</x:t>
        </x:is>
      </x:c>
      <x:c r="J748" s="3" t="inlineStr">
        <x:is>
          <x:t xml:space="preserve">北京市海淀区永嘉北路6号5幢</x:t>
        </x:is>
      </x:c>
      <x:c r="K748" s="12" t="str">
        <x:f>LEFT("91110000633709976B",18)</x:f>
        <x:v>91110000633709976B</x:v>
      </x:c>
    </x:row>
    <x:row r="749">
      <x:c r="A749" s="4" t="n">
        <x:v>748</x:v>
      </x:c>
      <x:c r="B749" s="4" t="inlineStr">
        <x:is>
          <x:t xml:space="preserve">600206</x:t>
        </x:is>
      </x:c>
      <x:c r="C749" s="5" t="inlineStr">
        <x:is>
          <x:t xml:space="preserve">有研新材</x:t>
        </x:is>
      </x:c>
      <x:c r="D749" s="5" t="inlineStr">
        <x:is>
          <x:t xml:space="preserve">有研新材料股份有限公司</x:t>
        </x:is>
      </x:c>
      <x:c r="E749" s="4" t="inlineStr">
        <x:is>
          <x:t xml:space="preserve">北京市</x:t>
        </x:is>
      </x:c>
      <x:c r="F749" s="4" t="inlineStr">
        <x:is>
          <x:t xml:space="preserve">北京市</x:t>
        </x:is>
      </x:c>
      <x:c r="G749" s="5" t="inlineStr">
        <x:is>
          <x:t xml:space="preserve">北京市-北京市</x:t>
        </x:is>
      </x:c>
      <x:c r="H749" s="4" t="inlineStr">
        <x:is>
          <x:t xml:space="preserve">小金属</x:t>
        </x:is>
      </x:c>
      <x:c r="I749" s="4" t="inlineStr">
        <x:is>
          <x:t xml:space="preserve">1999-03-19</x:t>
        </x:is>
      </x:c>
      <x:c r="J749" s="5" t="inlineStr">
        <x:is>
          <x:t xml:space="preserve">北京市海淀区北三环中路43号</x:t>
        </x:is>
      </x:c>
      <x:c r="K749" s="12" t="str">
        <x:f>LEFT("911100007109241877",18)</x:f>
        <x:v>911100007109241900</x:v>
      </x:c>
    </x:row>
    <x:row r="750">
      <x:c r="A750" s="2" t="n">
        <x:v>749</x:v>
      </x:c>
      <x:c r="B750" s="2" t="inlineStr">
        <x:is>
          <x:t xml:space="preserve">600246</x:t>
        </x:is>
      </x:c>
      <x:c r="C750" s="3" t="inlineStr">
        <x:is>
          <x:t xml:space="preserve">万通发展</x:t>
        </x:is>
      </x:c>
      <x:c r="D750" s="3" t="inlineStr">
        <x:is>
          <x:t xml:space="preserve">北京万通新发展集团股份有限公司</x:t>
        </x:is>
      </x:c>
      <x:c r="E750" s="2" t="inlineStr">
        <x:is>
          <x:t xml:space="preserve">北京市</x:t>
        </x:is>
      </x:c>
      <x:c r="F750" s="2" t="inlineStr">
        <x:is>
          <x:t xml:space="preserve">北京市</x:t>
        </x:is>
      </x:c>
      <x:c r="G750" s="3" t="inlineStr">
        <x:is>
          <x:t xml:space="preserve">北京市-北京市</x:t>
        </x:is>
      </x:c>
      <x:c r="H750" s="2" t="inlineStr">
        <x:is>
          <x:t xml:space="preserve">房地产</x:t>
        </x:is>
      </x:c>
      <x:c r="I750" s="2" t="inlineStr">
        <x:is>
          <x:t xml:space="preserve">2000-09-22</x:t>
        </x:is>
      </x:c>
      <x:c r="J750" s="3" t="inlineStr">
        <x:is>
          <x:t xml:space="preserve">北京市怀柔区雁栖经济开发区雁栖大街53号院13号楼01-318-10室</x:t>
        </x:is>
      </x:c>
      <x:c r="K750" s="12" t="str">
        <x:f>LEFT("91110000633715962Q",18)</x:f>
        <x:v>91110000633715962Q</x:v>
      </x:c>
    </x:row>
    <x:row r="751">
      <x:c r="A751" s="4" t="n">
        <x:v>750</x:v>
      </x:c>
      <x:c r="B751" s="4" t="inlineStr">
        <x:is>
          <x:t xml:space="preserve">600258</x:t>
        </x:is>
      </x:c>
      <x:c r="C751" s="5" t="inlineStr">
        <x:is>
          <x:t xml:space="preserve">首旅酒店</x:t>
        </x:is>
      </x:c>
      <x:c r="D751" s="5" t="inlineStr">
        <x:is>
          <x:t xml:space="preserve">北京首旅酒店(集团)股份有限公司</x:t>
        </x:is>
      </x:c>
      <x:c r="E751" s="4" t="inlineStr">
        <x:is>
          <x:t xml:space="preserve">北京市</x:t>
        </x:is>
      </x:c>
      <x:c r="F751" s="4" t="inlineStr">
        <x:is>
          <x:t xml:space="preserve">北京市</x:t>
        </x:is>
      </x:c>
      <x:c r="G751" s="5" t="inlineStr">
        <x:is>
          <x:t xml:space="preserve">北京市-北京市</x:t>
        </x:is>
      </x:c>
      <x:c r="H751" s="4" t="inlineStr">
        <x:is>
          <x:t xml:space="preserve">旅游酒店</x:t>
        </x:is>
      </x:c>
      <x:c r="I751" s="4" t="inlineStr">
        <x:is>
          <x:t xml:space="preserve">2000-06-01</x:t>
        </x:is>
      </x:c>
      <x:c r="J751" s="5" t="inlineStr">
        <x:is>
          <x:t xml:space="preserve">北京市西城区复兴门内大街51号</x:t>
        </x:is>
      </x:c>
      <x:c r="K751" s="12" t="str">
        <x:f>LEFT("911100007002172436",18)</x:f>
        <x:v>911100007002172400</x:v>
      </x:c>
    </x:row>
    <x:row r="752">
      <x:c r="A752" s="2" t="n">
        <x:v>751</x:v>
      </x:c>
      <x:c r="B752" s="2" t="inlineStr">
        <x:is>
          <x:t xml:space="preserve">600266</x:t>
        </x:is>
      </x:c>
      <x:c r="C752" s="3" t="inlineStr">
        <x:is>
          <x:t xml:space="preserve">城建发展</x:t>
        </x:is>
      </x:c>
      <x:c r="D752" s="3" t="inlineStr">
        <x:is>
          <x:t xml:space="preserve">北京城建投资发展股份有限公司</x:t>
        </x:is>
      </x:c>
      <x:c r="E752" s="2" t="inlineStr">
        <x:is>
          <x:t xml:space="preserve">北京市</x:t>
        </x:is>
      </x:c>
      <x:c r="F752" s="2" t="inlineStr">
        <x:is>
          <x:t xml:space="preserve">北京市</x:t>
        </x:is>
      </x:c>
      <x:c r="G752" s="3" t="inlineStr">
        <x:is>
          <x:t xml:space="preserve">北京市-北京市</x:t>
        </x:is>
      </x:c>
      <x:c r="H752" s="2" t="inlineStr">
        <x:is>
          <x:t xml:space="preserve">房地产</x:t>
        </x:is>
      </x:c>
      <x:c r="I752" s="2" t="inlineStr">
        <x:is>
          <x:t xml:space="preserve">1999-02-03</x:t>
        </x:is>
      </x:c>
      <x:c r="J752" s="3" t="inlineStr">
        <x:is>
          <x:t xml:space="preserve">北京市海淀区大柳树富海中心2号楼14层</x:t>
        </x:is>
      </x:c>
      <x:c r="K752" s="12" t="str">
        <x:f>LEFT("91110000633715698D",18)</x:f>
        <x:v>91110000633715698D</x:v>
      </x:c>
    </x:row>
    <x:row r="753">
      <x:c r="A753" s="4" t="n">
        <x:v>752</x:v>
      </x:c>
      <x:c r="B753" s="4" t="inlineStr">
        <x:is>
          <x:t xml:space="preserve">600271</x:t>
        </x:is>
      </x:c>
      <x:c r="C753" s="5" t="inlineStr">
        <x:is>
          <x:t xml:space="preserve">航天信息</x:t>
        </x:is>
      </x:c>
      <x:c r="D753" s="5" t="inlineStr">
        <x:is>
          <x:t xml:space="preserve">航天信息股份有限公司</x:t>
        </x:is>
      </x:c>
      <x:c r="E753" s="4" t="inlineStr">
        <x:is>
          <x:t xml:space="preserve">北京市</x:t>
        </x:is>
      </x:c>
      <x:c r="F753" s="4" t="inlineStr">
        <x:is>
          <x:t xml:space="preserve">北京市</x:t>
        </x:is>
      </x:c>
      <x:c r="G753" s="5" t="inlineStr">
        <x:is>
          <x:t xml:space="preserve">北京市-北京市</x:t>
        </x:is>
      </x:c>
      <x:c r="H753" s="4" t="inlineStr">
        <x:is>
          <x:t xml:space="preserve">互联网服务</x:t>
        </x:is>
      </x:c>
      <x:c r="I753" s="4" t="inlineStr">
        <x:is>
          <x:t xml:space="preserve">2003-07-11</x:t>
        </x:is>
      </x:c>
      <x:c r="J753" s="5" t="inlineStr">
        <x:is>
          <x:t xml:space="preserve">北京市海淀区杏石口路甲18号航天信息园</x:t>
        </x:is>
      </x:c>
      <x:c r="K753" s="12" t="str">
        <x:f>LEFT("91110000710927388B",18)</x:f>
        <x:v>91110000710927388B</x:v>
      </x:c>
    </x:row>
    <x:row r="754">
      <x:c r="A754" s="2" t="n">
        <x:v>753</x:v>
      </x:c>
      <x:c r="B754" s="2" t="inlineStr">
        <x:is>
          <x:t xml:space="preserve">600288</x:t>
        </x:is>
      </x:c>
      <x:c r="C754" s="3" t="inlineStr">
        <x:is>
          <x:t xml:space="preserve">大恒科技</x:t>
        </x:is>
      </x:c>
      <x:c r="D754" s="3" t="inlineStr">
        <x:is>
          <x:t xml:space="preserve">大恒新纪元科技股份有限公司</x:t>
        </x:is>
      </x:c>
      <x:c r="E754" s="2" t="inlineStr">
        <x:is>
          <x:t xml:space="preserve">北京市</x:t>
        </x:is>
      </x:c>
      <x:c r="F754" s="2" t="inlineStr">
        <x:is>
          <x:t xml:space="preserve">北京市</x:t>
        </x:is>
      </x:c>
      <x:c r="G754" s="3" t="inlineStr">
        <x:is>
          <x:t xml:space="preserve">北京市-北京市</x:t>
        </x:is>
      </x:c>
      <x:c r="H754" s="2" t="inlineStr">
        <x:is>
          <x:t xml:space="preserve">电子元件</x:t>
        </x:is>
      </x:c>
      <x:c r="I754" s="2" t="inlineStr">
        <x:is>
          <x:t xml:space="preserve">2000-11-29</x:t>
        </x:is>
      </x:c>
      <x:c r="J754" s="3" t="inlineStr">
        <x:is>
          <x:t xml:space="preserve">北京市海淀区苏州街3号大恒科技大厦北座13层</x:t>
        </x:is>
      </x:c>
      <x:c r="K754" s="12" t="str">
        <x:f>LEFT("91110000710923360K",18)</x:f>
        <x:v>91110000710923360K</x:v>
      </x:c>
    </x:row>
    <x:row r="755">
      <x:c r="A755" s="4" t="n">
        <x:v>754</x:v>
      </x:c>
      <x:c r="B755" s="4" t="inlineStr">
        <x:is>
          <x:t xml:space="preserve">600299</x:t>
        </x:is>
      </x:c>
      <x:c r="C755" s="5" t="inlineStr">
        <x:is>
          <x:t xml:space="preserve">安迪苏</x:t>
        </x:is>
      </x:c>
      <x:c r="D755" s="5" t="inlineStr">
        <x:is>
          <x:t xml:space="preserve">蓝星安迪苏股份有限公司</x:t>
        </x:is>
      </x:c>
      <x:c r="E755" s="4" t="inlineStr">
        <x:is>
          <x:t xml:space="preserve">北京市</x:t>
        </x:is>
      </x:c>
      <x:c r="F755" s="4" t="inlineStr">
        <x:is>
          <x:t xml:space="preserve">北京市</x:t>
        </x:is>
      </x:c>
      <x:c r="G755" s="5" t="inlineStr">
        <x:is>
          <x:t xml:space="preserve">北京市-北京市</x:t>
        </x:is>
      </x:c>
      <x:c r="H755" s="4" t="inlineStr">
        <x:is>
          <x:t xml:space="preserve">化学制品</x:t>
        </x:is>
      </x:c>
      <x:c r="I755" s="4" t="inlineStr">
        <x:is>
          <x:t xml:space="preserve">2000-04-20</x:t>
        </x:is>
      </x:c>
      <x:c r="J755" s="5" t="inlineStr">
        <x:is>
          <x:t xml:space="preserve">北京市海淀区上地信息产业基地创业路6号3层3079号</x:t>
        </x:is>
      </x:c>
      <x:c r="K755" s="12" t="str">
        <x:f>LEFT("911100007109244940",18)</x:f>
        <x:v>911100007109244900</x:v>
      </x:c>
    </x:row>
    <x:row r="756">
      <x:c r="A756" s="2" t="n">
        <x:v>755</x:v>
      </x:c>
      <x:c r="B756" s="2" t="inlineStr">
        <x:is>
          <x:t xml:space="preserve">600313</x:t>
        </x:is>
      </x:c>
      <x:c r="C756" s="3" t="inlineStr">
        <x:is>
          <x:t xml:space="preserve">农发种业</x:t>
        </x:is>
      </x:c>
      <x:c r="D756" s="3" t="inlineStr">
        <x:is>
          <x:t xml:space="preserve">中农发种业集团股份有限公司</x:t>
        </x:is>
      </x:c>
      <x:c r="E756" s="2" t="inlineStr">
        <x:is>
          <x:t xml:space="preserve">北京市</x:t>
        </x:is>
      </x:c>
      <x:c r="F756" s="2" t="inlineStr">
        <x:is>
          <x:t xml:space="preserve">北京市</x:t>
        </x:is>
      </x:c>
      <x:c r="G756" s="3" t="inlineStr">
        <x:is>
          <x:t xml:space="preserve">北京市-北京市</x:t>
        </x:is>
      </x:c>
      <x:c r="H756" s="2" t="inlineStr">
        <x:is>
          <x:t xml:space="preserve">农牧饲渔</x:t>
        </x:is>
      </x:c>
      <x:c r="I756" s="2" t="inlineStr">
        <x:is>
          <x:t xml:space="preserve">2001-01-19</x:t>
        </x:is>
      </x:c>
      <x:c r="J756" s="3" t="inlineStr">
        <x:is>
          <x:t xml:space="preserve">北京市大兴区欣雅街15号院1号楼13层1301</x:t>
        </x:is>
      </x:c>
      <x:c r="K756" s="12" t="str">
        <x:f>LEFT("91110000710925016E",18)</x:f>
        <x:v>91110000710925016E</x:v>
      </x:c>
    </x:row>
    <x:row r="757">
      <x:c r="A757" s="4" t="n">
        <x:v>756</x:v>
      </x:c>
      <x:c r="B757" s="4" t="inlineStr">
        <x:is>
          <x:t xml:space="preserve">600361</x:t>
        </x:is>
      </x:c>
      <x:c r="C757" s="5" t="inlineStr">
        <x:is>
          <x:t xml:space="preserve">创新新材</x:t>
        </x:is>
      </x:c>
      <x:c r="D757" s="5" t="inlineStr">
        <x:is>
          <x:t xml:space="preserve">创新新材料科技股份有限公司</x:t>
        </x:is>
      </x:c>
      <x:c r="E757" s="4" t="inlineStr">
        <x:is>
          <x:t xml:space="preserve">北京市</x:t>
        </x:is>
      </x:c>
      <x:c r="F757" s="4" t="inlineStr">
        <x:is>
          <x:t xml:space="preserve">北京市</x:t>
        </x:is>
      </x:c>
      <x:c r="G757" s="5" t="inlineStr">
        <x:is>
          <x:t xml:space="preserve">北京市-北京市</x:t>
        </x:is>
      </x:c>
      <x:c r="H757" s="4" t="inlineStr">
        <x:is>
          <x:t xml:space="preserve">有色金属</x:t>
        </x:is>
      </x:c>
      <x:c r="I757" s="4" t="inlineStr">
        <x:is>
          <x:t xml:space="preserve">2001-11-29</x:t>
        </x:is>
      </x:c>
      <x:c r="J757" s="5" t="inlineStr">
        <x:is>
          <x:t xml:space="preserve">北京市西城区阜成门外大街31号4层416A室</x:t>
        </x:is>
      </x:c>
      <x:c r="K757" s="12" t="str">
        <x:f>LEFT("911100001011857375",18)</x:f>
        <x:v>911100001011857400</x:v>
      </x:c>
    </x:row>
    <x:row r="758">
      <x:c r="A758" s="2" t="n">
        <x:v>757</x:v>
      </x:c>
      <x:c r="B758" s="2" t="inlineStr">
        <x:is>
          <x:t xml:space="preserve">600372</x:t>
        </x:is>
      </x:c>
      <x:c r="C758" s="3" t="inlineStr">
        <x:is>
          <x:t xml:space="preserve">中航机载</x:t>
        </x:is>
      </x:c>
      <x:c r="D758" s="3" t="inlineStr">
        <x:is>
          <x:t xml:space="preserve">中航机载系统股份有限公司</x:t>
        </x:is>
      </x:c>
      <x:c r="E758" s="2" t="inlineStr">
        <x:is>
          <x:t xml:space="preserve">北京市</x:t>
        </x:is>
      </x:c>
      <x:c r="F758" s="2" t="inlineStr">
        <x:is>
          <x:t xml:space="preserve">北京市</x:t>
        </x:is>
      </x:c>
      <x:c r="G758" s="3" t="inlineStr">
        <x:is>
          <x:t xml:space="preserve">北京市-北京市</x:t>
        </x:is>
      </x:c>
      <x:c r="H758" s="2" t="inlineStr">
        <x:is>
          <x:t xml:space="preserve">航天航空</x:t>
        </x:is>
      </x:c>
      <x:c r="I758" s="2" t="inlineStr">
        <x:is>
          <x:t xml:space="preserve">2001-07-06</x:t>
        </x:is>
      </x:c>
      <x:c r="J758" s="3" t="inlineStr">
        <x:is>
          <x:t xml:space="preserve">北京经济技术开发区经海二路29号院8号楼</x:t>
        </x:is>
      </x:c>
      <x:c r="K758" s="12" t="str">
        <x:f>LEFT("91110000705514765U",18)</x:f>
        <x:v>91110000705514765U</x:v>
      </x:c>
    </x:row>
    <x:row r="759">
      <x:c r="A759" s="4" t="n">
        <x:v>758</x:v>
      </x:c>
      <x:c r="B759" s="4" t="inlineStr">
        <x:is>
          <x:t xml:space="preserve">600376</x:t>
        </x:is>
      </x:c>
      <x:c r="C759" s="5" t="inlineStr">
        <x:is>
          <x:t xml:space="preserve">首开股份</x:t>
        </x:is>
      </x:c>
      <x:c r="D759" s="5" t="inlineStr">
        <x:is>
          <x:t xml:space="preserve">北京首都开发股份有限公司</x:t>
        </x:is>
      </x:c>
      <x:c r="E759" s="4" t="inlineStr">
        <x:is>
          <x:t xml:space="preserve">北京市</x:t>
        </x:is>
      </x:c>
      <x:c r="F759" s="4" t="inlineStr">
        <x:is>
          <x:t xml:space="preserve">北京市</x:t>
        </x:is>
      </x:c>
      <x:c r="G759" s="5" t="inlineStr">
        <x:is>
          <x:t xml:space="preserve">北京市-北京市</x:t>
        </x:is>
      </x:c>
      <x:c r="H759" s="4" t="inlineStr">
        <x:is>
          <x:t xml:space="preserve">房地产</x:t>
        </x:is>
      </x:c>
      <x:c r="I759" s="4" t="inlineStr">
        <x:is>
          <x:t xml:space="preserve">2001-03-12</x:t>
        </x:is>
      </x:c>
      <x:c r="J759" s="5" t="inlineStr">
        <x:is>
          <x:t xml:space="preserve">北京市东城区安定门外大街189号天鸿宝景大厦一层103B</x:t>
        </x:is>
      </x:c>
      <x:c r="K759" s="12" t="str">
        <x:f>LEFT("91110000101309074C",18)</x:f>
        <x:v>91110000101309074C</x:v>
      </x:c>
    </x:row>
    <x:row r="760">
      <x:c r="A760" s="2" t="n">
        <x:v>759</x:v>
      </x:c>
      <x:c r="B760" s="2" t="inlineStr">
        <x:is>
          <x:t xml:space="preserve">600386</x:t>
        </x:is>
      </x:c>
      <x:c r="C760" s="3" t="inlineStr">
        <x:is>
          <x:t xml:space="preserve">北巴传媒</x:t>
        </x:is>
      </x:c>
      <x:c r="D760" s="3" t="inlineStr">
        <x:is>
          <x:t xml:space="preserve">北京巴士传媒股份有限公司</x:t>
        </x:is>
      </x:c>
      <x:c r="E760" s="2" t="inlineStr">
        <x:is>
          <x:t xml:space="preserve">北京市</x:t>
        </x:is>
      </x:c>
      <x:c r="F760" s="2" t="inlineStr">
        <x:is>
          <x:t xml:space="preserve">北京市</x:t>
        </x:is>
      </x:c>
      <x:c r="G760" s="3" t="inlineStr">
        <x:is>
          <x:t xml:space="preserve">北京市-北京市</x:t>
        </x:is>
      </x:c>
      <x:c r="H760" s="2" t="inlineStr">
        <x:is>
          <x:t xml:space="preserve">汽车服务</x:t>
        </x:is>
      </x:c>
      <x:c r="I760" s="2" t="inlineStr">
        <x:is>
          <x:t xml:space="preserve">2001-02-16</x:t>
        </x:is>
      </x:c>
      <x:c r="J760" s="3" t="inlineStr">
        <x:is>
          <x:t xml:space="preserve">北京市海淀区紫竹院路32号</x:t>
        </x:is>
      </x:c>
      <x:c r="K760" s="12" t="str">
        <x:f>LEFT("9111000070022577XF",18)</x:f>
        <x:v>9111000070022577XF</x:v>
      </x:c>
    </x:row>
    <x:row r="761">
      <x:c r="A761" s="4" t="n">
        <x:v>760</x:v>
      </x:c>
      <x:c r="B761" s="4" t="inlineStr">
        <x:is>
          <x:t xml:space="preserve">600405</x:t>
        </x:is>
      </x:c>
      <x:c r="C761" s="5" t="inlineStr">
        <x:is>
          <x:t xml:space="preserve">动力源</x:t>
        </x:is>
      </x:c>
      <x:c r="D761" s="5" t="inlineStr">
        <x:is>
          <x:t xml:space="preserve">北京动力源科技股份有限公司</x:t>
        </x:is>
      </x:c>
      <x:c r="E761" s="4" t="inlineStr">
        <x:is>
          <x:t xml:space="preserve">北京市</x:t>
        </x:is>
      </x:c>
      <x:c r="F761" s="4" t="inlineStr">
        <x:is>
          <x:t xml:space="preserve">北京市</x:t>
        </x:is>
      </x:c>
      <x:c r="G761" s="5" t="inlineStr">
        <x:is>
          <x:t xml:space="preserve">北京市-北京市</x:t>
        </x:is>
      </x:c>
      <x:c r="H761" s="4" t="inlineStr">
        <x:is>
          <x:t xml:space="preserve">电源设备</x:t>
        </x:is>
      </x:c>
      <x:c r="I761" s="4" t="inlineStr">
        <x:is>
          <x:t xml:space="preserve">2004-04-01</x:t>
        </x:is>
      </x:c>
      <x:c r="J761" s="5" t="inlineStr">
        <x:is>
          <x:t xml:space="preserve">北京市丰台区科技园区星火路8号</x:t>
        </x:is>
      </x:c>
      <x:c r="K761" s="12" t="str">
        <x:f>LEFT("911100001021218238",18)</x:f>
        <x:v>911100001021218200</x:v>
      </x:c>
    </x:row>
    <x:row r="762">
      <x:c r="A762" s="2" t="n">
        <x:v>761</x:v>
      </x:c>
      <x:c r="B762" s="2" t="inlineStr">
        <x:is>
          <x:t xml:space="preserve">600410</x:t>
        </x:is>
      </x:c>
      <x:c r="C762" s="3" t="inlineStr">
        <x:is>
          <x:t xml:space="preserve">华胜天成</x:t>
        </x:is>
      </x:c>
      <x:c r="D762" s="3" t="inlineStr">
        <x:is>
          <x:t xml:space="preserve">北京华胜天成科技股份有限公司</x:t>
        </x:is>
      </x:c>
      <x:c r="E762" s="2" t="inlineStr">
        <x:is>
          <x:t xml:space="preserve">北京市</x:t>
        </x:is>
      </x:c>
      <x:c r="F762" s="2" t="inlineStr">
        <x:is>
          <x:t xml:space="preserve">北京市</x:t>
        </x:is>
      </x:c>
      <x:c r="G762" s="3" t="inlineStr">
        <x:is>
          <x:t xml:space="preserve">北京市-北京市</x:t>
        </x:is>
      </x:c>
      <x:c r="H762" s="2" t="inlineStr">
        <x:is>
          <x:t xml:space="preserve">互联网服务</x:t>
        </x:is>
      </x:c>
      <x:c r="I762" s="2" t="inlineStr">
        <x:is>
          <x:t xml:space="preserve">2004-04-27</x:t>
        </x:is>
      </x:c>
      <x:c r="J762" s="3" t="inlineStr">
        <x:is>
          <x:t xml:space="preserve">北京市海淀区西北旺东路10号院东区23号楼5层501</x:t>
        </x:is>
      </x:c>
      <x:c r="K762" s="12" t="str">
        <x:f>LEFT("91110000633713190R",18)</x:f>
        <x:v>91110000633713190R</x:v>
      </x:c>
    </x:row>
    <x:row r="763">
      <x:c r="A763" s="4" t="n">
        <x:v>762</x:v>
      </x:c>
      <x:c r="B763" s="4" t="inlineStr">
        <x:is>
          <x:t xml:space="preserve">600429</x:t>
        </x:is>
      </x:c>
      <x:c r="C763" s="5" t="inlineStr">
        <x:is>
          <x:t xml:space="preserve">三元股份</x:t>
        </x:is>
      </x:c>
      <x:c r="D763" s="5" t="inlineStr">
        <x:is>
          <x:t xml:space="preserve">北京三元食品股份有限公司</x:t>
        </x:is>
      </x:c>
      <x:c r="E763" s="4" t="inlineStr">
        <x:is>
          <x:t xml:space="preserve">北京市</x:t>
        </x:is>
      </x:c>
      <x:c r="F763" s="4" t="inlineStr">
        <x:is>
          <x:t xml:space="preserve">北京市</x:t>
        </x:is>
      </x:c>
      <x:c r="G763" s="5" t="inlineStr">
        <x:is>
          <x:t xml:space="preserve">北京市-北京市</x:t>
        </x:is>
      </x:c>
      <x:c r="H763" s="4" t="inlineStr">
        <x:is>
          <x:t xml:space="preserve">食品饮料</x:t>
        </x:is>
      </x:c>
      <x:c r="I763" s="4" t="inlineStr">
        <x:is>
          <x:t xml:space="preserve">2003-09-15</x:t>
        </x:is>
      </x:c>
      <x:c r="J763" s="5" t="inlineStr">
        <x:is>
          <x:t xml:space="preserve">北京市大兴区瀛海瀛昌街8号</x:t>
        </x:is>
      </x:c>
      <x:c r="K763" s="12" t="str">
        <x:f>LEFT("91110000600062547M",18)</x:f>
        <x:v>91110000600062547M</x:v>
      </x:c>
    </x:row>
    <x:row r="764">
      <x:c r="A764" s="2" t="n">
        <x:v>763</x:v>
      </x:c>
      <x:c r="B764" s="2" t="inlineStr">
        <x:is>
          <x:t xml:space="preserve">600435</x:t>
        </x:is>
      </x:c>
      <x:c r="C764" s="3" t="inlineStr">
        <x:is>
          <x:t xml:space="preserve">北方导航</x:t>
        </x:is>
      </x:c>
      <x:c r="D764" s="3" t="inlineStr">
        <x:is>
          <x:t xml:space="preserve">北方导航控制技术股份有限公司</x:t>
        </x:is>
      </x:c>
      <x:c r="E764" s="2" t="inlineStr">
        <x:is>
          <x:t xml:space="preserve">北京市</x:t>
        </x:is>
      </x:c>
      <x:c r="F764" s="2" t="inlineStr">
        <x:is>
          <x:t xml:space="preserve">北京市</x:t>
        </x:is>
      </x:c>
      <x:c r="G764" s="3" t="inlineStr">
        <x:is>
          <x:t xml:space="preserve">北京市-北京市</x:t>
        </x:is>
      </x:c>
      <x:c r="H764" s="2" t="inlineStr">
        <x:is>
          <x:t xml:space="preserve">通信设备</x:t>
        </x:is>
      </x:c>
      <x:c r="I764" s="2" t="inlineStr">
        <x:is>
          <x:t xml:space="preserve">2003-07-04</x:t>
        </x:is>
      </x:c>
      <x:c r="J764" s="3" t="inlineStr">
        <x:is>
          <x:t xml:space="preserve">北京市北京经济技术开发区科创十五街2号</x:t>
        </x:is>
      </x:c>
      <x:c r="K764" s="12" t="str">
        <x:f>LEFT("911100007226144851",18)</x:f>
        <x:v>911100007226144900</x:v>
      </x:c>
    </x:row>
    <x:row r="765">
      <x:c r="A765" s="4" t="n">
        <x:v>764</x:v>
      </x:c>
      <x:c r="B765" s="4" t="inlineStr">
        <x:is>
          <x:t xml:space="preserve">600463</x:t>
        </x:is>
      </x:c>
      <x:c r="C765" s="5" t="inlineStr">
        <x:is>
          <x:t xml:space="preserve">空港股份</x:t>
        </x:is>
      </x:c>
      <x:c r="D765" s="5" t="inlineStr">
        <x:is>
          <x:t xml:space="preserve">北京空港科技园区股份有限公司</x:t>
        </x:is>
      </x:c>
      <x:c r="E765" s="4" t="inlineStr">
        <x:is>
          <x:t xml:space="preserve">北京市</x:t>
        </x:is>
      </x:c>
      <x:c r="F765" s="4" t="inlineStr">
        <x:is>
          <x:t xml:space="preserve">北京市</x:t>
        </x:is>
      </x:c>
      <x:c r="G765" s="5" t="inlineStr">
        <x:is>
          <x:t xml:space="preserve">北京市-北京市</x:t>
        </x:is>
      </x:c>
      <x:c r="H765" s="4" t="inlineStr">
        <x:is>
          <x:t xml:space="preserve">房地产</x:t>
        </x:is>
      </x:c>
      <x:c r="I765" s="4" t="inlineStr">
        <x:is>
          <x:t xml:space="preserve">2004-03-18</x:t>
        </x:is>
      </x:c>
      <x:c r="J765" s="5" t="inlineStr">
        <x:is>
          <x:t xml:space="preserve">北京市顺义区空港工业区A区</x:t>
        </x:is>
      </x:c>
      <x:c r="K765" s="12" t="str">
        <x:f>LEFT("9111000072260157XJ",18)</x:f>
        <x:v>9111000072260157XJ</x:v>
      </x:c>
    </x:row>
    <x:row r="766">
      <x:c r="A766" s="2" t="n">
        <x:v>765</x:v>
      </x:c>
      <x:c r="B766" s="2" t="inlineStr">
        <x:is>
          <x:t xml:space="preserve">600489</x:t>
        </x:is>
      </x:c>
      <x:c r="C766" s="3" t="inlineStr">
        <x:is>
          <x:t xml:space="preserve">中金黄金</x:t>
        </x:is>
      </x:c>
      <x:c r="D766" s="3" t="inlineStr">
        <x:is>
          <x:t xml:space="preserve">中金黄金股份有限公司</x:t>
        </x:is>
      </x:c>
      <x:c r="E766" s="2" t="inlineStr">
        <x:is>
          <x:t xml:space="preserve">北京市</x:t>
        </x:is>
      </x:c>
      <x:c r="F766" s="2" t="inlineStr">
        <x:is>
          <x:t xml:space="preserve">北京市</x:t>
        </x:is>
      </x:c>
      <x:c r="G766" s="3" t="inlineStr">
        <x:is>
          <x:t xml:space="preserve">北京市-北京市</x:t>
        </x:is>
      </x:c>
      <x:c r="H766" s="2" t="inlineStr">
        <x:is>
          <x:t xml:space="preserve">贵金属</x:t>
        </x:is>
      </x:c>
      <x:c r="I766" s="2" t="inlineStr">
        <x:is>
          <x:t xml:space="preserve">2003-08-14</x:t>
        </x:is>
      </x:c>
      <x:c r="J766" s="3" t="inlineStr">
        <x:is>
          <x:t xml:space="preserve">北京市东城区柳荫公园南街1号5-7层</x:t>
        </x:is>
      </x:c>
      <x:c r="K766" s="12" t="str">
        <x:f>LEFT("911100007229830372",18)</x:f>
        <x:v>911100007229830400</x:v>
      </x:c>
    </x:row>
    <x:row r="767">
      <x:c r="A767" s="4" t="n">
        <x:v>766</x:v>
      </x:c>
      <x:c r="B767" s="4" t="inlineStr">
        <x:is>
          <x:t xml:space="preserve">600511</x:t>
        </x:is>
      </x:c>
      <x:c r="C767" s="5" t="inlineStr">
        <x:is>
          <x:t xml:space="preserve">国药股份</x:t>
        </x:is>
      </x:c>
      <x:c r="D767" s="5" t="inlineStr">
        <x:is>
          <x:t xml:space="preserve">国药集团药业股份有限公司</x:t>
        </x:is>
      </x:c>
      <x:c r="E767" s="4" t="inlineStr">
        <x:is>
          <x:t xml:space="preserve">北京市</x:t>
        </x:is>
      </x:c>
      <x:c r="F767" s="4" t="inlineStr">
        <x:is>
          <x:t xml:space="preserve">北京市</x:t>
        </x:is>
      </x:c>
      <x:c r="G767" s="5" t="inlineStr">
        <x:is>
          <x:t xml:space="preserve">北京市-北京市</x:t>
        </x:is>
      </x:c>
      <x:c r="H767" s="4" t="inlineStr">
        <x:is>
          <x:t xml:space="preserve">医药商业</x:t>
        </x:is>
      </x:c>
      <x:c r="I767" s="4" t="inlineStr">
        <x:is>
          <x:t xml:space="preserve">2002-11-27</x:t>
        </x:is>
      </x:c>
      <x:c r="J767" s="5" t="inlineStr">
        <x:is>
          <x:t xml:space="preserve">北京市东城区永定门西滨河路8号院7楼西塔6-9层</x:t>
        </x:is>
      </x:c>
      <x:c r="K767" s="12" t="str">
        <x:f>LEFT("91110000710925737B",18)</x:f>
        <x:v>91110000710925737B</x:v>
      </x:c>
    </x:row>
    <x:row r="768">
      <x:c r="A768" s="2" t="n">
        <x:v>767</x:v>
      </x:c>
      <x:c r="B768" s="2" t="inlineStr">
        <x:is>
          <x:t xml:space="preserve">600528</x:t>
        </x:is>
      </x:c>
      <x:c r="C768" s="3" t="inlineStr">
        <x:is>
          <x:t xml:space="preserve">中铁工业</x:t>
        </x:is>
      </x:c>
      <x:c r="D768" s="3" t="inlineStr">
        <x:is>
          <x:t xml:space="preserve">中铁高新工业股份有限公司</x:t>
        </x:is>
      </x:c>
      <x:c r="E768" s="2" t="inlineStr">
        <x:is>
          <x:t xml:space="preserve">北京市</x:t>
        </x:is>
      </x:c>
      <x:c r="F768" s="2" t="inlineStr">
        <x:is>
          <x:t xml:space="preserve">北京市</x:t>
        </x:is>
      </x:c>
      <x:c r="G768" s="3" t="inlineStr">
        <x:is>
          <x:t xml:space="preserve">北京市-北京市</x:t>
        </x:is>
      </x:c>
      <x:c r="H768" s="2" t="inlineStr">
        <x:is>
          <x:t xml:space="preserve">交运设备</x:t>
        </x:is>
      </x:c>
      <x:c r="I768" s="2" t="inlineStr">
        <x:is>
          <x:t xml:space="preserve">2001-05-28</x:t>
        </x:is>
      </x:c>
      <x:c r="J768" s="3" t="inlineStr">
        <x:is>
          <x:t xml:space="preserve">北京市丰台区汽车博物馆西路10号院5号楼1至9层101内7层707</x:t>
        </x:is>
      </x:c>
      <x:c r="K768" s="12" t="str">
        <x:f>LEFT("91510100720312205T",18)</x:f>
        <x:v>91510100720312205T</x:v>
      </x:c>
    </x:row>
    <x:row r="769">
      <x:c r="A769" s="4" t="n">
        <x:v>768</x:v>
      </x:c>
      <x:c r="B769" s="4" t="inlineStr">
        <x:is>
          <x:t xml:space="preserve">600536</x:t>
        </x:is>
      </x:c>
      <x:c r="C769" s="5" t="inlineStr">
        <x:is>
          <x:t xml:space="preserve">中国软件</x:t>
        </x:is>
      </x:c>
      <x:c r="D769" s="5" t="inlineStr">
        <x:is>
          <x:t xml:space="preserve">中国软件与技术服务股份有限公司</x:t>
        </x:is>
      </x:c>
      <x:c r="E769" s="4" t="inlineStr">
        <x:is>
          <x:t xml:space="preserve">北京市</x:t>
        </x:is>
      </x:c>
      <x:c r="F769" s="4" t="inlineStr">
        <x:is>
          <x:t xml:space="preserve">北京市</x:t>
        </x:is>
      </x:c>
      <x:c r="G769" s="5" t="inlineStr">
        <x:is>
          <x:t xml:space="preserve">北京市-北京市</x:t>
        </x:is>
      </x:c>
      <x:c r="H769" s="4" t="inlineStr">
        <x:is>
          <x:t xml:space="preserve">软件开发</x:t>
        </x:is>
      </x:c>
      <x:c r="I769" s="4" t="inlineStr">
        <x:is>
          <x:t xml:space="preserve">2002-05-17</x:t>
        </x:is>
      </x:c>
      <x:c r="J769" s="5" t="inlineStr">
        <x:is>
          <x:t xml:space="preserve">北京市昌平区昌盛路18号</x:t>
        </x:is>
      </x:c>
      <x:c r="K769" s="12" t="str">
        <x:f>LEFT("91110000102043722T",18)</x:f>
        <x:v>91110000102043722T</x:v>
      </x:c>
    </x:row>
    <x:row r="770">
      <x:c r="A770" s="2" t="n">
        <x:v>769</x:v>
      </x:c>
      <x:c r="B770" s="2" t="inlineStr">
        <x:is>
          <x:t xml:space="preserve">600560</x:t>
        </x:is>
      </x:c>
      <x:c r="C770" s="3" t="inlineStr">
        <x:is>
          <x:t xml:space="preserve">金自天正</x:t>
        </x:is>
      </x:c>
      <x:c r="D770" s="3" t="inlineStr">
        <x:is>
          <x:t xml:space="preserve">北京金自天正智能控制股份有限公司</x:t>
        </x:is>
      </x:c>
      <x:c r="E770" s="2" t="inlineStr">
        <x:is>
          <x:t xml:space="preserve">北京市</x:t>
        </x:is>
      </x:c>
      <x:c r="F770" s="2" t="inlineStr">
        <x:is>
          <x:t xml:space="preserve">北京市</x:t>
        </x:is>
      </x:c>
      <x:c r="G770" s="3" t="inlineStr">
        <x:is>
          <x:t xml:space="preserve">北京市-北京市</x:t>
        </x:is>
      </x:c>
      <x:c r="H770" s="2" t="inlineStr">
        <x:is>
          <x:t xml:space="preserve">专用设备</x:t>
        </x:is>
      </x:c>
      <x:c r="I770" s="2" t="inlineStr">
        <x:is>
          <x:t xml:space="preserve">2002-09-19</x:t>
        </x:is>
      </x:c>
      <x:c r="J770" s="3" t="inlineStr">
        <x:is>
          <x:t xml:space="preserve">北京市丰台区科学城富丰路6号</x:t>
        </x:is>
      </x:c>
      <x:c r="K770" s="12" t="str">
        <x:f>LEFT("9111000070024070XK",18)</x:f>
        <x:v>9111000070024070XK</x:v>
      </x:c>
    </x:row>
    <x:row r="771">
      <x:c r="A771" s="4" t="n">
        <x:v>770</x:v>
      </x:c>
      <x:c r="B771" s="4" t="inlineStr">
        <x:is>
          <x:t xml:space="preserve">600578</x:t>
        </x:is>
      </x:c>
      <x:c r="C771" s="5" t="inlineStr">
        <x:is>
          <x:t xml:space="preserve">京能电力</x:t>
        </x:is>
      </x:c>
      <x:c r="D771" s="5" t="inlineStr">
        <x:is>
          <x:t xml:space="preserve">北京京能电力股份有限公司</x:t>
        </x:is>
      </x:c>
      <x:c r="E771" s="4" t="inlineStr">
        <x:is>
          <x:t xml:space="preserve">北京市</x:t>
        </x:is>
      </x:c>
      <x:c r="F771" s="4" t="inlineStr">
        <x:is>
          <x:t xml:space="preserve">北京市</x:t>
        </x:is>
      </x:c>
      <x:c r="G771" s="5" t="inlineStr">
        <x:is>
          <x:t xml:space="preserve">北京市-北京市</x:t>
        </x:is>
      </x:c>
      <x:c r="H771" s="4" t="inlineStr">
        <x:is>
          <x:t xml:space="preserve">电力行业</x:t>
        </x:is>
      </x:c>
      <x:c r="I771" s="4" t="inlineStr">
        <x:is>
          <x:t xml:space="preserve">2002-05-10</x:t>
        </x:is>
      </x:c>
      <x:c r="J771" s="5" t="inlineStr">
        <x:is>
          <x:t xml:space="preserve">北京市石景山区广宁路10号</x:t>
        </x:is>
      </x:c>
      <x:c r="K771" s="12" t="str">
        <x:f>LEFT("91110000722601879M",18)</x:f>
        <x:v>91110000722601879M</x:v>
      </x:c>
    </x:row>
    <x:row r="772">
      <x:c r="A772" s="2" t="n">
        <x:v>771</x:v>
      </x:c>
      <x:c r="B772" s="2" t="inlineStr">
        <x:is>
          <x:t xml:space="preserve">600582</x:t>
        </x:is>
      </x:c>
      <x:c r="C772" s="3" t="inlineStr">
        <x:is>
          <x:t xml:space="preserve">天地科技</x:t>
        </x:is>
      </x:c>
      <x:c r="D772" s="3" t="inlineStr">
        <x:is>
          <x:t xml:space="preserve">天地科技股份有限公司</x:t>
        </x:is>
      </x:c>
      <x:c r="E772" s="2" t="inlineStr">
        <x:is>
          <x:t xml:space="preserve">北京市</x:t>
        </x:is>
      </x:c>
      <x:c r="F772" s="2" t="inlineStr">
        <x:is>
          <x:t xml:space="preserve">北京市</x:t>
        </x:is>
      </x:c>
      <x:c r="G772" s="3" t="inlineStr">
        <x:is>
          <x:t xml:space="preserve">北京市-北京市</x:t>
        </x:is>
      </x:c>
      <x:c r="H772" s="2" t="inlineStr">
        <x:is>
          <x:t xml:space="preserve">专用设备</x:t>
        </x:is>
      </x:c>
      <x:c r="I772" s="2" t="inlineStr">
        <x:is>
          <x:t xml:space="preserve">2002-05-15</x:t>
        </x:is>
      </x:c>
      <x:c r="J772" s="3" t="inlineStr">
        <x:is>
          <x:t xml:space="preserve">北京市朝阳区和平街青年沟路5号</x:t>
        </x:is>
      </x:c>
      <x:c r="K772" s="12" t="str">
        <x:f>LEFT("911100007109261826",18)</x:f>
        <x:v>911100007109261800</x:v>
      </x:c>
    </x:row>
    <x:row r="773">
      <x:c r="A773" s="4" t="n">
        <x:v>772</x:v>
      </x:c>
      <x:c r="B773" s="4" t="inlineStr">
        <x:is>
          <x:t xml:space="preserve">600588</x:t>
        </x:is>
      </x:c>
      <x:c r="C773" s="5" t="inlineStr">
        <x:is>
          <x:t xml:space="preserve">用友网络</x:t>
        </x:is>
      </x:c>
      <x:c r="D773" s="5" t="inlineStr">
        <x:is>
          <x:t xml:space="preserve">用友网络科技股份有限公司</x:t>
        </x:is>
      </x:c>
      <x:c r="E773" s="4" t="inlineStr">
        <x:is>
          <x:t xml:space="preserve">北京市</x:t>
        </x:is>
      </x:c>
      <x:c r="F773" s="4" t="inlineStr">
        <x:is>
          <x:t xml:space="preserve">北京市</x:t>
        </x:is>
      </x:c>
      <x:c r="G773" s="5" t="inlineStr">
        <x:is>
          <x:t xml:space="preserve">北京市-北京市</x:t>
        </x:is>
      </x:c>
      <x:c r="H773" s="4" t="inlineStr">
        <x:is>
          <x:t xml:space="preserve">软件服务</x:t>
        </x:is>
      </x:c>
      <x:c r="I773" s="4" t="inlineStr">
        <x:is>
          <x:t xml:space="preserve">2001-05-18</x:t>
        </x:is>
      </x:c>
      <x:c r="J773" s="5" t="inlineStr">
        <x:is>
          <x:t xml:space="preserve">北京市海淀区北清路68号</x:t>
        </x:is>
      </x:c>
      <x:c r="K773" s="12" t="str">
        <x:f>LEFT("91110000600001760P",18)</x:f>
        <x:v>91110000600001760P</x:v>
      </x:c>
    </x:row>
    <x:row r="774">
      <x:c r="A774" s="2" t="n">
        <x:v>773</x:v>
      </x:c>
      <x:c r="B774" s="2" t="inlineStr">
        <x:is>
          <x:t xml:space="preserve">600657</x:t>
        </x:is>
      </x:c>
      <x:c r="C774" s="3" t="inlineStr">
        <x:is>
          <x:t xml:space="preserve">信达地产</x:t>
        </x:is>
      </x:c>
      <x:c r="D774" s="3" t="inlineStr">
        <x:is>
          <x:t xml:space="preserve">信达地产股份有限公司</x:t>
        </x:is>
      </x:c>
      <x:c r="E774" s="2" t="inlineStr">
        <x:is>
          <x:t xml:space="preserve">北京市</x:t>
        </x:is>
      </x:c>
      <x:c r="F774" s="2" t="inlineStr">
        <x:is>
          <x:t xml:space="preserve">北京市</x:t>
        </x:is>
      </x:c>
      <x:c r="G774" s="3" t="inlineStr">
        <x:is>
          <x:t xml:space="preserve">北京市-北京市</x:t>
        </x:is>
      </x:c>
      <x:c r="H774" s="2" t="inlineStr">
        <x:is>
          <x:t xml:space="preserve">房地产</x:t>
        </x:is>
      </x:c>
      <x:c r="I774" s="2" t="inlineStr">
        <x:is>
          <x:t xml:space="preserve">1993-05-24</x:t>
        </x:is>
      </x:c>
      <x:c r="J774" s="3" t="inlineStr">
        <x:is>
          <x:t xml:space="preserve">北京市东城区永内大街1号</x:t>
        </x:is>
      </x:c>
      <x:c r="K774" s="12" t="str">
        <x:f>LEFT("911100001015301828",18)</x:f>
        <x:v>911100001015301900</x:v>
      </x:c>
    </x:row>
    <x:row r="775">
      <x:c r="A775" s="4" t="n">
        <x:v>774</x:v>
      </x:c>
      <x:c r="B775" s="4" t="inlineStr">
        <x:is>
          <x:t xml:space="preserve">600658</x:t>
        </x:is>
      </x:c>
      <x:c r="C775" s="5" t="inlineStr">
        <x:is>
          <x:t xml:space="preserve">电子城</x:t>
        </x:is>
      </x:c>
      <x:c r="D775" s="5" t="inlineStr">
        <x:is>
          <x:t xml:space="preserve">北京电子城高科技集团股份有限公司</x:t>
        </x:is>
      </x:c>
      <x:c r="E775" s="4" t="inlineStr">
        <x:is>
          <x:t xml:space="preserve">北京市</x:t>
        </x:is>
      </x:c>
      <x:c r="F775" s="4" t="inlineStr">
        <x:is>
          <x:t xml:space="preserve">北京市</x:t>
        </x:is>
      </x:c>
      <x:c r="G775" s="5" t="inlineStr">
        <x:is>
          <x:t xml:space="preserve">北京市-北京市</x:t>
        </x:is>
      </x:c>
      <x:c r="H775" s="4" t="inlineStr">
        <x:is>
          <x:t xml:space="preserve">房地产服务</x:t>
        </x:is>
      </x:c>
      <x:c r="I775" s="4" t="inlineStr">
        <x:is>
          <x:t xml:space="preserve">1993-05-24</x:t>
        </x:is>
      </x:c>
      <x:c r="J775" s="5" t="inlineStr">
        <x:is>
          <x:t xml:space="preserve">北京市朝阳区酒仙桥路6号院5号楼15层1508室</x:t>
        </x:is>
      </x:c>
      <x:c r="K775" s="12" t="str">
        <x:f>LEFT("91110000101514043Y",18)</x:f>
        <x:v>91110000101514043Y</x:v>
      </x:c>
    </x:row>
    <x:row r="776">
      <x:c r="A776" s="2" t="n">
        <x:v>775</x:v>
      </x:c>
      <x:c r="B776" s="2" t="inlineStr">
        <x:is>
          <x:t xml:space="preserve">600715</x:t>
        </x:is>
      </x:c>
      <x:c r="C776" s="3" t="inlineStr">
        <x:is>
          <x:t xml:space="preserve">*ST文投</x:t>
        </x:is>
      </x:c>
      <x:c r="D776" s="3" t="inlineStr">
        <x:is>
          <x:t xml:space="preserve">文投控股股份有限公司</x:t>
        </x:is>
      </x:c>
      <x:c r="E776" s="2" t="inlineStr">
        <x:is>
          <x:t xml:space="preserve">北京市</x:t>
        </x:is>
      </x:c>
      <x:c r="F776" s="2" t="inlineStr">
        <x:is>
          <x:t xml:space="preserve">北京市</x:t>
        </x:is>
      </x:c>
      <x:c r="G776" s="3" t="inlineStr">
        <x:is>
          <x:t xml:space="preserve">北京市-北京市</x:t>
        </x:is>
      </x:c>
      <x:c r="H776" s="2" t="inlineStr">
        <x:is>
          <x:t xml:space="preserve">游戏</x:t>
        </x:is>
      </x:c>
      <x:c r="I776" s="2" t="inlineStr">
        <x:is>
          <x:t xml:space="preserve">1996-07-01</x:t>
        </x:is>
      </x:c>
      <x:c r="J776" s="3" t="inlineStr">
        <x:is>
          <x:t xml:space="preserve">北京市朝阳区东四环窑洼湖桥东侧东进国际中心D座4层D401室</x:t>
        </x:is>
      </x:c>
      <x:c r="K776" s="12" t="str">
        <x:f>LEFT("9121010024338220X5",18)</x:f>
        <x:v>9121010024338220X5</x:v>
      </x:c>
    </x:row>
    <x:row r="777">
      <x:c r="A777" s="4" t="n">
        <x:v>776</x:v>
      </x:c>
      <x:c r="B777" s="4" t="inlineStr">
        <x:is>
          <x:t xml:space="preserve">600730</x:t>
        </x:is>
      </x:c>
      <x:c r="C777" s="5" t="inlineStr">
        <x:is>
          <x:t xml:space="preserve">中国高科</x:t>
        </x:is>
      </x:c>
      <x:c r="D777" s="5" t="inlineStr">
        <x:is>
          <x:t xml:space="preserve">中国高科集团股份有限公司</x:t>
        </x:is>
      </x:c>
      <x:c r="E777" s="4" t="inlineStr">
        <x:is>
          <x:t xml:space="preserve">北京市</x:t>
        </x:is>
      </x:c>
      <x:c r="F777" s="4" t="inlineStr">
        <x:is>
          <x:t xml:space="preserve">北京市</x:t>
        </x:is>
      </x:c>
      <x:c r="G777" s="5" t="inlineStr">
        <x:is>
          <x:t xml:space="preserve">北京市-北京市</x:t>
        </x:is>
      </x:c>
      <x:c r="H777" s="4" t="inlineStr">
        <x:is>
          <x:t xml:space="preserve">文教休闲</x:t>
        </x:is>
      </x:c>
      <x:c r="I777" s="4" t="inlineStr">
        <x:is>
          <x:t xml:space="preserve">1996-07-26</x:t>
        </x:is>
      </x:c>
      <x:c r="J777" s="5" t="inlineStr">
        <x:is>
          <x:t xml:space="preserve">北京市顺义区李遂镇龙泰路1-118号</x:t>
        </x:is>
      </x:c>
      <x:c r="K777" s="12" t="str">
        <x:f>LEFT("91110000132210333N",18)</x:f>
        <x:v>91110000132210333N</x:v>
      </x:c>
    </x:row>
    <x:row r="778">
      <x:c r="A778" s="2" t="n">
        <x:v>777</x:v>
      </x:c>
      <x:c r="B778" s="2" t="inlineStr">
        <x:is>
          <x:t xml:space="preserve">600733</x:t>
        </x:is>
      </x:c>
      <x:c r="C778" s="3" t="inlineStr">
        <x:is>
          <x:t xml:space="preserve">北汽蓝谷</x:t>
        </x:is>
      </x:c>
      <x:c r="D778" s="3" t="inlineStr">
        <x:is>
          <x:t xml:space="preserve">北汽蓝谷新能源科技股份有限公司</x:t>
        </x:is>
      </x:c>
      <x:c r="E778" s="2" t="inlineStr">
        <x:is>
          <x:t xml:space="preserve">北京市</x:t>
        </x:is>
      </x:c>
      <x:c r="F778" s="2" t="inlineStr">
        <x:is>
          <x:t xml:space="preserve">北京市</x:t>
        </x:is>
      </x:c>
      <x:c r="G778" s="3" t="inlineStr">
        <x:is>
          <x:t xml:space="preserve">北京市-北京市</x:t>
        </x:is>
      </x:c>
      <x:c r="H778" s="2" t="inlineStr">
        <x:is>
          <x:t xml:space="preserve">汽车整车</x:t>
        </x:is>
      </x:c>
      <x:c r="I778" s="2" t="inlineStr">
        <x:is>
          <x:t xml:space="preserve">1996-08-16</x:t>
        </x:is>
      </x:c>
      <x:c r="J778" s="3" t="inlineStr">
        <x:is>
          <x:t xml:space="preserve">北京市北京经济技术开发区东环中路5号12幢</x:t>
        </x:is>
      </x:c>
      <x:c r="K778" s="12" t="str">
        <x:f>LEFT("915101002019727706",18)</x:f>
        <x:v>915101002019727700</x:v>
      </x:c>
    </x:row>
    <x:row r="779">
      <x:c r="A779" s="4" t="n">
        <x:v>778</x:v>
      </x:c>
      <x:c r="B779" s="4" t="inlineStr">
        <x:is>
          <x:t xml:space="preserve">600743</x:t>
        </x:is>
      </x:c>
      <x:c r="C779" s="5" t="inlineStr">
        <x:is>
          <x:t xml:space="preserve">华远控股</x:t>
        </x:is>
      </x:c>
      <x:c r="D779" s="5" t="inlineStr">
        <x:is>
          <x:t xml:space="preserve">北京华远新航控股股份有限公司</x:t>
        </x:is>
      </x:c>
      <x:c r="E779" s="4" t="inlineStr">
        <x:is>
          <x:t xml:space="preserve">北京市</x:t>
        </x:is>
      </x:c>
      <x:c r="F779" s="4" t="inlineStr">
        <x:is>
          <x:t xml:space="preserve">北京市</x:t>
        </x:is>
      </x:c>
      <x:c r="G779" s="5" t="inlineStr">
        <x:is>
          <x:t xml:space="preserve">北京市-北京市</x:t>
        </x:is>
      </x:c>
      <x:c r="H779" s="4" t="inlineStr">
        <x:is>
          <x:t xml:space="preserve">房地产服务</x:t>
        </x:is>
      </x:c>
      <x:c r="I779" s="4" t="inlineStr">
        <x:is>
          <x:t xml:space="preserve">1996-09-09</x:t>
        </x:is>
      </x:c>
      <x:c r="J779" s="5" t="inlineStr">
        <x:is>
          <x:t xml:space="preserve">北京市西城区西直门外大街南路28号3层307</x:t>
        </x:is>
      </x:c>
      <x:c r="K779" s="12" t="str">
        <x:f>LEFT("911100001836721320",18)</x:f>
        <x:v>911100001836721300</x:v>
      </x:c>
    </x:row>
    <x:row r="780">
      <x:c r="A780" s="2" t="n">
        <x:v>779</x:v>
      </x:c>
      <x:c r="B780" s="2" t="inlineStr">
        <x:is>
          <x:t xml:space="preserve">600764</x:t>
        </x:is>
      </x:c>
      <x:c r="C780" s="3" t="inlineStr">
        <x:is>
          <x:t xml:space="preserve">中国海防</x:t>
        </x:is>
      </x:c>
      <x:c r="D780" s="3" t="inlineStr">
        <x:is>
          <x:t xml:space="preserve">中国船舶重工集团海洋防务与信息对抗股份有限公司</x:t>
        </x:is>
      </x:c>
      <x:c r="E780" s="2" t="inlineStr">
        <x:is>
          <x:t xml:space="preserve">北京市</x:t>
        </x:is>
      </x:c>
      <x:c r="F780" s="2" t="inlineStr">
        <x:is>
          <x:t xml:space="preserve">北京市</x:t>
        </x:is>
      </x:c>
      <x:c r="G780" s="3" t="inlineStr">
        <x:is>
          <x:t xml:space="preserve">北京市-北京市</x:t>
        </x:is>
      </x:c>
      <x:c r="H780" s="2" t="inlineStr">
        <x:is>
          <x:t xml:space="preserve">计算机设备</x:t>
        </x:is>
      </x:c>
      <x:c r="I780" s="2" t="inlineStr">
        <x:is>
          <x:t xml:space="preserve">1996-11-04</x:t>
        </x:is>
      </x:c>
      <x:c r="J780" s="3" t="inlineStr">
        <x:is>
          <x:t xml:space="preserve">北京市海淀区学院南路34号院2号楼4层东区</x:t>
        </x:is>
      </x:c>
      <x:c r="K780" s="12" t="str">
        <x:f>LEFT("91110000224344507P",18)</x:f>
        <x:v>91110000224344507P</x:v>
      </x:c>
    </x:row>
    <x:row r="781">
      <x:c r="A781" s="4" t="n">
        <x:v>780</x:v>
      </x:c>
      <x:c r="B781" s="4" t="inlineStr">
        <x:is>
          <x:t xml:space="preserve">600791</x:t>
        </x:is>
      </x:c>
      <x:c r="C781" s="5" t="inlineStr">
        <x:is>
          <x:t xml:space="preserve">京能置业</x:t>
        </x:is>
      </x:c>
      <x:c r="D781" s="5" t="inlineStr">
        <x:is>
          <x:t xml:space="preserve">京能置业股份有限公司</x:t>
        </x:is>
      </x:c>
      <x:c r="E781" s="4" t="inlineStr">
        <x:is>
          <x:t xml:space="preserve">北京市</x:t>
        </x:is>
      </x:c>
      <x:c r="F781" s="4" t="inlineStr">
        <x:is>
          <x:t xml:space="preserve">北京市</x:t>
        </x:is>
      </x:c>
      <x:c r="G781" s="5" t="inlineStr">
        <x:is>
          <x:t xml:space="preserve">北京市-北京市</x:t>
        </x:is>
      </x:c>
      <x:c r="H781" s="4" t="inlineStr">
        <x:is>
          <x:t xml:space="preserve">房地产</x:t>
        </x:is>
      </x:c>
      <x:c r="I781" s="4" t="inlineStr">
        <x:is>
          <x:t xml:space="preserve">1997-01-30</x:t>
        </x:is>
      </x:c>
      <x:c r="J781" s="5" t="inlineStr">
        <x:is>
          <x:t xml:space="preserve">北京市西城区复兴门南大街2号甲天银大厦A西八层</x:t>
        </x:is>
      </x:c>
      <x:c r="K781" s="12" t="str">
        <x:f>LEFT("91110000214406620R",18)</x:f>
        <x:v>91110000214406620R</x:v>
      </x:c>
    </x:row>
    <x:row r="782">
      <x:c r="A782" s="2" t="n">
        <x:v>781</x:v>
      </x:c>
      <x:c r="B782" s="2" t="inlineStr">
        <x:is>
          <x:t xml:space="preserve">600855</x:t>
        </x:is>
      </x:c>
      <x:c r="C782" s="3" t="inlineStr">
        <x:is>
          <x:t xml:space="preserve">航天长峰</x:t>
        </x:is>
      </x:c>
      <x:c r="D782" s="3" t="inlineStr">
        <x:is>
          <x:t xml:space="preserve">北京航天长峰股份有限公司</x:t>
        </x:is>
      </x:c>
      <x:c r="E782" s="2" t="inlineStr">
        <x:is>
          <x:t xml:space="preserve">北京市</x:t>
        </x:is>
      </x:c>
      <x:c r="F782" s="2" t="inlineStr">
        <x:is>
          <x:t xml:space="preserve">北京市</x:t>
        </x:is>
      </x:c>
      <x:c r="G782" s="3" t="inlineStr">
        <x:is>
          <x:t xml:space="preserve">北京市-北京市</x:t>
        </x:is>
      </x:c>
      <x:c r="H782" s="2" t="inlineStr">
        <x:is>
          <x:t xml:space="preserve">安防设备</x:t>
        </x:is>
      </x:c>
      <x:c r="I782" s="2" t="inlineStr">
        <x:is>
          <x:t xml:space="preserve">1994-04-25</x:t>
        </x:is>
      </x:c>
      <x:c r="J782" s="3" t="inlineStr">
        <x:is>
          <x:t xml:space="preserve">北京市海淀区永定路51号航天数控大楼</x:t>
        </x:is>
      </x:c>
      <x:c r="K782" s="12" t="str">
        <x:f>LEFT("9111000010110284XC",18)</x:f>
        <x:v>9111000010110284XC</x:v>
      </x:c>
    </x:row>
    <x:row r="783">
      <x:c r="A783" s="4" t="n">
        <x:v>782</x:v>
      </x:c>
      <x:c r="B783" s="4" t="inlineStr">
        <x:is>
          <x:t xml:space="preserve">600859</x:t>
        </x:is>
      </x:c>
      <x:c r="C783" s="5" t="inlineStr">
        <x:is>
          <x:t xml:space="preserve">王府井</x:t>
        </x:is>
      </x:c>
      <x:c r="D783" s="5" t="inlineStr">
        <x:is>
          <x:t xml:space="preserve">王府井集团股份有限公司</x:t>
        </x:is>
      </x:c>
      <x:c r="E783" s="4" t="inlineStr">
        <x:is>
          <x:t xml:space="preserve">北京市</x:t>
        </x:is>
      </x:c>
      <x:c r="F783" s="4" t="inlineStr">
        <x:is>
          <x:t xml:space="preserve">北京市</x:t>
        </x:is>
      </x:c>
      <x:c r="G783" s="5" t="inlineStr">
        <x:is>
          <x:t xml:space="preserve">北京市-北京市</x:t>
        </x:is>
      </x:c>
      <x:c r="H783" s="4" t="inlineStr">
        <x:is>
          <x:t xml:space="preserve">商业百货</x:t>
        </x:is>
      </x:c>
      <x:c r="I783" s="4" t="inlineStr">
        <x:is>
          <x:t xml:space="preserve">1994-05-06</x:t>
        </x:is>
      </x:c>
      <x:c r="J783" s="5" t="inlineStr">
        <x:is>
          <x:t xml:space="preserve">北京市王府井大街255号</x:t>
        </x:is>
      </x:c>
      <x:c r="K783" s="12" t="str">
        <x:f>LEFT("911100001013053805",18)</x:f>
        <x:v>911100001013053800</x:v>
      </x:c>
    </x:row>
    <x:row r="784">
      <x:c r="A784" s="2" t="n">
        <x:v>783</x:v>
      </x:c>
      <x:c r="B784" s="2" t="inlineStr">
        <x:is>
          <x:t xml:space="preserve">600860</x:t>
        </x:is>
      </x:c>
      <x:c r="C784" s="3" t="inlineStr">
        <x:is>
          <x:t xml:space="preserve">京城股份</x:t>
        </x:is>
      </x:c>
      <x:c r="D784" s="3" t="inlineStr">
        <x:is>
          <x:t xml:space="preserve">北京京城机电股份有限公司</x:t>
        </x:is>
      </x:c>
      <x:c r="E784" s="2" t="inlineStr">
        <x:is>
          <x:t xml:space="preserve">北京市</x:t>
        </x:is>
      </x:c>
      <x:c r="F784" s="2" t="inlineStr">
        <x:is>
          <x:t xml:space="preserve">北京市</x:t>
        </x:is>
      </x:c>
      <x:c r="G784" s="3" t="inlineStr">
        <x:is>
          <x:t xml:space="preserve">北京市-北京市</x:t>
        </x:is>
      </x:c>
      <x:c r="H784" s="2" t="inlineStr">
        <x:is>
          <x:t xml:space="preserve">机械行业</x:t>
        </x:is>
      </x:c>
      <x:c r="I784" s="2" t="inlineStr">
        <x:is>
          <x:t xml:space="preserve">1994-05-06</x:t>
        </x:is>
      </x:c>
      <x:c r="J784" s="3" t="inlineStr">
        <x:is>
          <x:t xml:space="preserve">北京市朝阳区东三环中路59号楼901室</x:t>
        </x:is>
      </x:c>
      <x:c r="K784" s="12" t="str">
        <x:f>LEFT("91110000101717457X",18)</x:f>
        <x:v>91110000101717457X</x:v>
      </x:c>
    </x:row>
    <x:row r="785">
      <x:c r="A785" s="4" t="n">
        <x:v>784</x:v>
      </x:c>
      <x:c r="B785" s="4" t="inlineStr">
        <x:is>
          <x:t xml:space="preserve">600861</x:t>
        </x:is>
      </x:c>
      <x:c r="C785" s="5" t="inlineStr">
        <x:is>
          <x:t xml:space="preserve">北京人力</x:t>
        </x:is>
      </x:c>
      <x:c r="D785" s="5" t="inlineStr">
        <x:is>
          <x:t xml:space="preserve">北京国际人力资本集团股份有限公司</x:t>
        </x:is>
      </x:c>
      <x:c r="E785" s="4" t="inlineStr">
        <x:is>
          <x:t xml:space="preserve">北京市</x:t>
        </x:is>
      </x:c>
      <x:c r="F785" s="4" t="inlineStr">
        <x:is>
          <x:t xml:space="preserve">北京市</x:t>
        </x:is>
      </x:c>
      <x:c r="G785" s="5" t="inlineStr">
        <x:is>
          <x:t xml:space="preserve">北京市-北京市</x:t>
        </x:is>
      </x:c>
      <x:c r="H785" s="4" t="inlineStr">
        <x:is>
          <x:t xml:space="preserve">专业服务</x:t>
        </x:is>
      </x:c>
      <x:c r="I785" s="4" t="inlineStr">
        <x:is>
          <x:t xml:space="preserve">1994-05-20</x:t>
        </x:is>
      </x:c>
      <x:c r="J785" s="5" t="inlineStr">
        <x:is>
          <x:t xml:space="preserve">北京市海淀区北清路81号院一区1号楼3层101</x:t>
        </x:is>
      </x:c>
      <x:c r="K785" s="12" t="str">
        <x:f>LEFT("9111000010196866XH",18)</x:f>
        <x:v>9111000010196866XH</x:v>
      </x:c>
    </x:row>
    <x:row r="786">
      <x:c r="A786" s="2" t="n">
        <x:v>785</x:v>
      </x:c>
      <x:c r="B786" s="2" t="inlineStr">
        <x:is>
          <x:t xml:space="preserve">600871</x:t>
        </x:is>
      </x:c>
      <x:c r="C786" s="3" t="inlineStr">
        <x:is>
          <x:t xml:space="preserve">石化油服</x:t>
        </x:is>
      </x:c>
      <x:c r="D786" s="3" t="inlineStr">
        <x:is>
          <x:t xml:space="preserve">中石化石油工程技术服务股份有限公司</x:t>
        </x:is>
      </x:c>
      <x:c r="E786" s="2" t="inlineStr">
        <x:is>
          <x:t xml:space="preserve">北京市</x:t>
        </x:is>
      </x:c>
      <x:c r="F786" s="2" t="inlineStr">
        <x:is>
          <x:t xml:space="preserve">北京市</x:t>
        </x:is>
      </x:c>
      <x:c r="G786" s="3" t="inlineStr">
        <x:is>
          <x:t xml:space="preserve">北京市-北京市</x:t>
        </x:is>
      </x:c>
      <x:c r="H786" s="2" t="inlineStr">
        <x:is>
          <x:t xml:space="preserve">采掘行业</x:t>
        </x:is>
      </x:c>
      <x:c r="I786" s="2" t="inlineStr">
        <x:is>
          <x:t xml:space="preserve">1995-04-11</x:t>
        </x:is>
      </x:c>
      <x:c r="J786" s="3" t="inlineStr">
        <x:is>
          <x:t xml:space="preserve">北京市朝阳区朝阳门北大街22号</x:t>
        </x:is>
      </x:c>
      <x:c r="K786" s="12" t="str">
        <x:f>LEFT("911100006259082971",18)</x:f>
        <x:v>911100006259083000</x:v>
      </x:c>
    </x:row>
    <x:row r="787">
      <x:c r="A787" s="4" t="n">
        <x:v>786</x:v>
      </x:c>
      <x:c r="B787" s="4" t="inlineStr">
        <x:is>
          <x:t xml:space="preserve">600886</x:t>
        </x:is>
      </x:c>
      <x:c r="C787" s="5" t="inlineStr">
        <x:is>
          <x:t xml:space="preserve">国投电力</x:t>
        </x:is>
      </x:c>
      <x:c r="D787" s="5" t="inlineStr">
        <x:is>
          <x:t xml:space="preserve">国投电力控股股份有限公司</x:t>
        </x:is>
      </x:c>
      <x:c r="E787" s="4" t="inlineStr">
        <x:is>
          <x:t xml:space="preserve">北京市</x:t>
        </x:is>
      </x:c>
      <x:c r="F787" s="4" t="inlineStr">
        <x:is>
          <x:t xml:space="preserve">北京市</x:t>
        </x:is>
      </x:c>
      <x:c r="G787" s="5" t="inlineStr">
        <x:is>
          <x:t xml:space="preserve">北京市-北京市</x:t>
        </x:is>
      </x:c>
      <x:c r="H787" s="4" t="inlineStr">
        <x:is>
          <x:t xml:space="preserve">电力行业</x:t>
        </x:is>
      </x:c>
      <x:c r="I787" s="4" t="inlineStr">
        <x:is>
          <x:t xml:space="preserve">1996-01-18</x:t>
        </x:is>
      </x:c>
      <x:c r="J787" s="5" t="inlineStr">
        <x:is>
          <x:t xml:space="preserve">北京市西城区西直门南小街147号楼11层1108</x:t>
        </x:is>
      </x:c>
      <x:c r="K787" s="12" t="str">
        <x:f>LEFT("911100002717519818",18)</x:f>
        <x:v>911100002717519900</x:v>
      </x:c>
    </x:row>
    <x:row r="788">
      <x:c r="A788" s="2" t="n">
        <x:v>787</x:v>
      </x:c>
      <x:c r="B788" s="2" t="inlineStr">
        <x:is>
          <x:t xml:space="preserve">600900</x:t>
        </x:is>
      </x:c>
      <x:c r="C788" s="3" t="inlineStr">
        <x:is>
          <x:t xml:space="preserve">长江电力</x:t>
        </x:is>
      </x:c>
      <x:c r="D788" s="3" t="inlineStr">
        <x:is>
          <x:t xml:space="preserve">中国长江电力股份有限公司</x:t>
        </x:is>
      </x:c>
      <x:c r="E788" s="2" t="inlineStr">
        <x:is>
          <x:t xml:space="preserve">北京市</x:t>
        </x:is>
      </x:c>
      <x:c r="F788" s="2" t="inlineStr">
        <x:is>
          <x:t xml:space="preserve">北京市</x:t>
        </x:is>
      </x:c>
      <x:c r="G788" s="3" t="inlineStr">
        <x:is>
          <x:t xml:space="preserve">北京市-北京市</x:t>
        </x:is>
      </x:c>
      <x:c r="H788" s="2" t="inlineStr">
        <x:is>
          <x:t xml:space="preserve">电力行业</x:t>
        </x:is>
      </x:c>
      <x:c r="I788" s="2" t="inlineStr">
        <x:is>
          <x:t xml:space="preserve">2003-11-18</x:t>
        </x:is>
      </x:c>
      <x:c r="J788" s="3" t="inlineStr">
        <x:is>
          <x:t xml:space="preserve">北京市海淀区玉渊潭南路1号B座</x:t>
        </x:is>
      </x:c>
      <x:c r="K788" s="12" t="str">
        <x:f>LEFT("91110000710930405L",18)</x:f>
        <x:v>91110000710930405L</x:v>
      </x:c>
    </x:row>
    <x:row r="789">
      <x:c r="A789" s="4" t="n">
        <x:v>788</x:v>
      </x:c>
      <x:c r="B789" s="4" t="inlineStr">
        <x:is>
          <x:t xml:space="preserve">600905</x:t>
        </x:is>
      </x:c>
      <x:c r="C789" s="5" t="inlineStr">
        <x:is>
          <x:t xml:space="preserve">三峡能源</x:t>
        </x:is>
      </x:c>
      <x:c r="D789" s="5" t="inlineStr">
        <x:is>
          <x:t xml:space="preserve">中国三峡新能源(集团)股份有限公司</x:t>
        </x:is>
      </x:c>
      <x:c r="E789" s="4" t="inlineStr">
        <x:is>
          <x:t xml:space="preserve">北京市</x:t>
        </x:is>
      </x:c>
      <x:c r="F789" s="4" t="inlineStr">
        <x:is>
          <x:t xml:space="preserve">北京市</x:t>
        </x:is>
      </x:c>
      <x:c r="G789" s="5" t="inlineStr">
        <x:is>
          <x:t xml:space="preserve">北京市-北京市</x:t>
        </x:is>
      </x:c>
      <x:c r="H789" s="4" t="inlineStr">
        <x:is>
          <x:t xml:space="preserve">电力行业</x:t>
        </x:is>
      </x:c>
      <x:c r="I789" s="4" t="inlineStr">
        <x:is>
          <x:t xml:space="preserve">2021-06-10</x:t>
        </x:is>
      </x:c>
      <x:c r="J789" s="5" t="inlineStr">
        <x:is>
          <x:t xml:space="preserve">北京市通州区贡院街1号院1号楼二层206-23室</x:t>
        </x:is>
      </x:c>
      <x:c r="K789" s="12" t="str">
        <x:f>LEFT("9111000010000376X7",18)</x:f>
        <x:v>9111000010000376X7</x:v>
      </x:c>
    </x:row>
    <x:row r="790">
      <x:c r="A790" s="2" t="n">
        <x:v>789</x:v>
      </x:c>
      <x:c r="B790" s="2" t="inlineStr">
        <x:is>
          <x:t xml:space="preserve">600916</x:t>
        </x:is>
      </x:c>
      <x:c r="C790" s="3" t="inlineStr">
        <x:is>
          <x:t xml:space="preserve">中国黄金</x:t>
        </x:is>
      </x:c>
      <x:c r="D790" s="3" t="inlineStr">
        <x:is>
          <x:t xml:space="preserve">中国黄金集团黄金珠宝股份有限公司</x:t>
        </x:is>
      </x:c>
      <x:c r="E790" s="2" t="inlineStr">
        <x:is>
          <x:t xml:space="preserve">北京市</x:t>
        </x:is>
      </x:c>
      <x:c r="F790" s="2" t="inlineStr">
        <x:is>
          <x:t xml:space="preserve">北京市</x:t>
        </x:is>
      </x:c>
      <x:c r="G790" s="3" t="inlineStr">
        <x:is>
          <x:t xml:space="preserve">北京市-北京市</x:t>
        </x:is>
      </x:c>
      <x:c r="H790" s="2" t="inlineStr">
        <x:is>
          <x:t xml:space="preserve">珠宝首饰</x:t>
        </x:is>
      </x:c>
      <x:c r="I790" s="2" t="inlineStr">
        <x:is>
          <x:t xml:space="preserve">2021-02-05</x:t>
        </x:is>
      </x:c>
      <x:c r="J790" s="3" t="inlineStr">
        <x:is>
          <x:t xml:space="preserve">北京市北京经济技术开发区景园北街2号49号楼305室</x:t>
        </x:is>
      </x:c>
      <x:c r="K790" s="12" t="str">
        <x:f>LEFT("911103025657540458",18)</x:f>
        <x:v>911103025657540500</x:v>
      </x:c>
    </x:row>
    <x:row r="791">
      <x:c r="A791" s="4" t="n">
        <x:v>790</x:v>
      </x:c>
      <x:c r="B791" s="4" t="inlineStr">
        <x:is>
          <x:t xml:space="preserve">600962</x:t>
        </x:is>
      </x:c>
      <x:c r="C791" s="5" t="inlineStr">
        <x:is>
          <x:t xml:space="preserve">国投中鲁</x:t>
        </x:is>
      </x:c>
      <x:c r="D791" s="5" t="inlineStr">
        <x:is>
          <x:t xml:space="preserve">国投中鲁果汁股份有限公司</x:t>
        </x:is>
      </x:c>
      <x:c r="E791" s="4" t="inlineStr">
        <x:is>
          <x:t xml:space="preserve">北京市</x:t>
        </x:is>
      </x:c>
      <x:c r="F791" s="4" t="inlineStr">
        <x:is>
          <x:t xml:space="preserve">北京市</x:t>
        </x:is>
      </x:c>
      <x:c r="G791" s="5" t="inlineStr">
        <x:is>
          <x:t xml:space="preserve">北京市-北京市</x:t>
        </x:is>
      </x:c>
      <x:c r="H791" s="4" t="inlineStr">
        <x:is>
          <x:t xml:space="preserve">食品饮料</x:t>
        </x:is>
      </x:c>
      <x:c r="I791" s="4" t="inlineStr">
        <x:is>
          <x:t xml:space="preserve">2004-06-22</x:t>
        </x:is>
      </x:c>
      <x:c r="J791" s="5" t="inlineStr">
        <x:is>
          <x:t xml:space="preserve">北京市丰台区科兴路7号205室</x:t>
        </x:is>
      </x:c>
      <x:c r="K791" s="12" t="str">
        <x:f>LEFT("91110000166780051K",18)</x:f>
        <x:v>91110000166780051K</x:v>
      </x:c>
    </x:row>
    <x:row r="792">
      <x:c r="A792" s="2" t="n">
        <x:v>791</x:v>
      </x:c>
      <x:c r="B792" s="2" t="inlineStr">
        <x:is>
          <x:t xml:space="preserve">600968</x:t>
        </x:is>
      </x:c>
      <x:c r="C792" s="3" t="inlineStr">
        <x:is>
          <x:t xml:space="preserve">海油发展</x:t>
        </x:is>
      </x:c>
      <x:c r="D792" s="3" t="inlineStr">
        <x:is>
          <x:t xml:space="preserve">中海油能源发展股份有限公司</x:t>
        </x:is>
      </x:c>
      <x:c r="E792" s="2" t="inlineStr">
        <x:is>
          <x:t xml:space="preserve">北京市</x:t>
        </x:is>
      </x:c>
      <x:c r="F792" s="2" t="inlineStr">
        <x:is>
          <x:t xml:space="preserve">北京市</x:t>
        </x:is>
      </x:c>
      <x:c r="G792" s="3" t="inlineStr">
        <x:is>
          <x:t xml:space="preserve">北京市-北京市</x:t>
        </x:is>
      </x:c>
      <x:c r="H792" s="2" t="inlineStr">
        <x:is>
          <x:t xml:space="preserve">采掘行业</x:t>
        </x:is>
      </x:c>
      <x:c r="I792" s="2" t="inlineStr">
        <x:is>
          <x:t xml:space="preserve">2019-06-26</x:t>
        </x:is>
      </x:c>
      <x:c r="J792" s="3" t="inlineStr">
        <x:is>
          <x:t xml:space="preserve">北京市东城区东直门外小街6号</x:t>
        </x:is>
      </x:c>
      <x:c r="K792" s="12" t="str">
        <x:f>LEFT("91110101771554423Q",18)</x:f>
        <x:v>91110101771554423Q</x:v>
      </x:c>
    </x:row>
    <x:row r="793">
      <x:c r="A793" s="4" t="n">
        <x:v>792</x:v>
      </x:c>
      <x:c r="B793" s="4" t="inlineStr">
        <x:is>
          <x:t xml:space="preserve">600977</x:t>
        </x:is>
      </x:c>
      <x:c r="C793" s="5" t="inlineStr">
        <x:is>
          <x:t xml:space="preserve">中国电影</x:t>
        </x:is>
      </x:c>
      <x:c r="D793" s="5" t="inlineStr">
        <x:is>
          <x:t xml:space="preserve">中国电影产业集团股份有限公司</x:t>
        </x:is>
      </x:c>
      <x:c r="E793" s="4" t="inlineStr">
        <x:is>
          <x:t xml:space="preserve">北京市</x:t>
        </x:is>
      </x:c>
      <x:c r="F793" s="4" t="inlineStr">
        <x:is>
          <x:t xml:space="preserve">北京市</x:t>
        </x:is>
      </x:c>
      <x:c r="G793" s="5" t="inlineStr">
        <x:is>
          <x:t xml:space="preserve">北京市-北京市</x:t>
        </x:is>
      </x:c>
      <x:c r="H793" s="4" t="inlineStr">
        <x:is>
          <x:t xml:space="preserve">文化传媒</x:t>
        </x:is>
      </x:c>
      <x:c r="I793" s="4" t="inlineStr">
        <x:is>
          <x:t xml:space="preserve">2016-08-09</x:t>
        </x:is>
      </x:c>
      <x:c r="J793" s="5" t="inlineStr">
        <x:is>
          <x:t xml:space="preserve">北京市怀柔区杨宋镇凤翔科技开发区凤和一园10号</x:t>
        </x:is>
      </x:c>
      <x:c r="K793" s="12" t="str">
        <x:f>LEFT("911100007178284114",18)</x:f>
        <x:v>911100007178284200</x:v>
      </x:c>
    </x:row>
    <x:row r="794">
      <x:c r="A794" s="2" t="n">
        <x:v>793</x:v>
      </x:c>
      <x:c r="B794" s="2" t="inlineStr">
        <x:is>
          <x:t xml:space="preserve">600980</x:t>
        </x:is>
      </x:c>
      <x:c r="C794" s="3" t="inlineStr">
        <x:is>
          <x:t xml:space="preserve">北矿科技</x:t>
        </x:is>
      </x:c>
      <x:c r="D794" s="3" t="inlineStr">
        <x:is>
          <x:t xml:space="preserve">北矿科技股份有限公司</x:t>
        </x:is>
      </x:c>
      <x:c r="E794" s="2" t="inlineStr">
        <x:is>
          <x:t xml:space="preserve">北京市</x:t>
        </x:is>
      </x:c>
      <x:c r="F794" s="2" t="inlineStr">
        <x:is>
          <x:t xml:space="preserve">北京市</x:t>
        </x:is>
      </x:c>
      <x:c r="G794" s="3" t="inlineStr">
        <x:is>
          <x:t xml:space="preserve">北京市-北京市</x:t>
        </x:is>
      </x:c>
      <x:c r="H794" s="2" t="inlineStr">
        <x:is>
          <x:t xml:space="preserve">小金属</x:t>
        </x:is>
      </x:c>
      <x:c r="I794" s="2" t="inlineStr">
        <x:is>
          <x:t xml:space="preserve">2004-05-12</x:t>
        </x:is>
      </x:c>
      <x:c r="J794" s="3" t="inlineStr">
        <x:is>
          <x:t xml:space="preserve">北京市丰台区南四环西路188号18区23号楼4层</x:t>
        </x:is>
      </x:c>
      <x:c r="K794" s="12" t="str">
        <x:f>LEFT("911100007109270385",18)</x:f>
        <x:v>911100007109270400</x:v>
      </x:c>
    </x:row>
    <x:row r="795">
      <x:c r="A795" s="4" t="n">
        <x:v>794</x:v>
      </x:c>
      <x:c r="B795" s="4" t="inlineStr">
        <x:is>
          <x:t xml:space="preserve">601016</x:t>
        </x:is>
      </x:c>
      <x:c r="C795" s="5" t="inlineStr">
        <x:is>
          <x:t xml:space="preserve">节能风电</x:t>
        </x:is>
      </x:c>
      <x:c r="D795" s="5" t="inlineStr">
        <x:is>
          <x:t xml:space="preserve">中节能风力发电股份有限公司</x:t>
        </x:is>
      </x:c>
      <x:c r="E795" s="4" t="inlineStr">
        <x:is>
          <x:t xml:space="preserve">北京市</x:t>
        </x:is>
      </x:c>
      <x:c r="F795" s="4" t="inlineStr">
        <x:is>
          <x:t xml:space="preserve">北京市</x:t>
        </x:is>
      </x:c>
      <x:c r="G795" s="5" t="inlineStr">
        <x:is>
          <x:t xml:space="preserve">北京市-北京市</x:t>
        </x:is>
      </x:c>
      <x:c r="H795" s="4" t="inlineStr">
        <x:is>
          <x:t xml:space="preserve">电力行业</x:t>
        </x:is>
      </x:c>
      <x:c r="I795" s="4" t="inlineStr">
        <x:is>
          <x:t xml:space="preserve">2014-09-29</x:t>
        </x:is>
      </x:c>
      <x:c r="J795" s="5" t="inlineStr">
        <x:is>
          <x:t xml:space="preserve">北京市海淀区西直门北大街42号节能大厦A座12层</x:t>
        </x:is>
      </x:c>
      <x:c r="K795" s="12" t="str">
        <x:f>LEFT("911100007109338846",18)</x:f>
        <x:v>911100007109338900</x:v>
      </x:c>
    </x:row>
    <x:row r="796">
      <x:c r="A796" s="2" t="n">
        <x:v>795</x:v>
      </x:c>
      <x:c r="B796" s="2" t="inlineStr">
        <x:is>
          <x:t xml:space="preserve">601059</x:t>
        </x:is>
      </x:c>
      <x:c r="C796" s="3" t="inlineStr">
        <x:is>
          <x:t xml:space="preserve">信达证券</x:t>
        </x:is>
      </x:c>
      <x:c r="D796" s="3" t="inlineStr">
        <x:is>
          <x:t xml:space="preserve">信达证券股份有限公司</x:t>
        </x:is>
      </x:c>
      <x:c r="E796" s="2" t="inlineStr">
        <x:is>
          <x:t xml:space="preserve">北京市</x:t>
        </x:is>
      </x:c>
      <x:c r="F796" s="2" t="inlineStr">
        <x:is>
          <x:t xml:space="preserve">北京市</x:t>
        </x:is>
      </x:c>
      <x:c r="G796" s="3" t="inlineStr">
        <x:is>
          <x:t xml:space="preserve">北京市-北京市</x:t>
        </x:is>
      </x:c>
      <x:c r="H796" s="2" t="inlineStr">
        <x:is>
          <x:t xml:space="preserve">证券</x:t>
        </x:is>
      </x:c>
      <x:c r="I796" s="2" t="inlineStr">
        <x:is>
          <x:t xml:space="preserve">2023-02-01</x:t>
        </x:is>
      </x:c>
      <x:c r="J796" s="3" t="inlineStr">
        <x:is>
          <x:t xml:space="preserve">北京市西城区宣武门西大街甲127号1幢5层</x:t>
        </x:is>
      </x:c>
      <x:c r="K796" s="12" t="str">
        <x:f>LEFT("91110000710934967A",18)</x:f>
        <x:v>91110000710934967A</x:v>
      </x:c>
    </x:row>
    <x:row r="797">
      <x:c r="A797" s="4" t="n">
        <x:v>796</x:v>
      </x:c>
      <x:c r="B797" s="4" t="inlineStr">
        <x:is>
          <x:t xml:space="preserve">601061</x:t>
        </x:is>
      </x:c>
      <x:c r="C797" s="5" t="inlineStr">
        <x:is>
          <x:t xml:space="preserve">中信金属</x:t>
        </x:is>
      </x:c>
      <x:c r="D797" s="5" t="inlineStr">
        <x:is>
          <x:t xml:space="preserve">中信金属股份有限公司</x:t>
        </x:is>
      </x:c>
      <x:c r="E797" s="4" t="inlineStr">
        <x:is>
          <x:t xml:space="preserve">北京市</x:t>
        </x:is>
      </x:c>
      <x:c r="F797" s="4" t="inlineStr">
        <x:is>
          <x:t xml:space="preserve">北京市</x:t>
        </x:is>
      </x:c>
      <x:c r="G797" s="5" t="inlineStr">
        <x:is>
          <x:t xml:space="preserve">北京市-北京市</x:t>
        </x:is>
      </x:c>
      <x:c r="H797" s="4" t="inlineStr">
        <x:is>
          <x:t xml:space="preserve">贸易行业</x:t>
        </x:is>
      </x:c>
      <x:c r="I797" s="4" t="inlineStr">
        <x:is>
          <x:t xml:space="preserve">2023-04-10</x:t>
        </x:is>
      </x:c>
      <x:c r="J797" s="5" t="inlineStr">
        <x:is>
          <x:t xml:space="preserve">北京市朝阳区新源南路6号京城大厦1903室</x:t>
        </x:is>
      </x:c>
      <x:c r="K797" s="12" t="str">
        <x:f>LEFT("911100001000071709",18)</x:f>
        <x:v>911100001000071700</x:v>
      </x:c>
    </x:row>
    <x:row r="798">
      <x:c r="A798" s="2" t="n">
        <x:v>797</x:v>
      </x:c>
      <x:c r="B798" s="2" t="inlineStr">
        <x:is>
          <x:t xml:space="preserve">601066</x:t>
        </x:is>
      </x:c>
      <x:c r="C798" s="3" t="inlineStr">
        <x:is>
          <x:t xml:space="preserve">中信建投</x:t>
        </x:is>
      </x:c>
      <x:c r="D798" s="3" t="inlineStr">
        <x:is>
          <x:t xml:space="preserve">中信建投证券股份有限公司</x:t>
        </x:is>
      </x:c>
      <x:c r="E798" s="2" t="inlineStr">
        <x:is>
          <x:t xml:space="preserve">北京市</x:t>
        </x:is>
      </x:c>
      <x:c r="F798" s="2" t="inlineStr">
        <x:is>
          <x:t xml:space="preserve">北京市</x:t>
        </x:is>
      </x:c>
      <x:c r="G798" s="3" t="inlineStr">
        <x:is>
          <x:t xml:space="preserve">北京市-北京市</x:t>
        </x:is>
      </x:c>
      <x:c r="H798" s="2" t="inlineStr">
        <x:is>
          <x:t xml:space="preserve">券商信托</x:t>
        </x:is>
      </x:c>
      <x:c r="I798" s="2" t="inlineStr">
        <x:is>
          <x:t xml:space="preserve">2018-06-20</x:t>
        </x:is>
      </x:c>
      <x:c r="J798" s="3" t="inlineStr">
        <x:is>
          <x:t xml:space="preserve">北京市朝阳区安立路66号4号楼</x:t>
        </x:is>
      </x:c>
      <x:c r="K798" s="12" t="str">
        <x:f>LEFT("91110000781703453H",18)</x:f>
        <x:v>91110000781703453H</x:v>
      </x:c>
    </x:row>
    <x:row r="799">
      <x:c r="A799" s="4" t="n">
        <x:v>798</x:v>
      </x:c>
      <x:c r="B799" s="4" t="inlineStr">
        <x:is>
          <x:t xml:space="preserve">601068</x:t>
        </x:is>
      </x:c>
      <x:c r="C799" s="5" t="inlineStr">
        <x:is>
          <x:t xml:space="preserve">中铝国际</x:t>
        </x:is>
      </x:c>
      <x:c r="D799" s="5" t="inlineStr">
        <x:is>
          <x:t xml:space="preserve">中铝国际工程股份有限公司</x:t>
        </x:is>
      </x:c>
      <x:c r="E799" s="4" t="inlineStr">
        <x:is>
          <x:t xml:space="preserve">北京市</x:t>
        </x:is>
      </x:c>
      <x:c r="F799" s="4" t="inlineStr">
        <x:is>
          <x:t xml:space="preserve">北京市</x:t>
        </x:is>
      </x:c>
      <x:c r="G799" s="5" t="inlineStr">
        <x:is>
          <x:t xml:space="preserve">北京市-北京市</x:t>
        </x:is>
      </x:c>
      <x:c r="H799" s="4" t="inlineStr">
        <x:is>
          <x:t xml:space="preserve">工程建设</x:t>
        </x:is>
      </x:c>
      <x:c r="I799" s="4" t="inlineStr">
        <x:is>
          <x:t xml:space="preserve">2018-08-31</x:t>
        </x:is>
      </x:c>
      <x:c r="J799" s="5" t="inlineStr">
        <x:is>
          <x:t xml:space="preserve">北京市海淀区杏石口路99号C座大楼</x:t>
        </x:is>
      </x:c>
      <x:c r="K799" s="12" t="str">
        <x:f>LEFT("911100007109323200",18)</x:f>
        <x:v>911100007109323300</x:v>
      </x:c>
    </x:row>
    <x:row r="800">
      <x:c r="A800" s="2" t="n">
        <x:v>799</x:v>
      </x:c>
      <x:c r="B800" s="2" t="inlineStr">
        <x:is>
          <x:t xml:space="preserve">601088</x:t>
        </x:is>
      </x:c>
      <x:c r="C800" s="3" t="inlineStr">
        <x:is>
          <x:t xml:space="preserve">中国神华</x:t>
        </x:is>
      </x:c>
      <x:c r="D800" s="3" t="inlineStr">
        <x:is>
          <x:t xml:space="preserve">中国神华能源股份有限公司</x:t>
        </x:is>
      </x:c>
      <x:c r="E800" s="2" t="inlineStr">
        <x:is>
          <x:t xml:space="preserve">北京市</x:t>
        </x:is>
      </x:c>
      <x:c r="F800" s="2" t="inlineStr">
        <x:is>
          <x:t xml:space="preserve">北京市</x:t>
        </x:is>
      </x:c>
      <x:c r="G800" s="3" t="inlineStr">
        <x:is>
          <x:t xml:space="preserve">北京市-北京市</x:t>
        </x:is>
      </x:c>
      <x:c r="H800" s="2" t="inlineStr">
        <x:is>
          <x:t xml:space="preserve">煤炭采选</x:t>
        </x:is>
      </x:c>
      <x:c r="I800" s="2" t="inlineStr">
        <x:is>
          <x:t xml:space="preserve">2007-10-09</x:t>
        </x:is>
      </x:c>
      <x:c r="J800" s="3" t="inlineStr">
        <x:is>
          <x:t xml:space="preserve">北京市东城区安定门西滨河路22号</x:t>
        </x:is>
      </x:c>
      <x:c r="K800" s="12" t="str">
        <x:f>LEFT("91110000710933024J",18)</x:f>
        <x:v>91110000710933024J</x:v>
      </x:c>
    </x:row>
    <x:row r="801">
      <x:c r="A801" s="4" t="n">
        <x:v>800</x:v>
      </x:c>
      <x:c r="B801" s="4" t="inlineStr">
        <x:is>
          <x:t xml:space="preserve">601089</x:t>
        </x:is>
      </x:c>
      <x:c r="C801" s="5" t="inlineStr">
        <x:is>
          <x:t xml:space="preserve">福元医药</x:t>
        </x:is>
      </x:c>
      <x:c r="D801" s="5" t="inlineStr">
        <x:is>
          <x:t xml:space="preserve">北京福元医药股份有限公司</x:t>
        </x:is>
      </x:c>
      <x:c r="E801" s="4" t="inlineStr">
        <x:is>
          <x:t xml:space="preserve">北京市</x:t>
        </x:is>
      </x:c>
      <x:c r="F801" s="4" t="inlineStr">
        <x:is>
          <x:t xml:space="preserve">北京市</x:t>
        </x:is>
      </x:c>
      <x:c r="G801" s="5" t="inlineStr">
        <x:is>
          <x:t xml:space="preserve">北京市-北京市</x:t>
        </x:is>
      </x:c>
      <x:c r="H801" s="4" t="inlineStr">
        <x:is>
          <x:t xml:space="preserve">化学制药</x:t>
        </x:is>
      </x:c>
      <x:c r="I801" s="4" t="inlineStr">
        <x:is>
          <x:t xml:space="preserve">2022-06-30</x:t>
        </x:is>
      </x:c>
      <x:c r="J801" s="5" t="inlineStr">
        <x:is>
          <x:t xml:space="preserve">北京市通州区通州工业开发区广源东街8号</x:t>
        </x:is>
      </x:c>
      <x:c r="K801" s="12" t="str">
        <x:f>LEFT("91110112700216160K",18)</x:f>
        <x:v>91110112700216160K</x:v>
      </x:c>
    </x:row>
    <x:row r="802">
      <x:c r="A802" s="2" t="n">
        <x:v>801</x:v>
      </x:c>
      <x:c r="B802" s="2" t="inlineStr">
        <x:is>
          <x:t xml:space="preserve">601101</x:t>
        </x:is>
      </x:c>
      <x:c r="C802" s="3" t="inlineStr">
        <x:is>
          <x:t xml:space="preserve">昊华能源</x:t>
        </x:is>
      </x:c>
      <x:c r="D802" s="3" t="inlineStr">
        <x:is>
          <x:t xml:space="preserve">北京昊华能源股份有限公司</x:t>
        </x:is>
      </x:c>
      <x:c r="E802" s="2" t="inlineStr">
        <x:is>
          <x:t xml:space="preserve">北京市</x:t>
        </x:is>
      </x:c>
      <x:c r="F802" s="2" t="inlineStr">
        <x:is>
          <x:t xml:space="preserve">北京市</x:t>
        </x:is>
      </x:c>
      <x:c r="G802" s="3" t="inlineStr">
        <x:is>
          <x:t xml:space="preserve">北京市-北京市</x:t>
        </x:is>
      </x:c>
      <x:c r="H802" s="2" t="inlineStr">
        <x:is>
          <x:t xml:space="preserve">煤炭采选</x:t>
        </x:is>
      </x:c>
      <x:c r="I802" s="2" t="inlineStr">
        <x:is>
          <x:t xml:space="preserve">2010-03-31</x:t>
        </x:is>
      </x:c>
      <x:c r="J802" s="3" t="inlineStr">
        <x:is>
          <x:t xml:space="preserve">北京市门头沟区新桥南大街2号</x:t>
        </x:is>
      </x:c>
      <x:c r="K802" s="12" t="str">
        <x:f>LEFT("91110000746132245J",18)</x:f>
        <x:v>91110000746132245J</x:v>
      </x:c>
    </x:row>
    <x:row r="803">
      <x:c r="A803" s="4" t="n">
        <x:v>802</x:v>
      </x:c>
      <x:c r="B803" s="4" t="inlineStr">
        <x:is>
          <x:t xml:space="preserve">601111</x:t>
        </x:is>
      </x:c>
      <x:c r="C803" s="5" t="inlineStr">
        <x:is>
          <x:t xml:space="preserve">中国国航</x:t>
        </x:is>
      </x:c>
      <x:c r="D803" s="5" t="inlineStr">
        <x:is>
          <x:t xml:space="preserve">中国国际航空股份有限公司</x:t>
        </x:is>
      </x:c>
      <x:c r="E803" s="4" t="inlineStr">
        <x:is>
          <x:t xml:space="preserve">北京市</x:t>
        </x:is>
      </x:c>
      <x:c r="F803" s="4" t="inlineStr">
        <x:is>
          <x:t xml:space="preserve">北京市</x:t>
        </x:is>
      </x:c>
      <x:c r="G803" s="5" t="inlineStr">
        <x:is>
          <x:t xml:space="preserve">北京市-北京市</x:t>
        </x:is>
      </x:c>
      <x:c r="H803" s="4" t="inlineStr">
        <x:is>
          <x:t xml:space="preserve">民航机场</x:t>
        </x:is>
      </x:c>
      <x:c r="I803" s="4" t="inlineStr">
        <x:is>
          <x:t xml:space="preserve">2006-08-18</x:t>
        </x:is>
      </x:c>
      <x:c r="J803" s="5" t="inlineStr">
        <x:is>
          <x:t xml:space="preserve">中国北京市顺义区天柱路30号院1号楼1至9层101</x:t>
        </x:is>
      </x:c>
      <x:c r="K803" s="12" t="str">
        <x:f>LEFT("911100007178710060",18)</x:f>
        <x:v>911100007178710000</x:v>
      </x:c>
    </x:row>
    <x:row r="804">
      <x:c r="A804" s="2" t="n">
        <x:v>803</x:v>
      </x:c>
      <x:c r="B804" s="2" t="inlineStr">
        <x:is>
          <x:t xml:space="preserve">601117</x:t>
        </x:is>
      </x:c>
      <x:c r="C804" s="3" t="inlineStr">
        <x:is>
          <x:t xml:space="preserve">中国化学</x:t>
        </x:is>
      </x:c>
      <x:c r="D804" s="3" t="inlineStr">
        <x:is>
          <x:t xml:space="preserve">中国化学工程股份有限公司</x:t>
        </x:is>
      </x:c>
      <x:c r="E804" s="2" t="inlineStr">
        <x:is>
          <x:t xml:space="preserve">北京市</x:t>
        </x:is>
      </x:c>
      <x:c r="F804" s="2" t="inlineStr">
        <x:is>
          <x:t xml:space="preserve">北京市</x:t>
        </x:is>
      </x:c>
      <x:c r="G804" s="3" t="inlineStr">
        <x:is>
          <x:t xml:space="preserve">北京市-北京市</x:t>
        </x:is>
      </x:c>
      <x:c r="H804" s="2" t="inlineStr">
        <x:is>
          <x:t xml:space="preserve">工程建设</x:t>
        </x:is>
      </x:c>
      <x:c r="I804" s="2" t="inlineStr">
        <x:is>
          <x:t xml:space="preserve">2010-01-07</x:t>
        </x:is>
      </x:c>
      <x:c r="J804" s="3" t="inlineStr">
        <x:is>
          <x:t xml:space="preserve">北京市东城区东直门内大街2号</x:t>
        </x:is>
      </x:c>
      <x:c r="K804" s="12" t="str">
        <x:f>LEFT("911100007109356445",18)</x:f>
        <x:v>911100007109356400</x:v>
      </x:c>
    </x:row>
    <x:row r="805">
      <x:c r="A805" s="4" t="n">
        <x:v>804</x:v>
      </x:c>
      <x:c r="B805" s="4" t="inlineStr">
        <x:is>
          <x:t xml:space="preserve">601126</x:t>
        </x:is>
      </x:c>
      <x:c r="C805" s="5" t="inlineStr">
        <x:is>
          <x:t xml:space="preserve">四方股份</x:t>
        </x:is>
      </x:c>
      <x:c r="D805" s="5" t="inlineStr">
        <x:is>
          <x:t xml:space="preserve">北京四方继保自动化股份有限公司</x:t>
        </x:is>
      </x:c>
      <x:c r="E805" s="4" t="inlineStr">
        <x:is>
          <x:t xml:space="preserve">北京市</x:t>
        </x:is>
      </x:c>
      <x:c r="F805" s="4" t="inlineStr">
        <x:is>
          <x:t xml:space="preserve">北京市</x:t>
        </x:is>
      </x:c>
      <x:c r="G805" s="5" t="inlineStr">
        <x:is>
          <x:t xml:space="preserve">北京市-北京市</x:t>
        </x:is>
      </x:c>
      <x:c r="H805" s="4" t="inlineStr">
        <x:is>
          <x:t xml:space="preserve">输配电气</x:t>
        </x:is>
      </x:c>
      <x:c r="I805" s="4" t="inlineStr">
        <x:is>
          <x:t xml:space="preserve">2010-12-31</x:t>
        </x:is>
      </x:c>
      <x:c r="J805" s="5" t="inlineStr">
        <x:is>
          <x:t xml:space="preserve">北京市海淀区上地信息产业基地四街9号</x:t>
        </x:is>
      </x:c>
      <x:c r="K805" s="12" t="str">
        <x:f>LEFT("91110000625904675J",18)</x:f>
        <x:v>91110000625904675J</x:v>
      </x:c>
    </x:row>
    <x:row r="806">
      <x:c r="A806" s="2" t="n">
        <x:v>805</x:v>
      </x:c>
      <x:c r="B806" s="2" t="inlineStr">
        <x:is>
          <x:t xml:space="preserve">601136</x:t>
        </x:is>
      </x:c>
      <x:c r="C806" s="3" t="inlineStr">
        <x:is>
          <x:t xml:space="preserve">首创证券</x:t>
        </x:is>
      </x:c>
      <x:c r="D806" s="3" t="inlineStr">
        <x:is>
          <x:t xml:space="preserve">首创证券股份有限公司</x:t>
        </x:is>
      </x:c>
      <x:c r="E806" s="2" t="inlineStr">
        <x:is>
          <x:t xml:space="preserve">北京市</x:t>
        </x:is>
      </x:c>
      <x:c r="F806" s="2" t="inlineStr">
        <x:is>
          <x:t xml:space="preserve">北京市</x:t>
        </x:is>
      </x:c>
      <x:c r="G806" s="3" t="inlineStr">
        <x:is>
          <x:t xml:space="preserve">北京市-北京市</x:t>
        </x:is>
      </x:c>
      <x:c r="H806" s="2" t="inlineStr">
        <x:is>
          <x:t xml:space="preserve">证券</x:t>
        </x:is>
      </x:c>
      <x:c r="I806" s="2" t="inlineStr">
        <x:is>
          <x:t xml:space="preserve">2022-12-22</x:t>
        </x:is>
      </x:c>
      <x:c r="J806" s="3" t="inlineStr">
        <x:is>
          <x:t xml:space="preserve">北京市朝阳区安定路5号院13号楼A座11-21层</x:t>
        </x:is>
      </x:c>
      <x:c r="K806" s="12" t="str">
        <x:f>LEFT("91110000710925892P",18)</x:f>
        <x:v>91110000710925892P</x:v>
      </x:c>
    </x:row>
    <x:row r="807">
      <x:c r="A807" s="4" t="n">
        <x:v>806</x:v>
      </x:c>
      <x:c r="B807" s="4" t="inlineStr">
        <x:is>
          <x:t xml:space="preserve">601169</x:t>
        </x:is>
      </x:c>
      <x:c r="C807" s="5" t="inlineStr">
        <x:is>
          <x:t xml:space="preserve">北京银行</x:t>
        </x:is>
      </x:c>
      <x:c r="D807" s="5" t="inlineStr">
        <x:is>
          <x:t xml:space="preserve">北京银行股份有限公司</x:t>
        </x:is>
      </x:c>
      <x:c r="E807" s="4" t="inlineStr">
        <x:is>
          <x:t xml:space="preserve">北京市</x:t>
        </x:is>
      </x:c>
      <x:c r="F807" s="4" t="inlineStr">
        <x:is>
          <x:t xml:space="preserve">北京市</x:t>
        </x:is>
      </x:c>
      <x:c r="G807" s="5" t="inlineStr">
        <x:is>
          <x:t xml:space="preserve">北京市-北京市</x:t>
        </x:is>
      </x:c>
      <x:c r="H807" s="4" t="inlineStr">
        <x:is>
          <x:t xml:space="preserve">银行</x:t>
        </x:is>
      </x:c>
      <x:c r="I807" s="4" t="inlineStr">
        <x:is>
          <x:t xml:space="preserve">2007-09-19</x:t>
        </x:is>
      </x:c>
      <x:c r="J807" s="5" t="inlineStr">
        <x:is>
          <x:t xml:space="preserve">北京市西城区金融大街甲17号首层</x:t>
        </x:is>
      </x:c>
      <x:c r="K807" s="12" t="str">
        <x:f>LEFT("91110000101174712L",18)</x:f>
        <x:v>91110000101174712L</x:v>
      </x:c>
    </x:row>
    <x:row r="808">
      <x:c r="A808" s="2" t="n">
        <x:v>807</x:v>
      </x:c>
      <x:c r="B808" s="2" t="inlineStr">
        <x:is>
          <x:t xml:space="preserve">601186</x:t>
        </x:is>
      </x:c>
      <x:c r="C808" s="3" t="inlineStr">
        <x:is>
          <x:t xml:space="preserve">中国铁建</x:t>
        </x:is>
      </x:c>
      <x:c r="D808" s="3" t="inlineStr">
        <x:is>
          <x:t xml:space="preserve">中国铁建股份有限公司</x:t>
        </x:is>
      </x:c>
      <x:c r="E808" s="2" t="inlineStr">
        <x:is>
          <x:t xml:space="preserve">北京市</x:t>
        </x:is>
      </x:c>
      <x:c r="F808" s="2" t="inlineStr">
        <x:is>
          <x:t xml:space="preserve">北京市</x:t>
        </x:is>
      </x:c>
      <x:c r="G808" s="3" t="inlineStr">
        <x:is>
          <x:t xml:space="preserve">北京市-北京市</x:t>
        </x:is>
      </x:c>
      <x:c r="H808" s="2" t="inlineStr">
        <x:is>
          <x:t xml:space="preserve">工程建设</x:t>
        </x:is>
      </x:c>
      <x:c r="I808" s="2" t="inlineStr">
        <x:is>
          <x:t xml:space="preserve">2008-03-10</x:t>
        </x:is>
      </x:c>
      <x:c r="J808" s="3" t="inlineStr">
        <x:is>
          <x:t xml:space="preserve">北京市海淀区复兴路40号东院</x:t>
        </x:is>
      </x:c>
      <x:c r="K808" s="12" t="str">
        <x:f>LEFT("91110000710935150D",18)</x:f>
        <x:v>91110000710935150D</x:v>
      </x:c>
    </x:row>
    <x:row r="809">
      <x:c r="A809" s="4" t="n">
        <x:v>808</x:v>
      </x:c>
      <x:c r="B809" s="4" t="inlineStr">
        <x:is>
          <x:t xml:space="preserve">601198</x:t>
        </x:is>
      </x:c>
      <x:c r="C809" s="5" t="inlineStr">
        <x:is>
          <x:t xml:space="preserve">东兴证券</x:t>
        </x:is>
      </x:c>
      <x:c r="D809" s="5" t="inlineStr">
        <x:is>
          <x:t xml:space="preserve">东兴证券股份有限公司</x:t>
        </x:is>
      </x:c>
      <x:c r="E809" s="4" t="inlineStr">
        <x:is>
          <x:t xml:space="preserve">北京市</x:t>
        </x:is>
      </x:c>
      <x:c r="F809" s="4" t="inlineStr">
        <x:is>
          <x:t xml:space="preserve">北京市</x:t>
        </x:is>
      </x:c>
      <x:c r="G809" s="5" t="inlineStr">
        <x:is>
          <x:t xml:space="preserve">北京市-北京市</x:t>
        </x:is>
      </x:c>
      <x:c r="H809" s="4" t="inlineStr">
        <x:is>
          <x:t xml:space="preserve">券商信托</x:t>
        </x:is>
      </x:c>
      <x:c r="I809" s="4" t="inlineStr">
        <x:is>
          <x:t xml:space="preserve">2015-02-26</x:t>
        </x:is>
      </x:c>
      <x:c r="J809" s="5" t="inlineStr">
        <x:is>
          <x:t xml:space="preserve">北京市西城区金融大街5号(新盛大厦)12、15层</x:t>
        </x:is>
      </x:c>
      <x:c r="K809" s="12" t="str">
        <x:f>LEFT("91110000710935441G",18)</x:f>
        <x:v>91110000710935441G</x:v>
      </x:c>
    </x:row>
    <x:row r="810">
      <x:c r="A810" s="2" t="n">
        <x:v>809</x:v>
      </x:c>
      <x:c r="B810" s="2" t="inlineStr">
        <x:is>
          <x:t xml:space="preserve">601226</x:t>
        </x:is>
      </x:c>
      <x:c r="C810" s="3" t="inlineStr">
        <x:is>
          <x:t xml:space="preserve">华电重工</x:t>
        </x:is>
      </x:c>
      <x:c r="D810" s="3" t="inlineStr">
        <x:is>
          <x:t xml:space="preserve">华电科工股份有限公司</x:t>
        </x:is>
      </x:c>
      <x:c r="E810" s="2" t="inlineStr">
        <x:is>
          <x:t xml:space="preserve">北京市</x:t>
        </x:is>
      </x:c>
      <x:c r="F810" s="2" t="inlineStr">
        <x:is>
          <x:t xml:space="preserve">北京市</x:t>
        </x:is>
      </x:c>
      <x:c r="G810" s="3" t="inlineStr">
        <x:is>
          <x:t xml:space="preserve">北京市-北京市</x:t>
        </x:is>
      </x:c>
      <x:c r="H810" s="2" t="inlineStr">
        <x:is>
          <x:t xml:space="preserve">工程机械</x:t>
        </x:is>
      </x:c>
      <x:c r="I810" s="2" t="inlineStr">
        <x:is>
          <x:t xml:space="preserve">2014-12-11</x:t>
        </x:is>
      </x:c>
      <x:c r="J810" s="3" t="inlineStr">
        <x:is>
          <x:t xml:space="preserve">北京市丰台区汽车博物馆东路6号院1号楼B座11层</x:t>
        </x:is>
      </x:c>
      <x:c r="K810" s="12" t="str">
        <x:f>LEFT("911100006835529627",18)</x:f>
        <x:v>911100006835529600</x:v>
      </x:c>
    </x:row>
    <x:row r="811">
      <x:c r="A811" s="4" t="n">
        <x:v>810</x:v>
      </x:c>
      <x:c r="B811" s="4" t="inlineStr">
        <x:is>
          <x:t xml:space="preserve">601288</x:t>
        </x:is>
      </x:c>
      <x:c r="C811" s="5" t="inlineStr">
        <x:is>
          <x:t xml:space="preserve">农业银行</x:t>
        </x:is>
      </x:c>
      <x:c r="D811" s="5" t="inlineStr">
        <x:is>
          <x:t xml:space="preserve">中国农业银行股份有限公司</x:t>
        </x:is>
      </x:c>
      <x:c r="E811" s="4" t="inlineStr">
        <x:is>
          <x:t xml:space="preserve">北京市</x:t>
        </x:is>
      </x:c>
      <x:c r="F811" s="4" t="inlineStr">
        <x:is>
          <x:t xml:space="preserve">北京市</x:t>
        </x:is>
      </x:c>
      <x:c r="G811" s="5" t="inlineStr">
        <x:is>
          <x:t xml:space="preserve">北京市-北京市</x:t>
        </x:is>
      </x:c>
      <x:c r="H811" s="4" t="inlineStr">
        <x:is>
          <x:t xml:space="preserve">银行</x:t>
        </x:is>
      </x:c>
      <x:c r="I811" s="4" t="inlineStr">
        <x:is>
          <x:t xml:space="preserve">2010-07-15</x:t>
        </x:is>
      </x:c>
      <x:c r="J811" s="5" t="inlineStr">
        <x:is>
          <x:t xml:space="preserve">中国北京市东城区建国门内大街69号</x:t>
        </x:is>
      </x:c>
      <x:c r="K811" s="12" t="str">
        <x:f>LEFT("911100001000054748",18)</x:f>
        <x:v>911100001000054800</x:v>
      </x:c>
    </x:row>
    <x:row r="812">
      <x:c r="A812" s="2" t="n">
        <x:v>811</x:v>
      </x:c>
      <x:c r="B812" s="2" t="inlineStr">
        <x:is>
          <x:t xml:space="preserve">601319</x:t>
        </x:is>
      </x:c>
      <x:c r="C812" s="3" t="inlineStr">
        <x:is>
          <x:t xml:space="preserve">中国人保</x:t>
        </x:is>
      </x:c>
      <x:c r="D812" s="3" t="inlineStr">
        <x:is>
          <x:t xml:space="preserve">中国人民保险集团股份有限公司</x:t>
        </x:is>
      </x:c>
      <x:c r="E812" s="2" t="inlineStr">
        <x:is>
          <x:t xml:space="preserve">北京市</x:t>
        </x:is>
      </x:c>
      <x:c r="F812" s="2" t="inlineStr">
        <x:is>
          <x:t xml:space="preserve">北京市</x:t>
        </x:is>
      </x:c>
      <x:c r="G812" s="3" t="inlineStr">
        <x:is>
          <x:t xml:space="preserve">北京市-北京市</x:t>
        </x:is>
      </x:c>
      <x:c r="H812" s="2" t="inlineStr">
        <x:is>
          <x:t xml:space="preserve">保险</x:t>
        </x:is>
      </x:c>
      <x:c r="I812" s="2" t="inlineStr">
        <x:is>
          <x:t xml:space="preserve">2018-11-16</x:t>
        </x:is>
      </x:c>
      <x:c r="J812" s="3" t="inlineStr">
        <x:is>
          <x:t xml:space="preserve">中国北京市西城区西长安街88号1-13层</x:t>
        </x:is>
      </x:c>
      <x:c r="K812" s="12" t="str">
        <x:f>LEFT("911000001000237368",18)</x:f>
        <x:v>911000001000237300</x:v>
      </x:c>
    </x:row>
    <x:row r="813">
      <x:c r="A813" s="4" t="n">
        <x:v>812</x:v>
      </x:c>
      <x:c r="B813" s="4" t="inlineStr">
        <x:is>
          <x:t xml:space="preserve">601336</x:t>
        </x:is>
      </x:c>
      <x:c r="C813" s="5" t="inlineStr">
        <x:is>
          <x:t xml:space="preserve">新华保险</x:t>
        </x:is>
      </x:c>
      <x:c r="D813" s="5" t="inlineStr">
        <x:is>
          <x:t xml:space="preserve">新华人寿保险股份有限公司</x:t>
        </x:is>
      </x:c>
      <x:c r="E813" s="4" t="inlineStr">
        <x:is>
          <x:t xml:space="preserve">北京市</x:t>
        </x:is>
      </x:c>
      <x:c r="F813" s="4" t="inlineStr">
        <x:is>
          <x:t xml:space="preserve">北京市</x:t>
        </x:is>
      </x:c>
      <x:c r="G813" s="5" t="inlineStr">
        <x:is>
          <x:t xml:space="preserve">北京市-北京市</x:t>
        </x:is>
      </x:c>
      <x:c r="H813" s="4" t="inlineStr">
        <x:is>
          <x:t xml:space="preserve">保险</x:t>
        </x:is>
      </x:c>
      <x:c r="I813" s="4" t="inlineStr">
        <x:is>
          <x:t xml:space="preserve">2011-12-16</x:t>
        </x:is>
      </x:c>
      <x:c r="J813" s="5" t="inlineStr">
        <x:is>
          <x:t xml:space="preserve">中国北京市延庆区湖南东路16号(中关村延庆园)</x:t>
        </x:is>
      </x:c>
      <x:c r="K813" s="12" t="str">
        <x:f>LEFT("911100001000238753",18)</x:f>
        <x:v>911100001000238700</x:v>
      </x:c>
    </x:row>
    <x:row r="814">
      <x:c r="A814" s="2" t="n">
        <x:v>813</x:v>
      </x:c>
      <x:c r="B814" s="2" t="inlineStr">
        <x:is>
          <x:t xml:space="preserve">601390</x:t>
        </x:is>
      </x:c>
      <x:c r="C814" s="3" t="inlineStr">
        <x:is>
          <x:t xml:space="preserve">中国中铁</x:t>
        </x:is>
      </x:c>
      <x:c r="D814" s="3" t="inlineStr">
        <x:is>
          <x:t xml:space="preserve">中国中铁股份有限公司</x:t>
        </x:is>
      </x:c>
      <x:c r="E814" s="2" t="inlineStr">
        <x:is>
          <x:t xml:space="preserve">北京市</x:t>
        </x:is>
      </x:c>
      <x:c r="F814" s="2" t="inlineStr">
        <x:is>
          <x:t xml:space="preserve">北京市</x:t>
        </x:is>
      </x:c>
      <x:c r="G814" s="3" t="inlineStr">
        <x:is>
          <x:t xml:space="preserve">北京市-北京市</x:t>
        </x:is>
      </x:c>
      <x:c r="H814" s="2" t="inlineStr">
        <x:is>
          <x:t xml:space="preserve">工程建设</x:t>
        </x:is>
      </x:c>
      <x:c r="I814" s="2" t="inlineStr">
        <x:is>
          <x:t xml:space="preserve">2007-12-03</x:t>
        </x:is>
      </x:c>
      <x:c r="J814" s="3" t="inlineStr">
        <x:is>
          <x:t xml:space="preserve">北京市丰台区南四环西路128号院1号楼918</x:t>
        </x:is>
      </x:c>
      <x:c r="K814" s="12" t="str">
        <x:f>LEFT("91110000710935003U",18)</x:f>
        <x:v>91110000710935003U</x:v>
      </x:c>
    </x:row>
    <x:row r="815">
      <x:c r="A815" s="4" t="n">
        <x:v>814</x:v>
      </x:c>
      <x:c r="B815" s="4" t="inlineStr">
        <x:is>
          <x:t xml:space="preserve">601398</x:t>
        </x:is>
      </x:c>
      <x:c r="C815" s="5" t="inlineStr">
        <x:is>
          <x:t xml:space="preserve">工商银行</x:t>
        </x:is>
      </x:c>
      <x:c r="D815" s="5" t="inlineStr">
        <x:is>
          <x:t xml:space="preserve">中国工商银行股份有限公司</x:t>
        </x:is>
      </x:c>
      <x:c r="E815" s="4" t="inlineStr">
        <x:is>
          <x:t xml:space="preserve">北京市</x:t>
        </x:is>
      </x:c>
      <x:c r="F815" s="4" t="inlineStr">
        <x:is>
          <x:t xml:space="preserve">北京市</x:t>
        </x:is>
      </x:c>
      <x:c r="G815" s="5" t="inlineStr">
        <x:is>
          <x:t xml:space="preserve">北京市-北京市</x:t>
        </x:is>
      </x:c>
      <x:c r="H815" s="4" t="inlineStr">
        <x:is>
          <x:t xml:space="preserve">银行</x:t>
        </x:is>
      </x:c>
      <x:c r="I815" s="4" t="inlineStr">
        <x:is>
          <x:t xml:space="preserve">2006-10-27</x:t>
        </x:is>
      </x:c>
      <x:c r="J815" s="5" t="inlineStr">
        <x:is>
          <x:t xml:space="preserve">中国北京市西城区复兴门内大街55号</x:t>
        </x:is>
      </x:c>
      <x:c r="K815" s="12" t="str">
        <x:f>LEFT("91100000100003962T",18)</x:f>
        <x:v>91100000100003962T</x:v>
      </x:c>
    </x:row>
    <x:row r="816">
      <x:c r="A816" s="2" t="n">
        <x:v>815</x:v>
      </x:c>
      <x:c r="B816" s="2" t="inlineStr">
        <x:is>
          <x:t xml:space="preserve">601588</x:t>
        </x:is>
      </x:c>
      <x:c r="C816" s="3" t="inlineStr">
        <x:is>
          <x:t xml:space="preserve">北辰实业</x:t>
        </x:is>
      </x:c>
      <x:c r="D816" s="3" t="inlineStr">
        <x:is>
          <x:t xml:space="preserve">北京北辰实业股份有限公司</x:t>
        </x:is>
      </x:c>
      <x:c r="E816" s="2" t="inlineStr">
        <x:is>
          <x:t xml:space="preserve">北京市</x:t>
        </x:is>
      </x:c>
      <x:c r="F816" s="2" t="inlineStr">
        <x:is>
          <x:t xml:space="preserve">北京市</x:t>
        </x:is>
      </x:c>
      <x:c r="G816" s="3" t="inlineStr">
        <x:is>
          <x:t xml:space="preserve">北京市-北京市</x:t>
        </x:is>
      </x:c>
      <x:c r="H816" s="2" t="inlineStr">
        <x:is>
          <x:t xml:space="preserve">房地产服务</x:t>
        </x:is>
      </x:c>
      <x:c r="I816" s="2" t="inlineStr">
        <x:is>
          <x:t xml:space="preserve">2006-10-16</x:t>
        </x:is>
      </x:c>
      <x:c r="J816" s="3" t="inlineStr">
        <x:is>
          <x:t xml:space="preserve">北京市朝阳区北辰东路8号</x:t>
        </x:is>
      </x:c>
      <x:c r="K816" s="12" t="str">
        <x:f>LEFT("91110000633791930G",18)</x:f>
        <x:v>91110000633791930G</x:v>
      </x:c>
    </x:row>
    <x:row r="817">
      <x:c r="A817" s="4" t="n">
        <x:v>816</x:v>
      </x:c>
      <x:c r="B817" s="4" t="inlineStr">
        <x:is>
          <x:t xml:space="preserve">601598</x:t>
        </x:is>
      </x:c>
      <x:c r="C817" s="5" t="inlineStr">
        <x:is>
          <x:t xml:space="preserve">中国外运</x:t>
        </x:is>
      </x:c>
      <x:c r="D817" s="5" t="inlineStr">
        <x:is>
          <x:t xml:space="preserve">中国外运股份有限公司</x:t>
        </x:is>
      </x:c>
      <x:c r="E817" s="4" t="inlineStr">
        <x:is>
          <x:t xml:space="preserve">北京市</x:t>
        </x:is>
      </x:c>
      <x:c r="F817" s="4" t="inlineStr">
        <x:is>
          <x:t xml:space="preserve">北京市</x:t>
        </x:is>
      </x:c>
      <x:c r="G817" s="5" t="inlineStr">
        <x:is>
          <x:t xml:space="preserve">北京市-北京市</x:t>
        </x:is>
      </x:c>
      <x:c r="H817" s="4" t="inlineStr">
        <x:is>
          <x:t xml:space="preserve">交运物流</x:t>
        </x:is>
      </x:c>
      <x:c r="I817" s="4" t="inlineStr">
        <x:is>
          <x:t xml:space="preserve">2019-01-18</x:t>
        </x:is>
      </x:c>
      <x:c r="J817" s="5" t="inlineStr">
        <x:is>
          <x:t xml:space="preserve">北京市朝阳区安定路5号院10号楼1至22层101内十一层1101,中国香港葵青区青衣航运路38号,招商局物流中心13楼A</x:t>
        </x:is>
      </x:c>
      <x:c r="K817" s="12" t="str">
        <x:f>LEFT("911100007109305601",18)</x:f>
        <x:v>911100007109305600</x:v>
      </x:c>
    </x:row>
    <x:row r="818">
      <x:c r="A818" s="2" t="n">
        <x:v>817</x:v>
      </x:c>
      <x:c r="B818" s="2" t="inlineStr">
        <x:is>
          <x:t xml:space="preserve">601600</x:t>
        </x:is>
      </x:c>
      <x:c r="C818" s="3" t="inlineStr">
        <x:is>
          <x:t xml:space="preserve">中国铝业</x:t>
        </x:is>
      </x:c>
      <x:c r="D818" s="3" t="inlineStr">
        <x:is>
          <x:t xml:space="preserve">中国铝业股份有限公司</x:t>
        </x:is>
      </x:c>
      <x:c r="E818" s="2" t="inlineStr">
        <x:is>
          <x:t xml:space="preserve">北京市</x:t>
        </x:is>
      </x:c>
      <x:c r="F818" s="2" t="inlineStr">
        <x:is>
          <x:t xml:space="preserve">北京市</x:t>
        </x:is>
      </x:c>
      <x:c r="G818" s="3" t="inlineStr">
        <x:is>
          <x:t xml:space="preserve">北京市-北京市</x:t>
        </x:is>
      </x:c>
      <x:c r="H818" s="2" t="inlineStr">
        <x:is>
          <x:t xml:space="preserve">有色金属</x:t>
        </x:is>
      </x:c>
      <x:c r="I818" s="2" t="inlineStr">
        <x:is>
          <x:t xml:space="preserve">2007-04-30</x:t>
        </x:is>
      </x:c>
      <x:c r="J818" s="3" t="inlineStr">
        <x:is>
          <x:t xml:space="preserve">中国北京海淀区西直门北大街62号</x:t>
        </x:is>
      </x:c>
      <x:c r="K818" s="12" t="str">
        <x:f>LEFT("911100007109288314",18)</x:f>
        <x:v>911100007109288300</x:v>
      </x:c>
    </x:row>
    <x:row r="819">
      <x:c r="A819" s="4" t="n">
        <x:v>818</x:v>
      </x:c>
      <x:c r="B819" s="4" t="inlineStr">
        <x:is>
          <x:t xml:space="preserve">601618</x:t>
        </x:is>
      </x:c>
      <x:c r="C819" s="5" t="inlineStr">
        <x:is>
          <x:t xml:space="preserve">中国中冶</x:t>
        </x:is>
      </x:c>
      <x:c r="D819" s="5" t="inlineStr">
        <x:is>
          <x:t xml:space="preserve">中国冶金科工股份有限公司</x:t>
        </x:is>
      </x:c>
      <x:c r="E819" s="4" t="inlineStr">
        <x:is>
          <x:t xml:space="preserve">北京市</x:t>
        </x:is>
      </x:c>
      <x:c r="F819" s="4" t="inlineStr">
        <x:is>
          <x:t xml:space="preserve">北京市</x:t>
        </x:is>
      </x:c>
      <x:c r="G819" s="5" t="inlineStr">
        <x:is>
          <x:t xml:space="preserve">北京市-北京市</x:t>
        </x:is>
      </x:c>
      <x:c r="H819" s="4" t="inlineStr">
        <x:is>
          <x:t xml:space="preserve">工程建设</x:t>
        </x:is>
      </x:c>
      <x:c r="I819" s="4" t="inlineStr">
        <x:is>
          <x:t xml:space="preserve">2009-09-21</x:t>
        </x:is>
      </x:c>
      <x:c r="J819" s="5" t="inlineStr">
        <x:is>
          <x:t xml:space="preserve">北京市朝阳区曙光西里28号</x:t>
        </x:is>
      </x:c>
      <x:c r="K819" s="12" t="str">
        <x:f>LEFT("91110000710935716X",18)</x:f>
        <x:v>91110000710935716X</x:v>
      </x:c>
    </x:row>
    <x:row r="820">
      <x:c r="A820" s="2" t="n">
        <x:v>819</x:v>
      </x:c>
      <x:c r="B820" s="2" t="inlineStr">
        <x:is>
          <x:t xml:space="preserve">601628</x:t>
        </x:is>
      </x:c>
      <x:c r="C820" s="3" t="inlineStr">
        <x:is>
          <x:t xml:space="preserve">中国人寿</x:t>
        </x:is>
      </x:c>
      <x:c r="D820" s="3" t="inlineStr">
        <x:is>
          <x:t xml:space="preserve">中国人寿保险股份有限公司</x:t>
        </x:is>
      </x:c>
      <x:c r="E820" s="2" t="inlineStr">
        <x:is>
          <x:t xml:space="preserve">北京市</x:t>
        </x:is>
      </x:c>
      <x:c r="F820" s="2" t="inlineStr">
        <x:is>
          <x:t xml:space="preserve">北京市</x:t>
        </x:is>
      </x:c>
      <x:c r="G820" s="3" t="inlineStr">
        <x:is>
          <x:t xml:space="preserve">北京市-北京市</x:t>
        </x:is>
      </x:c>
      <x:c r="H820" s="2" t="inlineStr">
        <x:is>
          <x:t xml:space="preserve">保险</x:t>
        </x:is>
      </x:c>
      <x:c r="I820" s="2" t="inlineStr">
        <x:is>
          <x:t xml:space="preserve">2007-01-09</x:t>
        </x:is>
      </x:c>
      <x:c r="J820" s="3" t="inlineStr">
        <x:is>
          <x:t xml:space="preserve">北京市西城区金融大街16号</x:t>
        </x:is>
      </x:c>
      <x:c r="K820" s="12" t="str">
        <x:f>LEFT("9110000071092841XX",18)</x:f>
        <x:v>9110000071092841XX</x:v>
      </x:c>
    </x:row>
    <x:row r="821">
      <x:c r="A821" s="4" t="n">
        <x:v>820</x:v>
      </x:c>
      <x:c r="B821" s="4" t="inlineStr">
        <x:is>
          <x:t xml:space="preserve">601658</x:t>
        </x:is>
      </x:c>
      <x:c r="C821" s="5" t="inlineStr">
        <x:is>
          <x:t xml:space="preserve">邮储银行</x:t>
        </x:is>
      </x:c>
      <x:c r="D821" s="5" t="inlineStr">
        <x:is>
          <x:t xml:space="preserve">中国邮政储蓄银行股份有限公司</x:t>
        </x:is>
      </x:c>
      <x:c r="E821" s="4" t="inlineStr">
        <x:is>
          <x:t xml:space="preserve">北京市</x:t>
        </x:is>
      </x:c>
      <x:c r="F821" s="4" t="inlineStr">
        <x:is>
          <x:t xml:space="preserve">北京市</x:t>
        </x:is>
      </x:c>
      <x:c r="G821" s="5" t="inlineStr">
        <x:is>
          <x:t xml:space="preserve">北京市-北京市</x:t>
        </x:is>
      </x:c>
      <x:c r="H821" s="4" t="inlineStr">
        <x:is>
          <x:t xml:space="preserve">银行</x:t>
        </x:is>
      </x:c>
      <x:c r="I821" s="4" t="inlineStr">
        <x:is>
          <x:t xml:space="preserve">2019-12-10</x:t>
        </x:is>
      </x:c>
      <x:c r="J821" s="5" t="inlineStr">
        <x:is>
          <x:t xml:space="preserve">北京市西城区金融大街3号</x:t>
        </x:is>
      </x:c>
      <x:c r="K821" s="12" t="str">
        <x:f>LEFT("9111000071093465XC",18)</x:f>
        <x:v>9111000071093465XC</x:v>
      </x:c>
    </x:row>
    <x:row r="822">
      <x:c r="A822" s="2" t="n">
        <x:v>821</x:v>
      </x:c>
      <x:c r="B822" s="2" t="inlineStr">
        <x:is>
          <x:t xml:space="preserve">601668</x:t>
        </x:is>
      </x:c>
      <x:c r="C822" s="3" t="inlineStr">
        <x:is>
          <x:t xml:space="preserve">中国建筑</x:t>
        </x:is>
      </x:c>
      <x:c r="D822" s="3" t="inlineStr">
        <x:is>
          <x:t xml:space="preserve">中国建筑股份有限公司</x:t>
        </x:is>
      </x:c>
      <x:c r="E822" s="2" t="inlineStr">
        <x:is>
          <x:t xml:space="preserve">北京市</x:t>
        </x:is>
      </x:c>
      <x:c r="F822" s="2" t="inlineStr">
        <x:is>
          <x:t xml:space="preserve">北京市</x:t>
        </x:is>
      </x:c>
      <x:c r="G822" s="3" t="inlineStr">
        <x:is>
          <x:t xml:space="preserve">北京市-北京市</x:t>
        </x:is>
      </x:c>
      <x:c r="H822" s="2" t="inlineStr">
        <x:is>
          <x:t xml:space="preserve">工程建设</x:t>
        </x:is>
      </x:c>
      <x:c r="I822" s="2" t="inlineStr">
        <x:is>
          <x:t xml:space="preserve">2009-07-29</x:t>
        </x:is>
      </x:c>
      <x:c r="J822" s="3" t="inlineStr">
        <x:is>
          <x:t xml:space="preserve">北京市海淀区三里河路15号</x:t>
        </x:is>
      </x:c>
      <x:c r="K822" s="12" t="str">
        <x:f>LEFT("911100007109351850",18)</x:f>
        <x:v>911100007109351800</x:v>
      </x:c>
    </x:row>
    <x:row r="823">
      <x:c r="A823" s="4" t="n">
        <x:v>822</x:v>
      </x:c>
      <x:c r="B823" s="4" t="inlineStr">
        <x:is>
          <x:t xml:space="preserve">601669</x:t>
        </x:is>
      </x:c>
      <x:c r="C823" s="5" t="inlineStr">
        <x:is>
          <x:t xml:space="preserve">中国电建</x:t>
        </x:is>
      </x:c>
      <x:c r="D823" s="5" t="inlineStr">
        <x:is>
          <x:t xml:space="preserve">中国电力建设股份有限公司</x:t>
        </x:is>
      </x:c>
      <x:c r="E823" s="4" t="inlineStr">
        <x:is>
          <x:t xml:space="preserve">北京市</x:t>
        </x:is>
      </x:c>
      <x:c r="F823" s="4" t="inlineStr">
        <x:is>
          <x:t xml:space="preserve">北京市</x:t>
        </x:is>
      </x:c>
      <x:c r="G823" s="5" t="inlineStr">
        <x:is>
          <x:t xml:space="preserve">北京市-北京市</x:t>
        </x:is>
      </x:c>
      <x:c r="H823" s="4" t="inlineStr">
        <x:is>
          <x:t xml:space="preserve">工程建设</x:t>
        </x:is>
      </x:c>
      <x:c r="I823" s="4" t="inlineStr">
        <x:is>
          <x:t xml:space="preserve">2011-10-18</x:t>
        </x:is>
      </x:c>
      <x:c r="J823" s="5" t="inlineStr">
        <x:is>
          <x:t xml:space="preserve">北京市海淀区玲珑巷路1号院1号楼</x:t>
        </x:is>
      </x:c>
      <x:c r="K823" s="12" t="str">
        <x:f>LEFT("91110000717825966F",18)</x:f>
        <x:v>91110000717825966F</x:v>
      </x:c>
    </x:row>
    <x:row r="824">
      <x:c r="A824" s="2" t="n">
        <x:v>823</x:v>
      </x:c>
      <x:c r="B824" s="2" t="inlineStr">
        <x:is>
          <x:t xml:space="preserve">601698</x:t>
        </x:is>
      </x:c>
      <x:c r="C824" s="3" t="inlineStr">
        <x:is>
          <x:t xml:space="preserve">中国卫通</x:t>
        </x:is>
      </x:c>
      <x:c r="D824" s="3" t="inlineStr">
        <x:is>
          <x:t xml:space="preserve">中国卫通集团股份有限公司</x:t>
        </x:is>
      </x:c>
      <x:c r="E824" s="2" t="inlineStr">
        <x:is>
          <x:t xml:space="preserve">北京市</x:t>
        </x:is>
      </x:c>
      <x:c r="F824" s="2" t="inlineStr">
        <x:is>
          <x:t xml:space="preserve">北京市</x:t>
        </x:is>
      </x:c>
      <x:c r="G824" s="3" t="inlineStr">
        <x:is>
          <x:t xml:space="preserve">北京市-北京市</x:t>
        </x:is>
      </x:c>
      <x:c r="H824" s="2" t="inlineStr">
        <x:is>
          <x:t xml:space="preserve">通信服务</x:t>
        </x:is>
      </x:c>
      <x:c r="I824" s="2" t="inlineStr">
        <x:is>
          <x:t xml:space="preserve">2019-06-28</x:t>
        </x:is>
      </x:c>
      <x:c r="J824" s="3" t="inlineStr">
        <x:is>
          <x:t xml:space="preserve">北京市海淀区后厂村路59号</x:t>
        </x:is>
      </x:c>
      <x:c r="K824" s="12" t="str">
        <x:f>LEFT("91110000710929113P",18)</x:f>
        <x:v>91110000710929113P</x:v>
      </x:c>
    </x:row>
    <x:row r="825">
      <x:c r="A825" s="4" t="n">
        <x:v>824</x:v>
      </x:c>
      <x:c r="B825" s="4" t="inlineStr">
        <x:is>
          <x:t xml:space="preserve">601718</x:t>
        </x:is>
      </x:c>
      <x:c r="C825" s="5" t="inlineStr">
        <x:is>
          <x:t xml:space="preserve">际华集团</x:t>
        </x:is>
      </x:c>
      <x:c r="D825" s="5" t="inlineStr">
        <x:is>
          <x:t xml:space="preserve">际华集团股份有限公司</x:t>
        </x:is>
      </x:c>
      <x:c r="E825" s="4" t="inlineStr">
        <x:is>
          <x:t xml:space="preserve">北京市</x:t>
        </x:is>
      </x:c>
      <x:c r="F825" s="4" t="inlineStr">
        <x:is>
          <x:t xml:space="preserve">北京市</x:t>
        </x:is>
      </x:c>
      <x:c r="G825" s="5" t="inlineStr">
        <x:is>
          <x:t xml:space="preserve">北京市-北京市</x:t>
        </x:is>
      </x:c>
      <x:c r="H825" s="4" t="inlineStr">
        <x:is>
          <x:t xml:space="preserve">纺织服装</x:t>
        </x:is>
      </x:c>
      <x:c r="I825" s="4" t="inlineStr">
        <x:is>
          <x:t xml:space="preserve">2010-08-16</x:t>
        </x:is>
      </x:c>
      <x:c r="J825" s="5" t="inlineStr">
        <x:is>
          <x:t xml:space="preserve">北京市大兴区广茂大街44号院2号楼</x:t>
        </x:is>
      </x:c>
      <x:c r="K825" s="12" t="str">
        <x:f>LEFT("91110000710934270X",18)</x:f>
        <x:v>91110000710934270X</x:v>
      </x:c>
    </x:row>
    <x:row r="826">
      <x:c r="A826" s="2" t="n">
        <x:v>825</x:v>
      </x:c>
      <x:c r="B826" s="2" t="inlineStr">
        <x:is>
          <x:t xml:space="preserve">601728</x:t>
        </x:is>
      </x:c>
      <x:c r="C826" s="3" t="inlineStr">
        <x:is>
          <x:t xml:space="preserve">中国电信</x:t>
        </x:is>
      </x:c>
      <x:c r="D826" s="3" t="inlineStr">
        <x:is>
          <x:t xml:space="preserve">中国电信股份有限公司</x:t>
        </x:is>
      </x:c>
      <x:c r="E826" s="2" t="inlineStr">
        <x:is>
          <x:t xml:space="preserve">北京市</x:t>
        </x:is>
      </x:c>
      <x:c r="F826" s="2" t="inlineStr">
        <x:is>
          <x:t xml:space="preserve">北京市</x:t>
        </x:is>
      </x:c>
      <x:c r="G826" s="3" t="inlineStr">
        <x:is>
          <x:t xml:space="preserve">北京市-北京市</x:t>
        </x:is>
      </x:c>
      <x:c r="H826" s="2" t="inlineStr">
        <x:is>
          <x:t xml:space="preserve">电信运营</x:t>
        </x:is>
      </x:c>
      <x:c r="I826" s="2" t="inlineStr">
        <x:is>
          <x:t xml:space="preserve">2021-08-20</x:t>
        </x:is>
      </x:c>
      <x:c r="J826" s="3" t="inlineStr">
        <x:is>
          <x:t xml:space="preserve">北京市西城区金融大街31号</x:t>
        </x:is>
      </x:c>
      <x:c r="K826" s="12" t="str">
        <x:f>LEFT("9111000071093019X7",18)</x:f>
        <x:v>9111000071093019X7</x:v>
      </x:c>
    </x:row>
    <x:row r="827">
      <x:c r="A827" s="4" t="n">
        <x:v>826</x:v>
      </x:c>
      <x:c r="B827" s="4" t="inlineStr">
        <x:is>
          <x:t xml:space="preserve">601766</x:t>
        </x:is>
      </x:c>
      <x:c r="C827" s="5" t="inlineStr">
        <x:is>
          <x:t xml:space="preserve">中国中车</x:t>
        </x:is>
      </x:c>
      <x:c r="D827" s="5" t="inlineStr">
        <x:is>
          <x:t xml:space="preserve">中国中车股份有限公司</x:t>
        </x:is>
      </x:c>
      <x:c r="E827" s="4" t="inlineStr">
        <x:is>
          <x:t xml:space="preserve">北京市</x:t>
        </x:is>
      </x:c>
      <x:c r="F827" s="4" t="inlineStr">
        <x:is>
          <x:t xml:space="preserve">北京市</x:t>
        </x:is>
      </x:c>
      <x:c r="G827" s="5" t="inlineStr">
        <x:is>
          <x:t xml:space="preserve">北京市-北京市</x:t>
        </x:is>
      </x:c>
      <x:c r="H827" s="4" t="inlineStr">
        <x:is>
          <x:t xml:space="preserve">交运设备</x:t>
        </x:is>
      </x:c>
      <x:c r="I827" s="4" t="inlineStr">
        <x:is>
          <x:t xml:space="preserve">2008-08-18</x:t>
        </x:is>
      </x:c>
      <x:c r="J827" s="5" t="inlineStr">
        <x:is>
          <x:t xml:space="preserve">北京市海淀区西四环中路16号</x:t>
        </x:is>
      </x:c>
      <x:c r="K827" s="12" t="str">
        <x:f>LEFT("911100007109352226",18)</x:f>
        <x:v>911100007109352200</x:v>
      </x:c>
    </x:row>
    <x:row r="828">
      <x:c r="A828" s="2" t="n">
        <x:v>827</x:v>
      </x:c>
      <x:c r="B828" s="2" t="inlineStr">
        <x:is>
          <x:t xml:space="preserve">601800</x:t>
        </x:is>
      </x:c>
      <x:c r="C828" s="3" t="inlineStr">
        <x:is>
          <x:t xml:space="preserve">中国交建</x:t>
        </x:is>
      </x:c>
      <x:c r="D828" s="3" t="inlineStr">
        <x:is>
          <x:t xml:space="preserve">中国交通建设股份有限公司</x:t>
        </x:is>
      </x:c>
      <x:c r="E828" s="2" t="inlineStr">
        <x:is>
          <x:t xml:space="preserve">北京市</x:t>
        </x:is>
      </x:c>
      <x:c r="F828" s="2" t="inlineStr">
        <x:is>
          <x:t xml:space="preserve">北京市</x:t>
        </x:is>
      </x:c>
      <x:c r="G828" s="3" t="inlineStr">
        <x:is>
          <x:t xml:space="preserve">北京市-北京市</x:t>
        </x:is>
      </x:c>
      <x:c r="H828" s="2" t="inlineStr">
        <x:is>
          <x:t xml:space="preserve">工程建设</x:t>
        </x:is>
      </x:c>
      <x:c r="I828" s="2" t="inlineStr">
        <x:is>
          <x:t xml:space="preserve">2012-03-09</x:t>
        </x:is>
      </x:c>
      <x:c r="J828" s="3" t="inlineStr">
        <x:is>
          <x:t xml:space="preserve">中国北京市西城区德胜门外大街85号</x:t>
        </x:is>
      </x:c>
      <x:c r="K828" s="12" t="str">
        <x:f>LEFT("91110000710934369E",18)</x:f>
        <x:v>91110000710934369E</x:v>
      </x:c>
    </x:row>
    <x:row r="829">
      <x:c r="A829" s="4" t="n">
        <x:v>828</x:v>
      </x:c>
      <x:c r="B829" s="4" t="inlineStr">
        <x:is>
          <x:t xml:space="preserve">601816</x:t>
        </x:is>
      </x:c>
      <x:c r="C829" s="5" t="inlineStr">
        <x:is>
          <x:t xml:space="preserve">京沪高铁</x:t>
        </x:is>
      </x:c>
      <x:c r="D829" s="5" t="inlineStr">
        <x:is>
          <x:t xml:space="preserve">京沪高速铁路股份有限公司</x:t>
        </x:is>
      </x:c>
      <x:c r="E829" s="4" t="inlineStr">
        <x:is>
          <x:t xml:space="preserve">北京市</x:t>
        </x:is>
      </x:c>
      <x:c r="F829" s="4" t="inlineStr">
        <x:is>
          <x:t xml:space="preserve">北京市</x:t>
        </x:is>
      </x:c>
      <x:c r="G829" s="5" t="inlineStr">
        <x:is>
          <x:t xml:space="preserve">北京市-北京市</x:t>
        </x:is>
      </x:c>
      <x:c r="H829" s="4" t="inlineStr">
        <x:is>
          <x:t xml:space="preserve">交运物流</x:t>
        </x:is>
      </x:c>
      <x:c r="I829" s="4" t="inlineStr">
        <x:is>
          <x:t xml:space="preserve">2020-01-16</x:t>
        </x:is>
      </x:c>
      <x:c r="J829" s="5" t="inlineStr">
        <x:is>
          <x:t xml:space="preserve">北京市海淀区北蜂窝路5号院1号写字楼第三、四层</x:t>
        </x:is>
      </x:c>
      <x:c r="K829" s="12" t="str">
        <x:f>LEFT("91110000710935257Q",18)</x:f>
        <x:v>91110000710935257Q</x:v>
      </x:c>
    </x:row>
    <x:row r="830">
      <x:c r="A830" s="2" t="n">
        <x:v>829</x:v>
      </x:c>
      <x:c r="B830" s="2" t="inlineStr">
        <x:is>
          <x:t xml:space="preserve">601818</x:t>
        </x:is>
      </x:c>
      <x:c r="C830" s="3" t="inlineStr">
        <x:is>
          <x:t xml:space="preserve">光大银行</x:t>
        </x:is>
      </x:c>
      <x:c r="D830" s="3" t="inlineStr">
        <x:is>
          <x:t xml:space="preserve">中国光大银行股份有限公司</x:t>
        </x:is>
      </x:c>
      <x:c r="E830" s="2" t="inlineStr">
        <x:is>
          <x:t xml:space="preserve">北京市</x:t>
        </x:is>
      </x:c>
      <x:c r="F830" s="2" t="inlineStr">
        <x:is>
          <x:t xml:space="preserve">北京市</x:t>
        </x:is>
      </x:c>
      <x:c r="G830" s="3" t="inlineStr">
        <x:is>
          <x:t xml:space="preserve">北京市-北京市</x:t>
        </x:is>
      </x:c>
      <x:c r="H830" s="2" t="inlineStr">
        <x:is>
          <x:t xml:space="preserve">银行</x:t>
        </x:is>
      </x:c>
      <x:c r="I830" s="2" t="inlineStr">
        <x:is>
          <x:t xml:space="preserve">2010-08-18</x:t>
        </x:is>
      </x:c>
      <x:c r="J830" s="3" t="inlineStr">
        <x:is>
          <x:t xml:space="preserve">中国北京市西城区太平桥大街25号、甲25号中国光大中心</x:t>
        </x:is>
      </x:c>
      <x:c r="K830" s="12" t="str">
        <x:f>LEFT("91110000100011743X",18)</x:f>
        <x:v>91110000100011743X</x:v>
      </x:c>
    </x:row>
    <x:row r="831">
      <x:c r="A831" s="4" t="n">
        <x:v>830</x:v>
      </x:c>
      <x:c r="B831" s="4" t="inlineStr">
        <x:is>
          <x:t xml:space="preserve">601857</x:t>
        </x:is>
      </x:c>
      <x:c r="C831" s="5" t="inlineStr">
        <x:is>
          <x:t xml:space="preserve">中国石油</x:t>
        </x:is>
      </x:c>
      <x:c r="D831" s="5" t="inlineStr">
        <x:is>
          <x:t xml:space="preserve">中国石油天然气股份有限公司</x:t>
        </x:is>
      </x:c>
      <x:c r="E831" s="4" t="inlineStr">
        <x:is>
          <x:t xml:space="preserve">北京市</x:t>
        </x:is>
      </x:c>
      <x:c r="F831" s="4" t="inlineStr">
        <x:is>
          <x:t xml:space="preserve">北京市</x:t>
        </x:is>
      </x:c>
      <x:c r="G831" s="5" t="inlineStr">
        <x:is>
          <x:t xml:space="preserve">北京市-北京市</x:t>
        </x:is>
      </x:c>
      <x:c r="H831" s="4" t="inlineStr">
        <x:is>
          <x:t xml:space="preserve">石油行业</x:t>
        </x:is>
      </x:c>
      <x:c r="I831" s="4" t="inlineStr">
        <x:is>
          <x:t xml:space="preserve">2007-11-05</x:t>
        </x:is>
      </x:c>
      <x:c r="J831" s="5" t="inlineStr">
        <x:is>
          <x:t xml:space="preserve">中国北京东城区安德路16号洲际大厦</x:t>
        </x:is>
      </x:c>
      <x:c r="K831" s="12" t="str">
        <x:f>LEFT("91110000710925462X",18)</x:f>
        <x:v>91110000710925462X</x:v>
      </x:c>
    </x:row>
    <x:row r="832">
      <x:c r="A832" s="2" t="n">
        <x:v>831</x:v>
      </x:c>
      <x:c r="B832" s="2" t="inlineStr">
        <x:is>
          <x:t xml:space="preserve">601858</x:t>
        </x:is>
      </x:c>
      <x:c r="C832" s="3" t="inlineStr">
        <x:is>
          <x:t xml:space="preserve">中国科传</x:t>
        </x:is>
      </x:c>
      <x:c r="D832" s="3" t="inlineStr">
        <x:is>
          <x:t xml:space="preserve">中国科技出版传媒股份有限公司</x:t>
        </x:is>
      </x:c>
      <x:c r="E832" s="2" t="inlineStr">
        <x:is>
          <x:t xml:space="preserve">北京市</x:t>
        </x:is>
      </x:c>
      <x:c r="F832" s="2" t="inlineStr">
        <x:is>
          <x:t xml:space="preserve">北京市</x:t>
        </x:is>
      </x:c>
      <x:c r="G832" s="3" t="inlineStr">
        <x:is>
          <x:t xml:space="preserve">北京市-北京市</x:t>
        </x:is>
      </x:c>
      <x:c r="H832" s="2" t="inlineStr">
        <x:is>
          <x:t xml:space="preserve">文化传媒</x:t>
        </x:is>
      </x:c>
      <x:c r="I832" s="2" t="inlineStr">
        <x:is>
          <x:t xml:space="preserve">2017-01-18</x:t>
        </x:is>
      </x:c>
      <x:c r="J832" s="3" t="inlineStr">
        <x:is>
          <x:t xml:space="preserve">北京市东城区东黄城根北街16号</x:t>
        </x:is>
      </x:c>
      <x:c r="K832" s="12" t="str">
        <x:f>LEFT("911100007109346842",18)</x:f>
        <x:v>911100007109346800</x:v>
      </x:c>
    </x:row>
    <x:row r="833">
      <x:c r="A833" s="4" t="n">
        <x:v>832</x:v>
      </x:c>
      <x:c r="B833" s="4" t="inlineStr">
        <x:is>
          <x:t xml:space="preserve">601868</x:t>
        </x:is>
      </x:c>
      <x:c r="C833" s="5" t="inlineStr">
        <x:is>
          <x:t xml:space="preserve">中国能建</x:t>
        </x:is>
      </x:c>
      <x:c r="D833" s="5" t="inlineStr">
        <x:is>
          <x:t xml:space="preserve">中国能源建设股份有限公司</x:t>
        </x:is>
      </x:c>
      <x:c r="E833" s="4" t="inlineStr">
        <x:is>
          <x:t xml:space="preserve">北京市</x:t>
        </x:is>
      </x:c>
      <x:c r="F833" s="4" t="inlineStr">
        <x:is>
          <x:t xml:space="preserve">北京市</x:t>
        </x:is>
      </x:c>
      <x:c r="G833" s="5" t="inlineStr">
        <x:is>
          <x:t xml:space="preserve">北京市-北京市</x:t>
        </x:is>
      </x:c>
      <x:c r="H833" s="4" t="inlineStr">
        <x:is>
          <x:t xml:space="preserve">工程建设</x:t>
        </x:is>
      </x:c>
      <x:c r="I833" s="4" t="inlineStr">
        <x:is>
          <x:t xml:space="preserve">2021-09-28</x:t>
        </x:is>
      </x:c>
      <x:c r="J833" s="5" t="inlineStr">
        <x:is>
          <x:t xml:space="preserve">北京市朝阳区西大望路甲26号院1号楼1至24层01-2706室</x:t>
        </x:is>
      </x:c>
      <x:c r="K833" s="12" t="str">
        <x:f>LEFT("911100007178398156",18)</x:f>
        <x:v>911100007178398200</x:v>
      </x:c>
    </x:row>
    <x:row r="834">
      <x:c r="A834" s="2" t="n">
        <x:v>833</x:v>
      </x:c>
      <x:c r="B834" s="2" t="inlineStr">
        <x:is>
          <x:t xml:space="preserve">601881</x:t>
        </x:is>
      </x:c>
      <x:c r="C834" s="3" t="inlineStr">
        <x:is>
          <x:t xml:space="preserve">中国银河</x:t>
        </x:is>
      </x:c>
      <x:c r="D834" s="3" t="inlineStr">
        <x:is>
          <x:t xml:space="preserve">中国银河证券股份有限公司</x:t>
        </x:is>
      </x:c>
      <x:c r="E834" s="2" t="inlineStr">
        <x:is>
          <x:t xml:space="preserve">北京市</x:t>
        </x:is>
      </x:c>
      <x:c r="F834" s="2" t="inlineStr">
        <x:is>
          <x:t xml:space="preserve">北京市</x:t>
        </x:is>
      </x:c>
      <x:c r="G834" s="3" t="inlineStr">
        <x:is>
          <x:t xml:space="preserve">北京市-北京市</x:t>
        </x:is>
      </x:c>
      <x:c r="H834" s="2" t="inlineStr">
        <x:is>
          <x:t xml:space="preserve">券商信托</x:t>
        </x:is>
      </x:c>
      <x:c r="I834" s="2" t="inlineStr">
        <x:is>
          <x:t xml:space="preserve">2017-01-23</x:t>
        </x:is>
      </x:c>
      <x:c r="J834" s="3" t="inlineStr">
        <x:is>
          <x:t xml:space="preserve">北京市丰台区西营街8号院1号楼7至18层101</x:t>
        </x:is>
      </x:c>
      <x:c r="K834" s="12" t="str">
        <x:f>LEFT("91110000710934537G",18)</x:f>
        <x:v>91110000710934537G</x:v>
      </x:c>
    </x:row>
    <x:row r="835">
      <x:c r="A835" s="4" t="n">
        <x:v>834</x:v>
      </x:c>
      <x:c r="B835" s="4" t="inlineStr">
        <x:is>
          <x:t xml:space="preserve">601886</x:t>
        </x:is>
      </x:c>
      <x:c r="C835" s="5" t="inlineStr">
        <x:is>
          <x:t xml:space="preserve">江河集团</x:t>
        </x:is>
      </x:c>
      <x:c r="D835" s="5" t="inlineStr">
        <x:is>
          <x:t xml:space="preserve">江河创建集团股份有限公司</x:t>
        </x:is>
      </x:c>
      <x:c r="E835" s="4" t="inlineStr">
        <x:is>
          <x:t xml:space="preserve">北京市</x:t>
        </x:is>
      </x:c>
      <x:c r="F835" s="4" t="inlineStr">
        <x:is>
          <x:t xml:space="preserve">北京市</x:t>
        </x:is>
      </x:c>
      <x:c r="G835" s="5" t="inlineStr">
        <x:is>
          <x:t xml:space="preserve">北京市-北京市</x:t>
        </x:is>
      </x:c>
      <x:c r="H835" s="4" t="inlineStr">
        <x:is>
          <x:t xml:space="preserve">装修装饰</x:t>
        </x:is>
      </x:c>
      <x:c r="I835" s="4" t="inlineStr">
        <x:is>
          <x:t xml:space="preserve">2011-08-18</x:t>
        </x:is>
      </x:c>
      <x:c r="J835" s="5" t="inlineStr">
        <x:is>
          <x:t xml:space="preserve">北京市顺义区牛汇北五街5号</x:t>
        </x:is>
      </x:c>
      <x:c r="K835" s="12" t="str">
        <x:f>LEFT("91110000700217649F",18)</x:f>
        <x:v>91110000700217649F</x:v>
      </x:c>
    </x:row>
    <x:row r="836">
      <x:c r="A836" s="2" t="n">
        <x:v>835</x:v>
      </x:c>
      <x:c r="B836" s="2" t="inlineStr">
        <x:is>
          <x:t xml:space="preserve">601888</x:t>
        </x:is>
      </x:c>
      <x:c r="C836" s="3" t="inlineStr">
        <x:is>
          <x:t xml:space="preserve">中国中免</x:t>
        </x:is>
      </x:c>
      <x:c r="D836" s="3" t="inlineStr">
        <x:is>
          <x:t xml:space="preserve">中国旅游集团中免股份有限公司</x:t>
        </x:is>
      </x:c>
      <x:c r="E836" s="2" t="inlineStr">
        <x:is>
          <x:t xml:space="preserve">北京市</x:t>
        </x:is>
      </x:c>
      <x:c r="F836" s="2" t="inlineStr">
        <x:is>
          <x:t xml:space="preserve">北京市</x:t>
        </x:is>
      </x:c>
      <x:c r="G836" s="3" t="inlineStr">
        <x:is>
          <x:t xml:space="preserve">北京市-北京市</x:t>
        </x:is>
      </x:c>
      <x:c r="H836" s="2" t="inlineStr">
        <x:is>
          <x:t xml:space="preserve">旅游酒店</x:t>
        </x:is>
      </x:c>
      <x:c r="I836" s="2" t="inlineStr">
        <x:is>
          <x:t xml:space="preserve">2009-10-15</x:t>
        </x:is>
      </x:c>
      <x:c r="J836" s="3" t="inlineStr">
        <x:is>
          <x:t xml:space="preserve">北京市东城区东直门外小街甲2号A座8层</x:t>
        </x:is>
      </x:c>
      <x:c r="K836" s="12" t="str">
        <x:f>LEFT("911100007109353457",18)</x:f>
        <x:v>911100007109353500</x:v>
      </x:c>
    </x:row>
    <x:row r="837">
      <x:c r="A837" s="4" t="n">
        <x:v>836</x:v>
      </x:c>
      <x:c r="B837" s="4" t="inlineStr">
        <x:is>
          <x:t xml:space="preserve">601898</x:t>
        </x:is>
      </x:c>
      <x:c r="C837" s="5" t="inlineStr">
        <x:is>
          <x:t xml:space="preserve">中煤能源</x:t>
        </x:is>
      </x:c>
      <x:c r="D837" s="5" t="inlineStr">
        <x:is>
          <x:t xml:space="preserve">中国中煤能源股份有限公司</x:t>
        </x:is>
      </x:c>
      <x:c r="E837" s="4" t="inlineStr">
        <x:is>
          <x:t xml:space="preserve">北京市</x:t>
        </x:is>
      </x:c>
      <x:c r="F837" s="4" t="inlineStr">
        <x:is>
          <x:t xml:space="preserve">北京市</x:t>
        </x:is>
      </x:c>
      <x:c r="G837" s="5" t="inlineStr">
        <x:is>
          <x:t xml:space="preserve">北京市-北京市</x:t>
        </x:is>
      </x:c>
      <x:c r="H837" s="4" t="inlineStr">
        <x:is>
          <x:t xml:space="preserve">煤炭采选</x:t>
        </x:is>
      </x:c>
      <x:c r="I837" s="4" t="inlineStr">
        <x:is>
          <x:t xml:space="preserve">2008-02-01</x:t>
        </x:is>
      </x:c>
      <x:c r="J837" s="5" t="inlineStr">
        <x:is>
          <x:t xml:space="preserve">中华人民共和国北京市朝阳区黄寺大街1号</x:t>
        </x:is>
      </x:c>
      <x:c r="K837" s="12" t="str">
        <x:f>LEFT("91110000710934289T",18)</x:f>
        <x:v>91110000710934289T</x:v>
      </x:c>
    </x:row>
    <x:row r="838">
      <x:c r="A838" s="2" t="n">
        <x:v>837</x:v>
      </x:c>
      <x:c r="B838" s="2" t="inlineStr">
        <x:is>
          <x:t xml:space="preserve">601908</x:t>
        </x:is>
      </x:c>
      <x:c r="C838" s="3" t="inlineStr">
        <x:is>
          <x:t xml:space="preserve">京运通</x:t>
        </x:is>
      </x:c>
      <x:c r="D838" s="3" t="inlineStr">
        <x:is>
          <x:t xml:space="preserve">北京京运通科技股份有限公司</x:t>
        </x:is>
      </x:c>
      <x:c r="E838" s="2" t="inlineStr">
        <x:is>
          <x:t xml:space="preserve">北京市</x:t>
        </x:is>
      </x:c>
      <x:c r="F838" s="2" t="inlineStr">
        <x:is>
          <x:t xml:space="preserve">北京市</x:t>
        </x:is>
      </x:c>
      <x:c r="G838" s="3" t="inlineStr">
        <x:is>
          <x:t xml:space="preserve">北京市-北京市</x:t>
        </x:is>
      </x:c>
      <x:c r="H838" s="2" t="inlineStr">
        <x:is>
          <x:t xml:space="preserve">光伏设备</x:t>
        </x:is>
      </x:c>
      <x:c r="I838" s="2" t="inlineStr">
        <x:is>
          <x:t xml:space="preserve">2011-09-08</x:t>
        </x:is>
      </x:c>
      <x:c r="J838" s="3" t="inlineStr">
        <x:is>
          <x:t xml:space="preserve">北京市北京经济技术开发区经海四路158号</x:t>
        </x:is>
      </x:c>
      <x:c r="K838" s="12" t="str">
        <x:f>LEFT("911100007415849989",18)</x:f>
        <x:v>911100007415850000</x:v>
      </x:c>
    </x:row>
    <x:row r="839">
      <x:c r="A839" s="4" t="n">
        <x:v>838</x:v>
      </x:c>
      <x:c r="B839" s="4" t="inlineStr">
        <x:is>
          <x:t xml:space="preserve">601939</x:t>
        </x:is>
      </x:c>
      <x:c r="C839" s="5" t="inlineStr">
        <x:is>
          <x:t xml:space="preserve">建设银行</x:t>
        </x:is>
      </x:c>
      <x:c r="D839" s="5" t="inlineStr">
        <x:is>
          <x:t xml:space="preserve">中国建设银行股份有限公司</x:t>
        </x:is>
      </x:c>
      <x:c r="E839" s="4" t="inlineStr">
        <x:is>
          <x:t xml:space="preserve">北京市</x:t>
        </x:is>
      </x:c>
      <x:c r="F839" s="4" t="inlineStr">
        <x:is>
          <x:t xml:space="preserve">北京市</x:t>
        </x:is>
      </x:c>
      <x:c r="G839" s="5" t="inlineStr">
        <x:is>
          <x:t xml:space="preserve">北京市-北京市</x:t>
        </x:is>
      </x:c>
      <x:c r="H839" s="4" t="inlineStr">
        <x:is>
          <x:t xml:space="preserve">银行</x:t>
        </x:is>
      </x:c>
      <x:c r="I839" s="4" t="inlineStr">
        <x:is>
          <x:t xml:space="preserve">2007-09-25</x:t>
        </x:is>
      </x:c>
      <x:c r="J839" s="5" t="inlineStr">
        <x:is>
          <x:t xml:space="preserve">北京市西城区金融大街25号</x:t>
        </x:is>
      </x:c>
      <x:c r="K839" s="12" t="str">
        <x:f>LEFT("911100001000044477",18)</x:f>
        <x:v>911100001000044400</x:v>
      </x:c>
    </x:row>
    <x:row r="840">
      <x:c r="A840" s="2" t="n">
        <x:v>839</x:v>
      </x:c>
      <x:c r="B840" s="2" t="inlineStr">
        <x:is>
          <x:t xml:space="preserve">601949</x:t>
        </x:is>
      </x:c>
      <x:c r="C840" s="3" t="inlineStr">
        <x:is>
          <x:t xml:space="preserve">中国出版</x:t>
        </x:is>
      </x:c>
      <x:c r="D840" s="3" t="inlineStr">
        <x:is>
          <x:t xml:space="preserve">中国出版传媒股份有限公司</x:t>
        </x:is>
      </x:c>
      <x:c r="E840" s="2" t="inlineStr">
        <x:is>
          <x:t xml:space="preserve">北京市</x:t>
        </x:is>
      </x:c>
      <x:c r="F840" s="2" t="inlineStr">
        <x:is>
          <x:t xml:space="preserve">北京市</x:t>
        </x:is>
      </x:c>
      <x:c r="G840" s="3" t="inlineStr">
        <x:is>
          <x:t xml:space="preserve">北京市-北京市</x:t>
        </x:is>
      </x:c>
      <x:c r="H840" s="2" t="inlineStr">
        <x:is>
          <x:t xml:space="preserve">文化传媒</x:t>
        </x:is>
      </x:c>
      <x:c r="I840" s="2" t="inlineStr">
        <x:is>
          <x:t xml:space="preserve">2017-08-21</x:t>
        </x:is>
      </x:c>
      <x:c r="J840" s="3" t="inlineStr">
        <x:is>
          <x:t xml:space="preserve">北京市东城区朝阳门内大街甲55号</x:t>
        </x:is>
      </x:c>
      <x:c r="K840" s="12" t="str">
        <x:f>LEFT("9111000071783167XH",18)</x:f>
        <x:v>9111000071783167XH</x:v>
      </x:c>
    </x:row>
    <x:row r="841">
      <x:c r="A841" s="4" t="n">
        <x:v>840</x:v>
      </x:c>
      <x:c r="B841" s="4" t="inlineStr">
        <x:is>
          <x:t xml:space="preserve">601985</x:t>
        </x:is>
      </x:c>
      <x:c r="C841" s="5" t="inlineStr">
        <x:is>
          <x:t xml:space="preserve">中国核电</x:t>
        </x:is>
      </x:c>
      <x:c r="D841" s="5" t="inlineStr">
        <x:is>
          <x:t xml:space="preserve">中国核能电力股份有限公司</x:t>
        </x:is>
      </x:c>
      <x:c r="E841" s="4" t="inlineStr">
        <x:is>
          <x:t xml:space="preserve">北京市</x:t>
        </x:is>
      </x:c>
      <x:c r="F841" s="4" t="inlineStr">
        <x:is>
          <x:t xml:space="preserve">北京市</x:t>
        </x:is>
      </x:c>
      <x:c r="G841" s="5" t="inlineStr">
        <x:is>
          <x:t xml:space="preserve">北京市-北京市</x:t>
        </x:is>
      </x:c>
      <x:c r="H841" s="4" t="inlineStr">
        <x:is>
          <x:t xml:space="preserve">电力行业</x:t>
        </x:is>
      </x:c>
      <x:c r="I841" s="4" t="inlineStr">
        <x:is>
          <x:t xml:space="preserve">2015-06-10</x:t>
        </x:is>
      </x:c>
      <x:c r="J841" s="5" t="inlineStr">
        <x:is>
          <x:t xml:space="preserve">北京市海淀区玲珑路9号院东区10号楼</x:t>
        </x:is>
      </x:c>
      <x:c r="K841" s="12" t="str">
        <x:f>LEFT("91110000710935425T",18)</x:f>
        <x:v>91110000710935425T</x:v>
      </x:c>
    </x:row>
    <x:row r="842">
      <x:c r="A842" s="2" t="n">
        <x:v>841</x:v>
      </x:c>
      <x:c r="B842" s="2" t="inlineStr">
        <x:is>
          <x:t xml:space="preserve">601988</x:t>
        </x:is>
      </x:c>
      <x:c r="C842" s="3" t="inlineStr">
        <x:is>
          <x:t xml:space="preserve">中国银行</x:t>
        </x:is>
      </x:c>
      <x:c r="D842" s="3" t="inlineStr">
        <x:is>
          <x:t xml:space="preserve">中国银行股份有限公司</x:t>
        </x:is>
      </x:c>
      <x:c r="E842" s="2" t="inlineStr">
        <x:is>
          <x:t xml:space="preserve">北京市</x:t>
        </x:is>
      </x:c>
      <x:c r="F842" s="2" t="inlineStr">
        <x:is>
          <x:t xml:space="preserve">北京市</x:t>
        </x:is>
      </x:c>
      <x:c r="G842" s="3" t="inlineStr">
        <x:is>
          <x:t xml:space="preserve">北京市-北京市</x:t>
        </x:is>
      </x:c>
      <x:c r="H842" s="2" t="inlineStr">
        <x:is>
          <x:t xml:space="preserve">银行</x:t>
        </x:is>
      </x:c>
      <x:c r="I842" s="2" t="inlineStr">
        <x:is>
          <x:t xml:space="preserve">2006-07-05</x:t>
        </x:is>
      </x:c>
      <x:c r="J842" s="3" t="inlineStr">
        <x:is>
          <x:t xml:space="preserve">北京市西城区复兴门内大街1号</x:t>
        </x:is>
      </x:c>
      <x:c r="K842" s="12" t="str">
        <x:f>LEFT("911000001000013428",18)</x:f>
        <x:v>911000001000013400</x:v>
      </x:c>
    </x:row>
    <x:row r="843">
      <x:c r="A843" s="4" t="n">
        <x:v>842</x:v>
      </x:c>
      <x:c r="B843" s="4" t="inlineStr">
        <x:is>
          <x:t xml:space="preserve">601991</x:t>
        </x:is>
      </x:c>
      <x:c r="C843" s="5" t="inlineStr">
        <x:is>
          <x:t xml:space="preserve">大唐发电</x:t>
        </x:is>
      </x:c>
      <x:c r="D843" s="5" t="inlineStr">
        <x:is>
          <x:t xml:space="preserve">大唐国际发电股份有限公司</x:t>
        </x:is>
      </x:c>
      <x:c r="E843" s="4" t="inlineStr">
        <x:is>
          <x:t xml:space="preserve">北京市</x:t>
        </x:is>
      </x:c>
      <x:c r="F843" s="4" t="inlineStr">
        <x:is>
          <x:t xml:space="preserve">北京市</x:t>
        </x:is>
      </x:c>
      <x:c r="G843" s="5" t="inlineStr">
        <x:is>
          <x:t xml:space="preserve">北京市-北京市</x:t>
        </x:is>
      </x:c>
      <x:c r="H843" s="4" t="inlineStr">
        <x:is>
          <x:t xml:space="preserve">电力行业</x:t>
        </x:is>
      </x:c>
      <x:c r="I843" s="4" t="inlineStr">
        <x:is>
          <x:t xml:space="preserve">2006-12-20</x:t>
        </x:is>
      </x:c>
      <x:c r="J843" s="5" t="inlineStr">
        <x:is>
          <x:t xml:space="preserve">北京市西城区广宁伯街9号</x:t>
        </x:is>
      </x:c>
      <x:c r="K843" s="12" t="str">
        <x:f>LEFT("91110000100017336T",18)</x:f>
        <x:v>91110000100017336T</x:v>
      </x:c>
    </x:row>
    <x:row r="844">
      <x:c r="A844" s="2" t="n">
        <x:v>843</x:v>
      </x:c>
      <x:c r="B844" s="2" t="inlineStr">
        <x:is>
          <x:t xml:space="preserve">601992</x:t>
        </x:is>
      </x:c>
      <x:c r="C844" s="3" t="inlineStr">
        <x:is>
          <x:t xml:space="preserve">金隅集团</x:t>
        </x:is>
      </x:c>
      <x:c r="D844" s="3" t="inlineStr">
        <x:is>
          <x:t xml:space="preserve">北京金隅集团股份有限公司</x:t>
        </x:is>
      </x:c>
      <x:c r="E844" s="2" t="inlineStr">
        <x:is>
          <x:t xml:space="preserve">北京市</x:t>
        </x:is>
      </x:c>
      <x:c r="F844" s="2" t="inlineStr">
        <x:is>
          <x:t xml:space="preserve">北京市</x:t>
        </x:is>
      </x:c>
      <x:c r="G844" s="3" t="inlineStr">
        <x:is>
          <x:t xml:space="preserve">北京市-北京市</x:t>
        </x:is>
      </x:c>
      <x:c r="H844" s="2" t="inlineStr">
        <x:is>
          <x:t xml:space="preserve">水泥建材</x:t>
        </x:is>
      </x:c>
      <x:c r="I844" s="2" t="inlineStr">
        <x:is>
          <x:t xml:space="preserve">2011-03-01</x:t>
        </x:is>
      </x:c>
      <x:c r="J844" s="3" t="inlineStr">
        <x:is>
          <x:t xml:space="preserve">中国北京市东城区北三环东路36号环球贸易中心D座</x:t>
        </x:is>
      </x:c>
      <x:c r="K844" s="12" t="str">
        <x:f>LEFT("91110000783952840Y",18)</x:f>
        <x:v>91110000783952840Y</x:v>
      </x:c>
    </x:row>
    <x:row r="845">
      <x:c r="A845" s="4" t="n">
        <x:v>844</x:v>
      </x:c>
      <x:c r="B845" s="4" t="inlineStr">
        <x:is>
          <x:t xml:space="preserve">601995</x:t>
        </x:is>
      </x:c>
      <x:c r="C845" s="5" t="inlineStr">
        <x:is>
          <x:t xml:space="preserve">中金公司</x:t>
        </x:is>
      </x:c>
      <x:c r="D845" s="5" t="inlineStr">
        <x:is>
          <x:t xml:space="preserve">中国国际金融股份有限公司</x:t>
        </x:is>
      </x:c>
      <x:c r="E845" s="4" t="inlineStr">
        <x:is>
          <x:t xml:space="preserve">北京市</x:t>
        </x:is>
      </x:c>
      <x:c r="F845" s="4" t="inlineStr">
        <x:is>
          <x:t xml:space="preserve">北京市</x:t>
        </x:is>
      </x:c>
      <x:c r="G845" s="5" t="inlineStr">
        <x:is>
          <x:t xml:space="preserve">北京市-北京市</x:t>
        </x:is>
      </x:c>
      <x:c r="H845" s="4" t="inlineStr">
        <x:is>
          <x:t xml:space="preserve">券商信托</x:t>
        </x:is>
      </x:c>
      <x:c r="I845" s="4" t="inlineStr">
        <x:is>
          <x:t xml:space="preserve">2020-11-02</x:t>
        </x:is>
      </x:c>
      <x:c r="J845" s="5" t="inlineStr">
        <x:is>
          <x:t xml:space="preserve">北京市朝阳区建国门外大街1号国贸大厦2座27层及28层</x:t>
        </x:is>
      </x:c>
      <x:c r="K845" s="12" t="str">
        <x:f>LEFT("91110000625909986U",18)</x:f>
        <x:v>91110000625909986U</x:v>
      </x:c>
    </x:row>
    <x:row r="846">
      <x:c r="A846" s="2" t="n">
        <x:v>845</x:v>
      </x:c>
      <x:c r="B846" s="2" t="inlineStr">
        <x:is>
          <x:t xml:space="preserve">601998</x:t>
        </x:is>
      </x:c>
      <x:c r="C846" s="3" t="inlineStr">
        <x:is>
          <x:t xml:space="preserve">中信银行</x:t>
        </x:is>
      </x:c>
      <x:c r="D846" s="3" t="inlineStr">
        <x:is>
          <x:t xml:space="preserve">中信银行股份有限公司</x:t>
        </x:is>
      </x:c>
      <x:c r="E846" s="2" t="inlineStr">
        <x:is>
          <x:t xml:space="preserve">北京市</x:t>
        </x:is>
      </x:c>
      <x:c r="F846" s="2" t="inlineStr">
        <x:is>
          <x:t xml:space="preserve">北京市</x:t>
        </x:is>
      </x:c>
      <x:c r="G846" s="3" t="inlineStr">
        <x:is>
          <x:t xml:space="preserve">北京市-北京市</x:t>
        </x:is>
      </x:c>
      <x:c r="H846" s="2" t="inlineStr">
        <x:is>
          <x:t xml:space="preserve">银行</x:t>
        </x:is>
      </x:c>
      <x:c r="I846" s="2" t="inlineStr">
        <x:is>
          <x:t xml:space="preserve">2007-04-27</x:t>
        </x:is>
      </x:c>
      <x:c r="J846" s="3" t="inlineStr">
        <x:is>
          <x:t xml:space="preserve">北京市朝阳区光华路10号院1号楼6-30层、32-42层</x:t>
        </x:is>
      </x:c>
      <x:c r="K846" s="12" t="str">
        <x:f>LEFT("91110000101690725E",18)</x:f>
        <x:v>91110000101690725E</x:v>
      </x:c>
    </x:row>
    <x:row r="847">
      <x:c r="A847" s="4" t="n">
        <x:v>846</x:v>
      </x:c>
      <x:c r="B847" s="4" t="inlineStr">
        <x:is>
          <x:t xml:space="preserve">603000</x:t>
        </x:is>
      </x:c>
      <x:c r="C847" s="5" t="inlineStr">
        <x:is>
          <x:t xml:space="preserve">人民网</x:t>
        </x:is>
      </x:c>
      <x:c r="D847" s="5" t="inlineStr">
        <x:is>
          <x:t xml:space="preserve">人民网股份有限公司</x:t>
        </x:is>
      </x:c>
      <x:c r="E847" s="4" t="inlineStr">
        <x:is>
          <x:t xml:space="preserve">北京市</x:t>
        </x:is>
      </x:c>
      <x:c r="F847" s="4" t="inlineStr">
        <x:is>
          <x:t xml:space="preserve">北京市</x:t>
        </x:is>
      </x:c>
      <x:c r="G847" s="5" t="inlineStr">
        <x:is>
          <x:t xml:space="preserve">北京市-北京市</x:t>
        </x:is>
      </x:c>
      <x:c r="H847" s="4" t="inlineStr">
        <x:is>
          <x:t xml:space="preserve">文化传媒</x:t>
        </x:is>
      </x:c>
      <x:c r="I847" s="4" t="inlineStr">
        <x:is>
          <x:t xml:space="preserve">2012-04-27</x:t>
        </x:is>
      </x:c>
      <x:c r="J847" s="5" t="inlineStr">
        <x:is>
          <x:t xml:space="preserve">北京市西城区新街口外大街28号B座234号</x:t>
        </x:is>
      </x:c>
      <x:c r="K847" s="12" t="str">
        <x:f>LEFT("91110000710933198U",18)</x:f>
        <x:v>91110000710933198U</x:v>
      </x:c>
    </x:row>
    <x:row r="848">
      <x:c r="A848" s="2" t="n">
        <x:v>847</x:v>
      </x:c>
      <x:c r="B848" s="2" t="inlineStr">
        <x:is>
          <x:t xml:space="preserve">603025</x:t>
        </x:is>
      </x:c>
      <x:c r="C848" s="3" t="inlineStr">
        <x:is>
          <x:t xml:space="preserve">大豪科技</x:t>
        </x:is>
      </x:c>
      <x:c r="D848" s="3" t="inlineStr">
        <x:is>
          <x:t xml:space="preserve">北京大豪科技股份有限公司</x:t>
        </x:is>
      </x:c>
      <x:c r="E848" s="2" t="inlineStr">
        <x:is>
          <x:t xml:space="preserve">北京市</x:t>
        </x:is>
      </x:c>
      <x:c r="F848" s="2" t="inlineStr">
        <x:is>
          <x:t xml:space="preserve">北京市</x:t>
        </x:is>
      </x:c>
      <x:c r="G848" s="3" t="inlineStr">
        <x:is>
          <x:t xml:space="preserve">北京市-北京市</x:t>
        </x:is>
      </x:c>
      <x:c r="H848" s="2" t="inlineStr">
        <x:is>
          <x:t xml:space="preserve">专用设备</x:t>
        </x:is>
      </x:c>
      <x:c r="I848" s="2" t="inlineStr">
        <x:is>
          <x:t xml:space="preserve">2015-04-22</x:t>
        </x:is>
      </x:c>
      <x:c r="J848" s="3" t="inlineStr">
        <x:is>
          <x:t xml:space="preserve">北京市朝阳区酒仙桥东路1号</x:t>
        </x:is>
      </x:c>
      <x:c r="K848" s="12" t="str">
        <x:f>LEFT("91110000802204910U",18)</x:f>
        <x:v>91110000802204910U</x:v>
      </x:c>
    </x:row>
    <x:row r="849">
      <x:c r="A849" s="4" t="n">
        <x:v>848</x:v>
      </x:c>
      <x:c r="B849" s="4" t="inlineStr">
        <x:is>
          <x:t xml:space="preserve">603060</x:t>
        </x:is>
      </x:c>
      <x:c r="C849" s="5" t="inlineStr">
        <x:is>
          <x:t xml:space="preserve">国检集团</x:t>
        </x:is>
      </x:c>
      <x:c r="D849" s="5" t="inlineStr">
        <x:is>
          <x:t xml:space="preserve">中国国检测试控股集团股份有限公司</x:t>
        </x:is>
      </x:c>
      <x:c r="E849" s="4" t="inlineStr">
        <x:is>
          <x:t xml:space="preserve">北京市</x:t>
        </x:is>
      </x:c>
      <x:c r="F849" s="4" t="inlineStr">
        <x:is>
          <x:t xml:space="preserve">北京市</x:t>
        </x:is>
      </x:c>
      <x:c r="G849" s="5" t="inlineStr">
        <x:is>
          <x:t xml:space="preserve">北京市-北京市</x:t>
        </x:is>
      </x:c>
      <x:c r="H849" s="4" t="inlineStr">
        <x:is>
          <x:t xml:space="preserve">专业服务</x:t>
        </x:is>
      </x:c>
      <x:c r="I849" s="4" t="inlineStr">
        <x:is>
          <x:t xml:space="preserve">2016-11-09</x:t>
        </x:is>
      </x:c>
      <x:c r="J849" s="5" t="inlineStr">
        <x:is>
          <x:t xml:space="preserve">北京市朝阳区管庄东里1号科研生产区南楼</x:t>
        </x:is>
      </x:c>
      <x:c r="K849" s="12" t="str">
        <x:f>LEFT("91110000101123421K",18)</x:f>
        <x:v>91110000101123421K</x:v>
      </x:c>
    </x:row>
    <x:row r="850">
      <x:c r="A850" s="2" t="n">
        <x:v>849</x:v>
      </x:c>
      <x:c r="B850" s="2" t="inlineStr">
        <x:is>
          <x:t xml:space="preserve">603082</x:t>
        </x:is>
      </x:c>
      <x:c r="C850" s="3" t="inlineStr">
        <x:is>
          <x:t xml:space="preserve">北自科技</x:t>
        </x:is>
      </x:c>
      <x:c r="D850" s="3" t="inlineStr">
        <x:is>
          <x:t xml:space="preserve">北自所(北京)科技发展股份有限公司</x:t>
        </x:is>
      </x:c>
      <x:c r="E850" s="2" t="inlineStr">
        <x:is>
          <x:t xml:space="preserve">北京市</x:t>
        </x:is>
      </x:c>
      <x:c r="F850" s="2" t="inlineStr">
        <x:is>
          <x:t xml:space="preserve">北京市</x:t>
        </x:is>
      </x:c>
      <x:c r="G850" s="3" t="inlineStr">
        <x:is>
          <x:t xml:space="preserve">北京市-北京市</x:t>
        </x:is>
      </x:c>
      <x:c r="H850" s="2" t="inlineStr">
        <x:is>
          <x:t xml:space="preserve">通用设备</x:t>
        </x:is>
      </x:c>
      <x:c r="I850" s="2" t="inlineStr">
        <x:is>
          <x:t xml:space="preserve">2024-01-30</x:t>
        </x:is>
      </x:c>
      <x:c r="J850" s="3" t="inlineStr">
        <x:is>
          <x:t xml:space="preserve">北京市西城区教场口街1号3号楼</x:t>
        </x:is>
      </x:c>
      <x:c r="K850" s="12" t="str">
        <x:f>LEFT("91110102743318765H",18)</x:f>
        <x:v>91110102743318765H</x:v>
      </x:c>
    </x:row>
    <x:row r="851">
      <x:c r="A851" s="4" t="n">
        <x:v>850</x:v>
      </x:c>
      <x:c r="B851" s="4" t="inlineStr">
        <x:is>
          <x:t xml:space="preserve">603087</x:t>
        </x:is>
      </x:c>
      <x:c r="C851" s="5" t="inlineStr">
        <x:is>
          <x:t xml:space="preserve">甘李药业</x:t>
        </x:is>
      </x:c>
      <x:c r="D851" s="5" t="inlineStr">
        <x:is>
          <x:t xml:space="preserve">甘李药业股份有限公司</x:t>
        </x:is>
      </x:c>
      <x:c r="E851" s="4" t="inlineStr">
        <x:is>
          <x:t xml:space="preserve">北京市</x:t>
        </x:is>
      </x:c>
      <x:c r="F851" s="4" t="inlineStr">
        <x:is>
          <x:t xml:space="preserve">北京市</x:t>
        </x:is>
      </x:c>
      <x:c r="G851" s="5" t="inlineStr">
        <x:is>
          <x:t xml:space="preserve">北京市-北京市</x:t>
        </x:is>
      </x:c>
      <x:c r="H851" s="4" t="inlineStr">
        <x:is>
          <x:t xml:space="preserve">生物制品</x:t>
        </x:is>
      </x:c>
      <x:c r="I851" s="4" t="inlineStr">
        <x:is>
          <x:t xml:space="preserve">2020-06-29</x:t>
        </x:is>
      </x:c>
      <x:c r="J851" s="5" t="inlineStr">
        <x:is>
          <x:t xml:space="preserve">北京市通州区漷县镇南凤西一路8号</x:t>
        </x:is>
      </x:c>
      <x:c r="K851" s="12" t="str">
        <x:f>LEFT("91110000102382249M",18)</x:f>
        <x:v>91110000102382249M</x:v>
      </x:c>
    </x:row>
    <x:row r="852">
      <x:c r="A852" s="2" t="n">
        <x:v>851</x:v>
      </x:c>
      <x:c r="B852" s="2" t="inlineStr">
        <x:is>
          <x:t xml:space="preserve">603098</x:t>
        </x:is>
      </x:c>
      <x:c r="C852" s="3" t="inlineStr">
        <x:is>
          <x:t xml:space="preserve">森特股份</x:t>
        </x:is>
      </x:c>
      <x:c r="D852" s="3" t="inlineStr">
        <x:is>
          <x:t xml:space="preserve">森特士兴集团股份有限公司</x:t>
        </x:is>
      </x:c>
      <x:c r="E852" s="2" t="inlineStr">
        <x:is>
          <x:t xml:space="preserve">北京市</x:t>
        </x:is>
      </x:c>
      <x:c r="F852" s="2" t="inlineStr">
        <x:is>
          <x:t xml:space="preserve">北京市</x:t>
        </x:is>
      </x:c>
      <x:c r="G852" s="3" t="inlineStr">
        <x:is>
          <x:t xml:space="preserve">北京市-北京市</x:t>
        </x:is>
      </x:c>
      <x:c r="H852" s="2" t="inlineStr">
        <x:is>
          <x:t xml:space="preserve">工程建设</x:t>
        </x:is>
      </x:c>
      <x:c r="I852" s="2" t="inlineStr">
        <x:is>
          <x:t xml:space="preserve">2016-12-16</x:t>
        </x:is>
      </x:c>
      <x:c r="J852" s="3" t="inlineStr">
        <x:is>
          <x:t xml:space="preserve">北京市北京经济技术开发区永昌东四路10号院1号楼1层101</x:t>
        </x:is>
      </x:c>
      <x:c r="K852" s="12" t="str">
        <x:f>LEFT("91110000600093677W",18)</x:f>
        <x:v>91110000600093677W</x:v>
      </x:c>
    </x:row>
    <x:row r="853">
      <x:c r="A853" s="4" t="n">
        <x:v>852</x:v>
      </x:c>
      <x:c r="B853" s="4" t="inlineStr">
        <x:is>
          <x:t xml:space="preserve">603123</x:t>
        </x:is>
      </x:c>
      <x:c r="C853" s="5" t="inlineStr">
        <x:is>
          <x:t xml:space="preserve">翠微股份</x:t>
        </x:is>
      </x:c>
      <x:c r="D853" s="5" t="inlineStr">
        <x:is>
          <x:t xml:space="preserve">北京翠微大厦股份有限公司</x:t>
        </x:is>
      </x:c>
      <x:c r="E853" s="4" t="inlineStr">
        <x:is>
          <x:t xml:space="preserve">北京市</x:t>
        </x:is>
      </x:c>
      <x:c r="F853" s="4" t="inlineStr">
        <x:is>
          <x:t xml:space="preserve">北京市</x:t>
        </x:is>
      </x:c>
      <x:c r="G853" s="5" t="inlineStr">
        <x:is>
          <x:t xml:space="preserve">北京市-北京市</x:t>
        </x:is>
      </x:c>
      <x:c r="H853" s="4" t="inlineStr">
        <x:is>
          <x:t xml:space="preserve">多元金融</x:t>
        </x:is>
      </x:c>
      <x:c r="I853" s="4" t="inlineStr">
        <x:is>
          <x:t xml:space="preserve">2012-05-03</x:t>
        </x:is>
      </x:c>
      <x:c r="J853" s="5" t="inlineStr">
        <x:is>
          <x:t xml:space="preserve">北京市海淀区复兴路33号</x:t>
        </x:is>
      </x:c>
      <x:c r="K853" s="12" t="str">
        <x:f>LEFT("911100007461029945",18)</x:f>
        <x:v>911100007461029900</x:v>
      </x:c>
    </x:row>
    <x:row r="854">
      <x:c r="A854" s="2" t="n">
        <x:v>853</x:v>
      </x:c>
      <x:c r="B854" s="2" t="inlineStr">
        <x:is>
          <x:t xml:space="preserve">603127</x:t>
        </x:is>
      </x:c>
      <x:c r="C854" s="3" t="inlineStr">
        <x:is>
          <x:t xml:space="preserve">昭衍新药</x:t>
        </x:is>
      </x:c>
      <x:c r="D854" s="3" t="inlineStr">
        <x:is>
          <x:t xml:space="preserve">北京昭衍新药研究中心股份有限公司</x:t>
        </x:is>
      </x:c>
      <x:c r="E854" s="2" t="inlineStr">
        <x:is>
          <x:t xml:space="preserve">北京市</x:t>
        </x:is>
      </x:c>
      <x:c r="F854" s="2" t="inlineStr">
        <x:is>
          <x:t xml:space="preserve">北京市</x:t>
        </x:is>
      </x:c>
      <x:c r="G854" s="3" t="inlineStr">
        <x:is>
          <x:t xml:space="preserve">北京市-北京市</x:t>
        </x:is>
      </x:c>
      <x:c r="H854" s="2" t="inlineStr">
        <x:is>
          <x:t xml:space="preserve">医疗行业</x:t>
        </x:is>
      </x:c>
      <x:c r="I854" s="2" t="inlineStr">
        <x:is>
          <x:t xml:space="preserve">2017-08-25</x:t>
        </x:is>
      </x:c>
      <x:c r="J854" s="3" t="inlineStr">
        <x:is>
          <x:t xml:space="preserve">中国北京北京经济技术开发区荣京东街甲5号</x:t>
        </x:is>
      </x:c>
      <x:c r="K854" s="12" t="str">
        <x:f>LEFT("9111030210221806X9",18)</x:f>
        <x:v>9111030210221806X9</x:v>
      </x:c>
    </x:row>
    <x:row r="855">
      <x:c r="A855" s="4" t="n">
        <x:v>854</x:v>
      </x:c>
      <x:c r="B855" s="4" t="inlineStr">
        <x:is>
          <x:t xml:space="preserve">603138</x:t>
        </x:is>
      </x:c>
      <x:c r="C855" s="5" t="inlineStr">
        <x:is>
          <x:t xml:space="preserve">海量数据</x:t>
        </x:is>
      </x:c>
      <x:c r="D855" s="5" t="inlineStr">
        <x:is>
          <x:t xml:space="preserve">北京海量数据技术股份有限公司</x:t>
        </x:is>
      </x:c>
      <x:c r="E855" s="4" t="inlineStr">
        <x:is>
          <x:t xml:space="preserve">北京市</x:t>
        </x:is>
      </x:c>
      <x:c r="F855" s="4" t="inlineStr">
        <x:is>
          <x:t xml:space="preserve">北京市</x:t>
        </x:is>
      </x:c>
      <x:c r="G855" s="5" t="inlineStr">
        <x:is>
          <x:t xml:space="preserve">北京市-北京市</x:t>
        </x:is>
      </x:c>
      <x:c r="H855" s="4" t="inlineStr">
        <x:is>
          <x:t xml:space="preserve">软件开发</x:t>
        </x:is>
      </x:c>
      <x:c r="I855" s="4" t="inlineStr">
        <x:is>
          <x:t xml:space="preserve">2017-03-06</x:t>
        </x:is>
      </x:c>
      <x:c r="J855" s="5" t="inlineStr">
        <x:is>
          <x:t xml:space="preserve">北京市海淀区学院路30号科大天工大厦B座6层01室</x:t>
        </x:is>
      </x:c>
      <x:c r="K855" s="12" t="str">
        <x:f>LEFT("911101086656289355",18)</x:f>
        <x:v>911101086656289400</x:v>
      </x:c>
    </x:row>
    <x:row r="856">
      <x:c r="A856" s="2" t="n">
        <x:v>855</x:v>
      </x:c>
      <x:c r="B856" s="2" t="inlineStr">
        <x:is>
          <x:t xml:space="preserve">603267</x:t>
        </x:is>
      </x:c>
      <x:c r="C856" s="3" t="inlineStr">
        <x:is>
          <x:t xml:space="preserve">鸿远电子</x:t>
        </x:is>
      </x:c>
      <x:c r="D856" s="3" t="inlineStr">
        <x:is>
          <x:t xml:space="preserve">北京元六鸿远电子科技股份有限公司</x:t>
        </x:is>
      </x:c>
      <x:c r="E856" s="2" t="inlineStr">
        <x:is>
          <x:t xml:space="preserve">北京市</x:t>
        </x:is>
      </x:c>
      <x:c r="F856" s="2" t="inlineStr">
        <x:is>
          <x:t xml:space="preserve">北京市</x:t>
        </x:is>
      </x:c>
      <x:c r="G856" s="3" t="inlineStr">
        <x:is>
          <x:t xml:space="preserve">北京市-北京市</x:t>
        </x:is>
      </x:c>
      <x:c r="H856" s="2" t="inlineStr">
        <x:is>
          <x:t xml:space="preserve">电子元件</x:t>
        </x:is>
      </x:c>
      <x:c r="I856" s="2" t="inlineStr">
        <x:is>
          <x:t xml:space="preserve">2019-05-15</x:t>
        </x:is>
      </x:c>
      <x:c r="J856" s="3" t="inlineStr">
        <x:is>
          <x:t xml:space="preserve">北京市丰台区海鹰路1号院5号楼3层3-2(园区)</x:t>
        </x:is>
      </x:c>
      <x:c r="K856" s="12" t="str">
        <x:f>LEFT("911101068022402680",18)</x:f>
        <x:v>911101068022402700</x:v>
      </x:c>
    </x:row>
    <x:row r="857">
      <x:c r="A857" s="4" t="n">
        <x:v>856</x:v>
      </x:c>
      <x:c r="B857" s="4" t="inlineStr">
        <x:is>
          <x:t xml:space="preserve">603377</x:t>
        </x:is>
      </x:c>
      <x:c r="C857" s="5" t="inlineStr">
        <x:is>
          <x:t xml:space="preserve">ST东时</x:t>
        </x:is>
      </x:c>
      <x:c r="D857" s="5" t="inlineStr">
        <x:is>
          <x:t xml:space="preserve">东方时尚驾驶学校股份有限公司</x:t>
        </x:is>
      </x:c>
      <x:c r="E857" s="4" t="inlineStr">
        <x:is>
          <x:t xml:space="preserve">北京市</x:t>
        </x:is>
      </x:c>
      <x:c r="F857" s="4" t="inlineStr">
        <x:is>
          <x:t xml:space="preserve">北京市</x:t>
        </x:is>
      </x:c>
      <x:c r="G857" s="5" t="inlineStr">
        <x:is>
          <x:t xml:space="preserve">北京市-北京市</x:t>
        </x:is>
      </x:c>
      <x:c r="H857" s="4" t="inlineStr">
        <x:is>
          <x:t xml:space="preserve">汽车服务</x:t>
        </x:is>
      </x:c>
      <x:c r="I857" s="4" t="inlineStr">
        <x:is>
          <x:t xml:space="preserve">2016-02-05</x:t>
        </x:is>
      </x:c>
      <x:c r="J857" s="5" t="inlineStr">
        <x:is>
          <x:t xml:space="preserve">北京市大兴区金星西路19号</x:t>
        </x:is>
      </x:c>
      <x:c r="K857" s="12" t="str">
        <x:f>LEFT("91110000778603005J",18)</x:f>
        <x:v>91110000778603005J</x:v>
      </x:c>
    </x:row>
    <x:row r="858">
      <x:c r="A858" s="2" t="n">
        <x:v>857</x:v>
      </x:c>
      <x:c r="B858" s="2" t="inlineStr">
        <x:is>
          <x:t xml:space="preserve">603392</x:t>
        </x:is>
      </x:c>
      <x:c r="C858" s="3" t="inlineStr">
        <x:is>
          <x:t xml:space="preserve">万泰生物</x:t>
        </x:is>
      </x:c>
      <x:c r="D858" s="3" t="inlineStr">
        <x:is>
          <x:t xml:space="preserve">北京万泰生物药业股份有限公司</x:t>
        </x:is>
      </x:c>
      <x:c r="E858" s="2" t="inlineStr">
        <x:is>
          <x:t xml:space="preserve">北京市</x:t>
        </x:is>
      </x:c>
      <x:c r="F858" s="2" t="inlineStr">
        <x:is>
          <x:t xml:space="preserve">北京市</x:t>
        </x:is>
      </x:c>
      <x:c r="G858" s="3" t="inlineStr">
        <x:is>
          <x:t xml:space="preserve">北京市-北京市</x:t>
        </x:is>
      </x:c>
      <x:c r="H858" s="2" t="inlineStr">
        <x:is>
          <x:t xml:space="preserve">生物制品</x:t>
        </x:is>
      </x:c>
      <x:c r="I858" s="2" t="inlineStr">
        <x:is>
          <x:t xml:space="preserve">2020-04-29</x:t>
        </x:is>
      </x:c>
      <x:c r="J858" s="3" t="inlineStr">
        <x:is>
          <x:t xml:space="preserve">北京市昌平区科学园路31号</x:t>
        </x:is>
      </x:c>
      <x:c r="K858" s="12" t="str">
        <x:f>LEFT("91110114600067778R",18)</x:f>
        <x:v>91110114600067778R</x:v>
      </x:c>
    </x:row>
    <x:row r="859">
      <x:c r="A859" s="4" t="n">
        <x:v>858</x:v>
      </x:c>
      <x:c r="B859" s="4" t="inlineStr">
        <x:is>
          <x:t xml:space="preserve">603511</x:t>
        </x:is>
      </x:c>
      <x:c r="C859" s="5" t="inlineStr">
        <x:is>
          <x:t xml:space="preserve">爱慕股份</x:t>
        </x:is>
      </x:c>
      <x:c r="D859" s="5" t="inlineStr">
        <x:is>
          <x:t xml:space="preserve">爱慕股份有限公司</x:t>
        </x:is>
      </x:c>
      <x:c r="E859" s="4" t="inlineStr">
        <x:is>
          <x:t xml:space="preserve">北京市</x:t>
        </x:is>
      </x:c>
      <x:c r="F859" s="4" t="inlineStr">
        <x:is>
          <x:t xml:space="preserve">北京市</x:t>
        </x:is>
      </x:c>
      <x:c r="G859" s="5" t="inlineStr">
        <x:is>
          <x:t xml:space="preserve">北京市-北京市</x:t>
        </x:is>
      </x:c>
      <x:c r="H859" s="4" t="inlineStr">
        <x:is>
          <x:t xml:space="preserve">纺织服装</x:t>
        </x:is>
      </x:c>
      <x:c r="I859" s="4" t="inlineStr">
        <x:is>
          <x:t xml:space="preserve">2021-05-31</x:t>
        </x:is>
      </x:c>
      <x:c r="J859" s="5" t="inlineStr">
        <x:is>
          <x:t xml:space="preserve">北京市朝阳区望京开发区利泽中园二区218、219号楼</x:t>
        </x:is>
      </x:c>
      <x:c r="K859" s="12" t="str">
        <x:f>LEFT("91110105101756720B",18)</x:f>
        <x:v>91110105101756720B</x:v>
      </x:c>
    </x:row>
    <x:row r="860">
      <x:c r="A860" s="2" t="n">
        <x:v>859</x:v>
      </x:c>
      <x:c r="B860" s="2" t="inlineStr">
        <x:is>
          <x:t xml:space="preserve">603516</x:t>
        </x:is>
      </x:c>
      <x:c r="C860" s="3" t="inlineStr">
        <x:is>
          <x:t xml:space="preserve">淳中科技</x:t>
        </x:is>
      </x:c>
      <x:c r="D860" s="3" t="inlineStr">
        <x:is>
          <x:t xml:space="preserve">北京淳中科技股份有限公司</x:t>
        </x:is>
      </x:c>
      <x:c r="E860" s="2" t="inlineStr">
        <x:is>
          <x:t xml:space="preserve">北京市</x:t>
        </x:is>
      </x:c>
      <x:c r="F860" s="2" t="inlineStr">
        <x:is>
          <x:t xml:space="preserve">北京市</x:t>
        </x:is>
      </x:c>
      <x:c r="G860" s="3" t="inlineStr">
        <x:is>
          <x:t xml:space="preserve">北京市-北京市</x:t>
        </x:is>
      </x:c>
      <x:c r="H860" s="2" t="inlineStr">
        <x:is>
          <x:t xml:space="preserve">安防设备</x:t>
        </x:is>
      </x:c>
      <x:c r="I860" s="2" t="inlineStr">
        <x:is>
          <x:t xml:space="preserve">2018-02-02</x:t>
        </x:is>
      </x:c>
      <x:c r="J860" s="3" t="inlineStr">
        <x:is>
          <x:t xml:space="preserve">北京市海淀区林风二路39号院1号楼808室</x:t>
        </x:is>
      </x:c>
      <x:c r="K860" s="12" t="str">
        <x:f>LEFT("91110108575204274E",18)</x:f>
        <x:v>91110108575204274E</x:v>
      </x:c>
    </x:row>
    <x:row r="861">
      <x:c r="A861" s="4" t="n">
        <x:v>860</x:v>
      </x:c>
      <x:c r="B861" s="4" t="inlineStr">
        <x:is>
          <x:t xml:space="preserve">603533</x:t>
        </x:is>
      </x:c>
      <x:c r="C861" s="5" t="inlineStr">
        <x:is>
          <x:t xml:space="preserve">掌阅科技</x:t>
        </x:is>
      </x:c>
      <x:c r="D861" s="5" t="inlineStr">
        <x:is>
          <x:t xml:space="preserve">掌阅科技股份有限公司</x:t>
        </x:is>
      </x:c>
      <x:c r="E861" s="4" t="inlineStr">
        <x:is>
          <x:t xml:space="preserve">北京市</x:t>
        </x:is>
      </x:c>
      <x:c r="F861" s="4" t="inlineStr">
        <x:is>
          <x:t xml:space="preserve">北京市</x:t>
        </x:is>
      </x:c>
      <x:c r="G861" s="5" t="inlineStr">
        <x:is>
          <x:t xml:space="preserve">北京市-北京市</x:t>
        </x:is>
      </x:c>
      <x:c r="H861" s="4" t="inlineStr">
        <x:is>
          <x:t xml:space="preserve">文化传媒</x:t>
        </x:is>
      </x:c>
      <x:c r="I861" s="4" t="inlineStr">
        <x:is>
          <x:t xml:space="preserve">2017-09-21</x:t>
        </x:is>
      </x:c>
      <x:c r="J861" s="5" t="inlineStr">
        <x:is>
          <x:t xml:space="preserve">北京市朝阳区永安东里8号1幢5层502内B21单元</x:t>
        </x:is>
      </x:c>
      <x:c r="K861" s="12" t="str">
        <x:f>LEFT("91110105680492298C",18)</x:f>
        <x:v>91110105680492298C</x:v>
      </x:c>
    </x:row>
    <x:row r="862">
      <x:c r="A862" s="2" t="n">
        <x:v>861</x:v>
      </x:c>
      <x:c r="B862" s="2" t="inlineStr">
        <x:is>
          <x:t xml:space="preserve">603569</x:t>
        </x:is>
      </x:c>
      <x:c r="C862" s="3" t="inlineStr">
        <x:is>
          <x:t xml:space="preserve">长久物流</x:t>
        </x:is>
      </x:c>
      <x:c r="D862" s="3" t="inlineStr">
        <x:is>
          <x:t xml:space="preserve">北京长久物流股份有限公司</x:t>
        </x:is>
      </x:c>
      <x:c r="E862" s="2" t="inlineStr">
        <x:is>
          <x:t xml:space="preserve">北京市</x:t>
        </x:is>
      </x:c>
      <x:c r="F862" s="2" t="inlineStr">
        <x:is>
          <x:t xml:space="preserve">北京市</x:t>
        </x:is>
      </x:c>
      <x:c r="G862" s="3" t="inlineStr">
        <x:is>
          <x:t xml:space="preserve">北京市-北京市</x:t>
        </x:is>
      </x:c>
      <x:c r="H862" s="2" t="inlineStr">
        <x:is>
          <x:t xml:space="preserve">交运物流</x:t>
        </x:is>
      </x:c>
      <x:c r="I862" s="2" t="inlineStr">
        <x:is>
          <x:t xml:space="preserve">2016-08-10</x:t>
        </x:is>
      </x:c>
      <x:c r="J862" s="3" t="inlineStr">
        <x:is>
          <x:t xml:space="preserve">北京市顺义区南彩镇彩祥东路3号</x:t>
        </x:is>
      </x:c>
      <x:c r="K862" s="12" t="str">
        <x:f>LEFT("91110113754691792L",18)</x:f>
        <x:v>91110113754691792L</x:v>
      </x:c>
    </x:row>
    <x:row r="863">
      <x:c r="A863" s="4" t="n">
        <x:v>862</x:v>
      </x:c>
      <x:c r="B863" s="4" t="inlineStr">
        <x:is>
          <x:t xml:space="preserve">603588</x:t>
        </x:is>
      </x:c>
      <x:c r="C863" s="5" t="inlineStr">
        <x:is>
          <x:t xml:space="preserve">高能环境</x:t>
        </x:is>
      </x:c>
      <x:c r="D863" s="5" t="inlineStr">
        <x:is>
          <x:t xml:space="preserve">北京高能时代环境技术股份有限公司</x:t>
        </x:is>
      </x:c>
      <x:c r="E863" s="4" t="inlineStr">
        <x:is>
          <x:t xml:space="preserve">北京市</x:t>
        </x:is>
      </x:c>
      <x:c r="F863" s="4" t="inlineStr">
        <x:is>
          <x:t xml:space="preserve">北京市</x:t>
        </x:is>
      </x:c>
      <x:c r="G863" s="5" t="inlineStr">
        <x:is>
          <x:t xml:space="preserve">北京市-北京市</x:t>
        </x:is>
      </x:c>
      <x:c r="H863" s="4" t="inlineStr">
        <x:is>
          <x:t xml:space="preserve">环保工程</x:t>
        </x:is>
      </x:c>
      <x:c r="I863" s="4" t="inlineStr">
        <x:is>
          <x:t xml:space="preserve">2014-12-29</x:t>
        </x:is>
      </x:c>
      <x:c r="J863" s="5" t="inlineStr">
        <x:is>
          <x:t xml:space="preserve">海淀区秋枫路36号院1号楼-2至4层101</x:t>
        </x:is>
      </x:c>
      <x:c r="K863" s="12" t="str">
        <x:f>LEFT("911100001022884121",18)</x:f>
        <x:v>911100001022884100</x:v>
      </x:c>
    </x:row>
    <x:row r="864">
      <x:c r="A864" s="2" t="n">
        <x:v>863</x:v>
      </x:c>
      <x:c r="B864" s="2" t="inlineStr">
        <x:is>
          <x:t xml:space="preserve">603590</x:t>
        </x:is>
      </x:c>
      <x:c r="C864" s="3" t="inlineStr">
        <x:is>
          <x:t xml:space="preserve">康辰药业</x:t>
        </x:is>
      </x:c>
      <x:c r="D864" s="3" t="inlineStr">
        <x:is>
          <x:t xml:space="preserve">北京康辰药业股份有限公司</x:t>
        </x:is>
      </x:c>
      <x:c r="E864" s="2" t="inlineStr">
        <x:is>
          <x:t xml:space="preserve">北京市</x:t>
        </x:is>
      </x:c>
      <x:c r="F864" s="2" t="inlineStr">
        <x:is>
          <x:t xml:space="preserve">北京市</x:t>
        </x:is>
      </x:c>
      <x:c r="G864" s="3" t="inlineStr">
        <x:is>
          <x:t xml:space="preserve">北京市-北京市</x:t>
        </x:is>
      </x:c>
      <x:c r="H864" s="2" t="inlineStr">
        <x:is>
          <x:t xml:space="preserve">生物制品</x:t>
        </x:is>
      </x:c>
      <x:c r="I864" s="2" t="inlineStr">
        <x:is>
          <x:t xml:space="preserve">2018-08-27</x:t>
        </x:is>
      </x:c>
      <x:c r="J864" s="3" t="inlineStr">
        <x:is>
          <x:t xml:space="preserve">北京市密云区经济开发区兴盛南路11号</x:t>
        </x:is>
      </x:c>
      <x:c r="K864" s="12" t="str">
        <x:f>LEFT("91110228754175237Y",18)</x:f>
        <x:v>91110228754175237Y</x:v>
      </x:c>
    </x:row>
    <x:row r="865">
      <x:c r="A865" s="4" t="n">
        <x:v>864</x:v>
      </x:c>
      <x:c r="B865" s="4" t="inlineStr">
        <x:is>
          <x:t xml:space="preserve">603598</x:t>
        </x:is>
      </x:c>
      <x:c r="C865" s="5" t="inlineStr">
        <x:is>
          <x:t xml:space="preserve">引力传媒</x:t>
        </x:is>
      </x:c>
      <x:c r="D865" s="5" t="inlineStr">
        <x:is>
          <x:t xml:space="preserve">引力传媒股份有限公司</x:t>
        </x:is>
      </x:c>
      <x:c r="E865" s="4" t="inlineStr">
        <x:is>
          <x:t xml:space="preserve">北京市</x:t>
        </x:is>
      </x:c>
      <x:c r="F865" s="4" t="inlineStr">
        <x:is>
          <x:t xml:space="preserve">北京市</x:t>
        </x:is>
      </x:c>
      <x:c r="G865" s="5" t="inlineStr">
        <x:is>
          <x:t xml:space="preserve">北京市-北京市</x:t>
        </x:is>
      </x:c>
      <x:c r="H865" s="4" t="inlineStr">
        <x:is>
          <x:t xml:space="preserve">文化传媒</x:t>
        </x:is>
      </x:c>
      <x:c r="I865" s="4" t="inlineStr">
        <x:is>
          <x:t xml:space="preserve">2015-05-27</x:t>
        </x:is>
      </x:c>
      <x:c r="J865" s="5" t="inlineStr">
        <x:is>
          <x:t xml:space="preserve">北京市海淀区阜外亮甲店1号中水园乙3号楼105室</x:t>
        </x:is>
      </x:c>
      <x:c r="K865" s="12" t="str">
        <x:f>LEFT("91110000779543497B",18)</x:f>
        <x:v>91110000779543497B</x:v>
      </x:c>
    </x:row>
    <x:row r="866">
      <x:c r="A866" s="2" t="n">
        <x:v>865</x:v>
      </x:c>
      <x:c r="B866" s="2" t="inlineStr">
        <x:is>
          <x:t xml:space="preserve">603613</x:t>
        </x:is>
      </x:c>
      <x:c r="C866" s="3" t="inlineStr">
        <x:is>
          <x:t xml:space="preserve">国联股份</x:t>
        </x:is>
      </x:c>
      <x:c r="D866" s="3" t="inlineStr">
        <x:is>
          <x:t xml:space="preserve">北京国联视讯信息技术股份有限公司</x:t>
        </x:is>
      </x:c>
      <x:c r="E866" s="2" t="inlineStr">
        <x:is>
          <x:t xml:space="preserve">北京市</x:t>
        </x:is>
      </x:c>
      <x:c r="F866" s="2" t="inlineStr">
        <x:is>
          <x:t xml:space="preserve">北京市</x:t>
        </x:is>
      </x:c>
      <x:c r="G866" s="3" t="inlineStr">
        <x:is>
          <x:t xml:space="preserve">北京市-北京市</x:t>
        </x:is>
      </x:c>
      <x:c r="H866" s="2" t="inlineStr">
        <x:is>
          <x:t xml:space="preserve">电子信息</x:t>
        </x:is>
      </x:c>
      <x:c r="I866" s="2" t="inlineStr">
        <x:is>
          <x:t xml:space="preserve">2019-07-30</x:t>
        </x:is>
      </x:c>
      <x:c r="J866" s="3" t="inlineStr">
        <x:is>
          <x:t xml:space="preserve">北京市丰台区南四环西路188号六区3号楼9层</x:t>
        </x:is>
      </x:c>
      <x:c r="K866" s="12" t="str">
        <x:f>LEFT("91110108742634731W",18)</x:f>
        <x:v>91110108742634731W</x:v>
      </x:c>
    </x:row>
    <x:row r="867">
      <x:c r="A867" s="4" t="n">
        <x:v>866</x:v>
      </x:c>
      <x:c r="B867" s="4" t="inlineStr">
        <x:is>
          <x:t xml:space="preserve">603616</x:t>
        </x:is>
      </x:c>
      <x:c r="C867" s="5" t="inlineStr">
        <x:is>
          <x:t xml:space="preserve">韩建河山</x:t>
        </x:is>
      </x:c>
      <x:c r="D867" s="5" t="inlineStr">
        <x:is>
          <x:t xml:space="preserve">北京韩建河山管业股份有限公司</x:t>
        </x:is>
      </x:c>
      <x:c r="E867" s="4" t="inlineStr">
        <x:is>
          <x:t xml:space="preserve">北京市</x:t>
        </x:is>
      </x:c>
      <x:c r="F867" s="4" t="inlineStr">
        <x:is>
          <x:t xml:space="preserve">北京市</x:t>
        </x:is>
      </x:c>
      <x:c r="G867" s="5" t="inlineStr">
        <x:is>
          <x:t xml:space="preserve">北京市-北京市</x:t>
        </x:is>
      </x:c>
      <x:c r="H867" s="4" t="inlineStr">
        <x:is>
          <x:t xml:space="preserve">水泥建材</x:t>
        </x:is>
      </x:c>
      <x:c r="I867" s="4" t="inlineStr">
        <x:is>
          <x:t xml:space="preserve">2015-06-11</x:t>
        </x:is>
      </x:c>
      <x:c r="J867" s="5" t="inlineStr">
        <x:is>
          <x:t xml:space="preserve">北京市房山区韩村河镇韩村河村大自然新城雅苑商业楼C座3号</x:t>
        </x:is>
      </x:c>
      <x:c r="K867" s="12" t="str">
        <x:f>LEFT("91110000765035854K",18)</x:f>
        <x:v>91110000765035854K</x:v>
      </x:c>
    </x:row>
    <x:row r="868">
      <x:c r="A868" s="2" t="n">
        <x:v>867</x:v>
      </x:c>
      <x:c r="B868" s="2" t="inlineStr">
        <x:is>
          <x:t xml:space="preserve">603698</x:t>
        </x:is>
      </x:c>
      <x:c r="C868" s="3" t="inlineStr">
        <x:is>
          <x:t xml:space="preserve">航天工程</x:t>
        </x:is>
      </x:c>
      <x:c r="D868" s="3" t="inlineStr">
        <x:is>
          <x:t xml:space="preserve">航天长征化学工程股份有限公司</x:t>
        </x:is>
      </x:c>
      <x:c r="E868" s="2" t="inlineStr">
        <x:is>
          <x:t xml:space="preserve">北京市</x:t>
        </x:is>
      </x:c>
      <x:c r="F868" s="2" t="inlineStr">
        <x:is>
          <x:t xml:space="preserve">北京市</x:t>
        </x:is>
      </x:c>
      <x:c r="G868" s="3" t="inlineStr">
        <x:is>
          <x:t xml:space="preserve">北京市-北京市</x:t>
        </x:is>
      </x:c>
      <x:c r="H868" s="2" t="inlineStr">
        <x:is>
          <x:t xml:space="preserve">专业服务</x:t>
        </x:is>
      </x:c>
      <x:c r="I868" s="2" t="inlineStr">
        <x:is>
          <x:t xml:space="preserve">2015-01-28</x:t>
        </x:is>
      </x:c>
      <x:c r="J868" s="3" t="inlineStr">
        <x:is>
          <x:t xml:space="preserve">北京经济技术开发区路东区经海四路141号</x:t>
        </x:is>
      </x:c>
      <x:c r="K868" s="12" t="str">
        <x:f>LEFT("91110000663105807B",18)</x:f>
        <x:v>91110000663105807B</x:v>
      </x:c>
    </x:row>
    <x:row r="869">
      <x:c r="A869" s="4" t="n">
        <x:v>868</x:v>
      </x:c>
      <x:c r="B869" s="4" t="inlineStr">
        <x:is>
          <x:t xml:space="preserve">603778</x:t>
        </x:is>
      </x:c>
      <x:c r="C869" s="5" t="inlineStr">
        <x:is>
          <x:t xml:space="preserve">国晟科技</x:t>
        </x:is>
      </x:c>
      <x:c r="D869" s="5" t="inlineStr">
        <x:is>
          <x:t xml:space="preserve">国晟世安科技股份有限公司</x:t>
        </x:is>
      </x:c>
      <x:c r="E869" s="4" t="inlineStr">
        <x:is>
          <x:t xml:space="preserve">北京市</x:t>
        </x:is>
      </x:c>
      <x:c r="F869" s="4" t="inlineStr">
        <x:is>
          <x:t xml:space="preserve">北京市</x:t>
        </x:is>
      </x:c>
      <x:c r="G869" s="5" t="inlineStr">
        <x:is>
          <x:t xml:space="preserve">北京市-北京市</x:t>
        </x:is>
      </x:c>
      <x:c r="H869" s="4" t="inlineStr">
        <x:is>
          <x:t xml:space="preserve">光伏设备</x:t>
        </x:is>
      </x:c>
      <x:c r="I869" s="4" t="inlineStr">
        <x:is>
          <x:t xml:space="preserve">2015-12-31</x:t>
        </x:is>
      </x:c>
      <x:c r="J869" s="5" t="inlineStr">
        <x:is>
          <x:t xml:space="preserve">北京市海淀区门头馨园路1号</x:t>
        </x:is>
      </x:c>
      <x:c r="K869" s="12" t="str">
        <x:f>LEFT("9111000074473877XT",18)</x:f>
        <x:v>9111000074473877XT</x:v>
      </x:c>
    </x:row>
    <x:row r="870">
      <x:c r="A870" s="2" t="n">
        <x:v>869</x:v>
      </x:c>
      <x:c r="B870" s="2" t="inlineStr">
        <x:is>
          <x:t xml:space="preserve">603803</x:t>
        </x:is>
      </x:c>
      <x:c r="C870" s="3" t="inlineStr">
        <x:is>
          <x:t xml:space="preserve">瑞斯康达</x:t>
        </x:is>
      </x:c>
      <x:c r="D870" s="3" t="inlineStr">
        <x:is>
          <x:t xml:space="preserve">瑞斯康达科技发展股份有限公司</x:t>
        </x:is>
      </x:c>
      <x:c r="E870" s="2" t="inlineStr">
        <x:is>
          <x:t xml:space="preserve">北京市</x:t>
        </x:is>
      </x:c>
      <x:c r="F870" s="2" t="inlineStr">
        <x:is>
          <x:t xml:space="preserve">北京市</x:t>
        </x:is>
      </x:c>
      <x:c r="G870" s="3" t="inlineStr">
        <x:is>
          <x:t xml:space="preserve">北京市-北京市</x:t>
        </x:is>
      </x:c>
      <x:c r="H870" s="2" t="inlineStr">
        <x:is>
          <x:t xml:space="preserve">通讯行业</x:t>
        </x:is>
      </x:c>
      <x:c r="I870" s="2" t="inlineStr">
        <x:is>
          <x:t xml:space="preserve">2017-04-20</x:t>
        </x:is>
      </x:c>
      <x:c r="J870" s="3" t="inlineStr">
        <x:is>
          <x:t xml:space="preserve">北京市海淀区西北旺东路10号院东区11号一至五层</x:t>
        </x:is>
      </x:c>
      <x:c r="K870" s="12" t="str">
        <x:f>LEFT("911101087003918234",18)</x:f>
        <x:v>911101087003918200</x:v>
      </x:c>
    </x:row>
    <x:row r="871">
      <x:c r="A871" s="4" t="n">
        <x:v>870</x:v>
      </x:c>
      <x:c r="B871" s="4" t="inlineStr">
        <x:is>
          <x:t xml:space="preserve">603818</x:t>
        </x:is>
      </x:c>
      <x:c r="C871" s="5" t="inlineStr">
        <x:is>
          <x:t xml:space="preserve">曲美家居</x:t>
        </x:is>
      </x:c>
      <x:c r="D871" s="5" t="inlineStr">
        <x:is>
          <x:t xml:space="preserve">曲美家居集团股份有限公司</x:t>
        </x:is>
      </x:c>
      <x:c r="E871" s="4" t="inlineStr">
        <x:is>
          <x:t xml:space="preserve">北京市</x:t>
        </x:is>
      </x:c>
      <x:c r="F871" s="4" t="inlineStr">
        <x:is>
          <x:t xml:space="preserve">北京市</x:t>
        </x:is>
      </x:c>
      <x:c r="G871" s="5" t="inlineStr">
        <x:is>
          <x:t xml:space="preserve">北京市-北京市</x:t>
        </x:is>
      </x:c>
      <x:c r="H871" s="4" t="inlineStr">
        <x:is>
          <x:t xml:space="preserve">木业家具</x:t>
        </x:is>
      </x:c>
      <x:c r="I871" s="4" t="inlineStr">
        <x:is>
          <x:t xml:space="preserve">2015-04-22</x:t>
        </x:is>
      </x:c>
      <x:c r="J871" s="5" t="inlineStr">
        <x:is>
          <x:t xml:space="preserve">北京市顺义区南彩镇彩祥东路11号</x:t>
        </x:is>
      </x:c>
      <x:c r="K871" s="12" t="str">
        <x:f>LEFT("911100001021096991",18)</x:f>
        <x:v>911100001021097000</x:v>
      </x:c>
    </x:row>
    <x:row r="872">
      <x:c r="A872" s="2" t="n">
        <x:v>871</x:v>
      </x:c>
      <x:c r="B872" s="2" t="inlineStr">
        <x:is>
          <x:t xml:space="preserve">603859</x:t>
        </x:is>
      </x:c>
      <x:c r="C872" s="3" t="inlineStr">
        <x:is>
          <x:t xml:space="preserve">能科科技</x:t>
        </x:is>
      </x:c>
      <x:c r="D872" s="3" t="inlineStr">
        <x:is>
          <x:t xml:space="preserve">能科科技股份有限公司</x:t>
        </x:is>
      </x:c>
      <x:c r="E872" s="2" t="inlineStr">
        <x:is>
          <x:t xml:space="preserve">北京市</x:t>
        </x:is>
      </x:c>
      <x:c r="F872" s="2" t="inlineStr">
        <x:is>
          <x:t xml:space="preserve">北京市</x:t>
        </x:is>
      </x:c>
      <x:c r="G872" s="3" t="inlineStr">
        <x:is>
          <x:t xml:space="preserve">北京市-北京市</x:t>
        </x:is>
      </x:c>
      <x:c r="H872" s="2" t="inlineStr">
        <x:is>
          <x:t xml:space="preserve">软件服务</x:t>
        </x:is>
      </x:c>
      <x:c r="I872" s="2" t="inlineStr">
        <x:is>
          <x:t xml:space="preserve">2016-10-21</x:t>
        </x:is>
      </x:c>
      <x:c r="J872" s="3" t="inlineStr">
        <x:is>
          <x:t xml:space="preserve">北京市房山区德润南路9号院</x:t>
        </x:is>
      </x:c>
      <x:c r="K872" s="12" t="str">
        <x:f>LEFT("911101117975786690",18)</x:f>
        <x:v>911101117975786800</x:v>
      </x:c>
    </x:row>
    <x:row r="873">
      <x:c r="A873" s="4" t="n">
        <x:v>872</x:v>
      </x:c>
      <x:c r="B873" s="4" t="inlineStr">
        <x:is>
          <x:t xml:space="preserve">603860</x:t>
        </x:is>
      </x:c>
      <x:c r="C873" s="5" t="inlineStr">
        <x:is>
          <x:t xml:space="preserve">中公高科</x:t>
        </x:is>
      </x:c>
      <x:c r="D873" s="5" t="inlineStr">
        <x:is>
          <x:t xml:space="preserve">中公高科养护科技股份有限公司</x:t>
        </x:is>
      </x:c>
      <x:c r="E873" s="4" t="inlineStr">
        <x:is>
          <x:t xml:space="preserve">北京市</x:t>
        </x:is>
      </x:c>
      <x:c r="F873" s="4" t="inlineStr">
        <x:is>
          <x:t xml:space="preserve">北京市</x:t>
        </x:is>
      </x:c>
      <x:c r="G873" s="5" t="inlineStr">
        <x:is>
          <x:t xml:space="preserve">北京市-北京市</x:t>
        </x:is>
      </x:c>
      <x:c r="H873" s="4" t="inlineStr">
        <x:is>
          <x:t xml:space="preserve">工程咨询服务</x:t>
        </x:is>
      </x:c>
      <x:c r="I873" s="4" t="inlineStr">
        <x:is>
          <x:t xml:space="preserve">2017-08-02</x:t>
        </x:is>
      </x:c>
      <x:c r="J873" s="5" t="inlineStr">
        <x:is>
          <x:t xml:space="preserve">北京市海淀区地锦路9号院4号楼-1至4层101</x:t>
        </x:is>
      </x:c>
      <x:c r="K873" s="12" t="str">
        <x:f>LEFT("91110108667509745C",18)</x:f>
        <x:v>91110108667509745C</x:v>
      </x:c>
    </x:row>
    <x:row r="874">
      <x:c r="A874" s="2" t="n">
        <x:v>873</x:v>
      </x:c>
      <x:c r="B874" s="2" t="inlineStr">
        <x:is>
          <x:t xml:space="preserve">603871</x:t>
        </x:is>
      </x:c>
      <x:c r="C874" s="3" t="inlineStr">
        <x:is>
          <x:t xml:space="preserve">嘉友国际</x:t>
        </x:is>
      </x:c>
      <x:c r="D874" s="3" t="inlineStr">
        <x:is>
          <x:t xml:space="preserve">嘉友国际物流股份有限公司</x:t>
        </x:is>
      </x:c>
      <x:c r="E874" s="2" t="inlineStr">
        <x:is>
          <x:t xml:space="preserve">北京市</x:t>
        </x:is>
      </x:c>
      <x:c r="F874" s="2" t="inlineStr">
        <x:is>
          <x:t xml:space="preserve">北京市</x:t>
        </x:is>
      </x:c>
      <x:c r="G874" s="3" t="inlineStr">
        <x:is>
          <x:t xml:space="preserve">北京市-北京市</x:t>
        </x:is>
      </x:c>
      <x:c r="H874" s="2" t="inlineStr">
        <x:is>
          <x:t xml:space="preserve">交运物流</x:t>
        </x:is>
      </x:c>
      <x:c r="I874" s="2" t="inlineStr">
        <x:is>
          <x:t xml:space="preserve">2018-02-06</x:t>
        </x:is>
      </x:c>
      <x:c r="J874" s="3" t="inlineStr">
        <x:is>
          <x:t xml:space="preserve">北京市西城区阜成门外大街31号6层608A</x:t>
        </x:is>
      </x:c>
      <x:c r="K874" s="12" t="str">
        <x:f>LEFT("91110102777084506K",18)</x:f>
        <x:v>91110102777084506K</x:v>
      </x:c>
    </x:row>
    <x:row r="875">
      <x:c r="A875" s="4" t="n">
        <x:v>874</x:v>
      </x:c>
      <x:c r="B875" s="4" t="inlineStr">
        <x:is>
          <x:t xml:space="preserve">603888</x:t>
        </x:is>
      </x:c>
      <x:c r="C875" s="5" t="inlineStr">
        <x:is>
          <x:t xml:space="preserve">新华网</x:t>
        </x:is>
      </x:c>
      <x:c r="D875" s="5" t="inlineStr">
        <x:is>
          <x:t xml:space="preserve">新华网股份有限公司</x:t>
        </x:is>
      </x:c>
      <x:c r="E875" s="4" t="inlineStr">
        <x:is>
          <x:t xml:space="preserve">北京市</x:t>
        </x:is>
      </x:c>
      <x:c r="F875" s="4" t="inlineStr">
        <x:is>
          <x:t xml:space="preserve">北京市</x:t>
        </x:is>
      </x:c>
      <x:c r="G875" s="5" t="inlineStr">
        <x:is>
          <x:t xml:space="preserve">北京市-北京市</x:t>
        </x:is>
      </x:c>
      <x:c r="H875" s="4" t="inlineStr">
        <x:is>
          <x:t xml:space="preserve">文化传媒</x:t>
        </x:is>
      </x:c>
      <x:c r="I875" s="4" t="inlineStr">
        <x:is>
          <x:t xml:space="preserve">2016-10-28</x:t>
        </x:is>
      </x:c>
      <x:c r="J875" s="5" t="inlineStr">
        <x:is>
          <x:t xml:space="preserve">北京市西城区德胜门外大街83号9层909-A01房间</x:t>
        </x:is>
      </x:c>
      <x:c r="K875" s="12" t="str">
        <x:f>LEFT("91110000710927126K",18)</x:f>
        <x:v>91110000710927126K</x:v>
      </x:c>
    </x:row>
    <x:row r="876">
      <x:c r="A876" s="2" t="n">
        <x:v>875</x:v>
      </x:c>
      <x:c r="B876" s="2" t="inlineStr">
        <x:is>
          <x:t xml:space="preserve">603903</x:t>
        </x:is>
      </x:c>
      <x:c r="C876" s="3" t="inlineStr">
        <x:is>
          <x:t xml:space="preserve">中持股份</x:t>
        </x:is>
      </x:c>
      <x:c r="D876" s="3" t="inlineStr">
        <x:is>
          <x:t xml:space="preserve">中持水务股份有限公司</x:t>
        </x:is>
      </x:c>
      <x:c r="E876" s="2" t="inlineStr">
        <x:is>
          <x:t xml:space="preserve">北京市</x:t>
        </x:is>
      </x:c>
      <x:c r="F876" s="2" t="inlineStr">
        <x:is>
          <x:t xml:space="preserve">北京市</x:t>
        </x:is>
      </x:c>
      <x:c r="G876" s="3" t="inlineStr">
        <x:is>
          <x:t xml:space="preserve">北京市-北京市</x:t>
        </x:is>
      </x:c>
      <x:c r="H876" s="2" t="inlineStr">
        <x:is>
          <x:t xml:space="preserve">环保工程</x:t>
        </x:is>
      </x:c>
      <x:c r="I876" s="2" t="inlineStr">
        <x:is>
          <x:t xml:space="preserve">2017-03-14</x:t>
        </x:is>
      </x:c>
      <x:c r="J876" s="3" t="inlineStr">
        <x:is>
          <x:t xml:space="preserve">北京市海淀区西小口路66号中关村东升科技园·北领地B-2楼4层C402</x:t>
        </x:is>
      </x:c>
      <x:c r="K876" s="12" t="str">
        <x:f>LEFT("911101086996165533",18)</x:f>
        <x:v>911101086996165500</x:v>
      </x:c>
    </x:row>
    <x:row r="877">
      <x:c r="A877" s="4" t="n">
        <x:v>876</x:v>
      </x:c>
      <x:c r="B877" s="4" t="inlineStr">
        <x:is>
          <x:t xml:space="preserve">603927</x:t>
        </x:is>
      </x:c>
      <x:c r="C877" s="5" t="inlineStr">
        <x:is>
          <x:t xml:space="preserve">中科软</x:t>
        </x:is>
      </x:c>
      <x:c r="D877" s="5" t="inlineStr">
        <x:is>
          <x:t xml:space="preserve">中科软科技股份有限公司</x:t>
        </x:is>
      </x:c>
      <x:c r="E877" s="4" t="inlineStr">
        <x:is>
          <x:t xml:space="preserve">北京市</x:t>
        </x:is>
      </x:c>
      <x:c r="F877" s="4" t="inlineStr">
        <x:is>
          <x:t xml:space="preserve">北京市</x:t>
        </x:is>
      </x:c>
      <x:c r="G877" s="5" t="inlineStr">
        <x:is>
          <x:t xml:space="preserve">北京市-北京市</x:t>
        </x:is>
      </x:c>
      <x:c r="H877" s="4" t="inlineStr">
        <x:is>
          <x:t xml:space="preserve">软件服务</x:t>
        </x:is>
      </x:c>
      <x:c r="I877" s="4" t="inlineStr">
        <x:is>
          <x:t xml:space="preserve">2019-09-09</x:t>
        </x:is>
      </x:c>
      <x:c r="J877" s="5" t="inlineStr">
        <x:is>
          <x:t xml:space="preserve">北京市海淀区中关村新科祥园甲6号楼</x:t>
        </x:is>
      </x:c>
      <x:c r="K877" s="12" t="str">
        <x:f>LEFT("91110108101966816T",18)</x:f>
        <x:v>91110108101966816T</x:v>
      </x:c>
    </x:row>
    <x:row r="878">
      <x:c r="A878" s="2" t="n">
        <x:v>877</x:v>
      </x:c>
      <x:c r="B878" s="2" t="inlineStr">
        <x:is>
          <x:t xml:space="preserve">603970</x:t>
        </x:is>
      </x:c>
      <x:c r="C878" s="3" t="inlineStr">
        <x:is>
          <x:t xml:space="preserve">中农立华</x:t>
        </x:is>
      </x:c>
      <x:c r="D878" s="3" t="inlineStr">
        <x:is>
          <x:t xml:space="preserve">中农立华生物科技股份有限公司</x:t>
        </x:is>
      </x:c>
      <x:c r="E878" s="2" t="inlineStr">
        <x:is>
          <x:t xml:space="preserve">北京市</x:t>
        </x:is>
      </x:c>
      <x:c r="F878" s="2" t="inlineStr">
        <x:is>
          <x:t xml:space="preserve">北京市</x:t>
        </x:is>
      </x:c>
      <x:c r="G878" s="3" t="inlineStr">
        <x:is>
          <x:t xml:space="preserve">北京市-北京市</x:t>
        </x:is>
      </x:c>
      <x:c r="H878" s="2" t="inlineStr">
        <x:is>
          <x:t xml:space="preserve">农药兽药</x:t>
        </x:is>
      </x:c>
      <x:c r="I878" s="2" t="inlineStr">
        <x:is>
          <x:t xml:space="preserve">2017-11-16</x:t>
        </x:is>
      </x:c>
      <x:c r="J878" s="3" t="inlineStr">
        <x:is>
          <x:t xml:space="preserve">北京市西城区宣武门外大街甲1号九层912室</x:t>
        </x:is>
      </x:c>
      <x:c r="K878" s="12" t="str">
        <x:f>LEFT("91110102686905284M",18)</x:f>
        <x:v>91110102686905284M</x:v>
      </x:c>
    </x:row>
    <x:row r="879">
      <x:c r="A879" s="4" t="n">
        <x:v>878</x:v>
      </x:c>
      <x:c r="B879" s="4" t="inlineStr">
        <x:is>
          <x:t xml:space="preserve">603979</x:t>
        </x:is>
      </x:c>
      <x:c r="C879" s="5" t="inlineStr">
        <x:is>
          <x:t xml:space="preserve">金诚信</x:t>
        </x:is>
      </x:c>
      <x:c r="D879" s="5" t="inlineStr">
        <x:is>
          <x:t xml:space="preserve">金诚信矿业管理股份有限公司</x:t>
        </x:is>
      </x:c>
      <x:c r="E879" s="4" t="inlineStr">
        <x:is>
          <x:t xml:space="preserve">北京市</x:t>
        </x:is>
      </x:c>
      <x:c r="F879" s="4" t="inlineStr">
        <x:is>
          <x:t xml:space="preserve">北京市</x:t>
        </x:is>
      </x:c>
      <x:c r="G879" s="5" t="inlineStr">
        <x:is>
          <x:t xml:space="preserve">北京市-北京市</x:t>
        </x:is>
      </x:c>
      <x:c r="H879" s="4" t="inlineStr">
        <x:is>
          <x:t xml:space="preserve">采掘行业</x:t>
        </x:is>
      </x:c>
      <x:c r="I879" s="4" t="inlineStr">
        <x:is>
          <x:t xml:space="preserve">2015-06-30</x:t>
        </x:is>
      </x:c>
      <x:c r="J879" s="5" t="inlineStr">
        <x:is>
          <x:t xml:space="preserve">北京市密云区经济开发区水源西路28号院1号楼101室</x:t>
        </x:is>
      </x:c>
      <x:c r="K879" s="12" t="str">
        <x:f>LEFT("911100006699022334",18)</x:f>
        <x:v>911100006699022300</x:v>
      </x:c>
    </x:row>
    <x:row r="880">
      <x:c r="A880" s="2" t="n">
        <x:v>879</x:v>
      </x:c>
      <x:c r="B880" s="2" t="inlineStr">
        <x:is>
          <x:t xml:space="preserve">603986</x:t>
        </x:is>
      </x:c>
      <x:c r="C880" s="3" t="inlineStr">
        <x:is>
          <x:t xml:space="preserve">兆易创新</x:t>
        </x:is>
      </x:c>
      <x:c r="D880" s="3" t="inlineStr">
        <x:is>
          <x:t xml:space="preserve">兆易创新科技集团股份有限公司</x:t>
        </x:is>
      </x:c>
      <x:c r="E880" s="2" t="inlineStr">
        <x:is>
          <x:t xml:space="preserve">北京市</x:t>
        </x:is>
      </x:c>
      <x:c r="F880" s="2" t="inlineStr">
        <x:is>
          <x:t xml:space="preserve">北京市</x:t>
        </x:is>
      </x:c>
      <x:c r="G880" s="3" t="inlineStr">
        <x:is>
          <x:t xml:space="preserve">北京市-北京市</x:t>
        </x:is>
      </x:c>
      <x:c r="H880" s="2" t="inlineStr">
        <x:is>
          <x:t xml:space="preserve">半导体</x:t>
        </x:is>
      </x:c>
      <x:c r="I880" s="2" t="inlineStr">
        <x:is>
          <x:t xml:space="preserve">2016-08-18</x:t>
        </x:is>
      </x:c>
      <x:c r="J880" s="3" t="inlineStr">
        <x:is>
          <x:t xml:space="preserve">北京市海淀区丰豪东路9号院8号楼1至5层101</x:t>
        </x:is>
      </x:c>
      <x:c r="K880" s="12" t="str">
        <x:f>LEFT("91110108773369432Y",18)</x:f>
        <x:v>91110108773369432Y</x:v>
      </x:c>
    </x:row>
    <x:row r="881">
      <x:c r="A881" s="4" t="n">
        <x:v>880</x:v>
      </x:c>
      <x:c r="B881" s="4" t="inlineStr">
        <x:is>
          <x:t xml:space="preserve">605069</x:t>
        </x:is>
      </x:c>
      <x:c r="C881" s="5" t="inlineStr">
        <x:is>
          <x:t xml:space="preserve">正和生态</x:t>
        </x:is>
      </x:c>
      <x:c r="D881" s="5" t="inlineStr">
        <x:is>
          <x:t xml:space="preserve">北京正和恒基滨水生态环境治理股份有限公司</x:t>
        </x:is>
      </x:c>
      <x:c r="E881" s="4" t="inlineStr">
        <x:is>
          <x:t xml:space="preserve">北京市</x:t>
        </x:is>
      </x:c>
      <x:c r="F881" s="4" t="inlineStr">
        <x:is>
          <x:t xml:space="preserve">北京市</x:t>
        </x:is>
      </x:c>
      <x:c r="G881" s="5" t="inlineStr">
        <x:is>
          <x:t xml:space="preserve">北京市-北京市</x:t>
        </x:is>
      </x:c>
      <x:c r="H881" s="4" t="inlineStr">
        <x:is>
          <x:t xml:space="preserve">环保工程</x:t>
        </x:is>
      </x:c>
      <x:c r="I881" s="4" t="inlineStr">
        <x:is>
          <x:t xml:space="preserve">2021-08-16</x:t>
        </x:is>
      </x:c>
      <x:c r="J881" s="5" t="inlineStr">
        <x:is>
          <x:t xml:space="preserve">北京市密云区中关村密云园康宝路5号院11号1层等【10】套1号楼-16</x:t>
        </x:is>
      </x:c>
      <x:c r="K881" s="12" t="str">
        <x:f>LEFT("91110108700613115R",18)</x:f>
        <x:v>91110108700613115R</x:v>
      </x:c>
    </x:row>
    <x:row r="882">
      <x:c r="A882" s="2" t="n">
        <x:v>881</x:v>
      </x:c>
      <x:c r="B882" s="2" t="inlineStr">
        <x:is>
          <x:t xml:space="preserve">605178</x:t>
        </x:is>
      </x:c>
      <x:c r="C882" s="3" t="inlineStr">
        <x:is>
          <x:t xml:space="preserve">时空科技</x:t>
        </x:is>
      </x:c>
      <x:c r="D882" s="3" t="inlineStr">
        <x:is>
          <x:t xml:space="preserve">北京新时空科技股份有限公司</x:t>
        </x:is>
      </x:c>
      <x:c r="E882" s="2" t="inlineStr">
        <x:is>
          <x:t xml:space="preserve">北京市</x:t>
        </x:is>
      </x:c>
      <x:c r="F882" s="2" t="inlineStr">
        <x:is>
          <x:t xml:space="preserve">北京市</x:t>
        </x:is>
      </x:c>
      <x:c r="G882" s="3" t="inlineStr">
        <x:is>
          <x:t xml:space="preserve">北京市-北京市</x:t>
        </x:is>
      </x:c>
      <x:c r="H882" s="2" t="inlineStr">
        <x:is>
          <x:t xml:space="preserve">装修装饰</x:t>
        </x:is>
      </x:c>
      <x:c r="I882" s="2" t="inlineStr">
        <x:is>
          <x:t xml:space="preserve">2020-08-21</x:t>
        </x:is>
      </x:c>
      <x:c r="J882" s="3" t="inlineStr">
        <x:is>
          <x:t xml:space="preserve">北京市怀柔区融城北路10号院1号楼2层224</x:t>
        </x:is>
      </x:c>
      <x:c r="K882" s="12" t="str">
        <x:f>LEFT("9111011675871543XN",18)</x:f>
        <x:v>9111011675871543XN</x:v>
      </x:c>
    </x:row>
    <x:row r="883">
      <x:c r="A883" s="4" t="n">
        <x:v>882</x:v>
      </x:c>
      <x:c r="B883" s="4" t="inlineStr">
        <x:is>
          <x:t xml:space="preserve">605305</x:t>
        </x:is>
      </x:c>
      <x:c r="C883" s="5" t="inlineStr">
        <x:is>
          <x:t xml:space="preserve">中际联合</x:t>
        </x:is>
      </x:c>
      <x:c r="D883" s="5" t="inlineStr">
        <x:is>
          <x:t xml:space="preserve">中际联合(北京)科技股份有限公司</x:t>
        </x:is>
      </x:c>
      <x:c r="E883" s="4" t="inlineStr">
        <x:is>
          <x:t xml:space="preserve">北京市</x:t>
        </x:is>
      </x:c>
      <x:c r="F883" s="4" t="inlineStr">
        <x:is>
          <x:t xml:space="preserve">北京市</x:t>
        </x:is>
      </x:c>
      <x:c r="G883" s="5" t="inlineStr">
        <x:is>
          <x:t xml:space="preserve">北京市-北京市</x:t>
        </x:is>
      </x:c>
      <x:c r="H883" s="4" t="inlineStr">
        <x:is>
          <x:t xml:space="preserve">风电设备</x:t>
        </x:is>
      </x:c>
      <x:c r="I883" s="4" t="inlineStr">
        <x:is>
          <x:t xml:space="preserve">2021-05-06</x:t>
        </x:is>
      </x:c>
      <x:c r="J883" s="5" t="inlineStr">
        <x:is>
          <x:t xml:space="preserve">北京市通州区创益东二路15号院1号楼</x:t>
        </x:is>
      </x:c>
      <x:c r="K883" s="12" t="str">
        <x:f>LEFT("91110112778641474F",18)</x:f>
        <x:v>91110112778641474F</x:v>
      </x:c>
    </x:row>
    <x:row r="884">
      <x:c r="A884" s="2" t="n">
        <x:v>883</x:v>
      </x:c>
      <x:c r="B884" s="2" t="inlineStr">
        <x:is>
          <x:t xml:space="preserve">605599</x:t>
        </x:is>
      </x:c>
      <x:c r="C884" s="3" t="inlineStr">
        <x:is>
          <x:t xml:space="preserve">菜百股份</x:t>
        </x:is>
      </x:c>
      <x:c r="D884" s="3" t="inlineStr">
        <x:is>
          <x:t xml:space="preserve">北京菜市口百货股份有限公司</x:t>
        </x:is>
      </x:c>
      <x:c r="E884" s="2" t="inlineStr">
        <x:is>
          <x:t xml:space="preserve">北京市</x:t>
        </x:is>
      </x:c>
      <x:c r="F884" s="2" t="inlineStr">
        <x:is>
          <x:t xml:space="preserve">北京市</x:t>
        </x:is>
      </x:c>
      <x:c r="G884" s="3" t="inlineStr">
        <x:is>
          <x:t xml:space="preserve">北京市-北京市</x:t>
        </x:is>
      </x:c>
      <x:c r="H884" s="2" t="inlineStr">
        <x:is>
          <x:t xml:space="preserve">珠宝首饰</x:t>
        </x:is>
      </x:c>
      <x:c r="I884" s="2" t="inlineStr">
        <x:is>
          <x:t xml:space="preserve">2021-09-09</x:t>
        </x:is>
      </x:c>
      <x:c r="J884" s="3" t="inlineStr">
        <x:is>
          <x:t xml:space="preserve">北京市西城区广安门内大街306号</x:t>
        </x:is>
      </x:c>
      <x:c r="K884" s="12" t="str">
        <x:f>LEFT("91110102101542829P",18)</x:f>
        <x:v>91110102101542829P</x:v>
      </x:c>
    </x:row>
    <x:row r="885">
      <x:c r="A885" s="4" t="n">
        <x:v>884</x:v>
      </x:c>
      <x:c r="B885" s="4" t="inlineStr">
        <x:is>
          <x:t xml:space="preserve">688004</x:t>
        </x:is>
      </x:c>
      <x:c r="C885" s="5" t="inlineStr">
        <x:is>
          <x:t xml:space="preserve">博汇科技</x:t>
        </x:is>
      </x:c>
      <x:c r="D885" s="5" t="inlineStr">
        <x:is>
          <x:t xml:space="preserve">北京市博汇科技股份有限公司</x:t>
        </x:is>
      </x:c>
      <x:c r="E885" s="4" t="inlineStr">
        <x:is>
          <x:t xml:space="preserve">北京市</x:t>
        </x:is>
      </x:c>
      <x:c r="F885" s="4" t="inlineStr">
        <x:is>
          <x:t xml:space="preserve">北京市</x:t>
        </x:is>
      </x:c>
      <x:c r="G885" s="5" t="inlineStr">
        <x:is>
          <x:t xml:space="preserve">北京市-北京市</x:t>
        </x:is>
      </x:c>
      <x:c r="H885" s="4" t="inlineStr">
        <x:is>
          <x:t xml:space="preserve">互联网服务</x:t>
        </x:is>
      </x:c>
      <x:c r="I885" s="4" t="inlineStr">
        <x:is>
          <x:t xml:space="preserve">2020-06-12</x:t>
        </x:is>
      </x:c>
      <x:c r="J885" s="5" t="inlineStr">
        <x:is>
          <x:t xml:space="preserve">北京市海淀区铃兰路8号院1号楼6层601</x:t>
        </x:is>
      </x:c>
      <x:c r="K885" s="12" t="str">
        <x:f>LEFT("9111010810202736X2",18)</x:f>
        <x:v>9111010810202736X2</x:v>
      </x:c>
    </x:row>
    <x:row r="886">
      <x:c r="A886" s="2" t="n">
        <x:v>885</x:v>
      </x:c>
      <x:c r="B886" s="2" t="inlineStr">
        <x:is>
          <x:t xml:space="preserve">688009</x:t>
        </x:is>
      </x:c>
      <x:c r="C886" s="3" t="inlineStr">
        <x:is>
          <x:t xml:space="preserve">中国通号</x:t>
        </x:is>
      </x:c>
      <x:c r="D886" s="3" t="inlineStr">
        <x:is>
          <x:t xml:space="preserve">中国铁路通信信号股份有限公司</x:t>
        </x:is>
      </x:c>
      <x:c r="E886" s="2" t="inlineStr">
        <x:is>
          <x:t xml:space="preserve">北京市</x:t>
        </x:is>
      </x:c>
      <x:c r="F886" s="2" t="inlineStr">
        <x:is>
          <x:t xml:space="preserve">北京市</x:t>
        </x:is>
      </x:c>
      <x:c r="G886" s="3" t="inlineStr">
        <x:is>
          <x:t xml:space="preserve">北京市-北京市</x:t>
        </x:is>
      </x:c>
      <x:c r="H886" s="2" t="inlineStr">
        <x:is>
          <x:t xml:space="preserve">交运设备</x:t>
        </x:is>
      </x:c>
      <x:c r="I886" s="2" t="inlineStr">
        <x:is>
          <x:t xml:space="preserve">2019-07-22</x:t>
        </x:is>
      </x:c>
      <x:c r="J886" s="3" t="inlineStr">
        <x:is>
          <x:t xml:space="preserve">北京市丰台区汽车博物馆南路1号院中国通号大厦A座20层</x:t>
        </x:is>
      </x:c>
      <x:c r="K886" s="12" t="str">
        <x:f>LEFT("911100007178285938",18)</x:f>
        <x:v>911100007178286000</x:v>
      </x:c>
    </x:row>
    <x:row r="887">
      <x:c r="A887" s="4" t="n">
        <x:v>886</x:v>
      </x:c>
      <x:c r="B887" s="4" t="inlineStr">
        <x:is>
          <x:t xml:space="preserve">688015</x:t>
        </x:is>
      </x:c>
      <x:c r="C887" s="5" t="inlineStr">
        <x:is>
          <x:t xml:space="preserve">交控科技</x:t>
        </x:is>
      </x:c>
      <x:c r="D887" s="5" t="inlineStr">
        <x:is>
          <x:t xml:space="preserve">交控科技股份有限公司</x:t>
        </x:is>
      </x:c>
      <x:c r="E887" s="4" t="inlineStr">
        <x:is>
          <x:t xml:space="preserve">北京市</x:t>
        </x:is>
      </x:c>
      <x:c r="F887" s="4" t="inlineStr">
        <x:is>
          <x:t xml:space="preserve">北京市</x:t>
        </x:is>
      </x:c>
      <x:c r="G887" s="5" t="inlineStr">
        <x:is>
          <x:t xml:space="preserve">北京市-北京市</x:t>
        </x:is>
      </x:c>
      <x:c r="H887" s="4" t="inlineStr">
        <x:is>
          <x:t xml:space="preserve">交运设备</x:t>
        </x:is>
      </x:c>
      <x:c r="I887" s="4" t="inlineStr">
        <x:is>
          <x:t xml:space="preserve">2019-07-22</x:t>
        </x:is>
      </x:c>
      <x:c r="J887" s="5" t="inlineStr">
        <x:is>
          <x:t xml:space="preserve">北京市丰台区智成北街3号院交控大厦1号楼1层101室</x:t>
        </x:is>
      </x:c>
      <x:c r="K887" s="12" t="str">
        <x:f>LEFT("91110106697684368N",18)</x:f>
        <x:v>91110106697684368N</x:v>
      </x:c>
    </x:row>
    <x:row r="888">
      <x:c r="A888" s="2" t="n">
        <x:v>887</x:v>
      </x:c>
      <x:c r="B888" s="2" t="inlineStr">
        <x:is>
          <x:t xml:space="preserve">688028</x:t>
        </x:is>
      </x:c>
      <x:c r="C888" s="3" t="inlineStr">
        <x:is>
          <x:t xml:space="preserve">沃尔德</x:t>
        </x:is>
      </x:c>
      <x:c r="D888" s="3" t="inlineStr">
        <x:is>
          <x:t xml:space="preserve">北京沃尔德金刚石工具股份有限公司</x:t>
        </x:is>
      </x:c>
      <x:c r="E888" s="2" t="inlineStr">
        <x:is>
          <x:t xml:space="preserve">北京市</x:t>
        </x:is>
      </x:c>
      <x:c r="F888" s="2" t="inlineStr">
        <x:is>
          <x:t xml:space="preserve">北京市</x:t>
        </x:is>
      </x:c>
      <x:c r="G888" s="3" t="inlineStr">
        <x:is>
          <x:t xml:space="preserve">北京市-北京市</x:t>
        </x:is>
      </x:c>
      <x:c r="H888" s="2" t="inlineStr">
        <x:is>
          <x:t xml:space="preserve">通用设备</x:t>
        </x:is>
      </x:c>
      <x:c r="I888" s="2" t="inlineStr">
        <x:is>
          <x:t xml:space="preserve">2019-07-22</x:t>
        </x:is>
      </x:c>
      <x:c r="J888" s="3" t="inlineStr">
        <x:is>
          <x:t xml:space="preserve">北京市朝阳区酒仙桥路东路1号院7号厂房7-12东五层H-03室</x:t>
        </x:is>
      </x:c>
      <x:c r="K888" s="12" t="str">
        <x:f>LEFT("911101057934307714",18)</x:f>
        <x:v>911101057934307700</x:v>
      </x:c>
    </x:row>
    <x:row r="889">
      <x:c r="A889" s="4" t="n">
        <x:v>888</x:v>
      </x:c>
      <x:c r="B889" s="4" t="inlineStr">
        <x:is>
          <x:t xml:space="preserve">688033</x:t>
        </x:is>
      </x:c>
      <x:c r="C889" s="5" t="inlineStr">
        <x:is>
          <x:t xml:space="preserve">天宜新材</x:t>
        </x:is>
      </x:c>
      <x:c r="D889" s="5" t="inlineStr">
        <x:is>
          <x:t xml:space="preserve">北京天宜上佳高新材料股份有限公司</x:t>
        </x:is>
      </x:c>
      <x:c r="E889" s="4" t="inlineStr">
        <x:is>
          <x:t xml:space="preserve">北京市</x:t>
        </x:is>
      </x:c>
      <x:c r="F889" s="4" t="inlineStr">
        <x:is>
          <x:t xml:space="preserve">北京市</x:t>
        </x:is>
      </x:c>
      <x:c r="G889" s="5" t="inlineStr">
        <x:is>
          <x:t xml:space="preserve">北京市-北京市</x:t>
        </x:is>
      </x:c>
      <x:c r="H889" s="4" t="inlineStr">
        <x:is>
          <x:t xml:space="preserve">光伏设备</x:t>
        </x:is>
      </x:c>
      <x:c r="I889" s="4" t="inlineStr">
        <x:is>
          <x:t xml:space="preserve">2019-07-22</x:t>
        </x:is>
      </x:c>
      <x:c r="J889" s="5" t="inlineStr">
        <x:is>
          <x:t xml:space="preserve">北京市海淀区上庄镇西辛力屯村南铁道北500米</x:t>
        </x:is>
      </x:c>
      <x:c r="K889" s="12" t="str">
        <x:f>LEFT("91110108696332598Y",18)</x:f>
        <x:v>91110108696332598Y</x:v>
      </x:c>
    </x:row>
    <x:row r="890">
      <x:c r="A890" s="2" t="n">
        <x:v>889</x:v>
      </x:c>
      <x:c r="B890" s="2" t="inlineStr">
        <x:is>
          <x:t xml:space="preserve">688047</x:t>
        </x:is>
      </x:c>
      <x:c r="C890" s="3" t="inlineStr">
        <x:is>
          <x:t xml:space="preserve">龙芯中科</x:t>
        </x:is>
      </x:c>
      <x:c r="D890" s="3" t="inlineStr">
        <x:is>
          <x:t xml:space="preserve">龙芯中科技术股份有限公司</x:t>
        </x:is>
      </x:c>
      <x:c r="E890" s="2" t="inlineStr">
        <x:is>
          <x:t xml:space="preserve">北京市</x:t>
        </x:is>
      </x:c>
      <x:c r="F890" s="2" t="inlineStr">
        <x:is>
          <x:t xml:space="preserve">北京市</x:t>
        </x:is>
      </x:c>
      <x:c r="G890" s="3" t="inlineStr">
        <x:is>
          <x:t xml:space="preserve">北京市-北京市</x:t>
        </x:is>
      </x:c>
      <x:c r="H890" s="2" t="inlineStr">
        <x:is>
          <x:t xml:space="preserve">半导体</x:t>
        </x:is>
      </x:c>
      <x:c r="I890" s="2" t="inlineStr">
        <x:is>
          <x:t xml:space="preserve">2022-06-24</x:t>
        </x:is>
      </x:c>
      <x:c r="J890" s="3" t="inlineStr">
        <x:is>
          <x:t xml:space="preserve">北京市海淀区地锦路7号院4号楼1层101</x:t>
        </x:is>
      </x:c>
      <x:c r="K890" s="12" t="str">
        <x:f>LEFT("9111010867283004X0",18)</x:f>
        <x:v>9111010867283004X0</x:v>
      </x:c>
    </x:row>
    <x:row r="891">
      <x:c r="A891" s="4" t="n">
        <x:v>890</x:v>
      </x:c>
      <x:c r="B891" s="4" t="inlineStr">
        <x:is>
          <x:t xml:space="preserve">688050</x:t>
        </x:is>
      </x:c>
      <x:c r="C891" s="5" t="inlineStr">
        <x:is>
          <x:t xml:space="preserve">爱博医疗</x:t>
        </x:is>
      </x:c>
      <x:c r="D891" s="5" t="inlineStr">
        <x:is>
          <x:t xml:space="preserve">爱博诺德(北京)医疗科技股份有限公司</x:t>
        </x:is>
      </x:c>
      <x:c r="E891" s="4" t="inlineStr">
        <x:is>
          <x:t xml:space="preserve">北京市</x:t>
        </x:is>
      </x:c>
      <x:c r="F891" s="4" t="inlineStr">
        <x:is>
          <x:t xml:space="preserve">北京市</x:t>
        </x:is>
      </x:c>
      <x:c r="G891" s="5" t="inlineStr">
        <x:is>
          <x:t xml:space="preserve">北京市-北京市</x:t>
        </x:is>
      </x:c>
      <x:c r="H891" s="4" t="inlineStr">
        <x:is>
          <x:t xml:space="preserve">医疗器械</x:t>
        </x:is>
      </x:c>
      <x:c r="I891" s="4" t="inlineStr">
        <x:is>
          <x:t xml:space="preserve">2020-07-29</x:t>
        </x:is>
      </x:c>
      <x:c r="J891" s="5" t="inlineStr">
        <x:is>
          <x:t xml:space="preserve">北京市昌平区科技园区兴昌路9号</x:t>
        </x:is>
      </x:c>
      <x:c r="K891" s="12" t="str">
        <x:f>LEFT("9111011455135477XA",18)</x:f>
        <x:v>9111011455135477XA</x:v>
      </x:c>
    </x:row>
    <x:row r="892">
      <x:c r="A892" s="2" t="n">
        <x:v>891</x:v>
      </x:c>
      <x:c r="B892" s="2" t="inlineStr">
        <x:is>
          <x:t xml:space="preserve">688051</x:t>
        </x:is>
      </x:c>
      <x:c r="C892" s="3" t="inlineStr">
        <x:is>
          <x:t xml:space="preserve">佳华科技</x:t>
        </x:is>
      </x:c>
      <x:c r="D892" s="3" t="inlineStr">
        <x:is>
          <x:t xml:space="preserve">罗克佳华科技集团股份有限公司</x:t>
        </x:is>
      </x:c>
      <x:c r="E892" s="2" t="inlineStr">
        <x:is>
          <x:t xml:space="preserve">北京市</x:t>
        </x:is>
      </x:c>
      <x:c r="F892" s="2" t="inlineStr">
        <x:is>
          <x:t xml:space="preserve">北京市</x:t>
        </x:is>
      </x:c>
      <x:c r="G892" s="3" t="inlineStr">
        <x:is>
          <x:t xml:space="preserve">北京市-北京市</x:t>
        </x:is>
      </x:c>
      <x:c r="H892" s="2" t="inlineStr">
        <x:is>
          <x:t xml:space="preserve">互联网服务</x:t>
        </x:is>
      </x:c>
      <x:c r="I892" s="2" t="inlineStr">
        <x:is>
          <x:t xml:space="preserve">2020-03-20</x:t>
        </x:is>
      </x:c>
      <x:c r="J892" s="3" t="inlineStr">
        <x:is>
          <x:t xml:space="preserve">北京市通州区台湖镇京通街9号205</x:t>
        </x:is>
      </x:c>
      <x:c r="K892" s="12" t="str">
        <x:f>LEFT("911101126666179557",18)</x:f>
        <x:v>911101126666179600</x:v>
      </x:c>
    </x:row>
    <x:row r="893">
      <x:c r="A893" s="4" t="n">
        <x:v>892</x:v>
      </x:c>
      <x:c r="B893" s="4" t="inlineStr">
        <x:is>
          <x:t xml:space="preserve">688056</x:t>
        </x:is>
      </x:c>
      <x:c r="C893" s="5" t="inlineStr">
        <x:is>
          <x:t xml:space="preserve">莱伯泰科</x:t>
        </x:is>
      </x:c>
      <x:c r="D893" s="5" t="inlineStr">
        <x:is>
          <x:t xml:space="preserve">北京莱伯泰科仪器股份有限公司</x:t>
        </x:is>
      </x:c>
      <x:c r="E893" s="4" t="inlineStr">
        <x:is>
          <x:t xml:space="preserve">北京市</x:t>
        </x:is>
      </x:c>
      <x:c r="F893" s="4" t="inlineStr">
        <x:is>
          <x:t xml:space="preserve">北京市</x:t>
        </x:is>
      </x:c>
      <x:c r="G893" s="5" t="inlineStr">
        <x:is>
          <x:t xml:space="preserve">北京市-北京市</x:t>
        </x:is>
      </x:c>
      <x:c r="H893" s="4" t="inlineStr">
        <x:is>
          <x:t xml:space="preserve">仪器仪表</x:t>
        </x:is>
      </x:c>
      <x:c r="I893" s="4" t="inlineStr">
        <x:is>
          <x:t xml:space="preserve">2020-09-02</x:t>
        </x:is>
      </x:c>
      <x:c r="J893" s="5" t="inlineStr">
        <x:is>
          <x:t xml:space="preserve">北京市顺义区天竺空港工业区</x:t>
        </x:is>
      </x:c>
      <x:c r="K893" s="12" t="str">
        <x:f>LEFT("911100006000953578",18)</x:f>
        <x:v>911100006000953600</x:v>
      </x:c>
    </x:row>
    <x:row r="894">
      <x:c r="A894" s="2" t="n">
        <x:v>893</x:v>
      </x:c>
      <x:c r="B894" s="2" t="inlineStr">
        <x:is>
          <x:t xml:space="preserve">688058</x:t>
        </x:is>
      </x:c>
      <x:c r="C894" s="3" t="inlineStr">
        <x:is>
          <x:t xml:space="preserve">宝兰德</x:t>
        </x:is>
      </x:c>
      <x:c r="D894" s="3" t="inlineStr">
        <x:is>
          <x:t xml:space="preserve">北京宝兰德软件股份有限公司</x:t>
        </x:is>
      </x:c>
      <x:c r="E894" s="2" t="inlineStr">
        <x:is>
          <x:t xml:space="preserve">北京市</x:t>
        </x:is>
      </x:c>
      <x:c r="F894" s="2" t="inlineStr">
        <x:is>
          <x:t xml:space="preserve">北京市</x:t>
        </x:is>
      </x:c>
      <x:c r="G894" s="3" t="inlineStr">
        <x:is>
          <x:t xml:space="preserve">北京市-北京市</x:t>
        </x:is>
      </x:c>
      <x:c r="H894" s="2" t="inlineStr">
        <x:is>
          <x:t xml:space="preserve">软件服务</x:t>
        </x:is>
      </x:c>
      <x:c r="I894" s="2" t="inlineStr">
        <x:is>
          <x:t xml:space="preserve">2019-11-01</x:t>
        </x:is>
      </x:c>
      <x:c r="J894" s="3" t="inlineStr">
        <x:is>
          <x:t xml:space="preserve">北京市顺义区仁和园二街6号院6座2层206室</x:t>
        </x:is>
      </x:c>
      <x:c r="K894" s="12" t="str">
        <x:f>LEFT("911101086738170589",18)</x:f>
        <x:v>911101086738170600</x:v>
      </x:c>
    </x:row>
    <x:row r="895">
      <x:c r="A895" s="4" t="n">
        <x:v>894</x:v>
      </x:c>
      <x:c r="B895" s="4" t="inlineStr">
        <x:is>
          <x:t xml:space="preserve">688068</x:t>
        </x:is>
      </x:c>
      <x:c r="C895" s="5" t="inlineStr">
        <x:is>
          <x:t xml:space="preserve">热景生物</x:t>
        </x:is>
      </x:c>
      <x:c r="D895" s="5" t="inlineStr">
        <x:is>
          <x:t xml:space="preserve">北京热景生物技术股份有限公司</x:t>
        </x:is>
      </x:c>
      <x:c r="E895" s="4" t="inlineStr">
        <x:is>
          <x:t xml:space="preserve">北京市</x:t>
        </x:is>
      </x:c>
      <x:c r="F895" s="4" t="inlineStr">
        <x:is>
          <x:t xml:space="preserve">北京市</x:t>
        </x:is>
      </x:c>
      <x:c r="G895" s="5" t="inlineStr">
        <x:is>
          <x:t xml:space="preserve">北京市-北京市</x:t>
        </x:is>
      </x:c>
      <x:c r="H895" s="4" t="inlineStr">
        <x:is>
          <x:t xml:space="preserve">医疗器械</x:t>
        </x:is>
      </x:c>
      <x:c r="I895" s="4" t="inlineStr">
        <x:is>
          <x:t xml:space="preserve">2019-09-30</x:t>
        </x:is>
      </x:c>
      <x:c r="J895" s="5" t="inlineStr">
        <x:is>
          <x:t xml:space="preserve">北京市大兴区中关村科技园区大兴生物医药产业基地庆丰西路55号院7号楼1-5层</x:t>
        </x:is>
      </x:c>
      <x:c r="K895" s="12" t="str">
        <x:f>LEFT("91110115777090586H",18)</x:f>
        <x:v>91110115777090586H</x:v>
      </x:c>
    </x:row>
    <x:row r="896">
      <x:c r="A896" s="2" t="n">
        <x:v>895</x:v>
      </x:c>
      <x:c r="B896" s="2" t="inlineStr">
        <x:is>
          <x:t xml:space="preserve">688078</x:t>
        </x:is>
      </x:c>
      <x:c r="C896" s="3" t="inlineStr">
        <x:is>
          <x:t xml:space="preserve">龙软科技</x:t>
        </x:is>
      </x:c>
      <x:c r="D896" s="3" t="inlineStr">
        <x:is>
          <x:t xml:space="preserve">北京龙软科技股份有限公司</x:t>
        </x:is>
      </x:c>
      <x:c r="E896" s="2" t="inlineStr">
        <x:is>
          <x:t xml:space="preserve">北京市</x:t>
        </x:is>
      </x:c>
      <x:c r="F896" s="2" t="inlineStr">
        <x:is>
          <x:t xml:space="preserve">北京市</x:t>
        </x:is>
      </x:c>
      <x:c r="G896" s="3" t="inlineStr">
        <x:is>
          <x:t xml:space="preserve">北京市-北京市</x:t>
        </x:is>
      </x:c>
      <x:c r="H896" s="2" t="inlineStr">
        <x:is>
          <x:t xml:space="preserve">软件服务</x:t>
        </x:is>
      </x:c>
      <x:c r="I896" s="2" t="inlineStr">
        <x:is>
          <x:t xml:space="preserve">2019-12-30</x:t>
        </x:is>
      </x:c>
      <x:c r="J896" s="3" t="inlineStr">
        <x:is>
          <x:t xml:space="preserve">北京市海淀区彩和坊路8号10层1008</x:t>
        </x:is>
      </x:c>
      <x:c r="K896" s="12" t="str">
        <x:f>LEFT("911101087355893625",18)</x:f>
        <x:v>911101087355893600</x:v>
      </x:c>
    </x:row>
    <x:row r="897">
      <x:c r="A897" s="4" t="n">
        <x:v>896</x:v>
      </x:c>
      <x:c r="B897" s="4" t="inlineStr">
        <x:is>
          <x:t xml:space="preserve">688080</x:t>
        </x:is>
      </x:c>
      <x:c r="C897" s="5" t="inlineStr">
        <x:is>
          <x:t xml:space="preserve">映翰通</x:t>
        </x:is>
      </x:c>
      <x:c r="D897" s="5" t="inlineStr">
        <x:is>
          <x:t xml:space="preserve">北京映翰通网络技术股份有限公司</x:t>
        </x:is>
      </x:c>
      <x:c r="E897" s="4" t="inlineStr">
        <x:is>
          <x:t xml:space="preserve">北京市</x:t>
        </x:is>
      </x:c>
      <x:c r="F897" s="4" t="inlineStr">
        <x:is>
          <x:t xml:space="preserve">北京市</x:t>
        </x:is>
      </x:c>
      <x:c r="G897" s="5" t="inlineStr">
        <x:is>
          <x:t xml:space="preserve">北京市-北京市</x:t>
        </x:is>
      </x:c>
      <x:c r="H897" s="4" t="inlineStr">
        <x:is>
          <x:t xml:space="preserve">通信设备</x:t>
        </x:is>
      </x:c>
      <x:c r="I897" s="4" t="inlineStr">
        <x:is>
          <x:t xml:space="preserve">2020-02-12</x:t>
        </x:is>
      </x:c>
      <x:c r="J897" s="5" t="inlineStr">
        <x:is>
          <x:t xml:space="preserve">北京市朝阳区紫月路18号院3号楼5层501室</x:t>
        </x:is>
      </x:c>
      <x:c r="K897" s="12" t="str">
        <x:f>LEFT("91110105802095822J",18)</x:f>
        <x:v>91110105802095822J</x:v>
      </x:c>
    </x:row>
    <x:row r="898">
      <x:c r="A898" s="2" t="n">
        <x:v>897</x:v>
      </x:c>
      <x:c r="B898" s="2" t="inlineStr">
        <x:is>
          <x:t xml:space="preserve">688084</x:t>
        </x:is>
      </x:c>
      <x:c r="C898" s="3" t="inlineStr">
        <x:is>
          <x:t xml:space="preserve">晶品特装</x:t>
        </x:is>
      </x:c>
      <x:c r="D898" s="3" t="inlineStr">
        <x:is>
          <x:t xml:space="preserve">北京晶品特装科技股份有限公司</x:t>
        </x:is>
      </x:c>
      <x:c r="E898" s="2" t="inlineStr">
        <x:is>
          <x:t xml:space="preserve">北京市</x:t>
        </x:is>
      </x:c>
      <x:c r="F898" s="2" t="inlineStr">
        <x:is>
          <x:t xml:space="preserve">北京市</x:t>
        </x:is>
      </x:c>
      <x:c r="G898" s="3" t="inlineStr">
        <x:is>
          <x:t xml:space="preserve">北京市-北京市</x:t>
        </x:is>
      </x:c>
      <x:c r="H898" s="2" t="inlineStr">
        <x:is>
          <x:t xml:space="preserve">专用设备</x:t>
        </x:is>
      </x:c>
      <x:c r="I898" s="2" t="inlineStr">
        <x:is>
          <x:t xml:space="preserve">2022-12-08</x:t>
        </x:is>
      </x:c>
      <x:c r="J898" s="3" t="inlineStr">
        <x:is>
          <x:t xml:space="preserve">北京市昌平区创新路15号</x:t>
        </x:is>
      </x:c>
      <x:c r="K898" s="12" t="str">
        <x:f>LEFT("91110114691650917R",18)</x:f>
        <x:v>91110114691650917R</x:v>
      </x:c>
    </x:row>
    <x:row r="899">
      <x:c r="A899" s="4" t="n">
        <x:v>898</x:v>
      </x:c>
      <x:c r="B899" s="4" t="inlineStr">
        <x:is>
          <x:t xml:space="preserve">688111</x:t>
        </x:is>
      </x:c>
      <x:c r="C899" s="5" t="inlineStr">
        <x:is>
          <x:t xml:space="preserve">金山办公</x:t>
        </x:is>
      </x:c>
      <x:c r="D899" s="5" t="inlineStr">
        <x:is>
          <x:t xml:space="preserve">北京金山办公软件股份有限公司</x:t>
        </x:is>
      </x:c>
      <x:c r="E899" s="4" t="inlineStr">
        <x:is>
          <x:t xml:space="preserve">北京市</x:t>
        </x:is>
      </x:c>
      <x:c r="F899" s="4" t="inlineStr">
        <x:is>
          <x:t xml:space="preserve">北京市</x:t>
        </x:is>
      </x:c>
      <x:c r="G899" s="5" t="inlineStr">
        <x:is>
          <x:t xml:space="preserve">北京市-北京市</x:t>
        </x:is>
      </x:c>
      <x:c r="H899" s="4" t="inlineStr">
        <x:is>
          <x:t xml:space="preserve">软件服务</x:t>
        </x:is>
      </x:c>
      <x:c r="I899" s="4" t="inlineStr">
        <x:is>
          <x:t xml:space="preserve">2019-11-18</x:t>
        </x:is>
      </x:c>
      <x:c r="J899" s="5" t="inlineStr">
        <x:is>
          <x:t xml:space="preserve">北京市海淀区小营西路33号2层02层</x:t>
        </x:is>
      </x:c>
      <x:c r="K899" s="12" t="str">
        <x:f>LEFT("91110108587665983J",18)</x:f>
        <x:v>91110108587665983J</x:v>
      </x:c>
    </x:row>
    <x:row r="900">
      <x:c r="A900" s="2" t="n">
        <x:v>899</x:v>
      </x:c>
      <x:c r="B900" s="2" t="inlineStr">
        <x:is>
          <x:t xml:space="preserve">688168</x:t>
        </x:is>
      </x:c>
      <x:c r="C900" s="3" t="inlineStr">
        <x:is>
          <x:t xml:space="preserve">安博通</x:t>
        </x:is>
      </x:c>
      <x:c r="D900" s="3" t="inlineStr">
        <x:is>
          <x:t xml:space="preserve">北京安博通科技股份有限公司</x:t>
        </x:is>
      </x:c>
      <x:c r="E900" s="2" t="inlineStr">
        <x:is>
          <x:t xml:space="preserve">北京市</x:t>
        </x:is>
      </x:c>
      <x:c r="F900" s="2" t="inlineStr">
        <x:is>
          <x:t xml:space="preserve">北京市</x:t>
        </x:is>
      </x:c>
      <x:c r="G900" s="3" t="inlineStr">
        <x:is>
          <x:t xml:space="preserve">北京市-北京市</x:t>
        </x:is>
      </x:c>
      <x:c r="H900" s="2" t="inlineStr">
        <x:is>
          <x:t xml:space="preserve">软件服务</x:t>
        </x:is>
      </x:c>
      <x:c r="I900" s="2" t="inlineStr">
        <x:is>
          <x:t xml:space="preserve">2019-09-06</x:t>
        </x:is>
      </x:c>
      <x:c r="J900" s="3" t="inlineStr">
        <x:is>
          <x:t xml:space="preserve">北京市西城区新街口外大街28号C座2层200号</x:t>
        </x:is>
      </x:c>
      <x:c r="K900" s="12" t="str">
        <x:f>LEFT("91110108663136638D",18)</x:f>
        <x:v>91110108663136638D</x:v>
      </x:c>
    </x:row>
    <x:row r="901">
      <x:c r="A901" s="4" t="n">
        <x:v>900</x:v>
      </x:c>
      <x:c r="B901" s="4" t="inlineStr">
        <x:is>
          <x:t xml:space="preserve">688169</x:t>
        </x:is>
      </x:c>
      <x:c r="C901" s="5" t="inlineStr">
        <x:is>
          <x:t xml:space="preserve">石头科技</x:t>
        </x:is>
      </x:c>
      <x:c r="D901" s="5" t="inlineStr">
        <x:is>
          <x:t xml:space="preserve">北京石头世纪科技股份有限公司</x:t>
        </x:is>
      </x:c>
      <x:c r="E901" s="4" t="inlineStr">
        <x:is>
          <x:t xml:space="preserve">北京市</x:t>
        </x:is>
      </x:c>
      <x:c r="F901" s="4" t="inlineStr">
        <x:is>
          <x:t xml:space="preserve">北京市</x:t>
        </x:is>
      </x:c>
      <x:c r="G901" s="5" t="inlineStr">
        <x:is>
          <x:t xml:space="preserve">北京市-北京市</x:t>
        </x:is>
      </x:c>
      <x:c r="H901" s="4" t="inlineStr">
        <x:is>
          <x:t xml:space="preserve">家电行业</x:t>
        </x:is>
      </x:c>
      <x:c r="I901" s="4" t="inlineStr">
        <x:is>
          <x:t xml:space="preserve">2020-02-21</x:t>
        </x:is>
      </x:c>
      <x:c r="J901" s="5" t="inlineStr">
        <x:is>
          <x:t xml:space="preserve">北京市昌平区安居路17号院3号楼10层1001</x:t>
        </x:is>
      </x:c>
      <x:c r="K901" s="12" t="str">
        <x:f>LEFT("91110108306467260B",18)</x:f>
        <x:v>91110108306467260B</x:v>
      </x:c>
    </x:row>
    <x:row r="902">
      <x:c r="A902" s="2" t="n">
        <x:v>901</x:v>
      </x:c>
      <x:c r="B902" s="2" t="inlineStr">
        <x:is>
          <x:t xml:space="preserve">688172</x:t>
        </x:is>
      </x:c>
      <x:c r="C902" s="3" t="inlineStr">
        <x:is>
          <x:t xml:space="preserve">燕东微</x:t>
        </x:is>
      </x:c>
      <x:c r="D902" s="3" t="inlineStr">
        <x:is>
          <x:t xml:space="preserve">北京燕东微电子股份有限公司</x:t>
        </x:is>
      </x:c>
      <x:c r="E902" s="2" t="inlineStr">
        <x:is>
          <x:t xml:space="preserve">北京市</x:t>
        </x:is>
      </x:c>
      <x:c r="F902" s="2" t="inlineStr">
        <x:is>
          <x:t xml:space="preserve">北京市</x:t>
        </x:is>
      </x:c>
      <x:c r="G902" s="3" t="inlineStr">
        <x:is>
          <x:t xml:space="preserve">北京市-北京市</x:t>
        </x:is>
      </x:c>
      <x:c r="H902" s="2" t="inlineStr">
        <x:is>
          <x:t xml:space="preserve">半导体</x:t>
        </x:is>
      </x:c>
      <x:c r="I902" s="2" t="inlineStr">
        <x:is>
          <x:t xml:space="preserve">2022-12-16</x:t>
        </x:is>
      </x:c>
      <x:c r="J902" s="3" t="inlineStr">
        <x:is>
          <x:t xml:space="preserve">北京市朝阳区东直门外西八间房</x:t>
        </x:is>
      </x:c>
      <x:c r="K902" s="12" t="str">
        <x:f>LEFT("91110000101125734D",18)</x:f>
        <x:v>91110000101125734D</x:v>
      </x:c>
    </x:row>
    <x:row r="903">
      <x:c r="A903" s="4" t="n">
        <x:v>902</x:v>
      </x:c>
      <x:c r="B903" s="4" t="inlineStr">
        <x:is>
          <x:t xml:space="preserve">688181</x:t>
        </x:is>
      </x:c>
      <x:c r="C903" s="5" t="inlineStr">
        <x:is>
          <x:t xml:space="preserve">八亿时空</x:t>
        </x:is>
      </x:c>
      <x:c r="D903" s="5" t="inlineStr">
        <x:is>
          <x:t xml:space="preserve">北京八亿时空液晶科技股份有限公司</x:t>
        </x:is>
      </x:c>
      <x:c r="E903" s="4" t="inlineStr">
        <x:is>
          <x:t xml:space="preserve">北京市</x:t>
        </x:is>
      </x:c>
      <x:c r="F903" s="4" t="inlineStr">
        <x:is>
          <x:t xml:space="preserve">北京市</x:t>
        </x:is>
      </x:c>
      <x:c r="G903" s="5" t="inlineStr">
        <x:is>
          <x:t xml:space="preserve">北京市-北京市</x:t>
        </x:is>
      </x:c>
      <x:c r="H903" s="4" t="inlineStr">
        <x:is>
          <x:t xml:space="preserve">光学光电子</x:t>
        </x:is>
      </x:c>
      <x:c r="I903" s="4" t="inlineStr">
        <x:is>
          <x:t xml:space="preserve">2020-01-06</x:t>
        </x:is>
      </x:c>
      <x:c r="J903" s="5" t="inlineStr">
        <x:is>
          <x:t xml:space="preserve">北京市房山区燕山东流水路20号院4号楼1至5层101</x:t>
        </x:is>
      </x:c>
      <x:c r="K903" s="12" t="str">
        <x:f>LEFT("9111030476502352X0",18)</x:f>
        <x:v>9111030476502352X0</x:v>
      </x:c>
    </x:row>
    <x:row r="904">
      <x:c r="A904" s="2" t="n">
        <x:v>903</x:v>
      </x:c>
      <x:c r="B904" s="2" t="inlineStr">
        <x:is>
          <x:t xml:space="preserve">688197</x:t>
        </x:is>
      </x:c>
      <x:c r="C904" s="3" t="inlineStr">
        <x:is>
          <x:t xml:space="preserve">首药控股</x:t>
        </x:is>
      </x:c>
      <x:c r="D904" s="3" t="inlineStr">
        <x:is>
          <x:t xml:space="preserve">首药控股(北京)股份有限公司</x:t>
        </x:is>
      </x:c>
      <x:c r="E904" s="2" t="inlineStr">
        <x:is>
          <x:t xml:space="preserve">北京市</x:t>
        </x:is>
      </x:c>
      <x:c r="F904" s="2" t="inlineStr">
        <x:is>
          <x:t xml:space="preserve">北京市</x:t>
        </x:is>
      </x:c>
      <x:c r="G904" s="3" t="inlineStr">
        <x:is>
          <x:t xml:space="preserve">北京市-北京市</x:t>
        </x:is>
      </x:c>
      <x:c r="H904" s="2" t="inlineStr">
        <x:is>
          <x:t xml:space="preserve">生物制品</x:t>
        </x:is>
      </x:c>
      <x:c r="I904" s="2" t="inlineStr">
        <x:is>
          <x:t xml:space="preserve">2022-03-23</x:t>
        </x:is>
      </x:c>
      <x:c r="J904" s="3" t="inlineStr">
        <x:is>
          <x:t xml:space="preserve">北京市北京经济技术开发区荣华中路10号1幢19层1单元2202-2号</x:t>
        </x:is>
      </x:c>
      <x:c r="K904" s="12" t="str">
        <x:f>LEFT("91110108MA004WFJ71",18)</x:f>
        <x:v>91110108MA004WFJ71</x:v>
      </x:c>
    </x:row>
    <x:row r="905">
      <x:c r="A905" s="4" t="n">
        <x:v>904</x:v>
      </x:c>
      <x:c r="B905" s="4" t="inlineStr">
        <x:is>
          <x:t xml:space="preserve">688198</x:t>
        </x:is>
      </x:c>
      <x:c r="C905" s="5" t="inlineStr">
        <x:is>
          <x:t xml:space="preserve">佰仁医疗</x:t>
        </x:is>
      </x:c>
      <x:c r="D905" s="5" t="inlineStr">
        <x:is>
          <x:t xml:space="preserve">北京佰仁医疗科技股份有限公司</x:t>
        </x:is>
      </x:c>
      <x:c r="E905" s="4" t="inlineStr">
        <x:is>
          <x:t xml:space="preserve">北京市</x:t>
        </x:is>
      </x:c>
      <x:c r="F905" s="4" t="inlineStr">
        <x:is>
          <x:t xml:space="preserve">北京市</x:t>
        </x:is>
      </x:c>
      <x:c r="G905" s="5" t="inlineStr">
        <x:is>
          <x:t xml:space="preserve">北京市-北京市</x:t>
        </x:is>
      </x:c>
      <x:c r="H905" s="4" t="inlineStr">
        <x:is>
          <x:t xml:space="preserve">医疗器械</x:t>
        </x:is>
      </x:c>
      <x:c r="I905" s="4" t="inlineStr">
        <x:is>
          <x:t xml:space="preserve">2019-12-09</x:t>
        </x:is>
      </x:c>
      <x:c r="J905" s="5" t="inlineStr">
        <x:is>
          <x:t xml:space="preserve">北京市昌平区科技园东区华昌路2号</x:t>
        </x:is>
      </x:c>
      <x:c r="K905" s="12" t="str">
        <x:f>LEFT("911101147770556682",18)</x:f>
        <x:v>911101147770556700</x:v>
      </x:c>
    </x:row>
    <x:row r="906">
      <x:c r="A906" s="2" t="n">
        <x:v>905</x:v>
      </x:c>
      <x:c r="B906" s="2" t="inlineStr">
        <x:is>
          <x:t xml:space="preserve">688200</x:t>
        </x:is>
      </x:c>
      <x:c r="C906" s="3" t="inlineStr">
        <x:is>
          <x:t xml:space="preserve">华峰测控</x:t>
        </x:is>
      </x:c>
      <x:c r="D906" s="3" t="inlineStr">
        <x:is>
          <x:t xml:space="preserve">北京华峰测控技术股份有限公司</x:t>
        </x:is>
      </x:c>
      <x:c r="E906" s="2" t="inlineStr">
        <x:is>
          <x:t xml:space="preserve">北京市</x:t>
        </x:is>
      </x:c>
      <x:c r="F906" s="2" t="inlineStr">
        <x:is>
          <x:t xml:space="preserve">北京市</x:t>
        </x:is>
      </x:c>
      <x:c r="G906" s="3" t="inlineStr">
        <x:is>
          <x:t xml:space="preserve">北京市-北京市</x:t>
        </x:is>
      </x:c>
      <x:c r="H906" s="2" t="inlineStr">
        <x:is>
          <x:t xml:space="preserve">半导体</x:t>
        </x:is>
      </x:c>
      <x:c r="I906" s="2" t="inlineStr">
        <x:is>
          <x:t xml:space="preserve">2020-02-18</x:t>
        </x:is>
      </x:c>
      <x:c r="J906" s="3" t="inlineStr">
        <x:is>
          <x:t xml:space="preserve">北京市海淀区丰豪东路9号院5号楼1至5层101、102、103</x:t>
        </x:is>
      </x:c>
      <x:c r="K906" s="12" t="str">
        <x:f>LEFT("91110108102002226D",18)</x:f>
        <x:v>91110108102002226D</x:v>
      </x:c>
    </x:row>
    <x:row r="907">
      <x:c r="A907" s="4" t="n">
        <x:v>906</x:v>
      </x:c>
      <x:c r="B907" s="4" t="inlineStr">
        <x:is>
          <x:t xml:space="preserve">688201</x:t>
        </x:is>
      </x:c>
      <x:c r="C907" s="5" t="inlineStr">
        <x:is>
          <x:t xml:space="preserve">信安世纪</x:t>
        </x:is>
      </x:c>
      <x:c r="D907" s="5" t="inlineStr">
        <x:is>
          <x:t xml:space="preserve">北京信安世纪科技股份有限公司</x:t>
        </x:is>
      </x:c>
      <x:c r="E907" s="4" t="inlineStr">
        <x:is>
          <x:t xml:space="preserve">北京市</x:t>
        </x:is>
      </x:c>
      <x:c r="F907" s="4" t="inlineStr">
        <x:is>
          <x:t xml:space="preserve">北京市</x:t>
        </x:is>
      </x:c>
      <x:c r="G907" s="5" t="inlineStr">
        <x:is>
          <x:t xml:space="preserve">北京市-北京市</x:t>
        </x:is>
      </x:c>
      <x:c r="H907" s="4" t="inlineStr">
        <x:is>
          <x:t xml:space="preserve">软件开发</x:t>
        </x:is>
      </x:c>
      <x:c r="I907" s="4" t="inlineStr">
        <x:is>
          <x:t xml:space="preserve">2021-04-21</x:t>
        </x:is>
      </x:c>
      <x:c r="J907" s="5" t="inlineStr">
        <x:is>
          <x:t xml:space="preserve">北京市海淀区建枫路(南延)6号院2号楼1层101</x:t>
        </x:is>
      </x:c>
      <x:c r="K907" s="12" t="str">
        <x:f>LEFT("911101086003810384",18)</x:f>
        <x:v>911101086003810400</x:v>
      </x:c>
    </x:row>
    <x:row r="908">
      <x:c r="A908" s="2" t="n">
        <x:v>907</x:v>
      </x:c>
      <x:c r="B908" s="2" t="inlineStr">
        <x:is>
          <x:t xml:space="preserve">688207</x:t>
        </x:is>
      </x:c>
      <x:c r="C908" s="3" t="inlineStr">
        <x:is>
          <x:t xml:space="preserve">格灵深瞳</x:t>
        </x:is>
      </x:c>
      <x:c r="D908" s="3" t="inlineStr">
        <x:is>
          <x:t xml:space="preserve">北京格灵深瞳信息技术股份有限公司</x:t>
        </x:is>
      </x:c>
      <x:c r="E908" s="2" t="inlineStr">
        <x:is>
          <x:t xml:space="preserve">北京市</x:t>
        </x:is>
      </x:c>
      <x:c r="F908" s="2" t="inlineStr">
        <x:is>
          <x:t xml:space="preserve">北京市</x:t>
        </x:is>
      </x:c>
      <x:c r="G908" s="3" t="inlineStr">
        <x:is>
          <x:t xml:space="preserve">北京市-北京市</x:t>
        </x:is>
      </x:c>
      <x:c r="H908" s="2" t="inlineStr">
        <x:is>
          <x:t xml:space="preserve">软件开发</x:t>
        </x:is>
      </x:c>
      <x:c r="I908" s="2" t="inlineStr">
        <x:is>
          <x:t xml:space="preserve">2022-03-17</x:t>
        </x:is>
      </x:c>
      <x:c r="J908" s="3" t="inlineStr">
        <x:is>
          <x:t xml:space="preserve">北京市朝阳区望京东路1号1层101内1A025</x:t>
        </x:is>
      </x:c>
      <x:c r="K908" s="12" t="str">
        <x:f>LEFT("911101050741151774",18)</x:f>
        <x:v>911101050741151700</x:v>
      </x:c>
    </x:row>
    <x:row r="909">
      <x:c r="A909" s="4" t="n">
        <x:v>908</x:v>
      </x:c>
      <x:c r="B909" s="4" t="inlineStr">
        <x:is>
          <x:t xml:space="preserve">688229</x:t>
        </x:is>
      </x:c>
      <x:c r="C909" s="5" t="inlineStr">
        <x:is>
          <x:t xml:space="preserve">博睿数据</x:t>
        </x:is>
      </x:c>
      <x:c r="D909" s="5" t="inlineStr">
        <x:is>
          <x:t xml:space="preserve">北京博睿宏远数据科技股份有限公司</x:t>
        </x:is>
      </x:c>
      <x:c r="E909" s="4" t="inlineStr">
        <x:is>
          <x:t xml:space="preserve">北京市</x:t>
        </x:is>
      </x:c>
      <x:c r="F909" s="4" t="inlineStr">
        <x:is>
          <x:t xml:space="preserve">北京市</x:t>
        </x:is>
      </x:c>
      <x:c r="G909" s="5" t="inlineStr">
        <x:is>
          <x:t xml:space="preserve">北京市-北京市</x:t>
        </x:is>
      </x:c>
      <x:c r="H909" s="4" t="inlineStr">
        <x:is>
          <x:t xml:space="preserve">互联网服务</x:t>
        </x:is>
      </x:c>
      <x:c r="I909" s="4" t="inlineStr">
        <x:is>
          <x:t xml:space="preserve">2020-08-17</x:t>
        </x:is>
      </x:c>
      <x:c r="J909" s="5" t="inlineStr">
        <x:is>
          <x:t xml:space="preserve">北京市东城区东中街46号4层</x:t>
        </x:is>
      </x:c>
      <x:c r="K909" s="12" t="str">
        <x:f>LEFT("91110105672840619D",18)</x:f>
        <x:v>91110105672840619D</x:v>
      </x:c>
    </x:row>
    <x:row r="910">
      <x:c r="A910" s="2" t="n">
        <x:v>909</x:v>
      </x:c>
      <x:c r="B910" s="2" t="inlineStr">
        <x:is>
          <x:t xml:space="preserve">688236</x:t>
        </x:is>
      </x:c>
      <x:c r="C910" s="3" t="inlineStr">
        <x:is>
          <x:t xml:space="preserve">春立医疗</x:t>
        </x:is>
      </x:c>
      <x:c r="D910" s="3" t="inlineStr">
        <x:is>
          <x:t xml:space="preserve">北京市春立正达医疗器械股份有限公司</x:t>
        </x:is>
      </x:c>
      <x:c r="E910" s="2" t="inlineStr">
        <x:is>
          <x:t xml:space="preserve">北京市</x:t>
        </x:is>
      </x:c>
      <x:c r="F910" s="2" t="inlineStr">
        <x:is>
          <x:t xml:space="preserve">北京市</x:t>
        </x:is>
      </x:c>
      <x:c r="G910" s="3" t="inlineStr">
        <x:is>
          <x:t xml:space="preserve">北京市-北京市</x:t>
        </x:is>
      </x:c>
      <x:c r="H910" s="2" t="inlineStr">
        <x:is>
          <x:t xml:space="preserve">医疗器械</x:t>
        </x:is>
      </x:c>
      <x:c r="I910" s="2" t="inlineStr">
        <x:is>
          <x:t xml:space="preserve">2021-12-30</x:t>
        </x:is>
      </x:c>
      <x:c r="J910" s="3" t="inlineStr">
        <x:is>
          <x:t xml:space="preserve">北京市通州区通州经济开发区南区鑫觅西二路10号</x:t>
        </x:is>
      </x:c>
      <x:c r="K910" s="12" t="str">
        <x:f>LEFT("91110000633737758W",18)</x:f>
        <x:v>91110000633737758W</x:v>
      </x:c>
    </x:row>
    <x:row r="911">
      <x:c r="A911" s="4" t="n">
        <x:v>910</x:v>
      </x:c>
      <x:c r="B911" s="4" t="inlineStr">
        <x:is>
          <x:t xml:space="preserve">688244</x:t>
        </x:is>
      </x:c>
      <x:c r="C911" s="5" t="inlineStr">
        <x:is>
          <x:t xml:space="preserve">永信至诚</x:t>
        </x:is>
      </x:c>
      <x:c r="D911" s="5" t="inlineStr">
        <x:is>
          <x:t xml:space="preserve">永信至诚科技集团股份有限公司</x:t>
        </x:is>
      </x:c>
      <x:c r="E911" s="4" t="inlineStr">
        <x:is>
          <x:t xml:space="preserve">北京市</x:t>
        </x:is>
      </x:c>
      <x:c r="F911" s="4" t="inlineStr">
        <x:is>
          <x:t xml:space="preserve">北京市</x:t>
        </x:is>
      </x:c>
      <x:c r="G911" s="5" t="inlineStr">
        <x:is>
          <x:t xml:space="preserve">北京市-北京市</x:t>
        </x:is>
      </x:c>
      <x:c r="H911" s="4" t="inlineStr">
        <x:is>
          <x:t xml:space="preserve">软件开发</x:t>
        </x:is>
      </x:c>
      <x:c r="I911" s="4" t="inlineStr">
        <x:is>
          <x:t xml:space="preserve">2022-10-19</x:t>
        </x:is>
      </x:c>
      <x:c r="J911" s="5" t="inlineStr">
        <x:is>
          <x:t xml:space="preserve">北京市海淀区丰豪东路9号院6号楼103</x:t>
        </x:is>
      </x:c>
      <x:c r="K911" s="12" t="str">
        <x:f>LEFT("91110108562135265P",18)</x:f>
        <x:v>91110108562135265P</x:v>
      </x:c>
    </x:row>
    <x:row r="912">
      <x:c r="A912" s="2" t="n">
        <x:v>911</x:v>
      </x:c>
      <x:c r="B912" s="2" t="inlineStr">
        <x:is>
          <x:t xml:space="preserve">688246</x:t>
        </x:is>
      </x:c>
      <x:c r="C912" s="3" t="inlineStr">
        <x:is>
          <x:t xml:space="preserve">嘉和美康</x:t>
        </x:is>
      </x:c>
      <x:c r="D912" s="3" t="inlineStr">
        <x:is>
          <x:t xml:space="preserve">嘉和美康(北京)科技股份有限公司</x:t>
        </x:is>
      </x:c>
      <x:c r="E912" s="2" t="inlineStr">
        <x:is>
          <x:t xml:space="preserve">北京市</x:t>
        </x:is>
      </x:c>
      <x:c r="F912" s="2" t="inlineStr">
        <x:is>
          <x:t xml:space="preserve">北京市</x:t>
        </x:is>
      </x:c>
      <x:c r="G912" s="3" t="inlineStr">
        <x:is>
          <x:t xml:space="preserve">北京市-北京市</x:t>
        </x:is>
      </x:c>
      <x:c r="H912" s="2" t="inlineStr">
        <x:is>
          <x:t xml:space="preserve">医疗服务</x:t>
        </x:is>
      </x:c>
      <x:c r="I912" s="2" t="inlineStr">
        <x:is>
          <x:t xml:space="preserve">2021-12-14</x:t>
        </x:is>
      </x:c>
      <x:c r="J912" s="3" t="inlineStr">
        <x:is>
          <x:t xml:space="preserve">北京市海淀区东北旺西路8号院28号楼1层101</x:t>
        </x:is>
      </x:c>
      <x:c r="K912" s="12" t="str">
        <x:f>LEFT("911101087861815353",18)</x:f>
        <x:v>911101087861815300</x:v>
      </x:c>
    </x:row>
    <x:row r="913">
      <x:c r="A913" s="4" t="n">
        <x:v>912</x:v>
      </x:c>
      <x:c r="B913" s="4" t="inlineStr">
        <x:is>
          <x:t xml:space="preserve">688253</x:t>
        </x:is>
      </x:c>
      <x:c r="C913" s="5" t="inlineStr">
        <x:is>
          <x:t xml:space="preserve">英诺特</x:t>
        </x:is>
      </x:c>
      <x:c r="D913" s="5" t="inlineStr">
        <x:is>
          <x:t xml:space="preserve">北京英诺特生物技术股份有限公司</x:t>
        </x:is>
      </x:c>
      <x:c r="E913" s="4" t="inlineStr">
        <x:is>
          <x:t xml:space="preserve">北京市</x:t>
        </x:is>
      </x:c>
      <x:c r="F913" s="4" t="inlineStr">
        <x:is>
          <x:t xml:space="preserve">北京市</x:t>
        </x:is>
      </x:c>
      <x:c r="G913" s="5" t="inlineStr">
        <x:is>
          <x:t xml:space="preserve">北京市-北京市</x:t>
        </x:is>
      </x:c>
      <x:c r="H913" s="4" t="inlineStr">
        <x:is>
          <x:t xml:space="preserve">生物制品</x:t>
        </x:is>
      </x:c>
      <x:c r="I913" s="4" t="inlineStr">
        <x:is>
          <x:t xml:space="preserve">2022-07-28</x:t>
        </x:is>
      </x:c>
      <x:c r="J913" s="5" t="inlineStr">
        <x:is>
          <x:t xml:space="preserve">北京市丰台区海鹰路1号院6号楼1层2层</x:t>
        </x:is>
      </x:c>
      <x:c r="K913" s="12" t="str">
        <x:f>LEFT("911101067855339571",18)</x:f>
        <x:v>911101067855339500</x:v>
      </x:c>
    </x:row>
    <x:row r="914">
      <x:c r="A914" s="2" t="n">
        <x:v>913</x:v>
      </x:c>
      <x:c r="B914" s="2" t="inlineStr">
        <x:is>
          <x:t xml:space="preserve">688256</x:t>
        </x:is>
      </x:c>
      <x:c r="C914" s="3" t="inlineStr">
        <x:is>
          <x:t xml:space="preserve">寒武纪</x:t>
        </x:is>
      </x:c>
      <x:c r="D914" s="3" t="inlineStr">
        <x:is>
          <x:t xml:space="preserve">中科寒武纪科技股份有限公司</x:t>
        </x:is>
      </x:c>
      <x:c r="E914" s="2" t="inlineStr">
        <x:is>
          <x:t xml:space="preserve">北京市</x:t>
        </x:is>
      </x:c>
      <x:c r="F914" s="2" t="inlineStr">
        <x:is>
          <x:t xml:space="preserve">北京市</x:t>
        </x:is>
      </x:c>
      <x:c r="G914" s="3" t="inlineStr">
        <x:is>
          <x:t xml:space="preserve">北京市-北京市</x:t>
        </x:is>
      </x:c>
      <x:c r="H914" s="2" t="inlineStr">
        <x:is>
          <x:t xml:space="preserve">半导体</x:t>
        </x:is>
      </x:c>
      <x:c r="I914" s="2" t="inlineStr">
        <x:is>
          <x:t xml:space="preserve">2020-07-20</x:t>
        </x:is>
      </x:c>
      <x:c r="J914" s="3" t="inlineStr">
        <x:is>
          <x:t xml:space="preserve">北京市海淀区知春路7号致真大厦D座16层1601房</x:t>
        </x:is>
      </x:c>
      <x:c r="K914" s="12" t="str">
        <x:f>LEFT("91110108MA0044ED5J",18)</x:f>
        <x:v>91110108MA0044ED5J</x:v>
      </x:c>
    </x:row>
    <x:row r="915">
      <x:c r="A915" s="4" t="n">
        <x:v>914</x:v>
      </x:c>
      <x:c r="B915" s="4" t="inlineStr">
        <x:is>
          <x:t xml:space="preserve">688272</x:t>
        </x:is>
      </x:c>
      <x:c r="C915" s="5" t="inlineStr">
        <x:is>
          <x:t xml:space="preserve">富吉瑞</x:t>
        </x:is>
      </x:c>
      <x:c r="D915" s="5" t="inlineStr">
        <x:is>
          <x:t xml:space="preserve">北京富吉瑞光电科技股份有限公司</x:t>
        </x:is>
      </x:c>
      <x:c r="E915" s="4" t="inlineStr">
        <x:is>
          <x:t xml:space="preserve">北京市</x:t>
        </x:is>
      </x:c>
      <x:c r="F915" s="4" t="inlineStr">
        <x:is>
          <x:t xml:space="preserve">北京市</x:t>
        </x:is>
      </x:c>
      <x:c r="G915" s="5" t="inlineStr">
        <x:is>
          <x:t xml:space="preserve">北京市-北京市</x:t>
        </x:is>
      </x:c>
      <x:c r="H915" s="4" t="inlineStr">
        <x:is>
          <x:t xml:space="preserve">光学光电子</x:t>
        </x:is>
      </x:c>
      <x:c r="I915" s="4" t="inlineStr">
        <x:is>
          <x:t xml:space="preserve">2021-10-18</x:t>
        </x:is>
      </x:c>
      <x:c r="J915" s="5" t="inlineStr">
        <x:is>
          <x:t xml:space="preserve">北京市顺义区空港工业区A区(标厂)</x:t>
        </x:is>
      </x:c>
      <x:c r="K915" s="12" t="str">
        <x:f>LEFT("911101085674051211",18)</x:f>
        <x:v>911101085674051200</x:v>
      </x:c>
    </x:row>
    <x:row r="916">
      <x:c r="A916" s="2" t="n">
        <x:v>915</x:v>
      </x:c>
      <x:c r="B916" s="2" t="inlineStr">
        <x:is>
          <x:t xml:space="preserve">688277</x:t>
        </x:is>
      </x:c>
      <x:c r="C916" s="3" t="inlineStr">
        <x:is>
          <x:t xml:space="preserve">天智航</x:t>
        </x:is>
      </x:c>
      <x:c r="D916" s="3" t="inlineStr">
        <x:is>
          <x:t xml:space="preserve">北京天智航医疗科技股份有限公司</x:t>
        </x:is>
      </x:c>
      <x:c r="E916" s="2" t="inlineStr">
        <x:is>
          <x:t xml:space="preserve">北京市</x:t>
        </x:is>
      </x:c>
      <x:c r="F916" s="2" t="inlineStr">
        <x:is>
          <x:t xml:space="preserve">北京市</x:t>
        </x:is>
      </x:c>
      <x:c r="G916" s="3" t="inlineStr">
        <x:is>
          <x:t xml:space="preserve">北京市-北京市</x:t>
        </x:is>
      </x:c>
      <x:c r="H916" s="2" t="inlineStr">
        <x:is>
          <x:t xml:space="preserve">医疗器械</x:t>
        </x:is>
      </x:c>
      <x:c r="I916" s="2" t="inlineStr">
        <x:is>
          <x:t xml:space="preserve">2020-07-07</x:t>
        </x:is>
      </x:c>
      <x:c r="J916" s="3" t="inlineStr">
        <x:is>
          <x:t xml:space="preserve">北京市海淀区建枫路(南延)8号院2号楼1至5层101</x:t>
        </x:is>
      </x:c>
      <x:c r="K916" s="12" t="str">
        <x:f>LEFT("911101085636544700",18)</x:f>
        <x:v>911101085636544600</x:v>
      </x:c>
    </x:row>
    <x:row r="917">
      <x:c r="A917" s="4" t="n">
        <x:v>916</x:v>
      </x:c>
      <x:c r="B917" s="4" t="inlineStr">
        <x:is>
          <x:t xml:space="preserve">688280</x:t>
        </x:is>
      </x:c>
      <x:c r="C917" s="5" t="inlineStr">
        <x:is>
          <x:t xml:space="preserve">精进电动</x:t>
        </x:is>
      </x:c>
      <x:c r="D917" s="5" t="inlineStr">
        <x:is>
          <x:t xml:space="preserve">精进电动科技股份有限公司</x:t>
        </x:is>
      </x:c>
      <x:c r="E917" s="4" t="inlineStr">
        <x:is>
          <x:t xml:space="preserve">北京市</x:t>
        </x:is>
      </x:c>
      <x:c r="F917" s="4" t="inlineStr">
        <x:is>
          <x:t xml:space="preserve">北京市</x:t>
        </x:is>
      </x:c>
      <x:c r="G917" s="5" t="inlineStr">
        <x:is>
          <x:t xml:space="preserve">北京市-北京市</x:t>
        </x:is>
      </x:c>
      <x:c r="H917" s="4" t="inlineStr">
        <x:is>
          <x:t xml:space="preserve">汽车行业</x:t>
        </x:is>
      </x:c>
      <x:c r="I917" s="4" t="inlineStr">
        <x:is>
          <x:t xml:space="preserve">2021-10-27</x:t>
        </x:is>
      </x:c>
      <x:c r="J917" s="5" t="inlineStr">
        <x:is>
          <x:t xml:space="preserve">北京市朝阳区利泽中园106号楼1层103B-4</x:t>
        </x:is>
      </x:c>
      <x:c r="K917" s="12" t="str">
        <x:f>LEFT("9111010567235045XY",18)</x:f>
        <x:v>9111010567235045XY</x:v>
      </x:c>
    </x:row>
    <x:row r="918">
      <x:c r="A918" s="2" t="n">
        <x:v>917</x:v>
      </x:c>
      <x:c r="B918" s="2" t="inlineStr">
        <x:is>
          <x:t xml:space="preserve">688282</x:t>
        </x:is>
      </x:c>
      <x:c r="C918" s="3" t="inlineStr">
        <x:is>
          <x:t xml:space="preserve">*ST导航</x:t>
        </x:is>
      </x:c>
      <x:c r="D918" s="3" t="inlineStr">
        <x:is>
          <x:t xml:space="preserve">北京理工导航控制科技股份有限公司</x:t>
        </x:is>
      </x:c>
      <x:c r="E918" s="2" t="inlineStr">
        <x:is>
          <x:t xml:space="preserve">北京市</x:t>
        </x:is>
      </x:c>
      <x:c r="F918" s="2" t="inlineStr">
        <x:is>
          <x:t xml:space="preserve">北京市</x:t>
        </x:is>
      </x:c>
      <x:c r="G918" s="3" t="inlineStr">
        <x:is>
          <x:t xml:space="preserve">北京市-北京市</x:t>
        </x:is>
      </x:c>
      <x:c r="H918" s="2" t="inlineStr">
        <x:is>
          <x:t xml:space="preserve">通信设备</x:t>
        </x:is>
      </x:c>
      <x:c r="I918" s="2" t="inlineStr">
        <x:is>
          <x:t xml:space="preserve">2022-03-18</x:t>
        </x:is>
      </x:c>
      <x:c r="J918" s="3" t="inlineStr">
        <x:is>
          <x:t xml:space="preserve">北京市北京经济技术开发区瑞合东一路1号院1号楼1-6层</x:t>
        </x:is>
      </x:c>
      <x:c r="K918" s="12" t="str">
        <x:f>LEFT("91110114590616795B",18)</x:f>
        <x:v>91110114590616795B</x:v>
      </x:c>
    </x:row>
    <x:row r="919">
      <x:c r="A919" s="4" t="n">
        <x:v>918</x:v>
      </x:c>
      <x:c r="B919" s="4" t="inlineStr">
        <x:is>
          <x:t xml:space="preserve">688287</x:t>
        </x:is>
      </x:c>
      <x:c r="C919" s="5" t="inlineStr">
        <x:is>
          <x:t xml:space="preserve">*ST观典</x:t>
        </x:is>
      </x:c>
      <x:c r="D919" s="5" t="inlineStr">
        <x:is>
          <x:t xml:space="preserve">观典防务技术股份有限公司</x:t>
        </x:is>
      </x:c>
      <x:c r="E919" s="4" t="inlineStr">
        <x:is>
          <x:t xml:space="preserve">北京市</x:t>
        </x:is>
      </x:c>
      <x:c r="F919" s="4" t="inlineStr">
        <x:is>
          <x:t xml:space="preserve">北京市</x:t>
        </x:is>
      </x:c>
      <x:c r="G919" s="5" t="inlineStr">
        <x:is>
          <x:t xml:space="preserve">北京市-北京市</x:t>
        </x:is>
      </x:c>
      <x:c r="H919" s="4" t="inlineStr">
        <x:is>
          <x:t xml:space="preserve">航天航空</x:t>
        </x:is>
      </x:c>
      <x:c r="I919" s="4" t="inlineStr">
        <x:is>
          <x:t xml:space="preserve">2022-05-25</x:t>
        </x:is>
      </x:c>
      <x:c r="J919" s="5" t="inlineStr">
        <x:is>
          <x:t xml:space="preserve">北京市东城区白桥大街22号主楼3层301-306</x:t>
        </x:is>
      </x:c>
      <x:c r="K919" s="12" t="str">
        <x:f>LEFT("91110101765510395B",18)</x:f>
        <x:v>91110101765510395B</x:v>
      </x:c>
    </x:row>
    <x:row r="920">
      <x:c r="A920" s="2" t="n">
        <x:v>919</x:v>
      </x:c>
      <x:c r="B920" s="2" t="inlineStr">
        <x:is>
          <x:t xml:space="preserve">688291</x:t>
        </x:is>
      </x:c>
      <x:c r="C920" s="3" t="inlineStr">
        <x:is>
          <x:t xml:space="preserve">金橙子</x:t>
        </x:is>
      </x:c>
      <x:c r="D920" s="3" t="inlineStr">
        <x:is>
          <x:t xml:space="preserve">北京金橙子科技股份有限公司</x:t>
        </x:is>
      </x:c>
      <x:c r="E920" s="2" t="inlineStr">
        <x:is>
          <x:t xml:space="preserve">北京市</x:t>
        </x:is>
      </x:c>
      <x:c r="F920" s="2" t="inlineStr">
        <x:is>
          <x:t xml:space="preserve">北京市</x:t>
        </x:is>
      </x:c>
      <x:c r="G920" s="3" t="inlineStr">
        <x:is>
          <x:t xml:space="preserve">北京市-北京市</x:t>
        </x:is>
      </x:c>
      <x:c r="H920" s="2" t="inlineStr">
        <x:is>
          <x:t xml:space="preserve">软件开发</x:t>
        </x:is>
      </x:c>
      <x:c r="I920" s="2" t="inlineStr">
        <x:is>
          <x:t xml:space="preserve">2022-10-26</x:t>
        </x:is>
      </x:c>
      <x:c r="J920" s="3" t="inlineStr">
        <x:is>
          <x:t xml:space="preserve">北京市丰台区丰台路口139号319室</x:t>
        </x:is>
      </x:c>
      <x:c r="K920" s="12" t="str">
        <x:f>LEFT("91110106758210263D",18)</x:f>
        <x:v>91110106758210263D</x:v>
      </x:c>
    </x:row>
    <x:row r="921">
      <x:c r="A921" s="4" t="n">
        <x:v>920</x:v>
      </x:c>
      <x:c r="B921" s="4" t="inlineStr">
        <x:is>
          <x:t xml:space="preserve">688292</x:t>
        </x:is>
      </x:c>
      <x:c r="C921" s="5" t="inlineStr">
        <x:is>
          <x:t xml:space="preserve">浩瀚深度</x:t>
        </x:is>
      </x:c>
      <x:c r="D921" s="5" t="inlineStr">
        <x:is>
          <x:t xml:space="preserve">北京浩瀚深度信息技术股份有限公司</x:t>
        </x:is>
      </x:c>
      <x:c r="E921" s="4" t="inlineStr">
        <x:is>
          <x:t xml:space="preserve">北京市</x:t>
        </x:is>
      </x:c>
      <x:c r="F921" s="4" t="inlineStr">
        <x:is>
          <x:t xml:space="preserve">北京市</x:t>
        </x:is>
      </x:c>
      <x:c r="G921" s="5" t="inlineStr">
        <x:is>
          <x:t xml:space="preserve">北京市-北京市</x:t>
        </x:is>
      </x:c>
      <x:c r="H921" s="4" t="inlineStr">
        <x:is>
          <x:t xml:space="preserve">互联网服务</x:t>
        </x:is>
      </x:c>
      <x:c r="I921" s="4" t="inlineStr">
        <x:is>
          <x:t xml:space="preserve">2022-08-18</x:t>
        </x:is>
      </x:c>
      <x:c r="J921" s="5" t="inlineStr">
        <x:is>
          <x:t xml:space="preserve">北京市海淀区西四环北路119号A座2层218室</x:t>
        </x:is>
      </x:c>
      <x:c r="K921" s="12" t="str">
        <x:f>LEFT("91110108102094378J",18)</x:f>
        <x:v>91110108102094378J</x:v>
      </x:c>
    </x:row>
    <x:row r="922">
      <x:c r="A922" s="2" t="n">
        <x:v>921</x:v>
      </x:c>
      <x:c r="B922" s="2" t="inlineStr">
        <x:is>
          <x:t xml:space="preserve">688315</x:t>
        </x:is>
      </x:c>
      <x:c r="C922" s="3" t="inlineStr">
        <x:is>
          <x:t xml:space="preserve">诺禾致源</x:t>
        </x:is>
      </x:c>
      <x:c r="D922" s="3" t="inlineStr">
        <x:is>
          <x:t xml:space="preserve">北京诺禾致源科技股份有限公司</x:t>
        </x:is>
      </x:c>
      <x:c r="E922" s="2" t="inlineStr">
        <x:is>
          <x:t xml:space="preserve">北京市</x:t>
        </x:is>
      </x:c>
      <x:c r="F922" s="2" t="inlineStr">
        <x:is>
          <x:t xml:space="preserve">北京市</x:t>
        </x:is>
      </x:c>
      <x:c r="G922" s="3" t="inlineStr">
        <x:is>
          <x:t xml:space="preserve">北京市-北京市</x:t>
        </x:is>
      </x:c>
      <x:c r="H922" s="2" t="inlineStr">
        <x:is>
          <x:t xml:space="preserve">医疗行业</x:t>
        </x:is>
      </x:c>
      <x:c r="I922" s="2" t="inlineStr">
        <x:is>
          <x:t xml:space="preserve">2021-04-13</x:t>
        </x:is>
      </x:c>
      <x:c r="J922" s="3" t="inlineStr">
        <x:is>
          <x:t xml:space="preserve">北京市昌平区回龙观镇生命园路29号创新大厦B258室</x:t>
        </x:is>
      </x:c>
      <x:c r="K922" s="12" t="str">
        <x:f>LEFT("9111011457125686XY",18)</x:f>
        <x:v>9111011457125686XY</x:v>
      </x:c>
    </x:row>
    <x:row r="923">
      <x:c r="A923" s="4" t="n">
        <x:v>922</x:v>
      </x:c>
      <x:c r="B923" s="4" t="inlineStr">
        <x:is>
          <x:t xml:space="preserve">688316</x:t>
        </x:is>
      </x:c>
      <x:c r="C923" s="5" t="inlineStr">
        <x:is>
          <x:t xml:space="preserve">青云科技</x:t>
        </x:is>
      </x:c>
      <x:c r="D923" s="5" t="inlineStr">
        <x:is>
          <x:t xml:space="preserve">青云科技集团股份有限公司</x:t>
        </x:is>
      </x:c>
      <x:c r="E923" s="4" t="inlineStr">
        <x:is>
          <x:t xml:space="preserve">北京市</x:t>
        </x:is>
      </x:c>
      <x:c r="F923" s="4" t="inlineStr">
        <x:is>
          <x:t xml:space="preserve">北京市</x:t>
        </x:is>
      </x:c>
      <x:c r="G923" s="5" t="inlineStr">
        <x:is>
          <x:t xml:space="preserve">北京市-北京市</x:t>
        </x:is>
      </x:c>
      <x:c r="H923" s="4" t="inlineStr">
        <x:is>
          <x:t xml:space="preserve">互联网服务</x:t>
        </x:is>
      </x:c>
      <x:c r="I923" s="4" t="inlineStr">
        <x:is>
          <x:t xml:space="preserve">2021-03-16</x:t>
        </x:is>
      </x:c>
      <x:c r="J923" s="5" t="inlineStr">
        <x:is>
          <x:t xml:space="preserve">北京市朝阳区酒仙桥路6号院9号楼1至14层101内11层1101室</x:t>
        </x:is>
      </x:c>
      <x:c r="K923" s="12" t="str">
        <x:f>LEFT("911101055938354164",18)</x:f>
        <x:v>911101055938354200</x:v>
      </x:c>
    </x:row>
    <x:row r="924">
      <x:c r="A924" s="2" t="n">
        <x:v>923</x:v>
      </x:c>
      <x:c r="B924" s="2" t="inlineStr">
        <x:is>
          <x:t xml:space="preserve">688326</x:t>
        </x:is>
      </x:c>
      <x:c r="C924" s="3" t="inlineStr">
        <x:is>
          <x:t xml:space="preserve">经纬恒润</x:t>
        </x:is>
      </x:c>
      <x:c r="D924" s="3" t="inlineStr">
        <x:is>
          <x:t xml:space="preserve">北京经纬恒润科技股份有限公司</x:t>
        </x:is>
      </x:c>
      <x:c r="E924" s="2" t="inlineStr">
        <x:is>
          <x:t xml:space="preserve">北京市</x:t>
        </x:is>
      </x:c>
      <x:c r="F924" s="2" t="inlineStr">
        <x:is>
          <x:t xml:space="preserve">北京市</x:t>
        </x:is>
      </x:c>
      <x:c r="G924" s="3" t="inlineStr">
        <x:is>
          <x:t xml:space="preserve">北京市-北京市</x:t>
        </x:is>
      </x:c>
      <x:c r="H924" s="2" t="inlineStr">
        <x:is>
          <x:t xml:space="preserve">汽车零部件</x:t>
        </x:is>
      </x:c>
      <x:c r="I924" s="2" t="inlineStr">
        <x:is>
          <x:t xml:space="preserve">2022-04-19</x:t>
        </x:is>
      </x:c>
      <x:c r="J924" s="3" t="inlineStr">
        <x:is>
          <x:t xml:space="preserve">北京市朝阳区酒仙桥路14号1幢4层</x:t>
        </x:is>
      </x:c>
      <x:c r="K924" s="12" t="str">
        <x:f>LEFT("91110105754668875A",18)</x:f>
        <x:v>91110105754668875A</x:v>
      </x:c>
    </x:row>
    <x:row r="925">
      <x:c r="A925" s="4" t="n">
        <x:v>924</x:v>
      </x:c>
      <x:c r="B925" s="4" t="inlineStr">
        <x:is>
          <x:t xml:space="preserve">688338</x:t>
        </x:is>
      </x:c>
      <x:c r="C925" s="5" t="inlineStr">
        <x:is>
          <x:t xml:space="preserve">赛科希德</x:t>
        </x:is>
      </x:c>
      <x:c r="D925" s="5" t="inlineStr">
        <x:is>
          <x:t xml:space="preserve">北京赛科希德科技股份有限公司</x:t>
        </x:is>
      </x:c>
      <x:c r="E925" s="4" t="inlineStr">
        <x:is>
          <x:t xml:space="preserve">北京市</x:t>
        </x:is>
      </x:c>
      <x:c r="F925" s="4" t="inlineStr">
        <x:is>
          <x:t xml:space="preserve">北京市</x:t>
        </x:is>
      </x:c>
      <x:c r="G925" s="5" t="inlineStr">
        <x:is>
          <x:t xml:space="preserve">北京市-北京市</x:t>
        </x:is>
      </x:c>
      <x:c r="H925" s="4" t="inlineStr">
        <x:is>
          <x:t xml:space="preserve">医疗器械</x:t>
        </x:is>
      </x:c>
      <x:c r="I925" s="4" t="inlineStr">
        <x:is>
          <x:t xml:space="preserve">2020-08-06</x:t>
        </x:is>
      </x:c>
      <x:c r="J925" s="5" t="inlineStr">
        <x:is>
          <x:t xml:space="preserve">北京市大兴区百利街19号院1号楼C座3层</x:t>
        </x:is>
      </x:c>
      <x:c r="K925" s="12" t="str">
        <x:f>LEFT("9111011475010452XE",18)</x:f>
        <x:v>9111011475010452XE</x:v>
      </x:c>
    </x:row>
    <x:row r="926">
      <x:c r="A926" s="2" t="n">
        <x:v>925</x:v>
      </x:c>
      <x:c r="B926" s="2" t="inlineStr">
        <x:is>
          <x:t xml:space="preserve">688339</x:t>
        </x:is>
      </x:c>
      <x:c r="C926" s="3" t="inlineStr">
        <x:is>
          <x:t xml:space="preserve">亿华通</x:t>
        </x:is>
      </x:c>
      <x:c r="D926" s="3" t="inlineStr">
        <x:is>
          <x:t xml:space="preserve">北京亿华通科技股份有限公司</x:t>
        </x:is>
      </x:c>
      <x:c r="E926" s="2" t="inlineStr">
        <x:is>
          <x:t xml:space="preserve">北京市</x:t>
        </x:is>
      </x:c>
      <x:c r="F926" s="2" t="inlineStr">
        <x:is>
          <x:t xml:space="preserve">北京市</x:t>
        </x:is>
      </x:c>
      <x:c r="G926" s="3" t="inlineStr">
        <x:is>
          <x:t xml:space="preserve">北京市-北京市</x:t>
        </x:is>
      </x:c>
      <x:c r="H926" s="2" t="inlineStr">
        <x:is>
          <x:t xml:space="preserve">电池</x:t>
        </x:is>
      </x:c>
      <x:c r="I926" s="2" t="inlineStr">
        <x:is>
          <x:t xml:space="preserve">2020-08-10</x:t>
        </x:is>
      </x:c>
      <x:c r="J926" s="3" t="inlineStr">
        <x:is>
          <x:t xml:space="preserve">北京市海淀区西小口路66号中关村东升科技园B-6号楼C座七层C701室</x:t>
        </x:is>
      </x:c>
      <x:c r="K926" s="12" t="str">
        <x:f>LEFT("911101080514468626",18)</x:f>
        <x:v>911101080514468600</x:v>
      </x:c>
    </x:row>
    <x:row r="927">
      <x:c r="A927" s="4" t="n">
        <x:v>926</x:v>
      </x:c>
      <x:c r="B927" s="4" t="inlineStr">
        <x:is>
          <x:t xml:space="preserve">688349</x:t>
        </x:is>
      </x:c>
      <x:c r="C927" s="5" t="inlineStr">
        <x:is>
          <x:t xml:space="preserve">三一重能</x:t>
        </x:is>
      </x:c>
      <x:c r="D927" s="5" t="inlineStr">
        <x:is>
          <x:t xml:space="preserve">三一重能股份有限公司</x:t>
        </x:is>
      </x:c>
      <x:c r="E927" s="4" t="inlineStr">
        <x:is>
          <x:t xml:space="preserve">北京市</x:t>
        </x:is>
      </x:c>
      <x:c r="F927" s="4" t="inlineStr">
        <x:is>
          <x:t xml:space="preserve">北京市</x:t>
        </x:is>
      </x:c>
      <x:c r="G927" s="5" t="inlineStr">
        <x:is>
          <x:t xml:space="preserve">北京市-北京市</x:t>
        </x:is>
      </x:c>
      <x:c r="H927" s="4" t="inlineStr">
        <x:is>
          <x:t xml:space="preserve">风电设备</x:t>
        </x:is>
      </x:c>
      <x:c r="I927" s="4" t="inlineStr">
        <x:is>
          <x:t xml:space="preserve">2022-06-22</x:t>
        </x:is>
      </x:c>
      <x:c r="J927" s="5" t="inlineStr">
        <x:is>
          <x:t xml:space="preserve">北京市昌平区北清路三一产业园</x:t>
        </x:is>
      </x:c>
      <x:c r="K927" s="12" t="str">
        <x:f>LEFT("9111011467455638XA",18)</x:f>
        <x:v>9111011467455638XA</x:v>
      </x:c>
    </x:row>
    <x:row r="928">
      <x:c r="A928" s="2" t="n">
        <x:v>927</x:v>
      </x:c>
      <x:c r="B928" s="2" t="inlineStr">
        <x:is>
          <x:t xml:space="preserve">688356</x:t>
        </x:is>
      </x:c>
      <x:c r="C928" s="3" t="inlineStr">
        <x:is>
          <x:t xml:space="preserve">键凯科技</x:t>
        </x:is>
      </x:c>
      <x:c r="D928" s="3" t="inlineStr">
        <x:is>
          <x:t xml:space="preserve">北京键凯科技股份有限公司</x:t>
        </x:is>
      </x:c>
      <x:c r="E928" s="2" t="inlineStr">
        <x:is>
          <x:t xml:space="preserve">北京市</x:t>
        </x:is>
      </x:c>
      <x:c r="F928" s="2" t="inlineStr">
        <x:is>
          <x:t xml:space="preserve">北京市</x:t>
        </x:is>
      </x:c>
      <x:c r="G928" s="3" t="inlineStr">
        <x:is>
          <x:t xml:space="preserve">北京市-北京市</x:t>
        </x:is>
      </x:c>
      <x:c r="H928" s="2" t="inlineStr">
        <x:is>
          <x:t xml:space="preserve">化学制药</x:t>
        </x:is>
      </x:c>
      <x:c r="I928" s="2" t="inlineStr">
        <x:is>
          <x:t xml:space="preserve">2020-08-26</x:t>
        </x:is>
      </x:c>
      <x:c r="J928" s="3" t="inlineStr">
        <x:is>
          <x:t xml:space="preserve">北京市海淀区西小口路66号中关村东升科技园·北领地C-1楼3层306、308、310、311(东升地区)</x:t>
        </x:is>
      </x:c>
      <x:c r="K928" s="12" t="str">
        <x:f>LEFT("911101086003726929",18)</x:f>
        <x:v>911101086003727000</x:v>
      </x:c>
    </x:row>
    <x:row r="929">
      <x:c r="A929" s="4" t="n">
        <x:v>928</x:v>
      </x:c>
      <x:c r="B929" s="4" t="inlineStr">
        <x:is>
          <x:t xml:space="preserve">688369</x:t>
        </x:is>
      </x:c>
      <x:c r="C929" s="5" t="inlineStr">
        <x:is>
          <x:t xml:space="preserve">致远互联</x:t>
        </x:is>
      </x:c>
      <x:c r="D929" s="5" t="inlineStr">
        <x:is>
          <x:t xml:space="preserve">北京致远互联软件股份有限公司</x:t>
        </x:is>
      </x:c>
      <x:c r="E929" s="4" t="inlineStr">
        <x:is>
          <x:t xml:space="preserve">北京市</x:t>
        </x:is>
      </x:c>
      <x:c r="F929" s="4" t="inlineStr">
        <x:is>
          <x:t xml:space="preserve">北京市</x:t>
        </x:is>
      </x:c>
      <x:c r="G929" s="5" t="inlineStr">
        <x:is>
          <x:t xml:space="preserve">北京市-北京市</x:t>
        </x:is>
      </x:c>
      <x:c r="H929" s="4" t="inlineStr">
        <x:is>
          <x:t xml:space="preserve">软件服务</x:t>
        </x:is>
      </x:c>
      <x:c r="I929" s="4" t="inlineStr">
        <x:is>
          <x:t xml:space="preserve">2019-10-31</x:t>
        </x:is>
      </x:c>
      <x:c r="J929" s="5" t="inlineStr">
        <x:is>
          <x:t xml:space="preserve">北京市海淀区北坞村路甲25号静芯园M座</x:t>
        </x:is>
      </x:c>
      <x:c r="K929" s="12" t="str">
        <x:f>LEFT("91110108737656338N",18)</x:f>
        <x:v>91110108737656338N</x:v>
      </x:c>
    </x:row>
    <x:row r="930">
      <x:c r="A930" s="2" t="n">
        <x:v>929</x:v>
      </x:c>
      <x:c r="B930" s="2" t="inlineStr">
        <x:is>
          <x:t xml:space="preserve">688400</x:t>
        </x:is>
      </x:c>
      <x:c r="C930" s="3" t="inlineStr">
        <x:is>
          <x:t xml:space="preserve">凌云光</x:t>
        </x:is>
      </x:c>
      <x:c r="D930" s="3" t="inlineStr">
        <x:is>
          <x:t xml:space="preserve">凌云光技术股份有限公司</x:t>
        </x:is>
      </x:c>
      <x:c r="E930" s="2" t="inlineStr">
        <x:is>
          <x:t xml:space="preserve">北京市</x:t>
        </x:is>
      </x:c>
      <x:c r="F930" s="2" t="inlineStr">
        <x:is>
          <x:t xml:space="preserve">北京市</x:t>
        </x:is>
      </x:c>
      <x:c r="G930" s="3" t="inlineStr">
        <x:is>
          <x:t xml:space="preserve">北京市-北京市</x:t>
        </x:is>
      </x:c>
      <x:c r="H930" s="2" t="inlineStr">
        <x:is>
          <x:t xml:space="preserve">专用设备</x:t>
        </x:is>
      </x:c>
      <x:c r="I930" s="2" t="inlineStr">
        <x:is>
          <x:t xml:space="preserve">2022-07-06</x:t>
        </x:is>
      </x:c>
      <x:c r="J930" s="3" t="inlineStr">
        <x:is>
          <x:t xml:space="preserve">北京市海淀区翠湖南环路13号院7号楼7层701室</x:t>
        </x:is>
      </x:c>
      <x:c r="K930" s="12" t="str">
        <x:f>LEFT("91110108742342210W",18)</x:f>
        <x:v>91110108742342210W</x:v>
      </x:c>
    </x:row>
    <x:row r="931">
      <x:c r="A931" s="4" t="n">
        <x:v>930</x:v>
      </x:c>
      <x:c r="B931" s="4" t="inlineStr">
        <x:is>
          <x:t xml:space="preserve">688411</x:t>
        </x:is>
      </x:c>
      <x:c r="C931" s="5" t="inlineStr">
        <x:is>
          <x:t xml:space="preserve">海博思创</x:t>
        </x:is>
      </x:c>
      <x:c r="D931" s="5" t="inlineStr">
        <x:is>
          <x:t xml:space="preserve">北京海博思创科技股份有限公司</x:t>
        </x:is>
      </x:c>
      <x:c r="E931" s="4" t="inlineStr">
        <x:is>
          <x:t xml:space="preserve">北京市</x:t>
        </x:is>
      </x:c>
      <x:c r="F931" s="4" t="inlineStr">
        <x:is>
          <x:t xml:space="preserve">北京市</x:t>
        </x:is>
      </x:c>
      <x:c r="G931" s="5" t="inlineStr">
        <x:is>
          <x:t xml:space="preserve">北京市-北京市</x:t>
        </x:is>
      </x:c>
      <x:c r="H931" s="4" t="inlineStr">
        <x:is>
          <x:t xml:space="preserve">电源设备</x:t>
        </x:is>
      </x:c>
      <x:c r="I931" s="4" t="inlineStr">
        <x:is>
          <x:t xml:space="preserve">2025-01-27</x:t>
        </x:is>
      </x:c>
      <x:c r="J931" s="5" t="inlineStr">
        <x:is>
          <x:t xml:space="preserve">北京市海淀区丰豪东路9号院2号楼12层3单元1201</x:t>
        </x:is>
      </x:c>
      <x:c r="K931" s="12" t="str">
        <x:f>LEFT("9111010858587583XQ",18)</x:f>
        <x:v>9111010858587583XQ</x:v>
      </x:c>
    </x:row>
    <x:row r="932">
      <x:c r="A932" s="2" t="n">
        <x:v>931</x:v>
      </x:c>
      <x:c r="B932" s="2" t="inlineStr">
        <x:is>
          <x:t xml:space="preserve">688432</x:t>
        </x:is>
      </x:c>
      <x:c r="C932" s="3" t="inlineStr">
        <x:is>
          <x:t xml:space="preserve">有研硅</x:t>
        </x:is>
      </x:c>
      <x:c r="D932" s="3" t="inlineStr">
        <x:is>
          <x:t xml:space="preserve">有研半导体硅材料股份公司</x:t>
        </x:is>
      </x:c>
      <x:c r="E932" s="2" t="inlineStr">
        <x:is>
          <x:t xml:space="preserve">北京市</x:t>
        </x:is>
      </x:c>
      <x:c r="F932" s="2" t="inlineStr">
        <x:is>
          <x:t xml:space="preserve">北京市</x:t>
        </x:is>
      </x:c>
      <x:c r="G932" s="3" t="inlineStr">
        <x:is>
          <x:t xml:space="preserve">北京市-北京市</x:t>
        </x:is>
      </x:c>
      <x:c r="H932" s="2" t="inlineStr">
        <x:is>
          <x:t xml:space="preserve">半导体</x:t>
        </x:is>
      </x:c>
      <x:c r="I932" s="2" t="inlineStr">
        <x:is>
          <x:t xml:space="preserve">2022-11-10</x:t>
        </x:is>
      </x:c>
      <x:c r="J932" s="3" t="inlineStr">
        <x:is>
          <x:t xml:space="preserve">北京市顺义区林河工业开发区双河路南侧</x:t>
        </x:is>
      </x:c>
      <x:c r="K932" s="12" t="str">
        <x:f>LEFT("91110000600090126J",18)</x:f>
        <x:v>91110000600090126J</x:v>
      </x:c>
    </x:row>
    <x:row r="933">
      <x:c r="A933" s="4" t="n">
        <x:v>932</x:v>
      </x:c>
      <x:c r="B933" s="4" t="inlineStr">
        <x:is>
          <x:t xml:space="preserve">688456</x:t>
        </x:is>
      </x:c>
      <x:c r="C933" s="5" t="inlineStr">
        <x:is>
          <x:t xml:space="preserve">有研粉材</x:t>
        </x:is>
      </x:c>
      <x:c r="D933" s="5" t="inlineStr">
        <x:is>
          <x:t xml:space="preserve">有研粉末新材料股份有限公司</x:t>
        </x:is>
      </x:c>
      <x:c r="E933" s="4" t="inlineStr">
        <x:is>
          <x:t xml:space="preserve">北京市</x:t>
        </x:is>
      </x:c>
      <x:c r="F933" s="4" t="inlineStr">
        <x:is>
          <x:t xml:space="preserve">北京市</x:t>
        </x:is>
      </x:c>
      <x:c r="G933" s="5" t="inlineStr">
        <x:is>
          <x:t xml:space="preserve">北京市-北京市</x:t>
        </x:is>
      </x:c>
      <x:c r="H933" s="4" t="inlineStr">
        <x:is>
          <x:t xml:space="preserve">有色金属</x:t>
        </x:is>
      </x:c>
      <x:c r="I933" s="4" t="inlineStr">
        <x:is>
          <x:t xml:space="preserve">2021-03-17</x:t>
        </x:is>
      </x:c>
      <x:c r="J933" s="5" t="inlineStr">
        <x:is>
          <x:t xml:space="preserve">北京市怀柔区雁栖经济开发区雁栖路3号1幢</x:t>
        </x:is>
      </x:c>
      <x:c r="K933" s="12" t="str">
        <x:f>LEFT("9111011675962568XJ",18)</x:f>
        <x:v>9111011675962568XJ</x:v>
      </x:c>
    </x:row>
    <x:row r="934">
      <x:c r="A934" s="2" t="n">
        <x:v>933</x:v>
      </x:c>
      <x:c r="B934" s="2" t="inlineStr">
        <x:is>
          <x:t xml:space="preserve">688458</x:t>
        </x:is>
      </x:c>
      <x:c r="C934" s="3" t="inlineStr">
        <x:is>
          <x:t xml:space="preserve">美芯晟</x:t>
        </x:is>
      </x:c>
      <x:c r="D934" s="3" t="inlineStr">
        <x:is>
          <x:t xml:space="preserve">美芯晟科技(北京)股份有限公司</x:t>
        </x:is>
      </x:c>
      <x:c r="E934" s="2" t="inlineStr">
        <x:is>
          <x:t xml:space="preserve">北京市</x:t>
        </x:is>
      </x:c>
      <x:c r="F934" s="2" t="inlineStr">
        <x:is>
          <x:t xml:space="preserve">北京市</x:t>
        </x:is>
      </x:c>
      <x:c r="G934" s="3" t="inlineStr">
        <x:is>
          <x:t xml:space="preserve">北京市-北京市</x:t>
        </x:is>
      </x:c>
      <x:c r="H934" s="2" t="inlineStr">
        <x:is>
          <x:t xml:space="preserve">半导体</x:t>
        </x:is>
      </x:c>
      <x:c r="I934" s="2" t="inlineStr">
        <x:is>
          <x:t xml:space="preserve">2023-05-22</x:t>
        </x:is>
      </x:c>
      <x:c r="J934" s="3" t="inlineStr">
        <x:is>
          <x:t xml:space="preserve">北京市海淀区小月河东畔路16号院2号楼12层1201号房屋</x:t>
        </x:is>
      </x:c>
      <x:c r="K934" s="12" t="str">
        <x:f>LEFT("911101086723550827",18)</x:f>
        <x:v>911101086723550800</x:v>
      </x:c>
    </x:row>
    <x:row r="935">
      <x:c r="A935" s="4" t="n">
        <x:v>934</x:v>
      </x:c>
      <x:c r="B935" s="4" t="inlineStr">
        <x:is>
          <x:t xml:space="preserve">688466</x:t>
        </x:is>
      </x:c>
      <x:c r="C935" s="5" t="inlineStr">
        <x:is>
          <x:t xml:space="preserve">金科环境</x:t>
        </x:is>
      </x:c>
      <x:c r="D935" s="5" t="inlineStr">
        <x:is>
          <x:t xml:space="preserve">金科环境股份有限公司</x:t>
        </x:is>
      </x:c>
      <x:c r="E935" s="4" t="inlineStr">
        <x:is>
          <x:t xml:space="preserve">北京市</x:t>
        </x:is>
      </x:c>
      <x:c r="F935" s="4" t="inlineStr">
        <x:is>
          <x:t xml:space="preserve">北京市</x:t>
        </x:is>
      </x:c>
      <x:c r="G935" s="5" t="inlineStr">
        <x:is>
          <x:t xml:space="preserve">北京市-北京市</x:t>
        </x:is>
      </x:c>
      <x:c r="H935" s="4" t="inlineStr">
        <x:is>
          <x:t xml:space="preserve">环保工程</x:t>
        </x:is>
      </x:c>
      <x:c r="I935" s="4" t="inlineStr">
        <x:is>
          <x:t xml:space="preserve">2020-05-08</x:t>
        </x:is>
      </x:c>
      <x:c r="J935" s="5" t="inlineStr">
        <x:is>
          <x:t xml:space="preserve">北京市朝阳区望京东路1号16层1601内A1601</x:t>
        </x:is>
      </x:c>
      <x:c r="K935" s="12" t="str">
        <x:f>LEFT("91110105764202737L",18)</x:f>
        <x:v>91110105764202737L</x:v>
      </x:c>
    </x:row>
    <x:row r="936">
      <x:c r="A936" s="2" t="n">
        <x:v>935</x:v>
      </x:c>
      <x:c r="B936" s="2" t="inlineStr">
        <x:is>
          <x:t xml:space="preserve">688468</x:t>
        </x:is>
      </x:c>
      <x:c r="C936" s="3" t="inlineStr">
        <x:is>
          <x:t xml:space="preserve">科美诊断</x:t>
        </x:is>
      </x:c>
      <x:c r="D936" s="3" t="inlineStr">
        <x:is>
          <x:t xml:space="preserve">科美诊断技术股份有限公司</x:t>
        </x:is>
      </x:c>
      <x:c r="E936" s="2" t="inlineStr">
        <x:is>
          <x:t xml:space="preserve">北京市</x:t>
        </x:is>
      </x:c>
      <x:c r="F936" s="2" t="inlineStr">
        <x:is>
          <x:t xml:space="preserve">北京市</x:t>
        </x:is>
      </x:c>
      <x:c r="G936" s="3" t="inlineStr">
        <x:is>
          <x:t xml:space="preserve">北京市-北京市</x:t>
        </x:is>
      </x:c>
      <x:c r="H936" s="2" t="inlineStr">
        <x:is>
          <x:t xml:space="preserve">医疗器械</x:t>
        </x:is>
      </x:c>
      <x:c r="I936" s="2" t="inlineStr">
        <x:is>
          <x:t xml:space="preserve">2021-04-09</x:t>
        </x:is>
      </x:c>
      <x:c r="J936" s="3" t="inlineStr">
        <x:is>
          <x:t xml:space="preserve">北京市海淀区永丰基地丰贤中路7号北科现代制造园孵化楼一层、六层</x:t>
        </x:is>
      </x:c>
      <x:c r="K936" s="12" t="str">
        <x:f>LEFT("91110108661550528Q",18)</x:f>
        <x:v>91110108661550528Q</x:v>
      </x:c>
    </x:row>
    <x:row r="937">
      <x:c r="A937" s="4" t="n">
        <x:v>936</x:v>
      </x:c>
      <x:c r="B937" s="4" t="inlineStr">
        <x:is>
          <x:t xml:space="preserve">688485</x:t>
        </x:is>
      </x:c>
      <x:c r="C937" s="5" t="inlineStr">
        <x:is>
          <x:t xml:space="preserve">九州一轨</x:t>
        </x:is>
      </x:c>
      <x:c r="D937" s="5" t="inlineStr">
        <x:is>
          <x:t xml:space="preserve">北京九州一轨环境科技股份有限公司</x:t>
        </x:is>
      </x:c>
      <x:c r="E937" s="4" t="inlineStr">
        <x:is>
          <x:t xml:space="preserve">北京市</x:t>
        </x:is>
      </x:c>
      <x:c r="F937" s="4" t="inlineStr">
        <x:is>
          <x:t xml:space="preserve">北京市</x:t>
        </x:is>
      </x:c>
      <x:c r="G937" s="5" t="inlineStr">
        <x:is>
          <x:t xml:space="preserve">北京市-北京市</x:t>
        </x:is>
      </x:c>
      <x:c r="H937" s="4" t="inlineStr">
        <x:is>
          <x:t xml:space="preserve">环保行业</x:t>
        </x:is>
      </x:c>
      <x:c r="I937" s="4" t="inlineStr">
        <x:is>
          <x:t xml:space="preserve">2023-01-18</x:t>
        </x:is>
      </x:c>
      <x:c r="J937" s="5" t="inlineStr">
        <x:is>
          <x:t xml:space="preserve">北京市房山区窦店镇广茂路32号</x:t>
        </x:is>
      </x:c>
      <x:c r="K937" s="12" t="str">
        <x:f>LEFT("91110111560444056L",18)</x:f>
        <x:v>91110111560444056L</x:v>
      </x:c>
    </x:row>
    <x:row r="938">
      <x:c r="A938" s="2" t="n">
        <x:v>937</x:v>
      </x:c>
      <x:c r="B938" s="2" t="inlineStr">
        <x:is>
          <x:t xml:space="preserve">688489</x:t>
        </x:is>
      </x:c>
      <x:c r="C938" s="3" t="inlineStr">
        <x:is>
          <x:t xml:space="preserve">三未信安</x:t>
        </x:is>
      </x:c>
      <x:c r="D938" s="3" t="inlineStr">
        <x:is>
          <x:t xml:space="preserve">三未信安科技股份有限公司</x:t>
        </x:is>
      </x:c>
      <x:c r="E938" s="2" t="inlineStr">
        <x:is>
          <x:t xml:space="preserve">北京市</x:t>
        </x:is>
      </x:c>
      <x:c r="F938" s="2" t="inlineStr">
        <x:is>
          <x:t xml:space="preserve">北京市</x:t>
        </x:is>
      </x:c>
      <x:c r="G938" s="3" t="inlineStr">
        <x:is>
          <x:t xml:space="preserve">北京市-北京市</x:t>
        </x:is>
      </x:c>
      <x:c r="H938" s="2" t="inlineStr">
        <x:is>
          <x:t xml:space="preserve">电子元件</x:t>
        </x:is>
      </x:c>
      <x:c r="I938" s="2" t="inlineStr">
        <x:is>
          <x:t xml:space="preserve">2022-12-02</x:t>
        </x:is>
      </x:c>
      <x:c r="J938" s="3" t="inlineStr">
        <x:is>
          <x:t xml:space="preserve">北京市朝阳区创远路34号院1号楼12层1201内1201室</x:t>
        </x:is>
      </x:c>
      <x:c r="K938" s="12" t="str">
        <x:f>LEFT("91110105679648435P",18)</x:f>
        <x:v>91110105679648435P</x:v>
      </x:c>
    </x:row>
    <x:row r="939">
      <x:c r="A939" s="4" t="n">
        <x:v>938</x:v>
      </x:c>
      <x:c r="B939" s="4" t="inlineStr">
        <x:is>
          <x:t xml:space="preserve">688500</x:t>
        </x:is>
      </x:c>
      <x:c r="C939" s="5" t="inlineStr">
        <x:is>
          <x:t xml:space="preserve">慧辰股份</x:t>
        </x:is>
      </x:c>
      <x:c r="D939" s="5" t="inlineStr">
        <x:is>
          <x:t xml:space="preserve">北京慧辰资道资讯股份有限公司</x:t>
        </x:is>
      </x:c>
      <x:c r="E939" s="4" t="inlineStr">
        <x:is>
          <x:t xml:space="preserve">北京市</x:t>
        </x:is>
      </x:c>
      <x:c r="F939" s="4" t="inlineStr">
        <x:is>
          <x:t xml:space="preserve">北京市</x:t>
        </x:is>
      </x:c>
      <x:c r="G939" s="5" t="inlineStr">
        <x:is>
          <x:t xml:space="preserve">北京市-北京市</x:t>
        </x:is>
      </x:c>
      <x:c r="H939" s="4" t="inlineStr">
        <x:is>
          <x:t xml:space="preserve">电子信息</x:t>
        </x:is>
      </x:c>
      <x:c r="I939" s="4" t="inlineStr">
        <x:is>
          <x:t xml:space="preserve">2020-07-16</x:t>
        </x:is>
      </x:c>
      <x:c r="J939" s="5" t="inlineStr">
        <x:is>
          <x:t xml:space="preserve">北京市海淀区北三环西路25号2号楼五层510室</x:t>
        </x:is>
      </x:c>
      <x:c r="K939" s="12" t="str">
        <x:f>LEFT("91110108682894987G",18)</x:f>
        <x:v>91110108682894987G</x:v>
      </x:c>
    </x:row>
    <x:row r="940">
      <x:c r="A940" s="2" t="n">
        <x:v>939</x:v>
      </x:c>
      <x:c r="B940" s="2" t="inlineStr">
        <x:is>
          <x:t xml:space="preserve">688509</x:t>
        </x:is>
      </x:c>
      <x:c r="C940" s="3" t="inlineStr">
        <x:is>
          <x:t xml:space="preserve">正元地信</x:t>
        </x:is>
      </x:c>
      <x:c r="D940" s="3" t="inlineStr">
        <x:is>
          <x:t xml:space="preserve">正元地理信息集团股份有限公司</x:t>
        </x:is>
      </x:c>
      <x:c r="E940" s="2" t="inlineStr">
        <x:is>
          <x:t xml:space="preserve">北京市</x:t>
        </x:is>
      </x:c>
      <x:c r="F940" s="2" t="inlineStr">
        <x:is>
          <x:t xml:space="preserve">北京市</x:t>
        </x:is>
      </x:c>
      <x:c r="G940" s="3" t="inlineStr">
        <x:is>
          <x:t xml:space="preserve">北京市-北京市</x:t>
        </x:is>
      </x:c>
      <x:c r="H940" s="2" t="inlineStr">
        <x:is>
          <x:t xml:space="preserve">电子信息</x:t>
        </x:is>
      </x:c>
      <x:c r="I940" s="2" t="inlineStr">
        <x:is>
          <x:t xml:space="preserve">2021-07-30</x:t>
        </x:is>
      </x:c>
      <x:c r="J940" s="3" t="inlineStr">
        <x:is>
          <x:t xml:space="preserve">北京市顺义区汇海中路3号院1号楼-1至9层101内1至6层</x:t>
        </x:is>
      </x:c>
      <x:c r="K940" s="12" t="str">
        <x:f>LEFT("91110000267130226N",18)</x:f>
        <x:v>91110000267130226N</x:v>
      </x:c>
    </x:row>
    <x:row r="941">
      <x:c r="A941" s="4" t="n">
        <x:v>940</x:v>
      </x:c>
      <x:c r="B941" s="4" t="inlineStr">
        <x:is>
          <x:t xml:space="preserve">688520</x:t>
        </x:is>
      </x:c>
      <x:c r="C941" s="5" t="inlineStr">
        <x:is>
          <x:t xml:space="preserve">神州细胞</x:t>
        </x:is>
      </x:c>
      <x:c r="D941" s="5" t="inlineStr">
        <x:is>
          <x:t xml:space="preserve">北京神州细胞生物技术集团股份公司</x:t>
        </x:is>
      </x:c>
      <x:c r="E941" s="4" t="inlineStr">
        <x:is>
          <x:t xml:space="preserve">北京市</x:t>
        </x:is>
      </x:c>
      <x:c r="F941" s="4" t="inlineStr">
        <x:is>
          <x:t xml:space="preserve">北京市</x:t>
        </x:is>
      </x:c>
      <x:c r="G941" s="5" t="inlineStr">
        <x:is>
          <x:t xml:space="preserve">北京市-北京市</x:t>
        </x:is>
      </x:c>
      <x:c r="H941" s="4" t="inlineStr">
        <x:is>
          <x:t xml:space="preserve">生物制品</x:t>
        </x:is>
      </x:c>
      <x:c r="I941" s="4" t="inlineStr">
        <x:is>
          <x:t xml:space="preserve">2020-06-22</x:t>
        </x:is>
      </x:c>
      <x:c r="J941" s="5" t="inlineStr">
        <x:is>
          <x:t xml:space="preserve">北京市北京经济技术开发区科创七街31号院5号楼307</x:t>
        </x:is>
      </x:c>
      <x:c r="K941" s="12" t="str">
        <x:f>LEFT("9111030266050567XF",18)</x:f>
        <x:v>9111030266050567XF</x:v>
      </x:c>
    </x:row>
    <x:row r="942">
      <x:c r="A942" s="2" t="n">
        <x:v>941</x:v>
      </x:c>
      <x:c r="B942" s="2" t="inlineStr">
        <x:is>
          <x:t xml:space="preserve">688561</x:t>
        </x:is>
      </x:c>
      <x:c r="C942" s="3" t="inlineStr">
        <x:is>
          <x:t xml:space="preserve">奇安信</x:t>
        </x:is>
      </x:c>
      <x:c r="D942" s="3" t="inlineStr">
        <x:is>
          <x:t xml:space="preserve">奇安信科技集团股份有限公司</x:t>
        </x:is>
      </x:c>
      <x:c r="E942" s="2" t="inlineStr">
        <x:is>
          <x:t xml:space="preserve">北京市</x:t>
        </x:is>
      </x:c>
      <x:c r="F942" s="2" t="inlineStr">
        <x:is>
          <x:t xml:space="preserve">北京市</x:t>
        </x:is>
      </x:c>
      <x:c r="G942" s="3" t="inlineStr">
        <x:is>
          <x:t xml:space="preserve">北京市-北京市</x:t>
        </x:is>
      </x:c>
      <x:c r="H942" s="2" t="inlineStr">
        <x:is>
          <x:t xml:space="preserve">软件开发</x:t>
        </x:is>
      </x:c>
      <x:c r="I942" s="2" t="inlineStr">
        <x:is>
          <x:t xml:space="preserve">2020-07-22</x:t>
        </x:is>
      </x:c>
      <x:c r="J942" s="3" t="inlineStr">
        <x:is>
          <x:t xml:space="preserve">北京市西城区新街口外大街28号102号楼3层332号</x:t>
        </x:is>
      </x:c>
      <x:c r="K942" s="12" t="str">
        <x:f>LEFT("91110105397625067T",18)</x:f>
        <x:v>91110105397625067T</x:v>
      </x:c>
    </x:row>
    <x:row r="943">
      <x:c r="A943" s="4" t="n">
        <x:v>942</x:v>
      </x:c>
      <x:c r="B943" s="4" t="inlineStr">
        <x:is>
          <x:t xml:space="preserve">688562</x:t>
        </x:is>
      </x:c>
      <x:c r="C943" s="5" t="inlineStr">
        <x:is>
          <x:t xml:space="preserve">航天软件</x:t>
        </x:is>
      </x:c>
      <x:c r="D943" s="5" t="inlineStr">
        <x:is>
          <x:t xml:space="preserve">北京神舟航天软件技术股份有限公司</x:t>
        </x:is>
      </x:c>
      <x:c r="E943" s="4" t="inlineStr">
        <x:is>
          <x:t xml:space="preserve">北京市</x:t>
        </x:is>
      </x:c>
      <x:c r="F943" s="4" t="inlineStr">
        <x:is>
          <x:t xml:space="preserve">北京市</x:t>
        </x:is>
      </x:c>
      <x:c r="G943" s="5" t="inlineStr">
        <x:is>
          <x:t xml:space="preserve">北京市-北京市</x:t>
        </x:is>
      </x:c>
      <x:c r="H943" s="4" t="inlineStr">
        <x:is>
          <x:t xml:space="preserve">互联网服务</x:t>
        </x:is>
      </x:c>
      <x:c r="I943" s="4" t="inlineStr">
        <x:is>
          <x:t xml:space="preserve">2023-05-24</x:t>
        </x:is>
      </x:c>
      <x:c r="J943" s="5" t="inlineStr">
        <x:is>
          <x:t xml:space="preserve">北京市海淀区永丰路28号</x:t>
        </x:is>
      </x:c>
      <x:c r="K943" s="12" t="str">
        <x:f>LEFT("91110108802048719U",18)</x:f>
        <x:v>91110108802048719U</x:v>
      </x:c>
    </x:row>
    <x:row r="944">
      <x:c r="A944" s="2" t="n">
        <x:v>943</x:v>
      </x:c>
      <x:c r="B944" s="2" t="inlineStr">
        <x:is>
          <x:t xml:space="preserve">688563</x:t>
        </x:is>
      </x:c>
      <x:c r="C944" s="3" t="inlineStr">
        <x:is>
          <x:t xml:space="preserve">航材股份</x:t>
        </x:is>
      </x:c>
      <x:c r="D944" s="3" t="inlineStr">
        <x:is>
          <x:t xml:space="preserve">北京航空材料研究院股份有限公司</x:t>
        </x:is>
      </x:c>
      <x:c r="E944" s="2" t="inlineStr">
        <x:is>
          <x:t xml:space="preserve">北京市</x:t>
        </x:is>
      </x:c>
      <x:c r="F944" s="2" t="inlineStr">
        <x:is>
          <x:t xml:space="preserve">北京市</x:t>
        </x:is>
      </x:c>
      <x:c r="G944" s="3" t="inlineStr">
        <x:is>
          <x:t xml:space="preserve">北京市-北京市</x:t>
        </x:is>
      </x:c>
      <x:c r="H944" s="2" t="inlineStr">
        <x:is>
          <x:t xml:space="preserve">航天航空</x:t>
        </x:is>
      </x:c>
      <x:c r="I944" s="2" t="inlineStr">
        <x:is>
          <x:t xml:space="preserve">2023-07-19</x:t>
        </x:is>
      </x:c>
      <x:c r="J944" s="3" t="inlineStr">
        <x:is>
          <x:t xml:space="preserve">北京市海淀区永翔北路5号</x:t>
        </x:is>
      </x:c>
      <x:c r="K944" s="12" t="str">
        <x:f>LEFT("911100007226033647",18)</x:f>
        <x:v>911100007226033700</x:v>
      </x:c>
    </x:row>
    <x:row r="945">
      <x:c r="A945" s="4" t="n">
        <x:v>944</x:v>
      </x:c>
      <x:c r="B945" s="4" t="inlineStr">
        <x:is>
          <x:t xml:space="preserve">688568</x:t>
        </x:is>
      </x:c>
      <x:c r="C945" s="5" t="inlineStr">
        <x:is>
          <x:t xml:space="preserve">中科星图</x:t>
        </x:is>
      </x:c>
      <x:c r="D945" s="5" t="inlineStr">
        <x:is>
          <x:t xml:space="preserve">中科星图股份有限公司</x:t>
        </x:is>
      </x:c>
      <x:c r="E945" s="4" t="inlineStr">
        <x:is>
          <x:t xml:space="preserve">北京市</x:t>
        </x:is>
      </x:c>
      <x:c r="F945" s="4" t="inlineStr">
        <x:is>
          <x:t xml:space="preserve">北京市</x:t>
        </x:is>
      </x:c>
      <x:c r="G945" s="5" t="inlineStr">
        <x:is>
          <x:t xml:space="preserve">北京市-北京市</x:t>
        </x:is>
      </x:c>
      <x:c r="H945" s="4" t="inlineStr">
        <x:is>
          <x:t xml:space="preserve">互联网服务</x:t>
        </x:is>
      </x:c>
      <x:c r="I945" s="4" t="inlineStr">
        <x:is>
          <x:t xml:space="preserve">2020-07-08</x:t>
        </x:is>
      </x:c>
      <x:c r="J945" s="5" t="inlineStr">
        <x:is>
          <x:t xml:space="preserve">北京市顺义区临空经济核心区机场东路2号(产业园1A-4号1、5、7层)</x:t>
        </x:is>
      </x:c>
      <x:c r="K945" s="12" t="str">
        <x:f>LEFT("91110108784807231Q",18)</x:f>
        <x:v>91110108784807231Q</x:v>
      </x:c>
    </x:row>
    <x:row r="946">
      <x:c r="A946" s="2" t="n">
        <x:v>945</x:v>
      </x:c>
      <x:c r="B946" s="2" t="inlineStr">
        <x:is>
          <x:t xml:space="preserve">688569</x:t>
        </x:is>
      </x:c>
      <x:c r="C946" s="3" t="inlineStr">
        <x:is>
          <x:t xml:space="preserve">铁科轨道</x:t>
        </x:is>
      </x:c>
      <x:c r="D946" s="3" t="inlineStr">
        <x:is>
          <x:t xml:space="preserve">北京铁科首钢轨道技术股份有限公司</x:t>
        </x:is>
      </x:c>
      <x:c r="E946" s="2" t="inlineStr">
        <x:is>
          <x:t xml:space="preserve">北京市</x:t>
        </x:is>
      </x:c>
      <x:c r="F946" s="2" t="inlineStr">
        <x:is>
          <x:t xml:space="preserve">北京市</x:t>
        </x:is>
      </x:c>
      <x:c r="G946" s="3" t="inlineStr">
        <x:is>
          <x:t xml:space="preserve">北京市-北京市</x:t>
        </x:is>
      </x:c>
      <x:c r="H946" s="2" t="inlineStr">
        <x:is>
          <x:t xml:space="preserve">交运设备</x:t>
        </x:is>
      </x:c>
      <x:c r="I946" s="2" t="inlineStr">
        <x:is>
          <x:t xml:space="preserve">2020-08-31</x:t>
        </x:is>
      </x:c>
      <x:c r="J946" s="3" t="inlineStr">
        <x:is>
          <x:t xml:space="preserve">北京市昌平区富生路11号院</x:t>
        </x:is>
      </x:c>
      <x:c r="K946" s="12" t="str">
        <x:f>LEFT("91110000795997288B",18)</x:f>
        <x:v>91110000795997288B</x:v>
      </x:c>
    </x:row>
    <x:row r="947">
      <x:c r="A947" s="4" t="n">
        <x:v>946</x:v>
      </x:c>
      <x:c r="B947" s="4" t="inlineStr">
        <x:is>
          <x:t xml:space="preserve">688570</x:t>
        </x:is>
      </x:c>
      <x:c r="C947" s="5" t="inlineStr">
        <x:is>
          <x:t xml:space="preserve">天玛智控</x:t>
        </x:is>
      </x:c>
      <x:c r="D947" s="5" t="inlineStr">
        <x:is>
          <x:t xml:space="preserve">北京天玛智控科技股份有限公司</x:t>
        </x:is>
      </x:c>
      <x:c r="E947" s="4" t="inlineStr">
        <x:is>
          <x:t xml:space="preserve">北京市</x:t>
        </x:is>
      </x:c>
      <x:c r="F947" s="4" t="inlineStr">
        <x:is>
          <x:t xml:space="preserve">北京市</x:t>
        </x:is>
      </x:c>
      <x:c r="G947" s="5" t="inlineStr">
        <x:is>
          <x:t xml:space="preserve">北京市-北京市</x:t>
        </x:is>
      </x:c>
      <x:c r="H947" s="4" t="inlineStr">
        <x:is>
          <x:t xml:space="preserve">软件开发</x:t>
        </x:is>
      </x:c>
      <x:c r="I947" s="4" t="inlineStr">
        <x:is>
          <x:t xml:space="preserve">2023-06-05</x:t>
        </x:is>
      </x:c>
      <x:c r="J947" s="5" t="inlineStr">
        <x:is>
          <x:t xml:space="preserve">北京市顺义区林河南大街27号(科技创新功能区)</x:t>
        </x:is>
      </x:c>
      <x:c r="K947" s="12" t="str">
        <x:f>LEFT("91110114600089774B",18)</x:f>
        <x:v>91110114600089774B</x:v>
      </x:c>
    </x:row>
    <x:row r="948">
      <x:c r="A948" s="2" t="n">
        <x:v>947</x:v>
      </x:c>
      <x:c r="B948" s="2" t="inlineStr">
        <x:is>
          <x:t xml:space="preserve">688597</x:t>
        </x:is>
      </x:c>
      <x:c r="C948" s="3" t="inlineStr">
        <x:is>
          <x:t xml:space="preserve">煜邦电力</x:t>
        </x:is>
      </x:c>
      <x:c r="D948" s="3" t="inlineStr">
        <x:is>
          <x:t xml:space="preserve">北京煜邦电力技术股份有限公司</x:t>
        </x:is>
      </x:c>
      <x:c r="E948" s="2" t="inlineStr">
        <x:is>
          <x:t xml:space="preserve">北京市</x:t>
        </x:is>
      </x:c>
      <x:c r="F948" s="2" t="inlineStr">
        <x:is>
          <x:t xml:space="preserve">北京市</x:t>
        </x:is>
      </x:c>
      <x:c r="G948" s="3" t="inlineStr">
        <x:is>
          <x:t xml:space="preserve">北京市-北京市</x:t>
        </x:is>
      </x:c>
      <x:c r="H948" s="2" t="inlineStr">
        <x:is>
          <x:t xml:space="preserve">电网设备</x:t>
        </x:is>
      </x:c>
      <x:c r="I948" s="2" t="inlineStr">
        <x:is>
          <x:t xml:space="preserve">2021-06-17</x:t>
        </x:is>
      </x:c>
      <x:c r="J948" s="3" t="inlineStr">
        <x:is>
          <x:t xml:space="preserve">北京市东城区和平里东街11号航星科技园航星1号楼</x:t>
        </x:is>
      </x:c>
      <x:c r="K948" s="12" t="str">
        <x:f>LEFT("9111011410269391XD",18)</x:f>
        <x:v>9111011410269391XD</x:v>
      </x:c>
    </x:row>
    <x:row r="949">
      <x:c r="A949" s="4" t="n">
        <x:v>948</x:v>
      </x:c>
      <x:c r="B949" s="4" t="inlineStr">
        <x:is>
          <x:t xml:space="preserve">688613</x:t>
        </x:is>
      </x:c>
      <x:c r="C949" s="5" t="inlineStr">
        <x:is>
          <x:t xml:space="preserve">奥精医疗</x:t>
        </x:is>
      </x:c>
      <x:c r="D949" s="5" t="inlineStr">
        <x:is>
          <x:t xml:space="preserve">奥精医疗科技股份有限公司</x:t>
        </x:is>
      </x:c>
      <x:c r="E949" s="4" t="inlineStr">
        <x:is>
          <x:t xml:space="preserve">北京市</x:t>
        </x:is>
      </x:c>
      <x:c r="F949" s="4" t="inlineStr">
        <x:is>
          <x:t xml:space="preserve">北京市</x:t>
        </x:is>
      </x:c>
      <x:c r="G949" s="5" t="inlineStr">
        <x:is>
          <x:t xml:space="preserve">北京市-北京市</x:t>
        </x:is>
      </x:c>
      <x:c r="H949" s="4" t="inlineStr">
        <x:is>
          <x:t xml:space="preserve">医疗器械</x:t>
        </x:is>
      </x:c>
      <x:c r="I949" s="4" t="inlineStr">
        <x:is>
          <x:t xml:space="preserve">2021-05-21</x:t>
        </x:is>
      </x:c>
      <x:c r="J949" s="5" t="inlineStr">
        <x:is>
          <x:t xml:space="preserve">北京市海淀区开拓路5号3层A305</x:t>
        </x:is>
      </x:c>
      <x:c r="K949" s="12" t="str">
        <x:f>LEFT("91110108769900489W",18)</x:f>
        <x:v>91110108769900489W</x:v>
      </x:c>
    </x:row>
    <x:row r="950">
      <x:c r="A950" s="2" t="n">
        <x:v>949</x:v>
      </x:c>
      <x:c r="B950" s="2" t="inlineStr">
        <x:is>
          <x:t xml:space="preserve">688621</x:t>
        </x:is>
      </x:c>
      <x:c r="C950" s="3" t="inlineStr">
        <x:is>
          <x:t xml:space="preserve">阳光诺和</x:t>
        </x:is>
      </x:c>
      <x:c r="D950" s="3" t="inlineStr">
        <x:is>
          <x:t xml:space="preserve">北京阳光诺和药物研究股份有限公司</x:t>
        </x:is>
      </x:c>
      <x:c r="E950" s="2" t="inlineStr">
        <x:is>
          <x:t xml:space="preserve">北京市</x:t>
        </x:is>
      </x:c>
      <x:c r="F950" s="2" t="inlineStr">
        <x:is>
          <x:t xml:space="preserve">北京市</x:t>
        </x:is>
      </x:c>
      <x:c r="G950" s="3" t="inlineStr">
        <x:is>
          <x:t xml:space="preserve">北京市-北京市</x:t>
        </x:is>
      </x:c>
      <x:c r="H950" s="2" t="inlineStr">
        <x:is>
          <x:t xml:space="preserve">医疗服务</x:t>
        </x:is>
      </x:c>
      <x:c r="I950" s="2" t="inlineStr">
        <x:is>
          <x:t xml:space="preserve">2021-06-21</x:t>
        </x:is>
      </x:c>
      <x:c r="J950" s="3" t="inlineStr">
        <x:is>
          <x:t xml:space="preserve">北京市昌平区科技园区双营西路79号院7号楼一层</x:t>
        </x:is>
      </x:c>
      <x:c r="K950" s="12" t="str">
        <x:f>LEFT("91110107685771683F",18)</x:f>
        <x:v>91110107685771683F</x:v>
      </x:c>
    </x:row>
    <x:row r="951">
      <x:c r="A951" s="4" t="n">
        <x:v>950</x:v>
      </x:c>
      <x:c r="B951" s="4" t="inlineStr">
        <x:is>
          <x:t xml:space="preserve">688651</x:t>
        </x:is>
      </x:c>
      <x:c r="C951" s="5" t="inlineStr">
        <x:is>
          <x:t xml:space="preserve">盛邦安全</x:t>
        </x:is>
      </x:c>
      <x:c r="D951" s="5" t="inlineStr">
        <x:is>
          <x:t xml:space="preserve">远江盛邦安全科技集团股份有限公司</x:t>
        </x:is>
      </x:c>
      <x:c r="E951" s="4" t="inlineStr">
        <x:is>
          <x:t xml:space="preserve">北京市</x:t>
        </x:is>
      </x:c>
      <x:c r="F951" s="4" t="inlineStr">
        <x:is>
          <x:t xml:space="preserve">北京市</x:t>
        </x:is>
      </x:c>
      <x:c r="G951" s="5" t="inlineStr">
        <x:is>
          <x:t xml:space="preserve">北京市-北京市</x:t>
        </x:is>
      </x:c>
      <x:c r="H951" s="4" t="inlineStr">
        <x:is>
          <x:t xml:space="preserve">软件开发</x:t>
        </x:is>
      </x:c>
      <x:c r="I951" s="4" t="inlineStr">
        <x:is>
          <x:t xml:space="preserve">2023-07-26</x:t>
        </x:is>
      </x:c>
      <x:c r="J951" s="5" t="inlineStr">
        <x:is>
          <x:t xml:space="preserve">北京市海淀区上地九街9号9号2层209号</x:t>
        </x:is>
      </x:c>
      <x:c r="K951" s="12" t="str">
        <x:f>LEFT("91110108565775188E",18)</x:f>
        <x:v>91110108565775188E</x:v>
      </x:c>
    </x:row>
    <x:row r="952">
      <x:c r="A952" s="2" t="n">
        <x:v>951</x:v>
      </x:c>
      <x:c r="B952" s="2" t="inlineStr">
        <x:is>
          <x:t xml:space="preserve">688652</x:t>
        </x:is>
      </x:c>
      <x:c r="C952" s="3" t="inlineStr">
        <x:is>
          <x:t xml:space="preserve">京仪装备</x:t>
        </x:is>
      </x:c>
      <x:c r="D952" s="3" t="inlineStr">
        <x:is>
          <x:t xml:space="preserve">北京京仪自动化装备技术股份有限公司</x:t>
        </x:is>
      </x:c>
      <x:c r="E952" s="2" t="inlineStr">
        <x:is>
          <x:t xml:space="preserve">北京市</x:t>
        </x:is>
      </x:c>
      <x:c r="F952" s="2" t="inlineStr">
        <x:is>
          <x:t xml:space="preserve">北京市</x:t>
        </x:is>
      </x:c>
      <x:c r="G952" s="3" t="inlineStr">
        <x:is>
          <x:t xml:space="preserve">北京市-北京市</x:t>
        </x:is>
      </x:c>
      <x:c r="H952" s="2" t="inlineStr">
        <x:is>
          <x:t xml:space="preserve">半导体</x:t>
        </x:is>
      </x:c>
      <x:c r="I952" s="2" t="inlineStr">
        <x:is>
          <x:t xml:space="preserve">2023-11-29</x:t>
        </x:is>
      </x:c>
      <x:c r="J952" s="3" t="inlineStr">
        <x:is>
          <x:t xml:space="preserve">北京市经济技术开发区凉水河二街8号院14号楼A座</x:t>
        </x:is>
      </x:c>
      <x:c r="K952" s="12" t="str">
        <x:f>LEFT("91110302MA006M0XXU",18)</x:f>
        <x:v>91110302MA006M0XXU</x:v>
      </x:c>
    </x:row>
    <x:row r="953">
      <x:c r="A953" s="4" t="n">
        <x:v>952</x:v>
      </x:c>
      <x:c r="B953" s="4" t="inlineStr">
        <x:is>
          <x:t xml:space="preserve">688658</x:t>
        </x:is>
      </x:c>
      <x:c r="C953" s="5" t="inlineStr">
        <x:is>
          <x:t xml:space="preserve">悦康药业</x:t>
        </x:is>
      </x:c>
      <x:c r="D953" s="5" t="inlineStr">
        <x:is>
          <x:t xml:space="preserve">悦康药业集团股份有限公司</x:t>
        </x:is>
      </x:c>
      <x:c r="E953" s="4" t="inlineStr">
        <x:is>
          <x:t xml:space="preserve">北京市</x:t>
        </x:is>
      </x:c>
      <x:c r="F953" s="4" t="inlineStr">
        <x:is>
          <x:t xml:space="preserve">北京市</x:t>
        </x:is>
      </x:c>
      <x:c r="G953" s="5" t="inlineStr">
        <x:is>
          <x:t xml:space="preserve">北京市-北京市</x:t>
        </x:is>
      </x:c>
      <x:c r="H953" s="4" t="inlineStr">
        <x:is>
          <x:t xml:space="preserve">医药制造</x:t>
        </x:is>
      </x:c>
      <x:c r="I953" s="4" t="inlineStr">
        <x:is>
          <x:t xml:space="preserve">2020-12-24</x:t>
        </x:is>
      </x:c>
      <x:c r="J953" s="5" t="inlineStr">
        <x:is>
          <x:t xml:space="preserve">中国北京市北京经济技术开发区宏达中路6号</x:t>
        </x:is>
      </x:c>
      <x:c r="K953" s="12" t="str">
        <x:f>LEFT("911100007263731643",18)</x:f>
        <x:v>911100007263731600</x:v>
      </x:c>
    </x:row>
    <x:row r="954">
      <x:c r="A954" s="2" t="n">
        <x:v>953</x:v>
      </x:c>
      <x:c r="B954" s="2" t="inlineStr">
        <x:is>
          <x:t xml:space="preserve">688687</x:t>
        </x:is>
      </x:c>
      <x:c r="C954" s="3" t="inlineStr">
        <x:is>
          <x:t xml:space="preserve">凯因科技</x:t>
        </x:is>
      </x:c>
      <x:c r="D954" s="3" t="inlineStr">
        <x:is>
          <x:t xml:space="preserve">北京凯因科技股份有限公司</x:t>
        </x:is>
      </x:c>
      <x:c r="E954" s="2" t="inlineStr">
        <x:is>
          <x:t xml:space="preserve">北京市</x:t>
        </x:is>
      </x:c>
      <x:c r="F954" s="2" t="inlineStr">
        <x:is>
          <x:t xml:space="preserve">北京市</x:t>
        </x:is>
      </x:c>
      <x:c r="G954" s="3" t="inlineStr">
        <x:is>
          <x:t xml:space="preserve">北京市-北京市</x:t>
        </x:is>
      </x:c>
      <x:c r="H954" s="2" t="inlineStr">
        <x:is>
          <x:t xml:space="preserve">生物制品</x:t>
        </x:is>
      </x:c>
      <x:c r="I954" s="2" t="inlineStr">
        <x:is>
          <x:t xml:space="preserve">2021-02-08</x:t>
        </x:is>
      </x:c>
      <x:c r="J954" s="3" t="inlineStr">
        <x:is>
          <x:t xml:space="preserve">北京市北京经济技术开发区荣京东街6号3号楼</x:t>
        </x:is>
      </x:c>
      <x:c r="K954" s="12" t="str">
        <x:f>LEFT("911103026787533566",18)</x:f>
        <x:v>911103026787533600</x:v>
      </x:c>
    </x:row>
    <x:row r="955">
      <x:c r="A955" s="4" t="n">
        <x:v>954</x:v>
      </x:c>
      <x:c r="B955" s="4" t="inlineStr">
        <x:is>
          <x:t xml:space="preserve">688722</x:t>
        </x:is>
      </x:c>
      <x:c r="C955" s="5" t="inlineStr">
        <x:is>
          <x:t xml:space="preserve">同益中</x:t>
        </x:is>
      </x:c>
      <x:c r="D955" s="5" t="inlineStr">
        <x:is>
          <x:t xml:space="preserve">北京同益中新材料科技股份有限公司</x:t>
        </x:is>
      </x:c>
      <x:c r="E955" s="4" t="inlineStr">
        <x:is>
          <x:t xml:space="preserve">北京市</x:t>
        </x:is>
      </x:c>
      <x:c r="F955" s="4" t="inlineStr">
        <x:is>
          <x:t xml:space="preserve">北京市</x:t>
        </x:is>
      </x:c>
      <x:c r="G955" s="5" t="inlineStr">
        <x:is>
          <x:t xml:space="preserve">北京市-北京市</x:t>
        </x:is>
      </x:c>
      <x:c r="H955" s="4" t="inlineStr">
        <x:is>
          <x:t xml:space="preserve">化纤行业</x:t>
        </x:is>
      </x:c>
      <x:c r="I955" s="4" t="inlineStr">
        <x:is>
          <x:t xml:space="preserve">2021-10-19</x:t>
        </x:is>
      </x:c>
      <x:c r="J955" s="5" t="inlineStr">
        <x:is>
          <x:t xml:space="preserve">北京市经济技术开发区中和街16号901厂房</x:t>
        </x:is>
      </x:c>
      <x:c r="K955" s="12" t="str">
        <x:f>LEFT("91110302700217438C",18)</x:f>
        <x:v>91110302700217438C</x:v>
      </x:c>
    </x:row>
    <x:row r="956">
      <x:c r="A956" s="2" t="n">
        <x:v>955</x:v>
      </x:c>
      <x:c r="B956" s="2" t="inlineStr">
        <x:is>
          <x:t xml:space="preserve">688729</x:t>
        </x:is>
      </x:c>
      <x:c r="C956" s="3" t="inlineStr">
        <x:is>
          <x:t xml:space="preserve">屹唐股份</x:t>
        </x:is>
      </x:c>
      <x:c r="D956" s="3" t="inlineStr">
        <x:is>
          <x:t xml:space="preserve">北京屹唐半导体科技股份有限公司</x:t>
        </x:is>
      </x:c>
      <x:c r="E956" s="2" t="inlineStr">
        <x:is>
          <x:t xml:space="preserve">北京市</x:t>
        </x:is>
      </x:c>
      <x:c r="F956" s="2" t="inlineStr">
        <x:is>
          <x:t xml:space="preserve">北京市</x:t>
        </x:is>
      </x:c>
      <x:c r="G956" s="3" t="inlineStr">
        <x:is>
          <x:t xml:space="preserve">北京市-北京市</x:t>
        </x:is>
      </x:c>
      <x:c r="H956" s="2" t="inlineStr">
        <x:is>
          <x:t xml:space="preserve">半导体</x:t>
        </x:is>
      </x:c>
      <x:c r="I956" s="2" t="inlineStr">
        <x:is>
          <x:t xml:space="preserve">2025-07-08</x:t>
        </x:is>
      </x:c>
      <x:c r="J956" s="3" t="inlineStr">
        <x:is>
          <x:t xml:space="preserve">北京市北京经济技术开发区瑞合西二路9号</x:t>
        </x:is>
      </x:c>
      <x:c r="K956" s="12" t="str">
        <x:f>LEFT("91110302MA002X200A",18)</x:f>
        <x:v>91110302MA002X200A</x:v>
      </x:c>
    </x:row>
    <x:row r="957">
      <x:c r="A957" s="4" t="n">
        <x:v>956</x:v>
      </x:c>
      <x:c r="B957" s="4" t="inlineStr">
        <x:is>
          <x:t xml:space="preserve">688787</x:t>
        </x:is>
      </x:c>
      <x:c r="C957" s="5" t="inlineStr">
        <x:is>
          <x:t xml:space="preserve">海天瑞声</x:t>
        </x:is>
      </x:c>
      <x:c r="D957" s="5" t="inlineStr">
        <x:is>
          <x:t xml:space="preserve">北京海天瑞声科技股份有限公司</x:t>
        </x:is>
      </x:c>
      <x:c r="E957" s="4" t="inlineStr">
        <x:is>
          <x:t xml:space="preserve">北京市</x:t>
        </x:is>
      </x:c>
      <x:c r="F957" s="4" t="inlineStr">
        <x:is>
          <x:t xml:space="preserve">北京市</x:t>
        </x:is>
      </x:c>
      <x:c r="G957" s="5" t="inlineStr">
        <x:is>
          <x:t xml:space="preserve">北京市-北京市</x:t>
        </x:is>
      </x:c>
      <x:c r="H957" s="4" t="inlineStr">
        <x:is>
          <x:t xml:space="preserve">电子信息</x:t>
        </x:is>
      </x:c>
      <x:c r="I957" s="4" t="inlineStr">
        <x:is>
          <x:t xml:space="preserve">2021-08-13</x:t>
        </x:is>
      </x:c>
      <x:c r="J957" s="5" t="inlineStr">
        <x:is>
          <x:t xml:space="preserve">北京市海淀区知春路68号院1号楼4层401</x:t>
        </x:is>
      </x:c>
      <x:c r="K957" s="12" t="str">
        <x:f>LEFT("91110108776388751R",18)</x:f>
        <x:v>91110108776388751R</x:v>
      </x:c>
    </x:row>
    <x:row r="958">
      <x:c r="A958" s="2" t="n">
        <x:v>957</x:v>
      </x:c>
      <x:c r="B958" s="2" t="inlineStr">
        <x:is>
          <x:t xml:space="preserve">688790</x:t>
        </x:is>
      </x:c>
      <x:c r="C958" s="3" t="inlineStr">
        <x:is>
          <x:t xml:space="preserve">昂瑞微</x:t>
        </x:is>
      </x:c>
      <x:c r="D958" s="3" t="inlineStr">
        <x:is>
          <x:t xml:space="preserve">北京昂瑞微电子技术股份有限公司</x:t>
        </x:is>
      </x:c>
      <x:c r="E958" s="2" t="inlineStr">
        <x:is>
          <x:t xml:space="preserve">北京市</x:t>
        </x:is>
      </x:c>
      <x:c r="F958" s="2" t="inlineStr">
        <x:is>
          <x:t xml:space="preserve">北京市</x:t>
        </x:is>
      </x:c>
      <x:c r="G958" s="3" t="inlineStr">
        <x:is>
          <x:t xml:space="preserve">北京市-北京市</x:t>
        </x:is>
      </x:c>
      <x:c r="H958" s="2" t="inlineStr">
        <x:is>
          <x:t xml:space="preserve">半导体</x:t>
        </x:is>
      </x:c>
      <x:c r="I958" s="2" t="inlineStr">
        <x:is>
          <x:t xml:space="preserve">2025-12-16</x:t>
        </x:is>
      </x:c>
      <x:c r="J958" s="3" t="inlineStr">
        <x:is>
          <x:t xml:space="preserve">北京市海淀区东北旺西路8号院23号楼5层101</x:t>
        </x:is>
      </x:c>
      <x:c r="K958" s="12" t="str">
        <x:f>LEFT("9111010859966120XL",18)</x:f>
        <x:v>9111010859966120XL</x:v>
      </x:c>
    </x:row>
    <x:row r="959">
      <x:c r="A959" s="4" t="n">
        <x:v>958</x:v>
      </x:c>
      <x:c r="B959" s="4" t="inlineStr">
        <x:is>
          <x:t xml:space="preserve">688795</x:t>
        </x:is>
      </x:c>
      <x:c r="C959" s="5" t="inlineStr">
        <x:is>
          <x:t xml:space="preserve">摩尔线程</x:t>
        </x:is>
      </x:c>
      <x:c r="D959" s="5" t="inlineStr">
        <x:is>
          <x:t xml:space="preserve">摩尔线程智能科技(北京)股份有限公司</x:t>
        </x:is>
      </x:c>
      <x:c r="E959" s="4" t="inlineStr">
        <x:is>
          <x:t xml:space="preserve">北京市</x:t>
        </x:is>
      </x:c>
      <x:c r="F959" s="4" t="inlineStr">
        <x:is>
          <x:t xml:space="preserve">北京市</x:t>
        </x:is>
      </x:c>
      <x:c r="G959" s="5" t="inlineStr">
        <x:is>
          <x:t xml:space="preserve">北京市-北京市</x:t>
        </x:is>
      </x:c>
      <x:c r="H959" s="4" t="inlineStr">
        <x:is>
          <x:t xml:space="preserve">半导体</x:t>
        </x:is>
      </x:c>
      <x:c r="I959" s="4" t="inlineStr">
        <x:is>
          <x:t xml:space="preserve">2025-12-05</x:t>
        </x:is>
      </x:c>
      <x:c r="J959" s="5" t="inlineStr">
        <x:is>
          <x:t xml:space="preserve">北京市海淀区翠微中里14号楼四层B655</x:t>
        </x:is>
      </x:c>
      <x:c r="K959" s="12" t="str">
        <x:f>LEFT("91110108MA01RWUG4Y",18)</x:f>
        <x:v>91110108MA01RWUG4Y</x:v>
      </x:c>
    </x:row>
    <x:row r="960">
      <x:c r="A960" s="2" t="n">
        <x:v>959</x:v>
      </x:c>
      <x:c r="B960" s="2" t="inlineStr">
        <x:is>
          <x:t xml:space="preserve">688796</x:t>
        </x:is>
      </x:c>
      <x:c r="C960" s="3" t="inlineStr">
        <x:is>
          <x:t xml:space="preserve">百奥赛图</x:t>
        </x:is>
      </x:c>
      <x:c r="D960" s="3" t="inlineStr">
        <x:is>
          <x:t xml:space="preserve">百奥赛图(北京)医药科技股份有限公司</x:t>
        </x:is>
      </x:c>
      <x:c r="E960" s="2" t="inlineStr">
        <x:is>
          <x:t xml:space="preserve">北京市</x:t>
        </x:is>
      </x:c>
      <x:c r="F960" s="2" t="inlineStr">
        <x:is>
          <x:t xml:space="preserve">北京市</x:t>
        </x:is>
      </x:c>
      <x:c r="G960" s="3" t="inlineStr">
        <x:is>
          <x:t xml:space="preserve">北京市-北京市</x:t>
        </x:is>
      </x:c>
      <x:c r="H960" s="2" t="inlineStr">
        <x:is>
          <x:t xml:space="preserve">医疗服务</x:t>
        </x:is>
      </x:c>
      <x:c r="I960" s="2" t="inlineStr">
        <x:is>
          <x:t xml:space="preserve">2025-12-10</x:t>
        </x:is>
      </x:c>
      <x:c r="J960" s="3" t="inlineStr">
        <x:is>
          <x:t xml:space="preserve">北京市大兴区中关村科技园区大兴生物医药产业基地宝参南街12号院</x:t>
        </x:is>
      </x:c>
      <x:c r="K960" s="12" t="str">
        <x:f>LEFT("911103026977362790",18)</x:f>
        <x:v>911103026977362800</x:v>
      </x:c>
    </x:row>
    <x:row r="961">
      <x:c r="A961" s="4" t="n">
        <x:v>960</x:v>
      </x:c>
      <x:c r="B961" s="4" t="inlineStr">
        <x:is>
          <x:t xml:space="preserve">000030</x:t>
        </x:is>
      </x:c>
      <x:c r="C961" s="5" t="inlineStr">
        <x:is>
          <x:t xml:space="preserve">富奥股份</x:t>
        </x:is>
      </x:c>
      <x:c r="D961" s="5" t="inlineStr">
        <x:is>
          <x:t xml:space="preserve">富奥汽车零部件股份有限公司</x:t>
        </x:is>
      </x:c>
      <x:c r="E961" s="4" t="inlineStr">
        <x:is>
          <x:t xml:space="preserve">吉林省</x:t>
        </x:is>
      </x:c>
      <x:c r="F961" s="4" t="inlineStr">
        <x:is>
          <x:t xml:space="preserve">长春市</x:t>
        </x:is>
      </x:c>
      <x:c r="G961" s="5" t="inlineStr">
        <x:is>
          <x:t xml:space="preserve">吉林省-长春市</x:t>
        </x:is>
      </x:c>
      <x:c r="H961" s="4" t="inlineStr">
        <x:is>
          <x:t xml:space="preserve">汽车行业</x:t>
        </x:is>
      </x:c>
      <x:c r="I961" s="4" t="inlineStr">
        <x:is>
          <x:t xml:space="preserve">1993-09-29</x:t>
        </x:is>
      </x:c>
      <x:c r="J961" s="5" t="inlineStr">
        <x:is>
          <x:t xml:space="preserve">吉林省长春汽车经济技术开发区东风南街777号</x:t>
        </x:is>
      </x:c>
      <x:c r="K961" s="12" t="str">
        <x:f>LEFT("91220101190325278H",18)</x:f>
        <x:v>91220101190325278H</x:v>
      </x:c>
    </x:row>
    <x:row r="962">
      <x:c r="A962" s="2" t="n">
        <x:v>961</x:v>
      </x:c>
      <x:c r="B962" s="2" t="inlineStr">
        <x:is>
          <x:t xml:space="preserve">000420</x:t>
        </x:is>
      </x:c>
      <x:c r="C962" s="3" t="inlineStr">
        <x:is>
          <x:t xml:space="preserve">吉林化纤</x:t>
        </x:is>
      </x:c>
      <x:c r="D962" s="3" t="inlineStr">
        <x:is>
          <x:t xml:space="preserve">吉林化纤股份有限公司</x:t>
        </x:is>
      </x:c>
      <x:c r="E962" s="2" t="inlineStr">
        <x:is>
          <x:t xml:space="preserve">吉林省</x:t>
        </x:is>
      </x:c>
      <x:c r="F962" s="2" t="inlineStr">
        <x:is>
          <x:t xml:space="preserve">吉林市</x:t>
        </x:is>
      </x:c>
      <x:c r="G962" s="3" t="inlineStr">
        <x:is>
          <x:t xml:space="preserve">吉林省-吉林市</x:t>
        </x:is>
      </x:c>
      <x:c r="H962" s="2" t="inlineStr">
        <x:is>
          <x:t xml:space="preserve">化纤行业</x:t>
        </x:is>
      </x:c>
      <x:c r="I962" s="2" t="inlineStr">
        <x:is>
          <x:t xml:space="preserve">1996-08-02</x:t>
        </x:is>
      </x:c>
      <x:c r="J962" s="3" t="inlineStr">
        <x:is>
          <x:t xml:space="preserve">吉林市经济技术开发区昆仑街216号</x:t>
        </x:is>
      </x:c>
      <x:c r="K962" s="12" t="str">
        <x:f>LEFT("91220201124496079Q",18)</x:f>
        <x:v>91220201124496079Q</x:v>
      </x:c>
    </x:row>
    <x:row r="963">
      <x:c r="A963" s="4" t="n">
        <x:v>962</x:v>
      </x:c>
      <x:c r="B963" s="4" t="inlineStr">
        <x:is>
          <x:t xml:space="preserve">000545</x:t>
        </x:is>
      </x:c>
      <x:c r="C963" s="5" t="inlineStr">
        <x:is>
          <x:t xml:space="preserve">金浦钛业</x:t>
        </x:is>
      </x:c>
      <x:c r="D963" s="5" t="inlineStr">
        <x:is>
          <x:t xml:space="preserve">金浦钛业股份有限公司</x:t>
        </x:is>
      </x:c>
      <x:c r="E963" s="4" t="inlineStr">
        <x:is>
          <x:t xml:space="preserve">吉林省</x:t>
        </x:is>
      </x:c>
      <x:c r="F963" s="4" t="inlineStr">
        <x:is>
          <x:t xml:space="preserve">吉林市</x:t>
        </x:is>
      </x:c>
      <x:c r="G963" s="5" t="inlineStr">
        <x:is>
          <x:t xml:space="preserve">吉林省-吉林市</x:t>
        </x:is>
      </x:c>
      <x:c r="H963" s="4" t="inlineStr">
        <x:is>
          <x:t xml:space="preserve">化学原料</x:t>
        </x:is>
      </x:c>
      <x:c r="I963" s="4" t="inlineStr">
        <x:is>
          <x:t xml:space="preserve">1993-12-15</x:t>
        </x:is>
      </x:c>
      <x:c r="J963" s="5" t="inlineStr">
        <x:is>
          <x:t xml:space="preserve">吉林市吉林经济技术开发区致远街9号保税大厦4楼402-1室</x:t>
        </x:is>
      </x:c>
      <x:c r="K963" s="12" t="str">
        <x:f>LEFT("91220201124501827K",18)</x:f>
        <x:v>91220201124501827K</x:v>
      </x:c>
    </x:row>
    <x:row r="964">
      <x:c r="A964" s="2" t="n">
        <x:v>963</x:v>
      </x:c>
      <x:c r="B964" s="2" t="inlineStr">
        <x:is>
          <x:t xml:space="preserve">000546</x:t>
        </x:is>
      </x:c>
      <x:c r="C964" s="3" t="inlineStr">
        <x:is>
          <x:t xml:space="preserve">金圆股份</x:t>
        </x:is>
      </x:c>
      <x:c r="D964" s="3" t="inlineStr">
        <x:is>
          <x:t xml:space="preserve">金圆环保股份有限公司</x:t>
        </x:is>
      </x:c>
      <x:c r="E964" s="2" t="inlineStr">
        <x:is>
          <x:t xml:space="preserve">吉林省</x:t>
        </x:is>
      </x:c>
      <x:c r="F964" s="2" t="inlineStr">
        <x:is>
          <x:t xml:space="preserve">长春市</x:t>
        </x:is>
      </x:c>
      <x:c r="G964" s="3" t="inlineStr">
        <x:is>
          <x:t xml:space="preserve">吉林省-长春市</x:t>
        </x:is>
      </x:c>
      <x:c r="H964" s="2" t="inlineStr">
        <x:is>
          <x:t xml:space="preserve">环保行业</x:t>
        </x:is>
      </x:c>
      <x:c r="I964" s="2" t="inlineStr">
        <x:is>
          <x:t xml:space="preserve">1993-12-15</x:t>
        </x:is>
      </x:c>
      <x:c r="J964" s="3" t="inlineStr">
        <x:is>
          <x:t xml:space="preserve">长春市净月区生态西街与丙四十五路交汇吉林省金融大厦商业综合体四期5A#综合楼801号</x:t>
        </x:is>
      </x:c>
      <x:c r="K964" s="12" t="str">
        <x:f>LEFT("91220000123938867W",18)</x:f>
        <x:v>91220000123938867W</x:v>
      </x:c>
    </x:row>
    <x:row r="965">
      <x:c r="A965" s="4" t="n">
        <x:v>964</x:v>
      </x:c>
      <x:c r="B965" s="4" t="inlineStr">
        <x:is>
          <x:t xml:space="preserve">000623</x:t>
        </x:is>
      </x:c>
      <x:c r="C965" s="5" t="inlineStr">
        <x:is>
          <x:t xml:space="preserve">吉林敖东</x:t>
        </x:is>
      </x:c>
      <x:c r="D965" s="5" t="inlineStr">
        <x:is>
          <x:t xml:space="preserve">吉林敖东药业集团股份有限公司</x:t>
        </x:is>
      </x:c>
      <x:c r="E965" s="4" t="inlineStr">
        <x:is>
          <x:t xml:space="preserve">吉林省</x:t>
        </x:is>
      </x:c>
      <x:c r="F965" s="4" t="inlineStr">
        <x:is>
          <x:t xml:space="preserve">吉林市</x:t>
        </x:is>
      </x:c>
      <x:c r="G965" s="5" t="inlineStr">
        <x:is>
          <x:t xml:space="preserve">吉林省-吉林市</x:t>
        </x:is>
      </x:c>
      <x:c r="H965" s="4" t="inlineStr">
        <x:is>
          <x:t xml:space="preserve">医药制造</x:t>
        </x:is>
      </x:c>
      <x:c r="I965" s="4" t="inlineStr">
        <x:is>
          <x:t xml:space="preserve">1996-10-28</x:t>
        </x:is>
      </x:c>
      <x:c r="J965" s="5" t="inlineStr">
        <x:is>
          <x:t xml:space="preserve">吉林省敦化市敖东大街2158号</x:t>
        </x:is>
      </x:c>
      <x:c r="K965" s="12" t="str">
        <x:f>LEFT("91222400243805786K",18)</x:f>
        <x:v>91222400243805786K</x:v>
      </x:c>
    </x:row>
    <x:row r="966">
      <x:c r="A966" s="2" t="n">
        <x:v>965</x:v>
      </x:c>
      <x:c r="B966" s="2" t="inlineStr">
        <x:is>
          <x:t xml:space="preserve">000638</x:t>
        </x:is>
      </x:c>
      <x:c r="C966" s="3" t="inlineStr">
        <x:is>
          <x:t xml:space="preserve">万方发展</x:t>
        </x:is>
      </x:c>
      <x:c r="D966" s="3" t="inlineStr">
        <x:is>
          <x:t xml:space="preserve">万方城镇投资发展股份有限公司</x:t>
        </x:is>
      </x:c>
      <x:c r="E966" s="2" t="inlineStr">
        <x:is>
          <x:t xml:space="preserve">吉林省</x:t>
        </x:is>
      </x:c>
      <x:c r="F966" s="2" t="inlineStr">
        <x:is>
          <x:t xml:space="preserve">吉林市</x:t>
        </x:is>
      </x:c>
      <x:c r="G966" s="3" t="inlineStr">
        <x:is>
          <x:t xml:space="preserve">吉林省-吉林市</x:t>
        </x:is>
      </x:c>
      <x:c r="H966" s="2" t="inlineStr">
        <x:is>
          <x:t xml:space="preserve">农牧饲渔</x:t>
        </x:is>
      </x:c>
      <x:c r="I966" s="2" t="inlineStr">
        <x:is>
          <x:t xml:space="preserve">1996-11-26</x:t>
        </x:is>
      </x:c>
      <x:c r="J966" s="3" t="inlineStr">
        <x:is>
          <x:t xml:space="preserve">吉林省白山市江源区江源大街30号</x:t>
        </x:is>
      </x:c>
      <x:c r="K966" s="12" t="str">
        <x:f>LEFT("91210000242666665H",18)</x:f>
        <x:v>91210000242666665H</x:v>
      </x:c>
    </x:row>
    <x:row r="967">
      <x:c r="A967" s="4" t="n">
        <x:v>966</x:v>
      </x:c>
      <x:c r="B967" s="4" t="inlineStr">
        <x:is>
          <x:t xml:space="preserve">000661</x:t>
        </x:is>
      </x:c>
      <x:c r="C967" s="5" t="inlineStr">
        <x:is>
          <x:t xml:space="preserve">长春高新</x:t>
        </x:is>
      </x:c>
      <x:c r="D967" s="5" t="inlineStr">
        <x:is>
          <x:t xml:space="preserve">长春高新技术产业(集团)股份有限公司</x:t>
        </x:is>
      </x:c>
      <x:c r="E967" s="4" t="inlineStr">
        <x:is>
          <x:t xml:space="preserve">吉林省</x:t>
        </x:is>
      </x:c>
      <x:c r="F967" s="4" t="inlineStr">
        <x:is>
          <x:t xml:space="preserve">长春市</x:t>
        </x:is>
      </x:c>
      <x:c r="G967" s="5" t="inlineStr">
        <x:is>
          <x:t xml:space="preserve">吉林省-长春市</x:t>
        </x:is>
      </x:c>
      <x:c r="H967" s="4" t="inlineStr">
        <x:is>
          <x:t xml:space="preserve">生物制品</x:t>
        </x:is>
      </x:c>
      <x:c r="I967" s="4" t="inlineStr">
        <x:is>
          <x:t xml:space="preserve">1996-12-18</x:t>
        </x:is>
      </x:c>
      <x:c r="J967" s="5" t="inlineStr">
        <x:is>
          <x:t xml:space="preserve">长春市高新区海容酒店及海茵广场写字楼B座2708室</x:t>
        </x:is>
      </x:c>
      <x:c r="K967" s="12" t="str">
        <x:f>LEFT("91220101243899305A",18)</x:f>
        <x:v>91220101243899305A</x:v>
      </x:c>
    </x:row>
    <x:row r="968">
      <x:c r="A968" s="2" t="n">
        <x:v>967</x:v>
      </x:c>
      <x:c r="B968" s="2" t="inlineStr">
        <x:is>
          <x:t xml:space="preserve">000686</x:t>
        </x:is>
      </x:c>
      <x:c r="C968" s="3" t="inlineStr">
        <x:is>
          <x:t xml:space="preserve">东北证券</x:t>
        </x:is>
      </x:c>
      <x:c r="D968" s="3" t="inlineStr">
        <x:is>
          <x:t xml:space="preserve">东北证券股份有限公司</x:t>
        </x:is>
      </x:c>
      <x:c r="E968" s="2" t="inlineStr">
        <x:is>
          <x:t xml:space="preserve">吉林省</x:t>
        </x:is>
      </x:c>
      <x:c r="F968" s="2" t="inlineStr">
        <x:is>
          <x:t xml:space="preserve">长春市</x:t>
        </x:is>
      </x:c>
      <x:c r="G968" s="3" t="inlineStr">
        <x:is>
          <x:t xml:space="preserve">吉林省-长春市</x:t>
        </x:is>
      </x:c>
      <x:c r="H968" s="2" t="inlineStr">
        <x:is>
          <x:t xml:space="preserve">券商信托</x:t>
        </x:is>
      </x:c>
      <x:c r="I968" s="2" t="inlineStr">
        <x:is>
          <x:t xml:space="preserve">1997-02-27</x:t>
        </x:is>
      </x:c>
      <x:c r="J968" s="3" t="inlineStr">
        <x:is>
          <x:t xml:space="preserve">吉林省长春市生态大街6666号</x:t>
        </x:is>
      </x:c>
      <x:c r="K968" s="12" t="str">
        <x:f>LEFT("91220000664275090B",18)</x:f>
        <x:v>91220000664275090B</x:v>
      </x:c>
    </x:row>
    <x:row r="969">
      <x:c r="A969" s="4" t="n">
        <x:v>968</x:v>
      </x:c>
      <x:c r="B969" s="4" t="inlineStr">
        <x:is>
          <x:t xml:space="preserve">000718</x:t>
        </x:is>
      </x:c>
      <x:c r="C969" s="5" t="inlineStr">
        <x:is>
          <x:t xml:space="preserve">苏宁环球</x:t>
        </x:is>
      </x:c>
      <x:c r="D969" s="5" t="inlineStr">
        <x:is>
          <x:t xml:space="preserve">苏宁环球股份有限公司</x:t>
        </x:is>
      </x:c>
      <x:c r="E969" s="4" t="inlineStr">
        <x:is>
          <x:t xml:space="preserve">吉林省</x:t>
        </x:is>
      </x:c>
      <x:c r="F969" s="4" t="inlineStr">
        <x:is>
          <x:t xml:space="preserve">吉林市</x:t>
        </x:is>
      </x:c>
      <x:c r="G969" s="5" t="inlineStr">
        <x:is>
          <x:t xml:space="preserve">吉林省-吉林市</x:t>
        </x:is>
      </x:c>
      <x:c r="H969" s="4" t="inlineStr">
        <x:is>
          <x:t xml:space="preserve">房地产</x:t>
        </x:is>
      </x:c>
      <x:c r="I969" s="4" t="inlineStr">
        <x:is>
          <x:t xml:space="preserve">1997-04-08</x:t>
        </x:is>
      </x:c>
      <x:c r="J969" s="5" t="inlineStr">
        <x:is>
          <x:t xml:space="preserve">吉林省吉林经济技术开发区九站街718号</x:t>
        </x:is>
      </x:c>
      <x:c r="K969" s="12" t="str">
        <x:f>LEFT("91220000124482910C",18)</x:f>
        <x:v>91220000124482910C</x:v>
      </x:c>
    </x:row>
    <x:row r="970">
      <x:c r="A970" s="2" t="n">
        <x:v>969</x:v>
      </x:c>
      <x:c r="B970" s="2" t="inlineStr">
        <x:is>
          <x:t xml:space="preserve">000766</x:t>
        </x:is>
      </x:c>
      <x:c r="C970" s="3" t="inlineStr">
        <x:is>
          <x:t xml:space="preserve">通化金马</x:t>
        </x:is>
      </x:c>
      <x:c r="D970" s="3" t="inlineStr">
        <x:is>
          <x:t xml:space="preserve">通化金马药业集团股份有限公司</x:t>
        </x:is>
      </x:c>
      <x:c r="E970" s="2" t="inlineStr">
        <x:is>
          <x:t xml:space="preserve">吉林省</x:t>
        </x:is>
      </x:c>
      <x:c r="F970" s="2" t="inlineStr">
        <x:is>
          <x:t xml:space="preserve">吉林市</x:t>
        </x:is>
      </x:c>
      <x:c r="G970" s="3" t="inlineStr">
        <x:is>
          <x:t xml:space="preserve">吉林省-吉林市</x:t>
        </x:is>
      </x:c>
      <x:c r="H970" s="2" t="inlineStr">
        <x:is>
          <x:t xml:space="preserve">医药制造</x:t>
        </x:is>
      </x:c>
      <x:c r="I970" s="2" t="inlineStr">
        <x:is>
          <x:t xml:space="preserve">1997-04-30</x:t>
        </x:is>
      </x:c>
      <x:c r="J970" s="3" t="inlineStr">
        <x:is>
          <x:t xml:space="preserve">吉林省通化市二道江区金马路999号</x:t>
        </x:is>
      </x:c>
      <x:c r="K970" s="12" t="str">
        <x:f>LEFT("91220501244575134M",18)</x:f>
        <x:v>91220501244575134M</x:v>
      </x:c>
    </x:row>
    <x:row r="971">
      <x:c r="A971" s="4" t="n">
        <x:v>970</x:v>
      </x:c>
      <x:c r="B971" s="4" t="inlineStr">
        <x:is>
          <x:t xml:space="preserve">000800</x:t>
        </x:is>
      </x:c>
      <x:c r="C971" s="5" t="inlineStr">
        <x:is>
          <x:t xml:space="preserve">一汽解放</x:t>
        </x:is>
      </x:c>
      <x:c r="D971" s="5" t="inlineStr">
        <x:is>
          <x:t xml:space="preserve">一汽解放集团股份有限公司</x:t>
        </x:is>
      </x:c>
      <x:c r="E971" s="4" t="inlineStr">
        <x:is>
          <x:t xml:space="preserve">吉林省</x:t>
        </x:is>
      </x:c>
      <x:c r="F971" s="4" t="inlineStr">
        <x:is>
          <x:t xml:space="preserve">长春市</x:t>
        </x:is>
      </x:c>
      <x:c r="G971" s="5" t="inlineStr">
        <x:is>
          <x:t xml:space="preserve">吉林省-长春市</x:t>
        </x:is>
      </x:c>
      <x:c r="H971" s="4" t="inlineStr">
        <x:is>
          <x:t xml:space="preserve">汽车整车</x:t>
        </x:is>
      </x:c>
      <x:c r="I971" s="4" t="inlineStr">
        <x:is>
          <x:t xml:space="preserve">1997-06-18</x:t>
        </x:is>
      </x:c>
      <x:c r="J971" s="5" t="inlineStr">
        <x:is>
          <x:t xml:space="preserve">吉林省长春市汽车开发区东风大街2259号</x:t>
        </x:is>
      </x:c>
      <x:c r="K971" s="12" t="str">
        <x:f>LEFT("91220101244976413E",18)</x:f>
        <x:v>91220101244976413E</x:v>
      </x:c>
    </x:row>
    <x:row r="972">
      <x:c r="A972" s="2" t="n">
        <x:v>971</x:v>
      </x:c>
      <x:c r="B972" s="2" t="inlineStr">
        <x:is>
          <x:t xml:space="preserve">000875</x:t>
        </x:is>
      </x:c>
      <x:c r="C972" s="3" t="inlineStr">
        <x:is>
          <x:t xml:space="preserve">吉电股份</x:t>
        </x:is>
      </x:c>
      <x:c r="D972" s="3" t="inlineStr">
        <x:is>
          <x:t xml:space="preserve">吉林电力股份有限公司</x:t>
        </x:is>
      </x:c>
      <x:c r="E972" s="2" t="inlineStr">
        <x:is>
          <x:t xml:space="preserve">吉林省</x:t>
        </x:is>
      </x:c>
      <x:c r="F972" s="2" t="inlineStr">
        <x:is>
          <x:t xml:space="preserve">长春市</x:t>
        </x:is>
      </x:c>
      <x:c r="G972" s="3" t="inlineStr">
        <x:is>
          <x:t xml:space="preserve">吉林省-长春市</x:t>
        </x:is>
      </x:c>
      <x:c r="H972" s="2" t="inlineStr">
        <x:is>
          <x:t xml:space="preserve">电力行业</x:t>
        </x:is>
      </x:c>
      <x:c r="I972" s="2" t="inlineStr">
        <x:is>
          <x:t xml:space="preserve">2002-09-26</x:t>
        </x:is>
      </x:c>
      <x:c r="J972" s="3" t="inlineStr">
        <x:is>
          <x:t xml:space="preserve">吉林省长春市人民大街9699号</x:t>
        </x:is>
      </x:c>
      <x:c r="K972" s="12" t="str">
        <x:f>LEFT("91220000123962584G",18)</x:f>
        <x:v>91220000123962584G</x:v>
      </x:c>
    </x:row>
    <x:row r="973">
      <x:c r="A973" s="4" t="n">
        <x:v>972</x:v>
      </x:c>
      <x:c r="B973" s="4" t="inlineStr">
        <x:is>
          <x:t xml:space="preserve">000928</x:t>
        </x:is>
      </x:c>
      <x:c r="C973" s="5" t="inlineStr">
        <x:is>
          <x:t xml:space="preserve">中钢国际</x:t>
        </x:is>
      </x:c>
      <x:c r="D973" s="5" t="inlineStr">
        <x:is>
          <x:t xml:space="preserve">中钢国际工程技术股份有限公司</x:t>
        </x:is>
      </x:c>
      <x:c r="E973" s="4" t="inlineStr">
        <x:is>
          <x:t xml:space="preserve">吉林省</x:t>
        </x:is>
      </x:c>
      <x:c r="F973" s="4" t="inlineStr">
        <x:is>
          <x:t xml:space="preserve">吉林市</x:t>
        </x:is>
      </x:c>
      <x:c r="G973" s="5" t="inlineStr">
        <x:is>
          <x:t xml:space="preserve">吉林省-吉林市</x:t>
        </x:is>
      </x:c>
      <x:c r="H973" s="4" t="inlineStr">
        <x:is>
          <x:t xml:space="preserve">工程咨询服务</x:t>
        </x:is>
      </x:c>
      <x:c r="I973" s="4" t="inlineStr">
        <x:is>
          <x:t xml:space="preserve">1999-03-12</x:t>
        </x:is>
      </x:c>
      <x:c r="J973" s="5" t="inlineStr">
        <x:is>
          <x:t xml:space="preserve">吉林省吉林市昌邑区江湾路2号10楼1002、1003</x:t>
        </x:is>
      </x:c>
      <x:c r="K973" s="12" t="str">
        <x:f>LEFT("91220201124539630L",18)</x:f>
        <x:v>91220201124539630L</x:v>
      </x:c>
    </x:row>
    <x:row r="974">
      <x:c r="A974" s="2" t="n">
        <x:v>973</x:v>
      </x:c>
      <x:c r="B974" s="2" t="inlineStr">
        <x:is>
          <x:t xml:space="preserve">001395</x:t>
        </x:is>
      </x:c>
      <x:c r="C974" s="3" t="inlineStr">
        <x:is>
          <x:t xml:space="preserve">亚联机械</x:t>
        </x:is>
      </x:c>
      <x:c r="D974" s="3" t="inlineStr">
        <x:is>
          <x:t xml:space="preserve">亚联机械股份有限公司</x:t>
        </x:is>
      </x:c>
      <x:c r="E974" s="2" t="inlineStr">
        <x:is>
          <x:t xml:space="preserve">吉林省</x:t>
        </x:is>
      </x:c>
      <x:c r="F974" s="2" t="inlineStr">
        <x:is>
          <x:t xml:space="preserve">延边朝鲜族自治州</x:t>
        </x:is>
      </x:c>
      <x:c r="G974" s="3" t="inlineStr">
        <x:is>
          <x:t xml:space="preserve">吉林省-延边朝鲜族自治州</x:t>
        </x:is>
      </x:c>
      <x:c r="H974" s="2" t="inlineStr">
        <x:is>
          <x:t xml:space="preserve">专用设备</x:t>
        </x:is>
      </x:c>
      <x:c r="I974" s="2" t="inlineStr">
        <x:is>
          <x:t xml:space="preserve">2025-01-27</x:t>
        </x:is>
      </x:c>
      <x:c r="J974" s="3" t="inlineStr">
        <x:is>
          <x:t xml:space="preserve">敦化经济开发区下石工业园区(亚联机械院内)</x:t>
        </x:is>
      </x:c>
      <x:c r="K974" s="12" t="str">
        <x:f>LEFT("912224037742347248",18)</x:f>
        <x:v>912224037742347300</x:v>
      </x:c>
    </x:row>
    <x:row r="975">
      <x:c r="A975" s="4" t="n">
        <x:v>974</x:v>
      </x:c>
      <x:c r="B975" s="4" t="inlineStr">
        <x:is>
          <x:t xml:space="preserve">002232</x:t>
        </x:is>
      </x:c>
      <x:c r="C975" s="5" t="inlineStr">
        <x:is>
          <x:t xml:space="preserve">启明信息</x:t>
        </x:is>
      </x:c>
      <x:c r="D975" s="5" t="inlineStr">
        <x:is>
          <x:t xml:space="preserve">启明信息技术股份有限公司</x:t>
        </x:is>
      </x:c>
      <x:c r="E975" s="4" t="inlineStr">
        <x:is>
          <x:t xml:space="preserve">吉林省</x:t>
        </x:is>
      </x:c>
      <x:c r="F975" s="4" t="inlineStr">
        <x:is>
          <x:t xml:space="preserve">长春市</x:t>
        </x:is>
      </x:c>
      <x:c r="G975" s="5" t="inlineStr">
        <x:is>
          <x:t xml:space="preserve">吉林省-长春市</x:t>
        </x:is>
      </x:c>
      <x:c r="H975" s="4" t="inlineStr">
        <x:is>
          <x:t xml:space="preserve">互联网服务</x:t>
        </x:is>
      </x:c>
      <x:c r="I975" s="4" t="inlineStr">
        <x:is>
          <x:t xml:space="preserve">2008-05-09</x:t>
        </x:is>
      </x:c>
      <x:c r="J975" s="5" t="inlineStr">
        <x:is>
          <x:t xml:space="preserve">长春净月高新技术产业开发区百合街1009号</x:t>
        </x:is>
      </x:c>
      <x:c r="K975" s="12" t="str">
        <x:f>LEFT("912200007231957532",18)</x:f>
        <x:v>912200007231957500</x:v>
      </x:c>
    </x:row>
    <x:row r="976">
      <x:c r="A976" s="2" t="n">
        <x:v>975</x:v>
      </x:c>
      <x:c r="B976" s="2" t="inlineStr">
        <x:is>
          <x:t xml:space="preserve">002316</x:t>
        </x:is>
      </x:c>
      <x:c r="C976" s="3" t="inlineStr">
        <x:is>
          <x:t xml:space="preserve">ST亚联</x:t>
        </x:is>
      </x:c>
      <x:c r="D976" s="3" t="inlineStr">
        <x:is>
          <x:t xml:space="preserve">吉林亚联发展科技股份有限公司</x:t>
        </x:is>
      </x:c>
      <x:c r="E976" s="2" t="inlineStr">
        <x:is>
          <x:t xml:space="preserve">吉林省</x:t>
        </x:is>
      </x:c>
      <x:c r="F976" s="2" t="inlineStr">
        <x:is>
          <x:t xml:space="preserve">吉林市</x:t>
        </x:is>
      </x:c>
      <x:c r="G976" s="3" t="inlineStr">
        <x:is>
          <x:t xml:space="preserve">吉林省-吉林市</x:t>
        </x:is>
      </x:c>
      <x:c r="H976" s="2" t="inlineStr">
        <x:is>
          <x:t xml:space="preserve">电子信息</x:t>
        </x:is>
      </x:c>
      <x:c r="I976" s="2" t="inlineStr">
        <x:is>
          <x:t xml:space="preserve">2009-12-09</x:t>
        </x:is>
      </x:c>
      <x:c r="J976" s="3" t="inlineStr">
        <x:is>
          <x:t xml:space="preserve">吉林省辽源市经济开发区惠锦街111号总部经济大厦3楼301</x:t>
        </x:is>
      </x:c>
      <x:c r="K976" s="12" t="str">
        <x:f>LEFT("91440300708474420M",18)</x:f>
        <x:v>91440300708474420M</x:v>
      </x:c>
    </x:row>
    <x:row r="977">
      <x:c r="A977" s="4" t="n">
        <x:v>976</x:v>
      </x:c>
      <x:c r="B977" s="4" t="inlineStr">
        <x:is>
          <x:t xml:space="preserve">002338</x:t>
        </x:is>
      </x:c>
      <x:c r="C977" s="5" t="inlineStr">
        <x:is>
          <x:t xml:space="preserve">奥普光电</x:t>
        </x:is>
      </x:c>
      <x:c r="D977" s="5" t="inlineStr">
        <x:is>
          <x:t xml:space="preserve">长春奥普光电技术股份有限公司</x:t>
        </x:is>
      </x:c>
      <x:c r="E977" s="4" t="inlineStr">
        <x:is>
          <x:t xml:space="preserve">吉林省</x:t>
        </x:is>
      </x:c>
      <x:c r="F977" s="4" t="inlineStr">
        <x:is>
          <x:t xml:space="preserve">长春市</x:t>
        </x:is>
      </x:c>
      <x:c r="G977" s="5" t="inlineStr">
        <x:is>
          <x:t xml:space="preserve">吉林省-长春市</x:t>
        </x:is>
      </x:c>
      <x:c r="H977" s="4" t="inlineStr">
        <x:is>
          <x:t xml:space="preserve">仪器仪表</x:t>
        </x:is>
      </x:c>
      <x:c r="I977" s="4" t="inlineStr">
        <x:is>
          <x:t xml:space="preserve">2010-01-15</x:t>
        </x:is>
      </x:c>
      <x:c r="J977" s="5" t="inlineStr">
        <x:is>
          <x:t xml:space="preserve">吉林省长春市经济技术开发区营口路588号</x:t>
        </x:is>
      </x:c>
      <x:c r="K977" s="12" t="str">
        <x:f>LEFT("91220000729540909F",18)</x:f>
        <x:v>91220000729540909F</x:v>
      </x:c>
    </x:row>
    <x:row r="978">
      <x:c r="A978" s="2" t="n">
        <x:v>977</x:v>
      </x:c>
      <x:c r="B978" s="2" t="inlineStr">
        <x:is>
          <x:t xml:space="preserve">002501</x:t>
        </x:is>
      </x:c>
      <x:c r="C978" s="3" t="inlineStr">
        <x:is>
          <x:t xml:space="preserve">利源股份</x:t>
        </x:is>
      </x:c>
      <x:c r="D978" s="3" t="inlineStr">
        <x:is>
          <x:t xml:space="preserve">吉林利源精制股份有限公司</x:t>
        </x:is>
      </x:c>
      <x:c r="E978" s="2" t="inlineStr">
        <x:is>
          <x:t xml:space="preserve">吉林省</x:t>
        </x:is>
      </x:c>
      <x:c r="F978" s="2" t="inlineStr">
        <x:is>
          <x:t xml:space="preserve">吉林市</x:t>
        </x:is>
      </x:c>
      <x:c r="G978" s="3" t="inlineStr">
        <x:is>
          <x:t xml:space="preserve">吉林省-吉林市</x:t>
        </x:is>
      </x:c>
      <x:c r="H978" s="2" t="inlineStr">
        <x:is>
          <x:t xml:space="preserve">有色金属</x:t>
        </x:is>
      </x:c>
      <x:c r="I978" s="2" t="inlineStr">
        <x:is>
          <x:t xml:space="preserve">2010-11-17</x:t>
        </x:is>
      </x:c>
      <x:c r="J978" s="3" t="inlineStr">
        <x:is>
          <x:t xml:space="preserve">吉林省辽源市龙山区西宁大路5729号</x:t>
        </x:is>
      </x:c>
      <x:c r="K978" s="12" t="str">
        <x:f>LEFT("912204007325471408",18)</x:f>
        <x:v>912204007325471400</x:v>
      </x:c>
    </x:row>
    <x:row r="979">
      <x:c r="A979" s="4" t="n">
        <x:v>978</x:v>
      </x:c>
      <x:c r="B979" s="4" t="inlineStr">
        <x:is>
          <x:t xml:space="preserve">002566</x:t>
        </x:is>
      </x:c>
      <x:c r="C979" s="5" t="inlineStr">
        <x:is>
          <x:t xml:space="preserve">益盛药业</x:t>
        </x:is>
      </x:c>
      <x:c r="D979" s="5" t="inlineStr">
        <x:is>
          <x:t xml:space="preserve">吉林省集安益盛药业股份有限公司</x:t>
        </x:is>
      </x:c>
      <x:c r="E979" s="4" t="inlineStr">
        <x:is>
          <x:t xml:space="preserve">吉林省</x:t>
        </x:is>
      </x:c>
      <x:c r="F979" s="4" t="inlineStr">
        <x:is>
          <x:t xml:space="preserve">吉林市</x:t>
        </x:is>
      </x:c>
      <x:c r="G979" s="5" t="inlineStr">
        <x:is>
          <x:t xml:space="preserve">吉林省-吉林市</x:t>
        </x:is>
      </x:c>
      <x:c r="H979" s="4" t="inlineStr">
        <x:is>
          <x:t xml:space="preserve">中药</x:t>
        </x:is>
      </x:c>
      <x:c r="I979" s="4" t="inlineStr">
        <x:is>
          <x:t xml:space="preserve">2011-03-18</x:t>
        </x:is>
      </x:c>
      <x:c r="J979" s="5" t="inlineStr">
        <x:is>
          <x:t xml:space="preserve">吉林省集安市文化东路17-20号</x:t>
        </x:is>
      </x:c>
      <x:c r="K979" s="12" t="str">
        <x:f>LEFT("91220501126870028U",18)</x:f>
        <x:v>91220501126870028U</x:v>
      </x:c>
    </x:row>
    <x:row r="980">
      <x:c r="A980" s="2" t="n">
        <x:v>979</x:v>
      </x:c>
      <x:c r="B980" s="2" t="inlineStr">
        <x:is>
          <x:t xml:space="preserve">002622</x:t>
        </x:is>
      </x:c>
      <x:c r="C980" s="3" t="inlineStr">
        <x:is>
          <x:t xml:space="preserve">皓宸医疗</x:t>
        </x:is>
      </x:c>
      <x:c r="D980" s="3" t="inlineStr">
        <x:is>
          <x:t xml:space="preserve">皓宸医疗科技股份有限公司</x:t>
        </x:is>
      </x:c>
      <x:c r="E980" s="2" t="inlineStr">
        <x:is>
          <x:t xml:space="preserve">吉林省</x:t>
        </x:is>
      </x:c>
      <x:c r="F980" s="2" t="inlineStr">
        <x:is>
          <x:t xml:space="preserve">吉林市</x:t>
        </x:is>
      </x:c>
      <x:c r="G980" s="3" t="inlineStr">
        <x:is>
          <x:t xml:space="preserve">吉林省-吉林市</x:t>
        </x:is>
      </x:c>
      <x:c r="H980" s="2" t="inlineStr">
        <x:is>
          <x:t xml:space="preserve">医疗服务</x:t>
        </x:is>
      </x:c>
      <x:c r="I980" s="2" t="inlineStr">
        <x:is>
          <x:t xml:space="preserve">2011-10-18</x:t>
        </x:is>
      </x:c>
      <x:c r="J980" s="3" t="inlineStr">
        <x:is>
          <x:t xml:space="preserve">吉林省吉林市船营区迎宾大路98号</x:t>
        </x:is>
      </x:c>
      <x:c r="K980" s="12" t="str">
        <x:f>LEFT("912202016051690282",18)</x:f>
        <x:v>912202016051690200</x:v>
      </x:c>
    </x:row>
    <x:row r="981">
      <x:c r="A981" s="4" t="n">
        <x:v>980</x:v>
      </x:c>
      <x:c r="B981" s="4" t="inlineStr">
        <x:is>
          <x:t xml:space="preserve">003029</x:t>
        </x:is>
      </x:c>
      <x:c r="C981" s="5" t="inlineStr">
        <x:is>
          <x:t xml:space="preserve">吉大正元</x:t>
        </x:is>
      </x:c>
      <x:c r="D981" s="5" t="inlineStr">
        <x:is>
          <x:t xml:space="preserve">长春吉大正元信息技术股份有限公司</x:t>
        </x:is>
      </x:c>
      <x:c r="E981" s="4" t="inlineStr">
        <x:is>
          <x:t xml:space="preserve">吉林省</x:t>
        </x:is>
      </x:c>
      <x:c r="F981" s="4" t="inlineStr">
        <x:is>
          <x:t xml:space="preserve">长春市</x:t>
        </x:is>
      </x:c>
      <x:c r="G981" s="5" t="inlineStr">
        <x:is>
          <x:t xml:space="preserve">吉林省-长春市</x:t>
        </x:is>
      </x:c>
      <x:c r="H981" s="4" t="inlineStr">
        <x:is>
          <x:t xml:space="preserve">软件服务</x:t>
        </x:is>
      </x:c>
      <x:c r="I981" s="4" t="inlineStr">
        <x:is>
          <x:t xml:space="preserve">2020-12-24</x:t>
        </x:is>
      </x:c>
      <x:c r="J981" s="5" t="inlineStr">
        <x:is>
          <x:t xml:space="preserve">中国吉林省长春市高新区光谷大街1300号19层-22层</x:t>
        </x:is>
      </x:c>
      <x:c r="K981" s="12" t="str">
        <x:f>LEFT("91220000702580185D",18)</x:f>
        <x:v>91220000702580185D</x:v>
      </x:c>
    </x:row>
    <x:row r="982">
      <x:c r="A982" s="2" t="n">
        <x:v>981</x:v>
      </x:c>
      <x:c r="B982" s="2" t="inlineStr">
        <x:is>
          <x:t xml:space="preserve">300396</x:t>
        </x:is>
      </x:c>
      <x:c r="C982" s="3" t="inlineStr">
        <x:is>
          <x:t xml:space="preserve">迪瑞医疗</x:t>
        </x:is>
      </x:c>
      <x:c r="D982" s="3" t="inlineStr">
        <x:is>
          <x:t xml:space="preserve">迪瑞医疗科技股份有限公司</x:t>
        </x:is>
      </x:c>
      <x:c r="E982" s="2" t="inlineStr">
        <x:is>
          <x:t xml:space="preserve">吉林省</x:t>
        </x:is>
      </x:c>
      <x:c r="F982" s="2" t="inlineStr">
        <x:is>
          <x:t xml:space="preserve">长春市</x:t>
        </x:is>
      </x:c>
      <x:c r="G982" s="3" t="inlineStr">
        <x:is>
          <x:t xml:space="preserve">吉林省-长春市</x:t>
        </x:is>
      </x:c>
      <x:c r="H982" s="2" t="inlineStr">
        <x:is>
          <x:t xml:space="preserve">医疗器械</x:t>
        </x:is>
      </x:c>
      <x:c r="I982" s="2" t="inlineStr">
        <x:is>
          <x:t xml:space="preserve">2014-09-10</x:t>
        </x:is>
      </x:c>
      <x:c r="J982" s="3" t="inlineStr">
        <x:is>
          <x:t xml:space="preserve">长春市高新技术产业开发区云河街95号</x:t>
        </x:is>
      </x:c>
      <x:c r="K982" s="12" t="str">
        <x:f>LEFT("91220101605902656F",18)</x:f>
        <x:v>91220101605902656F</x:v>
      </x:c>
    </x:row>
    <x:row r="983">
      <x:c r="A983" s="4" t="n">
        <x:v>982</x:v>
      </x:c>
      <x:c r="B983" s="4" t="inlineStr">
        <x:is>
          <x:t xml:space="preserve">300510</x:t>
        </x:is>
      </x:c>
      <x:c r="C983" s="5" t="inlineStr">
        <x:is>
          <x:t xml:space="preserve">金冠股份</x:t>
        </x:is>
      </x:c>
      <x:c r="D983" s="5" t="inlineStr">
        <x:is>
          <x:t xml:space="preserve">吉林省金冠电气股份有限公司</x:t>
        </x:is>
      </x:c>
      <x:c r="E983" s="4" t="inlineStr">
        <x:is>
          <x:t xml:space="preserve">吉林省</x:t>
        </x:is>
      </x:c>
      <x:c r="F983" s="4" t="inlineStr">
        <x:is>
          <x:t xml:space="preserve">长春市</x:t>
        </x:is>
      </x:c>
      <x:c r="G983" s="5" t="inlineStr">
        <x:is>
          <x:t xml:space="preserve">吉林省-长春市</x:t>
        </x:is>
      </x:c>
      <x:c r="H983" s="4" t="inlineStr">
        <x:is>
          <x:t xml:space="preserve">输配电气</x:t>
        </x:is>
      </x:c>
      <x:c r="I983" s="4" t="inlineStr">
        <x:is>
          <x:t xml:space="preserve">2016-05-06</x:t>
        </x:is>
      </x:c>
      <x:c r="J983" s="5" t="inlineStr">
        <x:is>
          <x:t xml:space="preserve">吉林省长春市双阳经济开发区延寿路4号</x:t>
        </x:is>
      </x:c>
      <x:c r="K983" s="12" t="str">
        <x:f>LEFT("912200007911418611",18)</x:f>
        <x:v>912200007911418600</x:v>
      </x:c>
    </x:row>
    <x:row r="984">
      <x:c r="A984" s="2" t="n">
        <x:v>983</x:v>
      </x:c>
      <x:c r="B984" s="2" t="inlineStr">
        <x:is>
          <x:t xml:space="preserve">300597</x:t>
        </x:is>
      </x:c>
      <x:c r="C984" s="3" t="inlineStr">
        <x:is>
          <x:t xml:space="preserve">吉大通信</x:t>
        </x:is>
      </x:c>
      <x:c r="D984" s="3" t="inlineStr">
        <x:is>
          <x:t xml:space="preserve">吉林吉大通信设计院股份有限公司</x:t>
        </x:is>
      </x:c>
      <x:c r="E984" s="2" t="inlineStr">
        <x:is>
          <x:t xml:space="preserve">吉林省</x:t>
        </x:is>
      </x:c>
      <x:c r="F984" s="2" t="inlineStr">
        <x:is>
          <x:t xml:space="preserve">长春市</x:t>
        </x:is>
      </x:c>
      <x:c r="G984" s="3" t="inlineStr">
        <x:is>
          <x:t xml:space="preserve">吉林省-长春市</x:t>
        </x:is>
      </x:c>
      <x:c r="H984" s="2" t="inlineStr">
        <x:is>
          <x:t xml:space="preserve">通信服务</x:t>
        </x:is>
      </x:c>
      <x:c r="I984" s="2" t="inlineStr">
        <x:is>
          <x:t xml:space="preserve">2017-01-23</x:t>
        </x:is>
      </x:c>
      <x:c r="J984" s="3" t="inlineStr">
        <x:is>
          <x:t xml:space="preserve">长春市朝阳区南湖学府经典小区第9幢701室</x:t>
        </x:is>
      </x:c>
      <x:c r="K984" s="12" t="str">
        <x:f>LEFT("912201011239903238",18)</x:f>
        <x:v>912201011239903200</x:v>
      </x:c>
    </x:row>
    <x:row r="985">
      <x:c r="A985" s="4" t="n">
        <x:v>984</x:v>
      </x:c>
      <x:c r="B985" s="4" t="inlineStr">
        <x:is>
          <x:t xml:space="preserve">300923</x:t>
        </x:is>
      </x:c>
      <x:c r="C985" s="5" t="inlineStr">
        <x:is>
          <x:t xml:space="preserve">研奥股份</x:t>
        </x:is>
      </x:c>
      <x:c r="D985" s="5" t="inlineStr">
        <x:is>
          <x:t xml:space="preserve">研奥电气股份有限公司</x:t>
        </x:is>
      </x:c>
      <x:c r="E985" s="4" t="inlineStr">
        <x:is>
          <x:t xml:space="preserve">吉林省</x:t>
        </x:is>
      </x:c>
      <x:c r="F985" s="4" t="inlineStr">
        <x:is>
          <x:t xml:space="preserve">长春市</x:t>
        </x:is>
      </x:c>
      <x:c r="G985" s="5" t="inlineStr">
        <x:is>
          <x:t xml:space="preserve">吉林省-长春市</x:t>
        </x:is>
      </x:c>
      <x:c r="H985" s="4" t="inlineStr">
        <x:is>
          <x:t xml:space="preserve">交运设备</x:t>
        </x:is>
      </x:c>
      <x:c r="I985" s="4" t="inlineStr">
        <x:is>
          <x:t xml:space="preserve">2020-12-24</x:t>
        </x:is>
      </x:c>
      <x:c r="J985" s="5" t="inlineStr">
        <x:is>
          <x:t xml:space="preserve">长春市绿园经济开发区中研路1999号</x:t>
        </x:is>
      </x:c>
      <x:c r="K985" s="12" t="str">
        <x:f>LEFT("912201068239984307",18)</x:f>
        <x:v>912201068239984300</x:v>
      </x:c>
    </x:row>
    <x:row r="986">
      <x:c r="A986" s="2" t="n">
        <x:v>985</x:v>
      </x:c>
      <x:c r="B986" s="2" t="inlineStr">
        <x:is>
          <x:t xml:space="preserve">300985</x:t>
        </x:is>
      </x:c>
      <x:c r="C986" s="3" t="inlineStr">
        <x:is>
          <x:t xml:space="preserve">致远新能</x:t>
        </x:is>
      </x:c>
      <x:c r="D986" s="3" t="inlineStr">
        <x:is>
          <x:t xml:space="preserve">长春致远新能源装备股份有限公司</x:t>
        </x:is>
      </x:c>
      <x:c r="E986" s="2" t="inlineStr">
        <x:is>
          <x:t xml:space="preserve">吉林省</x:t>
        </x:is>
      </x:c>
      <x:c r="F986" s="2" t="inlineStr">
        <x:is>
          <x:t xml:space="preserve">长春市</x:t>
        </x:is>
      </x:c>
      <x:c r="G986" s="3" t="inlineStr">
        <x:is>
          <x:t xml:space="preserve">吉林省-长春市</x:t>
        </x:is>
      </x:c>
      <x:c r="H986" s="2" t="inlineStr">
        <x:is>
          <x:t xml:space="preserve">通用设备</x:t>
        </x:is>
      </x:c>
      <x:c r="I986" s="2" t="inlineStr">
        <x:is>
          <x:t xml:space="preserve">2021-04-29</x:t>
        </x:is>
      </x:c>
      <x:c r="J986" s="3" t="inlineStr">
        <x:is>
          <x:t xml:space="preserve">吉林省长春市朝阳经济开发区育民路888号</x:t>
        </x:is>
      </x:c>
      <x:c r="K986" s="12" t="str">
        <x:f>LEFT("91220104092310144W",18)</x:f>
        <x:v>91220104092310144W</x:v>
      </x:c>
    </x:row>
    <x:row r="987">
      <x:c r="A987" s="4" t="n">
        <x:v>986</x:v>
      </x:c>
      <x:c r="B987" s="4" t="inlineStr">
        <x:is>
          <x:t xml:space="preserve">301130</x:t>
        </x:is>
      </x:c>
      <x:c r="C987" s="5" t="inlineStr">
        <x:is>
          <x:t xml:space="preserve">西点药业</x:t>
        </x:is>
      </x:c>
      <x:c r="D987" s="5" t="inlineStr">
        <x:is>
          <x:t xml:space="preserve">吉林省西点药业科技发展股份有限公司</x:t>
        </x:is>
      </x:c>
      <x:c r="E987" s="4" t="inlineStr">
        <x:is>
          <x:t xml:space="preserve">吉林省</x:t>
        </x:is>
      </x:c>
      <x:c r="F987" s="4" t="inlineStr">
        <x:is>
          <x:t xml:space="preserve">吉林市</x:t>
        </x:is>
      </x:c>
      <x:c r="G987" s="5" t="inlineStr">
        <x:is>
          <x:t xml:space="preserve">吉林省-吉林市</x:t>
        </x:is>
      </x:c>
      <x:c r="H987" s="4" t="inlineStr">
        <x:is>
          <x:t xml:space="preserve">化学制药</x:t>
        </x:is>
      </x:c>
      <x:c r="I987" s="4" t="inlineStr">
        <x:is>
          <x:t xml:space="preserve">2022-02-23</x:t>
        </x:is>
      </x:c>
      <x:c r="J987" s="5" t="inlineStr">
        <x:is>
          <x:t xml:space="preserve">吉林省磐石经济开发区西点大街777号</x:t>
        </x:is>
      </x:c>
      <x:c r="K987" s="12" t="str">
        <x:f>LEFT("912202011239483018",18)</x:f>
        <x:v>912202011239483000</x:v>
      </x:c>
    </x:row>
    <x:row r="988">
      <x:c r="A988" s="2" t="n">
        <x:v>987</x:v>
      </x:c>
      <x:c r="B988" s="2" t="inlineStr">
        <x:is>
          <x:t xml:space="preserve">600110</x:t>
        </x:is>
      </x:c>
      <x:c r="C988" s="3" t="inlineStr">
        <x:is>
          <x:t xml:space="preserve">诺德股份</x:t>
        </x:is>
      </x:c>
      <x:c r="D988" s="3" t="inlineStr">
        <x:is>
          <x:t xml:space="preserve">诺德新材料股份有限公司</x:t>
        </x:is>
      </x:c>
      <x:c r="E988" s="2" t="inlineStr">
        <x:is>
          <x:t xml:space="preserve">吉林省</x:t>
        </x:is>
      </x:c>
      <x:c r="F988" s="2" t="inlineStr">
        <x:is>
          <x:t xml:space="preserve">长春市</x:t>
        </x:is>
      </x:c>
      <x:c r="G988" s="3" t="inlineStr">
        <x:is>
          <x:t xml:space="preserve">吉林省-长春市</x:t>
        </x:is>
      </x:c>
      <x:c r="H988" s="2" t="inlineStr">
        <x:is>
          <x:t xml:space="preserve">电池</x:t>
        </x:is>
      </x:c>
      <x:c r="I988" s="2" t="inlineStr">
        <x:is>
          <x:t xml:space="preserve">1997-10-07</x:t>
        </x:is>
      </x:c>
      <x:c r="J988" s="3" t="inlineStr">
        <x:is>
          <x:t xml:space="preserve">吉林省长春市高新北区航空街1666号</x:t>
        </x:is>
      </x:c>
      <x:c r="K988" s="12" t="str">
        <x:f>LEFT("91220101124012433E",18)</x:f>
        <x:v>91220101124012433E</x:v>
      </x:c>
    </x:row>
    <x:row r="989">
      <x:c r="A989" s="4" t="n">
        <x:v>988</x:v>
      </x:c>
      <x:c r="B989" s="4" t="inlineStr">
        <x:is>
          <x:t xml:space="preserve">600148</x:t>
        </x:is>
      </x:c>
      <x:c r="C989" s="5" t="inlineStr">
        <x:is>
          <x:t xml:space="preserve">长春一东</x:t>
        </x:is>
      </x:c>
      <x:c r="D989" s="5" t="inlineStr">
        <x:is>
          <x:t xml:space="preserve">长春一东离合器股份有限公司</x:t>
        </x:is>
      </x:c>
      <x:c r="E989" s="4" t="inlineStr">
        <x:is>
          <x:t xml:space="preserve">吉林省</x:t>
        </x:is>
      </x:c>
      <x:c r="F989" s="4" t="inlineStr">
        <x:is>
          <x:t xml:space="preserve">长春市</x:t>
        </x:is>
      </x:c>
      <x:c r="G989" s="5" t="inlineStr">
        <x:is>
          <x:t xml:space="preserve">吉林省-长春市</x:t>
        </x:is>
      </x:c>
      <x:c r="H989" s="4" t="inlineStr">
        <x:is>
          <x:t xml:space="preserve">汽车行业</x:t>
        </x:is>
      </x:c>
      <x:c r="I989" s="4" t="inlineStr">
        <x:is>
          <x:t xml:space="preserve">1998-05-20</x:t>
        </x:is>
      </x:c>
      <x:c r="J989" s="5" t="inlineStr">
        <x:is>
          <x:t xml:space="preserve">长春市高新技术产业开发区朝阳区超然街2555号</x:t>
        </x:is>
      </x:c>
      <x:c r="K989" s="12" t="str">
        <x:f>LEFT("912201017025287825",18)</x:f>
        <x:v>912201017025287800</x:v>
      </x:c>
    </x:row>
    <x:row r="990">
      <x:c r="A990" s="2" t="n">
        <x:v>989</x:v>
      </x:c>
      <x:c r="B990" s="2" t="inlineStr">
        <x:is>
          <x:t xml:space="preserve">600189</x:t>
        </x:is>
      </x:c>
      <x:c r="C990" s="3" t="inlineStr">
        <x:is>
          <x:t xml:space="preserve">泉阳泉</x:t>
        </x:is>
      </x:c>
      <x:c r="D990" s="3" t="inlineStr">
        <x:is>
          <x:t xml:space="preserve">吉林泉阳泉股份有限公司</x:t>
        </x:is>
      </x:c>
      <x:c r="E990" s="2" t="inlineStr">
        <x:is>
          <x:t xml:space="preserve">吉林省</x:t>
        </x:is>
      </x:c>
      <x:c r="F990" s="2" t="inlineStr">
        <x:is>
          <x:t xml:space="preserve">长春市</x:t>
        </x:is>
      </x:c>
      <x:c r="G990" s="3" t="inlineStr">
        <x:is>
          <x:t xml:space="preserve">吉林省-长春市</x:t>
        </x:is>
      </x:c>
      <x:c r="H990" s="2" t="inlineStr">
        <x:is>
          <x:t xml:space="preserve">食品饮料</x:t>
        </x:is>
      </x:c>
      <x:c r="I990" s="2" t="inlineStr">
        <x:is>
          <x:t xml:space="preserve">1998-10-07</x:t>
        </x:is>
      </x:c>
      <x:c r="J990" s="3" t="inlineStr">
        <x:is>
          <x:t xml:space="preserve">吉林省长春市朝阳区延安大街1399号</x:t>
        </x:is>
      </x:c>
      <x:c r="K990" s="12" t="str">
        <x:f>LEFT("91220000702425994U",18)</x:f>
        <x:v>91220000702425994U</x:v>
      </x:c>
    </x:row>
    <x:row r="991">
      <x:c r="A991" s="4" t="n">
        <x:v>990</x:v>
      </x:c>
      <x:c r="B991" s="4" t="inlineStr">
        <x:is>
          <x:t xml:space="preserve">600215</x:t>
        </x:is>
      </x:c>
      <x:c r="C991" s="5" t="inlineStr">
        <x:is>
          <x:t xml:space="preserve">派斯林</x:t>
        </x:is>
      </x:c>
      <x:c r="D991" s="5" t="inlineStr">
        <x:is>
          <x:t xml:space="preserve">派斯林数字科技股份有限公司</x:t>
        </x:is>
      </x:c>
      <x:c r="E991" s="4" t="inlineStr">
        <x:is>
          <x:t xml:space="preserve">吉林省</x:t>
        </x:is>
      </x:c>
      <x:c r="F991" s="4" t="inlineStr">
        <x:is>
          <x:t xml:space="preserve">长春市</x:t>
        </x:is>
      </x:c>
      <x:c r="G991" s="5" t="inlineStr">
        <x:is>
          <x:t xml:space="preserve">吉林省-长春市</x:t>
        </x:is>
      </x:c>
      <x:c r="H991" s="4" t="inlineStr">
        <x:is>
          <x:t xml:space="preserve">通用设备</x:t>
        </x:is>
      </x:c>
      <x:c r="I991" s="4" t="inlineStr">
        <x:is>
          <x:t xml:space="preserve">1999-09-09</x:t>
        </x:is>
      </x:c>
      <x:c r="J991" s="5" t="inlineStr">
        <x:is>
          <x:t xml:space="preserve">长春市经济开发区南沙大街2888号</x:t>
        </x:is>
      </x:c>
      <x:c r="K991" s="12" t="str">
        <x:f>LEFT("91220101124067880U",18)</x:f>
        <x:v>91220101124067880U</x:v>
      </x:c>
    </x:row>
    <x:row r="992">
      <x:c r="A992" s="2" t="n">
        <x:v>991</x:v>
      </x:c>
      <x:c r="B992" s="2" t="inlineStr">
        <x:is>
          <x:t xml:space="preserve">600333</x:t>
        </x:is>
      </x:c>
      <x:c r="C992" s="3" t="inlineStr">
        <x:is>
          <x:t xml:space="preserve">长春燃气</x:t>
        </x:is>
      </x:c>
      <x:c r="D992" s="3" t="inlineStr">
        <x:is>
          <x:t xml:space="preserve">长春燃气股份有限公司</x:t>
        </x:is>
      </x:c>
      <x:c r="E992" s="2" t="inlineStr">
        <x:is>
          <x:t xml:space="preserve">吉林省</x:t>
        </x:is>
      </x:c>
      <x:c r="F992" s="2" t="inlineStr">
        <x:is>
          <x:t xml:space="preserve">长春市</x:t>
        </x:is>
      </x:c>
      <x:c r="G992" s="3" t="inlineStr">
        <x:is>
          <x:t xml:space="preserve">吉林省-长春市</x:t>
        </x:is>
      </x:c>
      <x:c r="H992" s="2" t="inlineStr">
        <x:is>
          <x:t xml:space="preserve">燃气</x:t>
        </x:is>
      </x:c>
      <x:c r="I992" s="2" t="inlineStr">
        <x:is>
          <x:t xml:space="preserve">2000-12-11</x:t>
        </x:is>
      </x:c>
      <x:c r="J992" s="3" t="inlineStr">
        <x:is>
          <x:t xml:space="preserve">长春市朝阳区延安大街421号</x:t>
        </x:is>
      </x:c>
      <x:c r="K992" s="12" t="str">
        <x:f>LEFT("9122010170257210XR",18)</x:f>
        <x:v>9122010170257210XR</x:v>
      </x:c>
    </x:row>
    <x:row r="993">
      <x:c r="A993" s="4" t="n">
        <x:v>992</x:v>
      </x:c>
      <x:c r="B993" s="4" t="inlineStr">
        <x:is>
          <x:t xml:space="preserve">600360</x:t>
        </x:is>
      </x:c>
      <x:c r="C993" s="5" t="inlineStr">
        <x:is>
          <x:t xml:space="preserve">ST华微</x:t>
        </x:is>
      </x:c>
      <x:c r="D993" s="5" t="inlineStr">
        <x:is>
          <x:t xml:space="preserve">吉林华微电子股份有限公司</x:t>
        </x:is>
      </x:c>
      <x:c r="E993" s="4" t="inlineStr">
        <x:is>
          <x:t xml:space="preserve">吉林省</x:t>
        </x:is>
      </x:c>
      <x:c r="F993" s="4" t="inlineStr">
        <x:is>
          <x:t xml:space="preserve">吉林市</x:t>
        </x:is>
      </x:c>
      <x:c r="G993" s="5" t="inlineStr">
        <x:is>
          <x:t xml:space="preserve">吉林省-吉林市</x:t>
        </x:is>
      </x:c>
      <x:c r="H993" s="4" t="inlineStr">
        <x:is>
          <x:t xml:space="preserve">半导体</x:t>
        </x:is>
      </x:c>
      <x:c r="I993" s="4" t="inlineStr">
        <x:is>
          <x:t xml:space="preserve">2001-03-16</x:t>
        </x:is>
      </x:c>
      <x:c r="J993" s="5" t="inlineStr">
        <x:is>
          <x:t xml:space="preserve">吉林省吉林市高新区深圳街99号</x:t>
        </x:is>
      </x:c>
      <x:c r="K993" s="12" t="str">
        <x:f>LEFT("91220201717149339H",18)</x:f>
        <x:v>91220201717149339H</x:v>
      </x:c>
    </x:row>
    <x:row r="994">
      <x:c r="A994" s="2" t="n">
        <x:v>993</x:v>
      </x:c>
      <x:c r="B994" s="2" t="inlineStr">
        <x:is>
          <x:t xml:space="preserve">600365</x:t>
        </x:is>
      </x:c>
      <x:c r="C994" s="3" t="inlineStr">
        <x:is>
          <x:t xml:space="preserve">ST通葡</x:t>
        </x:is>
      </x:c>
      <x:c r="D994" s="3" t="inlineStr">
        <x:is>
          <x:t xml:space="preserve">通化葡萄酒股份有限公司</x:t>
        </x:is>
      </x:c>
      <x:c r="E994" s="2" t="inlineStr">
        <x:is>
          <x:t xml:space="preserve">吉林省</x:t>
        </x:is>
      </x:c>
      <x:c r="F994" s="2" t="inlineStr">
        <x:is>
          <x:t xml:space="preserve">吉林市</x:t>
        </x:is>
      </x:c>
      <x:c r="G994" s="3" t="inlineStr">
        <x:is>
          <x:t xml:space="preserve">吉林省-吉林市</x:t>
        </x:is>
      </x:c>
      <x:c r="H994" s="2" t="inlineStr">
        <x:is>
          <x:t xml:space="preserve">酿酒行业</x:t>
        </x:is>
      </x:c>
      <x:c r="I994" s="2" t="inlineStr">
        <x:is>
          <x:t xml:space="preserve">2001-01-15</x:t>
        </x:is>
      </x:c>
      <x:c r="J994" s="3" t="inlineStr">
        <x:is>
          <x:t xml:space="preserve">吉林省通化市前兴路28号</x:t>
        </x:is>
      </x:c>
      <x:c r="K994" s="12" t="str">
        <x:f>LEFT("91220000702312420U",18)</x:f>
        <x:v>91220000702312420U</x:v>
      </x:c>
    </x:row>
    <x:row r="995">
      <x:c r="A995" s="4" t="n">
        <x:v>994</x:v>
      </x:c>
      <x:c r="B995" s="4" t="inlineStr">
        <x:is>
          <x:t xml:space="preserve">600697</x:t>
        </x:is>
      </x:c>
      <x:c r="C995" s="5" t="inlineStr">
        <x:is>
          <x:t xml:space="preserve">欧亚集团</x:t>
        </x:is>
      </x:c>
      <x:c r="D995" s="5" t="inlineStr">
        <x:is>
          <x:t xml:space="preserve">长春欧亚集团股份有限公司</x:t>
        </x:is>
      </x:c>
      <x:c r="E995" s="4" t="inlineStr">
        <x:is>
          <x:t xml:space="preserve">吉林省</x:t>
        </x:is>
      </x:c>
      <x:c r="F995" s="4" t="inlineStr">
        <x:is>
          <x:t xml:space="preserve">长春市</x:t>
        </x:is>
      </x:c>
      <x:c r="G995" s="5" t="inlineStr">
        <x:is>
          <x:t xml:space="preserve">吉林省-长春市</x:t>
        </x:is>
      </x:c>
      <x:c r="H995" s="4" t="inlineStr">
        <x:is>
          <x:t xml:space="preserve">商业百货</x:t>
        </x:is>
      </x:c>
      <x:c r="I995" s="4" t="inlineStr">
        <x:is>
          <x:t xml:space="preserve">1993-12-06</x:t>
        </x:is>
      </x:c>
      <x:c r="J995" s="5" t="inlineStr">
        <x:is>
          <x:t xml:space="preserve">长春市朝阳区工农大路1128号</x:t>
        </x:is>
      </x:c>
      <x:c r="K995" s="12" t="str">
        <x:f>LEFT("9122010112403662XM",18)</x:f>
        <x:v>9122010112403662XM</x:v>
      </x:c>
    </x:row>
    <x:row r="996">
      <x:c r="A996" s="2" t="n">
        <x:v>995</x:v>
      </x:c>
      <x:c r="B996" s="2" t="inlineStr">
        <x:is>
          <x:t xml:space="preserve">600742</x:t>
        </x:is>
      </x:c>
      <x:c r="C996" s="3" t="inlineStr">
        <x:is>
          <x:t xml:space="preserve">富维股份</x:t>
        </x:is>
      </x:c>
      <x:c r="D996" s="3" t="inlineStr">
        <x:is>
          <x:t xml:space="preserve">长春富维集团汽车零部件股份有限公司</x:t>
        </x:is>
      </x:c>
      <x:c r="E996" s="2" t="inlineStr">
        <x:is>
          <x:t xml:space="preserve">吉林省</x:t>
        </x:is>
      </x:c>
      <x:c r="F996" s="2" t="inlineStr">
        <x:is>
          <x:t xml:space="preserve">长春市</x:t>
        </x:is>
      </x:c>
      <x:c r="G996" s="3" t="inlineStr">
        <x:is>
          <x:t xml:space="preserve">吉林省-长春市</x:t>
        </x:is>
      </x:c>
      <x:c r="H996" s="2" t="inlineStr">
        <x:is>
          <x:t xml:space="preserve">汽车行业</x:t>
        </x:is>
      </x:c>
      <x:c r="I996" s="2" t="inlineStr">
        <x:is>
          <x:t xml:space="preserve">1996-08-26</x:t>
        </x:is>
      </x:c>
      <x:c r="J996" s="3" t="inlineStr">
        <x:is>
          <x:t xml:space="preserve">吉林省长春市绿园区汽车产业开发区东风大街5168号</x:t>
        </x:is>
      </x:c>
      <x:c r="K996" s="12" t="str">
        <x:f>LEFT("91220101606092819L",18)</x:f>
        <x:v>91220101606092819L</x:v>
      </x:c>
    </x:row>
    <x:row r="997">
      <x:c r="A997" s="4" t="n">
        <x:v>996</x:v>
      </x:c>
      <x:c r="B997" s="4" t="inlineStr">
        <x:is>
          <x:t xml:space="preserve">600867</x:t>
        </x:is>
      </x:c>
      <x:c r="C997" s="5" t="inlineStr">
        <x:is>
          <x:t xml:space="preserve">通化东宝</x:t>
        </x:is>
      </x:c>
      <x:c r="D997" s="5" t="inlineStr">
        <x:is>
          <x:t xml:space="preserve">通化东宝药业股份有限公司</x:t>
        </x:is>
      </x:c>
      <x:c r="E997" s="4" t="inlineStr">
        <x:is>
          <x:t xml:space="preserve">吉林省</x:t>
        </x:is>
      </x:c>
      <x:c r="F997" s="4" t="inlineStr">
        <x:is>
          <x:t xml:space="preserve">吉林市</x:t>
        </x:is>
      </x:c>
      <x:c r="G997" s="5" t="inlineStr">
        <x:is>
          <x:t xml:space="preserve">吉林省-吉林市</x:t>
        </x:is>
      </x:c>
      <x:c r="H997" s="4" t="inlineStr">
        <x:is>
          <x:t xml:space="preserve">生物制品</x:t>
        </x:is>
      </x:c>
      <x:c r="I997" s="4" t="inlineStr">
        <x:is>
          <x:t xml:space="preserve">1994-08-24</x:t>
        </x:is>
      </x:c>
      <x:c r="J997" s="5" t="inlineStr">
        <x:is>
          <x:t xml:space="preserve">吉林省通化县东宝新村</x:t>
        </x:is>
      </x:c>
      <x:c r="K997" s="12" t="str">
        <x:f>LEFT("912205012445783007",18)</x:f>
        <x:v>912205012445783000</x:v>
      </x:c>
    </x:row>
    <x:row r="998">
      <x:c r="A998" s="2" t="n">
        <x:v>997</x:v>
      </x:c>
      <x:c r="B998" s="2" t="inlineStr">
        <x:is>
          <x:t xml:space="preserve">600881</x:t>
        </x:is>
      </x:c>
      <x:c r="C998" s="3" t="inlineStr">
        <x:is>
          <x:t xml:space="preserve">亚泰集团</x:t>
        </x:is>
      </x:c>
      <x:c r="D998" s="3" t="inlineStr">
        <x:is>
          <x:t xml:space="preserve">吉林亚泰(集团)股份有限公司</x:t>
        </x:is>
      </x:c>
      <x:c r="E998" s="2" t="inlineStr">
        <x:is>
          <x:t xml:space="preserve">吉林省</x:t>
        </x:is>
      </x:c>
      <x:c r="F998" s="2" t="inlineStr">
        <x:is>
          <x:t xml:space="preserve">长春市</x:t>
        </x:is>
      </x:c>
      <x:c r="G998" s="3" t="inlineStr">
        <x:is>
          <x:t xml:space="preserve">吉林省-长春市</x:t>
        </x:is>
      </x:c>
      <x:c r="H998" s="2" t="inlineStr">
        <x:is>
          <x:t xml:space="preserve">水泥建材</x:t>
        </x:is>
      </x:c>
      <x:c r="I998" s="2" t="inlineStr">
        <x:is>
          <x:t xml:space="preserve">1995-11-15</x:t>
        </x:is>
      </x:c>
      <x:c r="J998" s="3" t="inlineStr">
        <x:is>
          <x:t xml:space="preserve">吉林省长春市吉林大路1801号</x:t>
        </x:is>
      </x:c>
      <x:c r="K998" s="12" t="str">
        <x:f>LEFT("91220000123961012F",18)</x:f>
        <x:v>91220000123961012F</x:v>
      </x:c>
    </x:row>
    <x:row r="999">
      <x:c r="A999" s="4" t="n">
        <x:v>998</x:v>
      </x:c>
      <x:c r="B999" s="4" t="inlineStr">
        <x:is>
          <x:t xml:space="preserve">601279</x:t>
        </x:is>
      </x:c>
      <x:c r="C999" s="5" t="inlineStr">
        <x:is>
          <x:t xml:space="preserve">英利汽车</x:t>
        </x:is>
      </x:c>
      <x:c r="D999" s="5" t="inlineStr">
        <x:is>
          <x:t xml:space="preserve">长春英利汽车工业股份有限公司</x:t>
        </x:is>
      </x:c>
      <x:c r="E999" s="4" t="inlineStr">
        <x:is>
          <x:t xml:space="preserve">吉林省</x:t>
        </x:is>
      </x:c>
      <x:c r="F999" s="4" t="inlineStr">
        <x:is>
          <x:t xml:space="preserve">长春市</x:t>
        </x:is>
      </x:c>
      <x:c r="G999" s="5" t="inlineStr">
        <x:is>
          <x:t xml:space="preserve">吉林省-长春市</x:t>
        </x:is>
      </x:c>
      <x:c r="H999" s="4" t="inlineStr">
        <x:is>
          <x:t xml:space="preserve">汽车行业</x:t>
        </x:is>
      </x:c>
      <x:c r="I999" s="4" t="inlineStr">
        <x:is>
          <x:t xml:space="preserve">2021-04-15</x:t>
        </x:is>
      </x:c>
      <x:c r="J999" s="5" t="inlineStr">
        <x:is>
          <x:t xml:space="preserve">长春市高新区卓越大街2379号</x:t>
        </x:is>
      </x:c>
      <x:c r="K999" s="12" t="str">
        <x:f>LEFT("91220101794411636Q",18)</x:f>
        <x:v>91220101794411636Q</x:v>
      </x:c>
    </x:row>
    <x:row r="1000">
      <x:c r="A1000" s="2" t="n">
        <x:v>999</x:v>
      </x:c>
      <x:c r="B1000" s="2" t="inlineStr">
        <x:is>
          <x:t xml:space="preserve">601518</x:t>
        </x:is>
      </x:c>
      <x:c r="C1000" s="3" t="inlineStr">
        <x:is>
          <x:t xml:space="preserve">吉林高速</x:t>
        </x:is>
      </x:c>
      <x:c r="D1000" s="3" t="inlineStr">
        <x:is>
          <x:t xml:space="preserve">吉林高速公路股份有限公司</x:t>
        </x:is>
      </x:c>
      <x:c r="E1000" s="2" t="inlineStr">
        <x:is>
          <x:t xml:space="preserve">吉林省</x:t>
        </x:is>
      </x:c>
      <x:c r="F1000" s="2" t="inlineStr">
        <x:is>
          <x:t xml:space="preserve">长春市</x:t>
        </x:is>
      </x:c>
      <x:c r="G1000" s="3" t="inlineStr">
        <x:is>
          <x:t xml:space="preserve">吉林省-长春市</x:t>
        </x:is>
      </x:c>
      <x:c r="H1000" s="2" t="inlineStr">
        <x:is>
          <x:t xml:space="preserve">高速公路</x:t>
        </x:is>
      </x:c>
      <x:c r="I1000" s="2" t="inlineStr">
        <x:is>
          <x:t xml:space="preserve">2010-03-19</x:t>
        </x:is>
      </x:c>
      <x:c r="J1000" s="3" t="inlineStr">
        <x:is>
          <x:t xml:space="preserve">吉林省长春市经济技术开发区浦东路4488号</x:t>
        </x:is>
      </x:c>
      <x:c r="K1000" s="12" t="str">
        <x:f>LEFT("91220000550460466L",18)</x:f>
        <x:v>91220000550460466L</x:v>
      </x:c>
    </x:row>
    <x:row r="1001">
      <x:c r="A1001" s="4" t="n">
        <x:v>1000</x:v>
      </x:c>
      <x:c r="B1001" s="4" t="inlineStr">
        <x:is>
          <x:t xml:space="preserve">601929</x:t>
        </x:is>
      </x:c>
      <x:c r="C1001" s="5" t="inlineStr">
        <x:is>
          <x:t xml:space="preserve">吉视传媒</x:t>
        </x:is>
      </x:c>
      <x:c r="D1001" s="5" t="inlineStr">
        <x:is>
          <x:t xml:space="preserve">吉视传媒股份有限公司</x:t>
        </x:is>
      </x:c>
      <x:c r="E1001" s="4" t="inlineStr">
        <x:is>
          <x:t xml:space="preserve">吉林省</x:t>
        </x:is>
      </x:c>
      <x:c r="F1001" s="4" t="inlineStr">
        <x:is>
          <x:t xml:space="preserve">长春市</x:t>
        </x:is>
      </x:c>
      <x:c r="G1001" s="5" t="inlineStr">
        <x:is>
          <x:t xml:space="preserve">吉林省-长春市</x:t>
        </x:is>
      </x:c>
      <x:c r="H1001" s="4" t="inlineStr">
        <x:is>
          <x:t xml:space="preserve">文化传媒</x:t>
        </x:is>
      </x:c>
      <x:c r="I1001" s="4" t="inlineStr">
        <x:is>
          <x:t xml:space="preserve">2012-02-23</x:t>
        </x:is>
      </x:c>
      <x:c r="J1001" s="5" t="inlineStr">
        <x:is>
          <x:t xml:space="preserve">长春市净月开发区和美路999号吉视传媒信息枢纽中心</x:t>
        </x:is>
      </x:c>
      <x:c r="K1001" s="12" t="str">
        <x:f>LEFT("912201017270983287",18)</x:f>
        <x:v>912201017270983300</x:v>
      </x:c>
    </x:row>
    <x:row r="1002">
      <x:c r="A1002" s="2" t="n">
        <x:v>1001</x:v>
      </x:c>
      <x:c r="B1002" s="2" t="inlineStr">
        <x:is>
          <x:t xml:space="preserve">603099</x:t>
        </x:is>
      </x:c>
      <x:c r="C1002" s="3" t="inlineStr">
        <x:is>
          <x:t xml:space="preserve">长白山</x:t>
        </x:is>
      </x:c>
      <x:c r="D1002" s="3" t="inlineStr">
        <x:is>
          <x:t xml:space="preserve">长白山旅游股份有限公司</x:t>
        </x:is>
      </x:c>
      <x:c r="E1002" s="2" t="inlineStr">
        <x:is>
          <x:t xml:space="preserve">吉林省</x:t>
        </x:is>
      </x:c>
      <x:c r="F1002" s="2" t="inlineStr">
        <x:is>
          <x:t xml:space="preserve">长春市</x:t>
        </x:is>
      </x:c>
      <x:c r="G1002" s="3" t="inlineStr">
        <x:is>
          <x:t xml:space="preserve">吉林省-长春市</x:t>
        </x:is>
      </x:c>
      <x:c r="H1002" s="2" t="inlineStr">
        <x:is>
          <x:t xml:space="preserve">旅游酒店</x:t>
        </x:is>
      </x:c>
      <x:c r="I1002" s="2" t="inlineStr">
        <x:is>
          <x:t xml:space="preserve">2014-08-22</x:t>
        </x:is>
      </x:c>
      <x:c r="J1002" s="3" t="inlineStr">
        <x:is>
          <x:t xml:space="preserve">长春市长白山保护开发区池北区(白林西区和平街)</x:t>
        </x:is>
      </x:c>
      <x:c r="K1002" s="12" t="str">
        <x:f>LEFT("912200007868493986",18)</x:f>
        <x:v>912200007868494000</x:v>
      </x:c>
    </x:row>
    <x:row r="1003">
      <x:c r="A1003" s="4" t="n">
        <x:v>1002</x:v>
      </x:c>
      <x:c r="B1003" s="4" t="inlineStr">
        <x:is>
          <x:t xml:space="preserve">603559</x:t>
        </x:is>
      </x:c>
      <x:c r="C1003" s="5" t="inlineStr">
        <x:is>
          <x:t xml:space="preserve">ST通脉</x:t>
        </x:is>
      </x:c>
      <x:c r="D1003" s="5" t="inlineStr">
        <x:is>
          <x:t xml:space="preserve">中通国脉通信股份有限公司</x:t>
        </x:is>
      </x:c>
      <x:c r="E1003" s="4" t="inlineStr">
        <x:is>
          <x:t xml:space="preserve">吉林省</x:t>
        </x:is>
      </x:c>
      <x:c r="F1003" s="4" t="inlineStr">
        <x:is>
          <x:t xml:space="preserve">长春市</x:t>
        </x:is>
      </x:c>
      <x:c r="G1003" s="5" t="inlineStr">
        <x:is>
          <x:t xml:space="preserve">吉林省-长春市</x:t>
        </x:is>
      </x:c>
      <x:c r="H1003" s="4" t="inlineStr">
        <x:is>
          <x:t xml:space="preserve">通信服务</x:t>
        </x:is>
      </x:c>
      <x:c r="I1003" s="4" t="inlineStr">
        <x:is>
          <x:t xml:space="preserve">2016-12-02</x:t>
        </x:is>
      </x:c>
      <x:c r="J1003" s="5" t="inlineStr">
        <x:is>
          <x:t xml:space="preserve">吉林省长春市南湖大路6399号</x:t>
        </x:is>
      </x:c>
      <x:c r="K1003" s="12" t="str">
        <x:f>LEFT("91220000123925847D",18)</x:f>
        <x:v>91220000123925847D</x:v>
      </x:c>
    </x:row>
    <x:row r="1004">
      <x:c r="A1004" s="2" t="n">
        <x:v>1003</x:v>
      </x:c>
      <x:c r="B1004" s="2" t="inlineStr">
        <x:is>
          <x:t xml:space="preserve">688276</x:t>
        </x:is>
      </x:c>
      <x:c r="C1004" s="3" t="inlineStr">
        <x:is>
          <x:t xml:space="preserve">百克生物</x:t>
        </x:is>
      </x:c>
      <x:c r="D1004" s="3" t="inlineStr">
        <x:is>
          <x:t xml:space="preserve">长春百克生物科技股份公司</x:t>
        </x:is>
      </x:c>
      <x:c r="E1004" s="2" t="inlineStr">
        <x:is>
          <x:t xml:space="preserve">吉林省</x:t>
        </x:is>
      </x:c>
      <x:c r="F1004" s="2" t="inlineStr">
        <x:is>
          <x:t xml:space="preserve">长春市</x:t>
        </x:is>
      </x:c>
      <x:c r="G1004" s="3" t="inlineStr">
        <x:is>
          <x:t xml:space="preserve">吉林省-长春市</x:t>
        </x:is>
      </x:c>
      <x:c r="H1004" s="2" t="inlineStr">
        <x:is>
          <x:t xml:space="preserve">生物制品</x:t>
        </x:is>
      </x:c>
      <x:c r="I1004" s="2" t="inlineStr">
        <x:is>
          <x:t xml:space="preserve">2021-06-25</x:t>
        </x:is>
      </x:c>
      <x:c r="J1004" s="3" t="inlineStr">
        <x:is>
          <x:t xml:space="preserve">吉林省长春市高新开发区火炬路1260号</x:t>
        </x:is>
      </x:c>
      <x:c r="K1004" s="12" t="str">
        <x:f>LEFT("912201017561541220",18)</x:f>
        <x:v>912201017561541200</x:v>
      </x:c>
    </x:row>
    <x:row r="1005">
      <x:c r="A1005" s="4" t="n">
        <x:v>1004</x:v>
      </x:c>
      <x:c r="B1005" s="4" t="inlineStr">
        <x:is>
          <x:t xml:space="preserve">688378</x:t>
        </x:is>
      </x:c>
      <x:c r="C1005" s="5" t="inlineStr">
        <x:is>
          <x:t xml:space="preserve">奥来德</x:t>
        </x:is>
      </x:c>
      <x:c r="D1005" s="5" t="inlineStr">
        <x:is>
          <x:t xml:space="preserve">吉林奥来德光电材料股份有限公司</x:t>
        </x:is>
      </x:c>
      <x:c r="E1005" s="4" t="inlineStr">
        <x:is>
          <x:t xml:space="preserve">吉林省</x:t>
        </x:is>
      </x:c>
      <x:c r="F1005" s="4" t="inlineStr">
        <x:is>
          <x:t xml:space="preserve">长春市</x:t>
        </x:is>
      </x:c>
      <x:c r="G1005" s="5" t="inlineStr">
        <x:is>
          <x:t xml:space="preserve">吉林省-长春市</x:t>
        </x:is>
      </x:c>
      <x:c r="H1005" s="4" t="inlineStr">
        <x:is>
          <x:t xml:space="preserve">专用设备</x:t>
        </x:is>
      </x:c>
      <x:c r="I1005" s="4" t="inlineStr">
        <x:is>
          <x:t xml:space="preserve">2020-09-03</x:t>
        </x:is>
      </x:c>
      <x:c r="J1005" s="5" t="inlineStr">
        <x:is>
          <x:t xml:space="preserve">吉林省长春市高新开发区硅谷新城生产力大厦A座19层</x:t>
        </x:is>
      </x:c>
      <x:c r="K1005" s="12" t="str">
        <x:f>LEFT("912201017671930129",18)</x:f>
        <x:v>912201017671930100</x:v>
      </x:c>
    </x:row>
    <x:row r="1006">
      <x:c r="A1006" s="2" t="n">
        <x:v>1005</x:v>
      </x:c>
      <x:c r="B1006" s="2" t="inlineStr">
        <x:is>
          <x:t xml:space="preserve">688716</x:t>
        </x:is>
      </x:c>
      <x:c r="C1006" s="3" t="inlineStr">
        <x:is>
          <x:t xml:space="preserve">中研股份</x:t>
        </x:is>
      </x:c>
      <x:c r="D1006" s="3" t="inlineStr">
        <x:is>
          <x:t xml:space="preserve">吉林省中研高分子材料股份有限公司</x:t>
        </x:is>
      </x:c>
      <x:c r="E1006" s="2" t="inlineStr">
        <x:is>
          <x:t xml:space="preserve">吉林省</x:t>
        </x:is>
      </x:c>
      <x:c r="F1006" s="2" t="inlineStr">
        <x:is>
          <x:t xml:space="preserve">长春市</x:t>
        </x:is>
      </x:c>
      <x:c r="G1006" s="3" t="inlineStr">
        <x:is>
          <x:t xml:space="preserve">吉林省-长春市</x:t>
        </x:is>
      </x:c>
      <x:c r="H1006" s="2" t="inlineStr">
        <x:is>
          <x:t xml:space="preserve">塑料制品</x:t>
        </x:is>
      </x:c>
      <x:c r="I1006" s="2" t="inlineStr">
        <x:is>
          <x:t xml:space="preserve">2023-09-20</x:t>
        </x:is>
      </x:c>
      <x:c r="J1006" s="3" t="inlineStr">
        <x:is>
          <x:t xml:space="preserve">吉林省长春市绿园区绿园经济开发区先进制造业园区中研路1177号</x:t>
        </x:is>
      </x:c>
      <x:c r="K1006" s="12" t="str">
        <x:f>LEFT("912201017944147654",18)</x:f>
        <x:v>912201017944147700</x:v>
      </x:c>
    </x:row>
    <x:row r="1007">
      <x:c r="A1007" s="4" t="n">
        <x:v>1006</x:v>
      </x:c>
      <x:c r="B1007" s="4" t="inlineStr">
        <x:is>
          <x:t xml:space="preserve">000155</x:t>
        </x:is>
      </x:c>
      <x:c r="C1007" s="5" t="inlineStr">
        <x:is>
          <x:t xml:space="preserve">川能动力</x:t>
        </x:is>
      </x:c>
      <x:c r="D1007" s="5" t="inlineStr">
        <x:is>
          <x:t xml:space="preserve">四川省新能源动力股份有限公司</x:t>
        </x:is>
      </x:c>
      <x:c r="E1007" s="4" t="inlineStr">
        <x:is>
          <x:t xml:space="preserve">四川省</x:t>
        </x:is>
      </x:c>
      <x:c r="F1007" s="4" t="inlineStr">
        <x:is>
          <x:t xml:space="preserve">成都市</x:t>
        </x:is>
      </x:c>
      <x:c r="G1007" s="5" t="inlineStr">
        <x:is>
          <x:t xml:space="preserve">四川省-成都市</x:t>
        </x:is>
      </x:c>
      <x:c r="H1007" s="4" t="inlineStr">
        <x:is>
          <x:t xml:space="preserve">电力行业</x:t>
        </x:is>
      </x:c>
      <x:c r="I1007" s="4" t="inlineStr">
        <x:is>
          <x:t xml:space="preserve">2000-09-26</x:t>
        </x:is>
      </x:c>
      <x:c r="J1007" s="5" t="inlineStr">
        <x:is>
          <x:t xml:space="preserve">四川省成都市青白江区大弯镇团结路311号</x:t>
        </x:is>
      </x:c>
      <x:c r="K1007" s="12" t="str">
        <x:f>LEFT("91510000202285163Q",18)</x:f>
        <x:v>91510000202285163Q</x:v>
      </x:c>
    </x:row>
    <x:row r="1008">
      <x:c r="A1008" s="2" t="n">
        <x:v>1007</x:v>
      </x:c>
      <x:c r="B1008" s="2" t="inlineStr">
        <x:is>
          <x:t xml:space="preserve">000509</x:t>
        </x:is>
      </x:c>
      <x:c r="C1008" s="3" t="inlineStr">
        <x:is>
          <x:t xml:space="preserve">华塑控股</x:t>
        </x:is>
      </x:c>
      <x:c r="D1008" s="3" t="inlineStr">
        <x:is>
          <x:t xml:space="preserve">华塑控股股份有限公司</x:t>
        </x:is>
      </x:c>
      <x:c r="E1008" s="2" t="inlineStr">
        <x:is>
          <x:t xml:space="preserve">四川省</x:t>
        </x:is>
      </x:c>
      <x:c r="F1008" s="2" t="inlineStr">
        <x:is>
          <x:t xml:space="preserve">南充市</x:t>
        </x:is>
      </x:c>
      <x:c r="G1008" s="3" t="inlineStr">
        <x:is>
          <x:t xml:space="preserve">四川省-南充市</x:t>
        </x:is>
      </x:c>
      <x:c r="H1008" s="2" t="inlineStr">
        <x:is>
          <x:t xml:space="preserve">光学光电子</x:t>
        </x:is>
      </x:c>
      <x:c r="I1008" s="2" t="inlineStr">
        <x:is>
          <x:t xml:space="preserve">1993-05-07</x:t>
        </x:is>
      </x:c>
      <x:c r="J1008" s="3" t="inlineStr">
        <x:is>
          <x:t xml:space="preserve">四川省南充市顺庆区涪江路223号</x:t>
        </x:is>
      </x:c>
      <x:c r="K1008" s="12" t="str">
        <x:f>LEFT("91510000621607788J",18)</x:f>
        <x:v>91510000621607788J</x:v>
      </x:c>
    </x:row>
    <x:row r="1009">
      <x:c r="A1009" s="4" t="n">
        <x:v>1008</x:v>
      </x:c>
      <x:c r="B1009" s="4" t="inlineStr">
        <x:is>
          <x:t xml:space="preserve">000510</x:t>
        </x:is>
      </x:c>
      <x:c r="C1009" s="5" t="inlineStr">
        <x:is>
          <x:t xml:space="preserve">新金路</x:t>
        </x:is>
      </x:c>
      <x:c r="D1009" s="5" t="inlineStr">
        <x:is>
          <x:t xml:space="preserve">四川新金路集团股份有限公司</x:t>
        </x:is>
      </x:c>
      <x:c r="E1009" s="4" t="inlineStr">
        <x:is>
          <x:t xml:space="preserve">四川省</x:t>
        </x:is>
      </x:c>
      <x:c r="F1009" s="4" t="inlineStr">
        <x:is>
          <x:t xml:space="preserve">德阳市</x:t>
        </x:is>
      </x:c>
      <x:c r="G1009" s="5" t="inlineStr">
        <x:is>
          <x:t xml:space="preserve">四川省-德阳市</x:t>
        </x:is>
      </x:c>
      <x:c r="H1009" s="4" t="inlineStr">
        <x:is>
          <x:t xml:space="preserve">化学原料</x:t>
        </x:is>
      </x:c>
      <x:c r="I1009" s="4" t="inlineStr">
        <x:is>
          <x:t xml:space="preserve">1993-05-07</x:t>
        </x:is>
      </x:c>
      <x:c r="J1009" s="5" t="inlineStr">
        <x:is>
          <x:t xml:space="preserve">四川省德阳市泰山南路二段733号银鑫·五洲广场一期21栋22-23层</x:t>
        </x:is>
      </x:c>
      <x:c r="K1009" s="12" t="str">
        <x:f>LEFT("91510600205111863C",18)</x:f>
        <x:v>91510600205111863C</x:v>
      </x:c>
    </x:row>
    <x:row r="1010">
      <x:c r="A1010" s="2" t="n">
        <x:v>1009</x:v>
      </x:c>
      <x:c r="B1010" s="2" t="inlineStr">
        <x:is>
          <x:t xml:space="preserve">000558</x:t>
        </x:is>
      </x:c>
      <x:c r="C1010" s="3" t="inlineStr">
        <x:is>
          <x:t xml:space="preserve">天府文旅</x:t>
        </x:is>
      </x:c>
      <x:c r="D1010" s="3" t="inlineStr">
        <x:is>
          <x:t xml:space="preserve">成都新天府文化旅游发展股份有限公司</x:t>
        </x:is>
      </x:c>
      <x:c r="E1010" s="2" t="inlineStr">
        <x:is>
          <x:t xml:space="preserve">四川省</x:t>
        </x:is>
      </x:c>
      <x:c r="F1010" s="2" t="inlineStr">
        <x:is>
          <x:t xml:space="preserve">成都市</x:t>
        </x:is>
      </x:c>
      <x:c r="G1010" s="3" t="inlineStr">
        <x:is>
          <x:t xml:space="preserve">四川省-成都市</x:t>
        </x:is>
      </x:c>
      <x:c r="H1010" s="2" t="inlineStr">
        <x:is>
          <x:t xml:space="preserve">旅游酒店</x:t>
        </x:is>
      </x:c>
      <x:c r="I1010" s="2" t="inlineStr">
        <x:is>
          <x:t xml:space="preserve">1994-05-09</x:t>
        </x:is>
      </x:c>
      <x:c r="J1010" s="3" t="inlineStr">
        <x:is>
          <x:t xml:space="preserve">中国(四川)自由贸易试验区成都高新区万象南路399号1栋9层901号</x:t>
        </x:is>
      </x:c>
      <x:c r="K1010" s="12" t="str">
        <x:f>LEFT("913300002434900169",18)</x:f>
        <x:v>913300002434900200</x:v>
      </x:c>
    </x:row>
    <x:row r="1011">
      <x:c r="A1011" s="4" t="n">
        <x:v>1010</x:v>
      </x:c>
      <x:c r="B1011" s="4" t="inlineStr">
        <x:is>
          <x:t xml:space="preserve">000568</x:t>
        </x:is>
      </x:c>
      <x:c r="C1011" s="5" t="inlineStr">
        <x:is>
          <x:t xml:space="preserve">泸州老窖</x:t>
        </x:is>
      </x:c>
      <x:c r="D1011" s="5" t="inlineStr">
        <x:is>
          <x:t xml:space="preserve">泸州老窖股份有限公司</x:t>
        </x:is>
      </x:c>
      <x:c r="E1011" s="4" t="inlineStr">
        <x:is>
          <x:t xml:space="preserve">四川省</x:t>
        </x:is>
      </x:c>
      <x:c r="F1011" s="4" t="inlineStr">
        <x:is>
          <x:t xml:space="preserve">泸州市</x:t>
        </x:is>
      </x:c>
      <x:c r="G1011" s="5" t="inlineStr">
        <x:is>
          <x:t xml:space="preserve">四川省-泸州市</x:t>
        </x:is>
      </x:c>
      <x:c r="H1011" s="4" t="inlineStr">
        <x:is>
          <x:t xml:space="preserve">酿酒行业</x:t>
        </x:is>
      </x:c>
      <x:c r="I1011" s="4" t="inlineStr">
        <x:is>
          <x:t xml:space="preserve">1994-05-09</x:t>
        </x:is>
      </x:c>
      <x:c r="J1011" s="5" t="inlineStr">
        <x:is>
          <x:t xml:space="preserve">四川省泸州市国窖广场</x:t>
        </x:is>
      </x:c>
      <x:c r="K1011" s="12" t="str">
        <x:f>LEFT("91510500204706718H",18)</x:f>
        <x:v>91510500204706718H</x:v>
      </x:c>
    </x:row>
    <x:row r="1012">
      <x:c r="A1012" s="2" t="n">
        <x:v>1011</x:v>
      </x:c>
      <x:c r="B1012" s="2" t="inlineStr">
        <x:is>
          <x:t xml:space="preserve">000586</x:t>
        </x:is>
      </x:c>
      <x:c r="C1012" s="3" t="inlineStr">
        <x:is>
          <x:t xml:space="preserve">汇源通信</x:t>
        </x:is>
      </x:c>
      <x:c r="D1012" s="3" t="inlineStr">
        <x:is>
          <x:t xml:space="preserve">四川汇源光通信股份有限公司</x:t>
        </x:is>
      </x:c>
      <x:c r="E1012" s="2" t="inlineStr">
        <x:is>
          <x:t xml:space="preserve">四川省</x:t>
        </x:is>
      </x:c>
      <x:c r="F1012" s="2" t="inlineStr">
        <x:is>
          <x:t xml:space="preserve">成都市</x:t>
        </x:is>
      </x:c>
      <x:c r="G1012" s="3" t="inlineStr">
        <x:is>
          <x:t xml:space="preserve">四川省-成都市</x:t>
        </x:is>
      </x:c>
      <x:c r="H1012" s="2" t="inlineStr">
        <x:is>
          <x:t xml:space="preserve">通讯行业</x:t>
        </x:is>
      </x:c>
      <x:c r="I1012" s="2" t="inlineStr">
        <x:is>
          <x:t xml:space="preserve">1995-12-20</x:t>
        </x:is>
      </x:c>
      <x:c r="J1012" s="3" t="inlineStr">
        <x:is>
          <x:t xml:space="preserve">成都市高新西区西芯大道5号</x:t>
        </x:is>
      </x:c>
      <x:c r="K1012" s="12" t="str">
        <x:f>LEFT("91510000201811723W",18)</x:f>
        <x:v>91510000201811723W</x:v>
      </x:c>
    </x:row>
    <x:row r="1013">
      <x:c r="A1013" s="4" t="n">
        <x:v>1012</x:v>
      </x:c>
      <x:c r="B1013" s="4" t="inlineStr">
        <x:is>
          <x:t xml:space="preserve">000593</x:t>
        </x:is>
      </x:c>
      <x:c r="C1013" s="5" t="inlineStr">
        <x:is>
          <x:t xml:space="preserve">德龙汇能</x:t>
        </x:is>
      </x:c>
      <x:c r="D1013" s="5" t="inlineStr">
        <x:is>
          <x:t xml:space="preserve">德龙汇能集团股份有限公司</x:t>
        </x:is>
      </x:c>
      <x:c r="E1013" s="4" t="inlineStr">
        <x:is>
          <x:t xml:space="preserve">四川省</x:t>
        </x:is>
      </x:c>
      <x:c r="F1013" s="4" t="inlineStr">
        <x:is>
          <x:t xml:space="preserve">成都市</x:t>
        </x:is>
      </x:c>
      <x:c r="G1013" s="5" t="inlineStr">
        <x:is>
          <x:t xml:space="preserve">四川省-成都市</x:t>
        </x:is>
      </x:c>
      <x:c r="H1013" s="4" t="inlineStr">
        <x:is>
          <x:t xml:space="preserve">燃气</x:t>
        </x:is>
      </x:c>
      <x:c r="I1013" s="4" t="inlineStr">
        <x:is>
          <x:t xml:space="preserve">1996-03-12</x:t>
        </x:is>
      </x:c>
      <x:c r="J1013" s="5" t="inlineStr">
        <x:is>
          <x:t xml:space="preserve">四川省成都市建设路55号</x:t>
        </x:is>
      </x:c>
      <x:c r="K1013" s="12" t="str">
        <x:f>LEFT("91510100201961879Q",18)</x:f>
        <x:v>91510100201961879Q</x:v>
      </x:c>
    </x:row>
    <x:row r="1014">
      <x:c r="A1014" s="2" t="n">
        <x:v>1013</x:v>
      </x:c>
      <x:c r="B1014" s="2" t="inlineStr">
        <x:is>
          <x:t xml:space="preserve">000598</x:t>
        </x:is>
      </x:c>
      <x:c r="C1014" s="3" t="inlineStr">
        <x:is>
          <x:t xml:space="preserve">兴蓉环境</x:t>
        </x:is>
      </x:c>
      <x:c r="D1014" s="3" t="inlineStr">
        <x:is>
          <x:t xml:space="preserve">成都市兴蓉环境股份有限公司</x:t>
        </x:is>
      </x:c>
      <x:c r="E1014" s="2" t="inlineStr">
        <x:is>
          <x:t xml:space="preserve">四川省</x:t>
        </x:is>
      </x:c>
      <x:c r="F1014" s="2" t="inlineStr">
        <x:is>
          <x:t xml:space="preserve">成都市</x:t>
        </x:is>
      </x:c>
      <x:c r="G1014" s="3" t="inlineStr">
        <x:is>
          <x:t xml:space="preserve">四川省-成都市</x:t>
        </x:is>
      </x:c>
      <x:c r="H1014" s="2" t="inlineStr">
        <x:is>
          <x:t xml:space="preserve">公用事业</x:t>
        </x:is>
      </x:c>
      <x:c r="I1014" s="2" t="inlineStr">
        <x:is>
          <x:t xml:space="preserve">1996-05-29</x:t>
        </x:is>
      </x:c>
      <x:c r="J1014" s="3" t="inlineStr">
        <x:is>
          <x:t xml:space="preserve">成都市青羊区光华东七路751号</x:t>
        </x:is>
      </x:c>
      <x:c r="K1014" s="12" t="str">
        <x:f>LEFT("91510100224367821D",18)</x:f>
        <x:v>91510100224367821D</x:v>
      </x:c>
    </x:row>
    <x:row r="1015">
      <x:c r="A1015" s="4" t="n">
        <x:v>1014</x:v>
      </x:c>
      <x:c r="B1015" s="4" t="inlineStr">
        <x:is>
          <x:t xml:space="preserve">000628</x:t>
        </x:is>
      </x:c>
      <x:c r="C1015" s="5" t="inlineStr">
        <x:is>
          <x:t xml:space="preserve">高新发展</x:t>
        </x:is>
      </x:c>
      <x:c r="D1015" s="5" t="inlineStr">
        <x:is>
          <x:t xml:space="preserve">成都高新发展股份有限公司</x:t>
        </x:is>
      </x:c>
      <x:c r="E1015" s="4" t="inlineStr">
        <x:is>
          <x:t xml:space="preserve">四川省</x:t>
        </x:is>
      </x:c>
      <x:c r="F1015" s="4" t="inlineStr">
        <x:is>
          <x:t xml:space="preserve">成都市</x:t>
        </x:is>
      </x:c>
      <x:c r="G1015" s="5" t="inlineStr">
        <x:is>
          <x:t xml:space="preserve">四川省-成都市</x:t>
        </x:is>
      </x:c>
      <x:c r="H1015" s="4" t="inlineStr">
        <x:is>
          <x:t xml:space="preserve">工程建设</x:t>
        </x:is>
      </x:c>
      <x:c r="I1015" s="4" t="inlineStr">
        <x:is>
          <x:t xml:space="preserve">1996-11-18</x:t>
        </x:is>
      </x:c>
      <x:c r="J1015" s="5" t="inlineStr">
        <x:is>
          <x:t xml:space="preserve">四川省成都市高新技术产业开发区</x:t>
        </x:is>
      </x:c>
      <x:c r="K1015" s="12" t="str">
        <x:f>LEFT("91510100201998129M",18)</x:f>
        <x:v>91510100201998129M</x:v>
      </x:c>
    </x:row>
    <x:row r="1016">
      <x:c r="A1016" s="2" t="n">
        <x:v>1015</x:v>
      </x:c>
      <x:c r="B1016" s="2" t="inlineStr">
        <x:is>
          <x:t xml:space="preserve">000629</x:t>
        </x:is>
      </x:c>
      <x:c r="C1016" s="3" t="inlineStr">
        <x:is>
          <x:t xml:space="preserve">钒钛股份</x:t>
        </x:is>
      </x:c>
      <x:c r="D1016" s="3" t="inlineStr">
        <x:is>
          <x:t xml:space="preserve">攀钢集团钒钛资源股份有限公司</x:t>
        </x:is>
      </x:c>
      <x:c r="E1016" s="2" t="inlineStr">
        <x:is>
          <x:t xml:space="preserve">四川省</x:t>
        </x:is>
      </x:c>
      <x:c r="F1016" s="2" t="inlineStr">
        <x:is>
          <x:t xml:space="preserve">攀枝花市</x:t>
        </x:is>
      </x:c>
      <x:c r="G1016" s="3" t="inlineStr">
        <x:is>
          <x:t xml:space="preserve">四川省-攀枝花市</x:t>
        </x:is>
      </x:c>
      <x:c r="H1016" s="2" t="inlineStr">
        <x:is>
          <x:t xml:space="preserve">钢铁行业</x:t>
        </x:is>
      </x:c>
      <x:c r="I1016" s="2" t="inlineStr">
        <x:is>
          <x:t xml:space="preserve">1996-11-15</x:t>
        </x:is>
      </x:c>
      <x:c r="J1016" s="3" t="inlineStr">
        <x:is>
          <x:t xml:space="preserve">四川省攀枝花市东区弄弄坪</x:t>
        </x:is>
      </x:c>
      <x:c r="K1016" s="12" t="str">
        <x:f>LEFT("91510400204360956E",18)</x:f>
        <x:v>91510400204360956E</x:v>
      </x:c>
    </x:row>
    <x:row r="1017">
      <x:c r="A1017" s="4" t="n">
        <x:v>1016</x:v>
      </x:c>
      <x:c r="B1017" s="4" t="inlineStr">
        <x:is>
          <x:t xml:space="preserve">000688</x:t>
        </x:is>
      </x:c>
      <x:c r="C1017" s="5" t="inlineStr">
        <x:is>
          <x:t xml:space="preserve">国城矿业</x:t>
        </x:is>
      </x:c>
      <x:c r="D1017" s="5" t="inlineStr">
        <x:is>
          <x:t xml:space="preserve">国城矿业股份有限公司</x:t>
        </x:is>
      </x:c>
      <x:c r="E1017" s="4" t="inlineStr">
        <x:is>
          <x:t xml:space="preserve">四川省</x:t>
        </x:is>
      </x:c>
      <x:c r="F1017" s="4" t="inlineStr">
        <x:is>
          <x:t xml:space="preserve">阿坝市</x:t>
        </x:is>
      </x:c>
      <x:c r="G1017" s="5" t="inlineStr">
        <x:is>
          <x:t xml:space="preserve">四川省-阿坝市</x:t>
        </x:is>
      </x:c>
      <x:c r="H1017" s="4" t="inlineStr">
        <x:is>
          <x:t xml:space="preserve">有色金属</x:t>
        </x:is>
      </x:c>
      <x:c r="I1017" s="4" t="inlineStr">
        <x:is>
          <x:t xml:space="preserve">1997-01-20</x:t>
        </x:is>
      </x:c>
      <x:c r="J1017" s="5" t="inlineStr">
        <x:is>
          <x:t xml:space="preserve">四川省阿坝藏族羌族自治州马尔康市绕城路1号婆陵甲萨小区1-1-2-1</x:t>
        </x:is>
      </x:c>
      <x:c r="K1017" s="12" t="str">
        <x:f>LEFT("91500102208551477X",18)</x:f>
        <x:v>91500102208551477X</x:v>
      </x:c>
    </x:row>
    <x:row r="1018">
      <x:c r="A1018" s="2" t="n">
        <x:v>1017</x:v>
      </x:c>
      <x:c r="B1018" s="2" t="inlineStr">
        <x:is>
          <x:t xml:space="preserve">000710</x:t>
        </x:is>
      </x:c>
      <x:c r="C1018" s="3" t="inlineStr">
        <x:is>
          <x:t xml:space="preserve">贝瑞基因</x:t>
        </x:is>
      </x:c>
      <x:c r="D1018" s="3" t="inlineStr">
        <x:is>
          <x:t xml:space="preserve">成都市贝瑞和康基因技术股份有限公司</x:t>
        </x:is>
      </x:c>
      <x:c r="E1018" s="2" t="inlineStr">
        <x:is>
          <x:t xml:space="preserve">四川省</x:t>
        </x:is>
      </x:c>
      <x:c r="F1018" s="2" t="inlineStr">
        <x:is>
          <x:t xml:space="preserve">成都市</x:t>
        </x:is>
      </x:c>
      <x:c r="G1018" s="3" t="inlineStr">
        <x:is>
          <x:t xml:space="preserve">四川省-成都市</x:t>
        </x:is>
      </x:c>
      <x:c r="H1018" s="2" t="inlineStr">
        <x:is>
          <x:t xml:space="preserve">医疗器械</x:t>
        </x:is>
      </x:c>
      <x:c r="I1018" s="2" t="inlineStr">
        <x:is>
          <x:t xml:space="preserve">1997-04-22</x:t>
        </x:is>
      </x:c>
      <x:c r="J1018" s="3" t="inlineStr">
        <x:is>
          <x:t xml:space="preserve">四川省成都经济技术开发区(龙泉驿区)成都汽车城大道333号</x:t>
        </x:is>
      </x:c>
      <x:c r="K1018" s="12" t="str">
        <x:f>LEFT("91510112633134930L",18)</x:f>
        <x:v>91510112633134930L</x:v>
      </x:c>
    </x:row>
    <x:row r="1019">
      <x:c r="A1019" s="4" t="n">
        <x:v>1018</x:v>
      </x:c>
      <x:c r="B1019" s="4" t="inlineStr">
        <x:is>
          <x:t xml:space="preserve">000731</x:t>
        </x:is>
      </x:c>
      <x:c r="C1019" s="5" t="inlineStr">
        <x:is>
          <x:t xml:space="preserve">四川美丰</x:t>
        </x:is>
      </x:c>
      <x:c r="D1019" s="5" t="inlineStr">
        <x:is>
          <x:t xml:space="preserve">四川美丰化工股份有限公司</x:t>
        </x:is>
      </x:c>
      <x:c r="E1019" s="4" t="inlineStr">
        <x:is>
          <x:t xml:space="preserve">四川省</x:t>
        </x:is>
      </x:c>
      <x:c r="F1019" s="4" t="inlineStr">
        <x:is>
          <x:t xml:space="preserve">遂宁市</x:t>
        </x:is>
      </x:c>
      <x:c r="G1019" s="5" t="inlineStr">
        <x:is>
          <x:t xml:space="preserve">四川省-遂宁市</x:t>
        </x:is>
      </x:c>
      <x:c r="H1019" s="4" t="inlineStr">
        <x:is>
          <x:t xml:space="preserve">化肥行业</x:t>
        </x:is>
      </x:c>
      <x:c r="I1019" s="4" t="inlineStr">
        <x:is>
          <x:t xml:space="preserve">1997-06-17</x:t>
        </x:is>
      </x:c>
      <x:c r="J1019" s="5" t="inlineStr">
        <x:is>
          <x:t xml:space="preserve">四川省遂宁市射洪市经济开发区河东大道55号</x:t>
        </x:is>
      </x:c>
      <x:c r="K1019" s="12" t="str">
        <x:f>LEFT("915109002063594815",18)</x:f>
        <x:v>915109002063594800</x:v>
      </x:c>
    </x:row>
    <x:row r="1020">
      <x:c r="A1020" s="2" t="n">
        <x:v>1019</x:v>
      </x:c>
      <x:c r="B1020" s="2" t="inlineStr">
        <x:is>
          <x:t xml:space="preserve">000757</x:t>
        </x:is>
      </x:c>
      <x:c r="C1020" s="3" t="inlineStr">
        <x:is>
          <x:t xml:space="preserve">浩物股份</x:t>
        </x:is>
      </x:c>
      <x:c r="D1020" s="3" t="inlineStr">
        <x:is>
          <x:t xml:space="preserve">四川浩物机电股份有限公司</x:t>
        </x:is>
      </x:c>
      <x:c r="E1020" s="2" t="inlineStr">
        <x:is>
          <x:t xml:space="preserve">四川省</x:t>
        </x:is>
      </x:c>
      <x:c r="F1020" s="2" t="inlineStr">
        <x:is>
          <x:t xml:space="preserve">内江市</x:t>
        </x:is>
      </x:c>
      <x:c r="G1020" s="3" t="inlineStr">
        <x:is>
          <x:t xml:space="preserve">四川省-内江市</x:t>
        </x:is>
      </x:c>
      <x:c r="H1020" s="2" t="inlineStr">
        <x:is>
          <x:t xml:space="preserve">汽车服务</x:t>
        </x:is>
      </x:c>
      <x:c r="I1020" s="2" t="inlineStr">
        <x:is>
          <x:t xml:space="preserve">1997-06-27</x:t>
        </x:is>
      </x:c>
      <x:c r="J1020" s="3" t="inlineStr">
        <x:is>
          <x:t xml:space="preserve">四川省内江市市中区汉渝大道1558号</x:t>
        </x:is>
      </x:c>
      <x:c r="K1020" s="12" t="str">
        <x:f>LEFT("9151100020642014XY",18)</x:f>
        <x:v>9151100020642014XY</x:v>
      </x:c>
    </x:row>
    <x:row r="1021">
      <x:c r="A1021" s="4" t="n">
        <x:v>1020</x:v>
      </x:c>
      <x:c r="B1021" s="4" t="inlineStr">
        <x:is>
          <x:t xml:space="preserve">000790</x:t>
        </x:is>
      </x:c>
      <x:c r="C1021" s="5" t="inlineStr">
        <x:is>
          <x:t xml:space="preserve">华神科技</x:t>
        </x:is>
      </x:c>
      <x:c r="D1021" s="5" t="inlineStr">
        <x:is>
          <x:t xml:space="preserve">成都华神科技集团股份有限公司</x:t>
        </x:is>
      </x:c>
      <x:c r="E1021" s="4" t="inlineStr">
        <x:is>
          <x:t xml:space="preserve">四川省</x:t>
        </x:is>
      </x:c>
      <x:c r="F1021" s="4" t="inlineStr">
        <x:is>
          <x:t xml:space="preserve">成都市</x:t>
        </x:is>
      </x:c>
      <x:c r="G1021" s="5" t="inlineStr">
        <x:is>
          <x:t xml:space="preserve">四川省-成都市</x:t>
        </x:is>
      </x:c>
      <x:c r="H1021" s="4" t="inlineStr">
        <x:is>
          <x:t xml:space="preserve">中药</x:t>
        </x:is>
      </x:c>
      <x:c r="I1021" s="4" t="inlineStr">
        <x:is>
          <x:t xml:space="preserve">1998-03-27</x:t>
        </x:is>
      </x:c>
      <x:c r="J1021" s="5" t="inlineStr">
        <x:is>
          <x:t xml:space="preserve">成都高新区(西区)蜀新大道1168号2栋1楼101号</x:t>
        </x:is>
      </x:c>
      <x:c r="K1021" s="12" t="str">
        <x:f>LEFT("91510100201958223R",18)</x:f>
        <x:v>91510100201958223R</x:v>
      </x:c>
    </x:row>
    <x:row r="1022">
      <x:c r="A1022" s="2" t="n">
        <x:v>1021</x:v>
      </x:c>
      <x:c r="B1022" s="2" t="inlineStr">
        <x:is>
          <x:t xml:space="preserve">000801</x:t>
        </x:is>
      </x:c>
      <x:c r="C1022" s="3" t="inlineStr">
        <x:is>
          <x:t xml:space="preserve">四川九洲</x:t>
        </x:is>
      </x:c>
      <x:c r="D1022" s="3" t="inlineStr">
        <x:is>
          <x:t xml:space="preserve">四川九洲电器股份有限公司</x:t>
        </x:is>
      </x:c>
      <x:c r="E1022" s="2" t="inlineStr">
        <x:is>
          <x:t xml:space="preserve">四川省</x:t>
        </x:is>
      </x:c>
      <x:c r="F1022" s="2" t="inlineStr">
        <x:is>
          <x:t xml:space="preserve">绵阳市</x:t>
        </x:is>
      </x:c>
      <x:c r="G1022" s="3" t="inlineStr">
        <x:is>
          <x:t xml:space="preserve">四川省-绵阳市</x:t>
        </x:is>
      </x:c>
      <x:c r="H1022" s="2" t="inlineStr">
        <x:is>
          <x:t xml:space="preserve">家电行业</x:t>
        </x:is>
      </x:c>
      <x:c r="I1022" s="2" t="inlineStr">
        <x:is>
          <x:t xml:space="preserve">1998-05-06</x:t>
        </x:is>
      </x:c>
      <x:c r="J1022" s="3" t="inlineStr">
        <x:is>
          <x:t xml:space="preserve">四川省绵阳市科创园区九洲大道259号</x:t>
        </x:is>
      </x:c>
      <x:c r="K1022" s="12" t="str">
        <x:f>LEFT("91510700205402433Y",18)</x:f>
        <x:v>91510700205402433Y</x:v>
      </x:c>
    </x:row>
    <x:row r="1023">
      <x:c r="A1023" s="4" t="n">
        <x:v>1022</x:v>
      </x:c>
      <x:c r="B1023" s="4" t="inlineStr">
        <x:is>
          <x:t xml:space="preserve">000803</x:t>
        </x:is>
      </x:c>
      <x:c r="C1023" s="5" t="inlineStr">
        <x:is>
          <x:t xml:space="preserve">山高环能</x:t>
        </x:is>
      </x:c>
      <x:c r="D1023" s="5" t="inlineStr">
        <x:is>
          <x:t xml:space="preserve">山高环能集团股份有限公司</x:t>
        </x:is>
      </x:c>
      <x:c r="E1023" s="4" t="inlineStr">
        <x:is>
          <x:t xml:space="preserve">四川省</x:t>
        </x:is>
      </x:c>
      <x:c r="F1023" s="4" t="inlineStr">
        <x:is>
          <x:t xml:space="preserve">南充市</x:t>
        </x:is>
      </x:c>
      <x:c r="G1023" s="5" t="inlineStr">
        <x:is>
          <x:t xml:space="preserve">四川省-南充市</x:t>
        </x:is>
      </x:c>
      <x:c r="H1023" s="4" t="inlineStr">
        <x:is>
          <x:t xml:space="preserve">综合行业</x:t>
        </x:is>
      </x:c>
      <x:c r="I1023" s="4" t="inlineStr">
        <x:is>
          <x:t xml:space="preserve">1998-03-03</x:t>
        </x:is>
      </x:c>
      <x:c r="J1023" s="5" t="inlineStr">
        <x:is>
          <x:t xml:space="preserve">四川省南充市顺庆区潆华南路一段9号仁和春天花园8号楼12层4号</x:t>
        </x:is>
      </x:c>
      <x:c r="K1023" s="12" t="str">
        <x:f>LEFT("91511300209454038D",18)</x:f>
        <x:v>91511300209454038D</x:v>
      </x:c>
    </x:row>
    <x:row r="1024">
      <x:c r="A1024" s="2" t="n">
        <x:v>1023</x:v>
      </x:c>
      <x:c r="B1024" s="2" t="inlineStr">
        <x:is>
          <x:t xml:space="preserve">000810</x:t>
        </x:is>
      </x:c>
      <x:c r="C1024" s="3" t="inlineStr">
        <x:is>
          <x:t xml:space="preserve">创维数字</x:t>
        </x:is>
      </x:c>
      <x:c r="D1024" s="3" t="inlineStr">
        <x:is>
          <x:t xml:space="preserve">创维数字股份有限公司</x:t>
        </x:is>
      </x:c>
      <x:c r="E1024" s="2" t="inlineStr">
        <x:is>
          <x:t xml:space="preserve">四川省</x:t>
        </x:is>
      </x:c>
      <x:c r="F1024" s="2" t="inlineStr">
        <x:is>
          <x:t xml:space="preserve">遂宁市</x:t>
        </x:is>
      </x:c>
      <x:c r="G1024" s="3" t="inlineStr">
        <x:is>
          <x:t xml:space="preserve">四川省-遂宁市</x:t>
        </x:is>
      </x:c>
      <x:c r="H1024" s="2" t="inlineStr">
        <x:is>
          <x:t xml:space="preserve">通信设备</x:t>
        </x:is>
      </x:c>
      <x:c r="I1024" s="2" t="inlineStr">
        <x:is>
          <x:t xml:space="preserve">1998-06-02</x:t>
        </x:is>
      </x:c>
      <x:c r="J1024" s="3" t="inlineStr">
        <x:is>
          <x:t xml:space="preserve">四川省遂宁市经济技术开发区西宁片区台商工业园内</x:t>
        </x:is>
      </x:c>
      <x:c r="K1024" s="12" t="str">
        <x:f>LEFT("91510900708989141U",18)</x:f>
        <x:v>91510900708989141U</x:v>
      </x:c>
    </x:row>
    <x:row r="1025">
      <x:c r="A1025" s="4" t="n">
        <x:v>1024</x:v>
      </x:c>
      <x:c r="B1025" s="4" t="inlineStr">
        <x:is>
          <x:t xml:space="preserve">000858</x:t>
        </x:is>
      </x:c>
      <x:c r="C1025" s="5" t="inlineStr">
        <x:is>
          <x:t xml:space="preserve">五粮液</x:t>
        </x:is>
      </x:c>
      <x:c r="D1025" s="5" t="inlineStr">
        <x:is>
          <x:t xml:space="preserve">宜宾五粮液股份有限公司</x:t>
        </x:is>
      </x:c>
      <x:c r="E1025" s="4" t="inlineStr">
        <x:is>
          <x:t xml:space="preserve">四川省</x:t>
        </x:is>
      </x:c>
      <x:c r="F1025" s="4" t="inlineStr">
        <x:is>
          <x:t xml:space="preserve">宜宾市</x:t>
        </x:is>
      </x:c>
      <x:c r="G1025" s="5" t="inlineStr">
        <x:is>
          <x:t xml:space="preserve">四川省-宜宾市</x:t>
        </x:is>
      </x:c>
      <x:c r="H1025" s="4" t="inlineStr">
        <x:is>
          <x:t xml:space="preserve">酿酒行业</x:t>
        </x:is>
      </x:c>
      <x:c r="I1025" s="4" t="inlineStr">
        <x:is>
          <x:t xml:space="preserve">1998-04-27</x:t>
        </x:is>
      </x:c>
      <x:c r="J1025" s="5" t="inlineStr">
        <x:is>
          <x:t xml:space="preserve">四川省宜宾市翠屏区岷江西路150号</x:t>
        </x:is>
      </x:c>
      <x:c r="K1025" s="12" t="str">
        <x:f>LEFT("91511500MA62A0WM8P",18)</x:f>
        <x:v>91511500MA62A0WM8P</x:v>
      </x:c>
    </x:row>
    <x:row r="1026">
      <x:c r="A1026" s="2" t="n">
        <x:v>1025</x:v>
      </x:c>
      <x:c r="B1026" s="2" t="inlineStr">
        <x:is>
          <x:t xml:space="preserve">000876</x:t>
        </x:is>
      </x:c>
      <x:c r="C1026" s="3" t="inlineStr">
        <x:is>
          <x:t xml:space="preserve">新希望</x:t>
        </x:is>
      </x:c>
      <x:c r="D1026" s="3" t="inlineStr">
        <x:is>
          <x:t xml:space="preserve">新希望六和股份有限公司</x:t>
        </x:is>
      </x:c>
      <x:c r="E1026" s="2" t="inlineStr">
        <x:is>
          <x:t xml:space="preserve">四川省</x:t>
        </x:is>
      </x:c>
      <x:c r="F1026" s="2" t="inlineStr">
        <x:is>
          <x:t xml:space="preserve">绵阳市</x:t>
        </x:is>
      </x:c>
      <x:c r="G1026" s="3" t="inlineStr">
        <x:is>
          <x:t xml:space="preserve">四川省-绵阳市</x:t>
        </x:is>
      </x:c>
      <x:c r="H1026" s="2" t="inlineStr">
        <x:is>
          <x:t xml:space="preserve">农牧饲渔</x:t>
        </x:is>
      </x:c>
      <x:c r="I1026" s="2" t="inlineStr">
        <x:is>
          <x:t xml:space="preserve">1998-03-11</x:t>
        </x:is>
      </x:c>
      <x:c r="J1026" s="3" t="inlineStr">
        <x:is>
          <x:t xml:space="preserve">四川省绵阳市国家高新技术产业开发区</x:t>
        </x:is>
      </x:c>
      <x:c r="K1026" s="12" t="str">
        <x:f>LEFT("91510000709151981F",18)</x:f>
        <x:v>91510000709151981F</x:v>
      </x:c>
    </x:row>
    <x:row r="1027">
      <x:c r="A1027" s="4" t="n">
        <x:v>1026</x:v>
      </x:c>
      <x:c r="B1027" s="4" t="inlineStr">
        <x:is>
          <x:t xml:space="preserve">000888</x:t>
        </x:is>
      </x:c>
      <x:c r="C1027" s="5" t="inlineStr">
        <x:is>
          <x:t xml:space="preserve">峨眉山A</x:t>
        </x:is>
      </x:c>
      <x:c r="D1027" s="5" t="inlineStr">
        <x:is>
          <x:t xml:space="preserve">峨眉山旅游股份有限公司</x:t>
        </x:is>
      </x:c>
      <x:c r="E1027" s="4" t="inlineStr">
        <x:is>
          <x:t xml:space="preserve">四川省</x:t>
        </x:is>
      </x:c>
      <x:c r="F1027" s="4" t="inlineStr">
        <x:is>
          <x:t xml:space="preserve">乐山市</x:t>
        </x:is>
      </x:c>
      <x:c r="G1027" s="5" t="inlineStr">
        <x:is>
          <x:t xml:space="preserve">四川省-乐山市</x:t>
        </x:is>
      </x:c>
      <x:c r="H1027" s="4" t="inlineStr">
        <x:is>
          <x:t xml:space="preserve">旅游酒店</x:t>
        </x:is>
      </x:c>
      <x:c r="I1027" s="4" t="inlineStr">
        <x:is>
          <x:t xml:space="preserve">1997-10-21</x:t>
        </x:is>
      </x:c>
      <x:c r="J1027" s="5" t="inlineStr">
        <x:is>
          <x:t xml:space="preserve">乐山市峨眉山市名山南路639号</x:t>
        </x:is>
      </x:c>
      <x:c r="K1027" s="12" t="str">
        <x:f>LEFT("91510000201884316A",18)</x:f>
        <x:v>91510000201884316A</x:v>
      </x:c>
    </x:row>
    <x:row r="1028">
      <x:c r="A1028" s="2" t="n">
        <x:v>1027</x:v>
      </x:c>
      <x:c r="B1028" s="2" t="inlineStr">
        <x:is>
          <x:t xml:space="preserve">000912</x:t>
        </x:is>
      </x:c>
      <x:c r="C1028" s="3" t="inlineStr">
        <x:is>
          <x:t xml:space="preserve">泸天化</x:t>
        </x:is>
      </x:c>
      <x:c r="D1028" s="3" t="inlineStr">
        <x:is>
          <x:t xml:space="preserve">四川泸天化股份有限公司</x:t>
        </x:is>
      </x:c>
      <x:c r="E1028" s="2" t="inlineStr">
        <x:is>
          <x:t xml:space="preserve">四川省</x:t>
        </x:is>
      </x:c>
      <x:c r="F1028" s="2" t="inlineStr">
        <x:is>
          <x:t xml:space="preserve">泸州市</x:t>
        </x:is>
      </x:c>
      <x:c r="G1028" s="3" t="inlineStr">
        <x:is>
          <x:t xml:space="preserve">四川省-泸州市</x:t>
        </x:is>
      </x:c>
      <x:c r="H1028" s="2" t="inlineStr">
        <x:is>
          <x:t xml:space="preserve">化肥行业</x:t>
        </x:is>
      </x:c>
      <x:c r="I1028" s="2" t="inlineStr">
        <x:is>
          <x:t xml:space="preserve">1999-06-03</x:t>
        </x:is>
      </x:c>
      <x:c r="J1028" s="3" t="inlineStr">
        <x:is>
          <x:t xml:space="preserve">四川省泸州市纳溪区李子林路38号</x:t>
        </x:is>
      </x:c>
      <x:c r="K1028" s="12" t="str">
        <x:f>LEFT("91510500711880825C",18)</x:f>
        <x:v>91510500711880825C</x:v>
      </x:c>
    </x:row>
    <x:row r="1029">
      <x:c r="A1029" s="4" t="n">
        <x:v>1028</x:v>
      </x:c>
      <x:c r="B1029" s="4" t="inlineStr">
        <x:is>
          <x:t xml:space="preserve">000935</x:t>
        </x:is>
      </x:c>
      <x:c r="C1029" s="5" t="inlineStr">
        <x:is>
          <x:t xml:space="preserve">四川双马</x:t>
        </x:is>
      </x:c>
      <x:c r="D1029" s="5" t="inlineStr">
        <x:is>
          <x:t xml:space="preserve">四川和谐双马股份有限公司</x:t>
        </x:is>
      </x:c>
      <x:c r="E1029" s="4" t="inlineStr">
        <x:is>
          <x:t xml:space="preserve">四川省</x:t>
        </x:is>
      </x:c>
      <x:c r="F1029" s="4" t="inlineStr">
        <x:is>
          <x:t xml:space="preserve">川省江油市</x:t>
        </x:is>
      </x:c>
      <x:c r="G1029" s="5" t="inlineStr">
        <x:is>
          <x:t xml:space="preserve">四川省-川省江油市</x:t>
        </x:is>
      </x:c>
      <x:c r="H1029" s="4" t="inlineStr">
        <x:is>
          <x:t xml:space="preserve">水泥建材</x:t>
        </x:is>
      </x:c>
      <x:c r="I1029" s="4" t="inlineStr">
        <x:is>
          <x:t xml:space="preserve">1999-08-24</x:t>
        </x:is>
      </x:c>
      <x:c r="J1029" s="5" t="inlineStr">
        <x:is>
          <x:t xml:space="preserve">四川省江油市二郎庙镇</x:t>
        </x:is>
      </x:c>
      <x:c r="K1029" s="12" t="str">
        <x:f>LEFT("91510000709159078T",18)</x:f>
        <x:v>91510000709159078T</x:v>
      </x:c>
    </x:row>
    <x:row r="1030">
      <x:c r="A1030" s="2" t="n">
        <x:v>1029</x:v>
      </x:c>
      <x:c r="B1030" s="2" t="inlineStr">
        <x:is>
          <x:t xml:space="preserve">001288</x:t>
        </x:is>
      </x:c>
      <x:c r="C1030" s="3" t="inlineStr">
        <x:is>
          <x:t xml:space="preserve">运机集团</x:t>
        </x:is>
      </x:c>
      <x:c r="D1030" s="3" t="inlineStr">
        <x:is>
          <x:t xml:space="preserve">四川省自贡运输机械集团股份有限公司</x:t>
        </x:is>
      </x:c>
      <x:c r="E1030" s="2" t="inlineStr">
        <x:is>
          <x:t xml:space="preserve">四川省</x:t>
        </x:is>
      </x:c>
      <x:c r="F1030" s="2" t="inlineStr">
        <x:is>
          <x:t xml:space="preserve">自贡市</x:t>
        </x:is>
      </x:c>
      <x:c r="G1030" s="3" t="inlineStr">
        <x:is>
          <x:t xml:space="preserve">四川省-自贡市</x:t>
        </x:is>
      </x:c>
      <x:c r="H1030" s="2" t="inlineStr">
        <x:is>
          <x:t xml:space="preserve">工程机械</x:t>
        </x:is>
      </x:c>
      <x:c r="I1030" s="2" t="inlineStr">
        <x:is>
          <x:t xml:space="preserve">2021-11-01</x:t>
        </x:is>
      </x:c>
      <x:c r="J1030" s="3" t="inlineStr">
        <x:is>
          <x:t xml:space="preserve">自贡市高新工业园区富川路3号</x:t>
        </x:is>
      </x:c>
      <x:c r="K1030" s="12" t="str">
        <x:f>LEFT("91510300694828522T",18)</x:f>
        <x:v>91510300694828522T</x:v>
      </x:c>
    </x:row>
    <x:row r="1031">
      <x:c r="A1031" s="4" t="n">
        <x:v>1030</x:v>
      </x:c>
      <x:c r="B1031" s="4" t="inlineStr">
        <x:is>
          <x:t xml:space="preserve">001337</x:t>
        </x:is>
      </x:c>
      <x:c r="C1031" s="5" t="inlineStr">
        <x:is>
          <x:t xml:space="preserve">四川黄金</x:t>
        </x:is>
      </x:c>
      <x:c r="D1031" s="5" t="inlineStr">
        <x:is>
          <x:t xml:space="preserve">四川黄金股份有限公司</x:t>
        </x:is>
      </x:c>
      <x:c r="E1031" s="4" t="inlineStr">
        <x:is>
          <x:t xml:space="preserve">四川省</x:t>
        </x:is>
      </x:c>
      <x:c r="F1031" s="4" t="inlineStr">
        <x:is>
          <x:t xml:space="preserve">凉山彝族自治州</x:t>
        </x:is>
      </x:c>
      <x:c r="G1031" s="5" t="inlineStr">
        <x:is>
          <x:t xml:space="preserve">四川省-凉山彝族自治州</x:t>
        </x:is>
      </x:c>
      <x:c r="H1031" s="4" t="inlineStr">
        <x:is>
          <x:t xml:space="preserve">贵金属</x:t>
        </x:is>
      </x:c>
      <x:c r="I1031" s="4" t="inlineStr">
        <x:is>
          <x:t xml:space="preserve">2023-03-03</x:t>
        </x:is>
      </x:c>
      <x:c r="J1031" s="5" t="inlineStr">
        <x:is>
          <x:t xml:space="preserve">木里县乔瓦镇龙钦街26号</x:t>
        </x:is>
      </x:c>
      <x:c r="K1031" s="12" t="str">
        <x:f>LEFT("91513422791825286M",18)</x:f>
        <x:v>91513422791825286M</x:v>
      </x:c>
    </x:row>
    <x:row r="1032">
      <x:c r="A1032" s="2" t="n">
        <x:v>1031</x:v>
      </x:c>
      <x:c r="B1032" s="2" t="inlineStr">
        <x:is>
          <x:t xml:space="preserve">002023</x:t>
        </x:is>
      </x:c>
      <x:c r="C1032" s="3" t="inlineStr">
        <x:is>
          <x:t xml:space="preserve">海特高新</x:t>
        </x:is>
      </x:c>
      <x:c r="D1032" s="3" t="inlineStr">
        <x:is>
          <x:t xml:space="preserve">四川海特高新技术股份有限公司</x:t>
        </x:is>
      </x:c>
      <x:c r="E1032" s="2" t="inlineStr">
        <x:is>
          <x:t xml:space="preserve">四川省</x:t>
        </x:is>
      </x:c>
      <x:c r="F1032" s="2" t="inlineStr">
        <x:is>
          <x:t xml:space="preserve">成都市</x:t>
        </x:is>
      </x:c>
      <x:c r="G1032" s="3" t="inlineStr">
        <x:is>
          <x:t xml:space="preserve">四川省-成都市</x:t>
        </x:is>
      </x:c>
      <x:c r="H1032" s="2" t="inlineStr">
        <x:is>
          <x:t xml:space="preserve">航天航空</x:t>
        </x:is>
      </x:c>
      <x:c r="I1032" s="2" t="inlineStr">
        <x:is>
          <x:t xml:space="preserve">2004-07-21</x:t>
        </x:is>
      </x:c>
      <x:c r="J1032" s="3" t="inlineStr">
        <x:is>
          <x:t xml:space="preserve">成都高新区科园南路1号</x:t>
        </x:is>
      </x:c>
      <x:c r="K1032" s="12" t="str">
        <x:f>LEFT("91510000201824612G",18)</x:f>
        <x:v>91510000201824612G</x:v>
      </x:c>
    </x:row>
    <x:row r="1033">
      <x:c r="A1033" s="4" t="n">
        <x:v>1032</x:v>
      </x:c>
      <x:c r="B1033" s="4" t="inlineStr">
        <x:is>
          <x:t xml:space="preserve">002190</x:t>
        </x:is>
      </x:c>
      <x:c r="C1033" s="5" t="inlineStr">
        <x:is>
          <x:t xml:space="preserve">成飞集成</x:t>
        </x:is>
      </x:c>
      <x:c r="D1033" s="5" t="inlineStr">
        <x:is>
          <x:t xml:space="preserve">四川成飞集成科技股份有限公司</x:t>
        </x:is>
      </x:c>
      <x:c r="E1033" s="4" t="inlineStr">
        <x:is>
          <x:t xml:space="preserve">四川省</x:t>
        </x:is>
      </x:c>
      <x:c r="F1033" s="4" t="inlineStr">
        <x:is>
          <x:t xml:space="preserve">成都市</x:t>
        </x:is>
      </x:c>
      <x:c r="G1033" s="5" t="inlineStr">
        <x:is>
          <x:t xml:space="preserve">四川省-成都市</x:t>
        </x:is>
      </x:c>
      <x:c r="H1033" s="4" t="inlineStr">
        <x:is>
          <x:t xml:space="preserve">汽车零部件</x:t>
        </x:is>
      </x:c>
      <x:c r="I1033" s="4" t="inlineStr">
        <x:is>
          <x:t xml:space="preserve">2007-12-03</x:t>
        </x:is>
      </x:c>
      <x:c r="J1033" s="5" t="inlineStr">
        <x:is>
          <x:t xml:space="preserve">成都高新区高朋大道5号(创新服务中心)</x:t>
        </x:is>
      </x:c>
      <x:c r="K1033" s="12" t="str">
        <x:f>LEFT("91510100725369155J",18)</x:f>
        <x:v>91510100725369155J</x:v>
      </x:c>
    </x:row>
    <x:row r="1034">
      <x:c r="A1034" s="2" t="n">
        <x:v>1033</x:v>
      </x:c>
      <x:c r="B1034" s="2" t="inlineStr">
        <x:is>
          <x:t xml:space="preserve">002240</x:t>
        </x:is>
      </x:c>
      <x:c r="C1034" s="3" t="inlineStr">
        <x:is>
          <x:t xml:space="preserve">盛新锂能</x:t>
        </x:is>
      </x:c>
      <x:c r="D1034" s="3" t="inlineStr">
        <x:is>
          <x:t xml:space="preserve">盛新锂能集团股份有限公司</x:t>
        </x:is>
      </x:c>
      <x:c r="E1034" s="2" t="inlineStr">
        <x:is>
          <x:t xml:space="preserve">四川省</x:t>
        </x:is>
      </x:c>
      <x:c r="F1034" s="2" t="inlineStr">
        <x:is>
          <x:t xml:space="preserve">成都市</x:t>
        </x:is>
      </x:c>
      <x:c r="G1034" s="3" t="inlineStr">
        <x:is>
          <x:t xml:space="preserve">四川省-成都市</x:t>
        </x:is>
      </x:c>
      <x:c r="H1034" s="2" t="inlineStr">
        <x:is>
          <x:t xml:space="preserve">能源金属</x:t>
        </x:is>
      </x:c>
      <x:c r="I1034" s="2" t="inlineStr">
        <x:is>
          <x:t xml:space="preserve">2008-05-23</x:t>
        </x:is>
      </x:c>
      <x:c r="J1034" s="3" t="inlineStr">
        <x:is>
          <x:t xml:space="preserve">四川省成都市双流区空港商务区成双大道空港云</x:t>
        </x:is>
      </x:c>
      <x:c r="K1034" s="12" t="str">
        <x:f>LEFT("914400006179302676",18)</x:f>
        <x:v>914400006179302700</x:v>
      </x:c>
    </x:row>
    <x:row r="1035">
      <x:c r="A1035" s="4" t="n">
        <x:v>1034</x:v>
      </x:c>
      <x:c r="B1035" s="4" t="inlineStr">
        <x:is>
          <x:t xml:space="preserve">002246</x:t>
        </x:is>
      </x:c>
      <x:c r="C1035" s="5" t="inlineStr">
        <x:is>
          <x:t xml:space="preserve">北化股份</x:t>
        </x:is>
      </x:c>
      <x:c r="D1035" s="5" t="inlineStr">
        <x:is>
          <x:t xml:space="preserve">北方化学工业股份有限公司</x:t>
        </x:is>
      </x:c>
      <x:c r="E1035" s="4" t="inlineStr">
        <x:is>
          <x:t xml:space="preserve">四川省</x:t>
        </x:is>
      </x:c>
      <x:c r="F1035" s="4" t="inlineStr">
        <x:is>
          <x:t xml:space="preserve">泸州市</x:t>
        </x:is>
      </x:c>
      <x:c r="G1035" s="5" t="inlineStr">
        <x:is>
          <x:t xml:space="preserve">四川省-泸州市</x:t>
        </x:is>
      </x:c>
      <x:c r="H1035" s="4" t="inlineStr">
        <x:is>
          <x:t xml:space="preserve">化工行业</x:t>
        </x:is>
      </x:c>
      <x:c r="I1035" s="4" t="inlineStr">
        <x:is>
          <x:t xml:space="preserve">2008-06-05</x:t>
        </x:is>
      </x:c>
      <x:c r="J1035" s="5" t="inlineStr">
        <x:is>
          <x:t xml:space="preserve">四川省泸州市高坝</x:t>
        </x:is>
      </x:c>
      <x:c r="K1035" s="12" t="str">
        <x:f>LEFT("915100007422540773",18)</x:f>
        <x:v>915100007422540800</x:v>
      </x:c>
    </x:row>
    <x:row r="1036">
      <x:c r="A1036" s="2" t="n">
        <x:v>1035</x:v>
      </x:c>
      <x:c r="B1036" s="2" t="inlineStr">
        <x:is>
          <x:t xml:space="preserve">002253</x:t>
        </x:is>
      </x:c>
      <x:c r="C1036" s="3" t="inlineStr">
        <x:is>
          <x:t xml:space="preserve">*ST智胜</x:t>
        </x:is>
      </x:c>
      <x:c r="D1036" s="3" t="inlineStr">
        <x:is>
          <x:t xml:space="preserve">四川川大智胜软件股份有限公司</x:t>
        </x:is>
      </x:c>
      <x:c r="E1036" s="2" t="inlineStr">
        <x:is>
          <x:t xml:space="preserve">四川省</x:t>
        </x:is>
      </x:c>
      <x:c r="F1036" s="2" t="inlineStr">
        <x:is>
          <x:t xml:space="preserve">成都市</x:t>
        </x:is>
      </x:c>
      <x:c r="G1036" s="3" t="inlineStr">
        <x:is>
          <x:t xml:space="preserve">四川省-成都市</x:t>
        </x:is>
      </x:c>
      <x:c r="H1036" s="2" t="inlineStr">
        <x:is>
          <x:t xml:space="preserve">软件服务</x:t>
        </x:is>
      </x:c>
      <x:c r="I1036" s="2" t="inlineStr">
        <x:is>
          <x:t xml:space="preserve">2008-06-23</x:t>
        </x:is>
      </x:c>
      <x:c r="J1036" s="3" t="inlineStr">
        <x:is>
          <x:t xml:space="preserve">成都市武科东一路七号</x:t>
        </x:is>
      </x:c>
      <x:c r="K1036" s="12" t="str">
        <x:f>LEFT("91510100723431912P",18)</x:f>
        <x:v>91510100723431912P</x:v>
      </x:c>
    </x:row>
    <x:row r="1037">
      <x:c r="A1037" s="4" t="n">
        <x:v>1036</x:v>
      </x:c>
      <x:c r="B1037" s="4" t="inlineStr">
        <x:is>
          <x:t xml:space="preserve">002258</x:t>
        </x:is>
      </x:c>
      <x:c r="C1037" s="5" t="inlineStr">
        <x:is>
          <x:t xml:space="preserve">利尔化学</x:t>
        </x:is>
      </x:c>
      <x:c r="D1037" s="5" t="inlineStr">
        <x:is>
          <x:t xml:space="preserve">利尔化学股份有限公司</x:t>
        </x:is>
      </x:c>
      <x:c r="E1037" s="4" t="inlineStr">
        <x:is>
          <x:t xml:space="preserve">四川省</x:t>
        </x:is>
      </x:c>
      <x:c r="F1037" s="4" t="inlineStr">
        <x:is>
          <x:t xml:space="preserve">绵阳市</x:t>
        </x:is>
      </x:c>
      <x:c r="G1037" s="5" t="inlineStr">
        <x:is>
          <x:t xml:space="preserve">四川省-绵阳市</x:t>
        </x:is>
      </x:c>
      <x:c r="H1037" s="4" t="inlineStr">
        <x:is>
          <x:t xml:space="preserve">农药兽药</x:t>
        </x:is>
      </x:c>
      <x:c r="I1037" s="4" t="inlineStr">
        <x:is>
          <x:t xml:space="preserve">2008-07-08</x:t>
        </x:is>
      </x:c>
      <x:c r="J1037" s="5" t="inlineStr">
        <x:is>
          <x:t xml:space="preserve">四川省绵阳经济技术开发区</x:t>
        </x:is>
      </x:c>
      <x:c r="K1037" s="12" t="str">
        <x:f>LEFT("91510700620960125J",18)</x:f>
        <x:v>91510700620960125J</x:v>
      </x:c>
    </x:row>
    <x:row r="1038">
      <x:c r="A1038" s="2" t="n">
        <x:v>1037</x:v>
      </x:c>
      <x:c r="B1038" s="2" t="inlineStr">
        <x:is>
          <x:t xml:space="preserve">002259</x:t>
        </x:is>
      </x:c>
      <x:c r="C1038" s="3" t="inlineStr">
        <x:is>
          <x:t xml:space="preserve">升达林业</x:t>
        </x:is>
      </x:c>
      <x:c r="D1038" s="3" t="inlineStr">
        <x:is>
          <x:t xml:space="preserve">四川升达林业产业股份有限公司</x:t>
        </x:is>
      </x:c>
      <x:c r="E1038" s="2" t="inlineStr">
        <x:is>
          <x:t xml:space="preserve">四川省</x:t>
        </x:is>
      </x:c>
      <x:c r="F1038" s="2" t="inlineStr">
        <x:is>
          <x:t xml:space="preserve">成都市</x:t>
        </x:is>
      </x:c>
      <x:c r="G1038" s="3" t="inlineStr">
        <x:is>
          <x:t xml:space="preserve">四川省-成都市</x:t>
        </x:is>
      </x:c>
      <x:c r="H1038" s="2" t="inlineStr">
        <x:is>
          <x:t xml:space="preserve">燃气</x:t>
        </x:is>
      </x:c>
      <x:c r="I1038" s="2" t="inlineStr">
        <x:is>
          <x:t xml:space="preserve">2008-07-16</x:t>
        </x:is>
      </x:c>
      <x:c r="J1038" s="3" t="inlineStr">
        <x:is>
          <x:t xml:space="preserve">四川省成都市锦江区东华正街42号</x:t>
        </x:is>
      </x:c>
      <x:c r="K1038" s="12" t="str">
        <x:f>LEFT("91510000621605256E",18)</x:f>
        <x:v>91510000621605256E</x:v>
      </x:c>
    </x:row>
    <x:row r="1039">
      <x:c r="A1039" s="4" t="n">
        <x:v>1038</x:v>
      </x:c>
      <x:c r="B1039" s="4" t="inlineStr">
        <x:is>
          <x:t xml:space="preserve">002268</x:t>
        </x:is>
      </x:c>
      <x:c r="C1039" s="5" t="inlineStr">
        <x:is>
          <x:t xml:space="preserve">电科网安</x:t>
        </x:is>
      </x:c>
      <x:c r="D1039" s="5" t="inlineStr">
        <x:is>
          <x:t xml:space="preserve">中电科网络安全科技股份有限公司</x:t>
        </x:is>
      </x:c>
      <x:c r="E1039" s="4" t="inlineStr">
        <x:is>
          <x:t xml:space="preserve">四川省</x:t>
        </x:is>
      </x:c>
      <x:c r="F1039" s="4" t="inlineStr">
        <x:is>
          <x:t xml:space="preserve">成都市</x:t>
        </x:is>
      </x:c>
      <x:c r="G1039" s="5" t="inlineStr">
        <x:is>
          <x:t xml:space="preserve">四川省-成都市</x:t>
        </x:is>
      </x:c>
      <x:c r="H1039" s="4" t="inlineStr">
        <x:is>
          <x:t xml:space="preserve">软件服务</x:t>
        </x:is>
      </x:c>
      <x:c r="I1039" s="4" t="inlineStr">
        <x:is>
          <x:t xml:space="preserve">2008-08-11</x:t>
        </x:is>
      </x:c>
      <x:c r="J1039" s="5" t="inlineStr">
        <x:is>
          <x:t xml:space="preserve">成都高新区云华路333号</x:t>
        </x:is>
      </x:c>
      <x:c r="K1039" s="12" t="str">
        <x:f>LEFT("9151010070927392XM",18)</x:f>
        <x:v>9151010070927392XM</x:v>
      </x:c>
    </x:row>
    <x:row r="1040">
      <x:c r="A1040" s="2" t="n">
        <x:v>1039</x:v>
      </x:c>
      <x:c r="B1040" s="2" t="inlineStr">
        <x:is>
          <x:t xml:space="preserve">002272</x:t>
        </x:is>
      </x:c>
      <x:c r="C1040" s="3" t="inlineStr">
        <x:is>
          <x:t xml:space="preserve">川润股份</x:t>
        </x:is>
      </x:c>
      <x:c r="D1040" s="3" t="inlineStr">
        <x:is>
          <x:t xml:space="preserve">四川川润股份有限公司</x:t>
        </x:is>
      </x:c>
      <x:c r="E1040" s="2" t="inlineStr">
        <x:is>
          <x:t xml:space="preserve">四川省</x:t>
        </x:is>
      </x:c>
      <x:c r="F1040" s="2" t="inlineStr">
        <x:is>
          <x:t xml:space="preserve">自贡市</x:t>
        </x:is>
      </x:c>
      <x:c r="G1040" s="3" t="inlineStr">
        <x:is>
          <x:t xml:space="preserve">四川省-自贡市</x:t>
        </x:is>
      </x:c>
      <x:c r="H1040" s="2" t="inlineStr">
        <x:is>
          <x:t xml:space="preserve">工程机械</x:t>
        </x:is>
      </x:c>
      <x:c r="I1040" s="2" t="inlineStr">
        <x:is>
          <x:t xml:space="preserve">2008-09-19</x:t>
        </x:is>
      </x:c>
      <x:c r="J1040" s="3" t="inlineStr">
        <x:is>
          <x:t xml:space="preserve">四川省自贡市高新工业园区荣川路1号</x:t>
        </x:is>
      </x:c>
      <x:c r="K1040" s="12" t="str">
        <x:f>LEFT("91510300620737855Y",18)</x:f>
        <x:v>91510300620737855Y</x:v>
      </x:c>
    </x:row>
    <x:row r="1041">
      <x:c r="A1041" s="4" t="n">
        <x:v>1040</x:v>
      </x:c>
      <x:c r="B1041" s="4" t="inlineStr">
        <x:is>
          <x:t xml:space="preserve">002312</x:t>
        </x:is>
      </x:c>
      <x:c r="C1041" s="5" t="inlineStr">
        <x:is>
          <x:t xml:space="preserve">川发龙蟒</x:t>
        </x:is>
      </x:c>
      <x:c r="D1041" s="5" t="inlineStr">
        <x:is>
          <x:t xml:space="preserve">四川发展龙蟒股份有限公司</x:t>
        </x:is>
      </x:c>
      <x:c r="E1041" s="4" t="inlineStr">
        <x:is>
          <x:t xml:space="preserve">四川省</x:t>
        </x:is>
      </x:c>
      <x:c r="F1041" s="4" t="inlineStr">
        <x:is>
          <x:t xml:space="preserve">成都市</x:t>
        </x:is>
      </x:c>
      <x:c r="G1041" s="5" t="inlineStr">
        <x:is>
          <x:t xml:space="preserve">四川省-成都市</x:t>
        </x:is>
      </x:c>
      <x:c r="H1041" s="4" t="inlineStr">
        <x:is>
          <x:t xml:space="preserve">化肥行业</x:t>
        </x:is>
      </x:c>
      <x:c r="I1041" s="4" t="inlineStr">
        <x:is>
          <x:t xml:space="preserve">2009-12-03</x:t>
        </x:is>
      </x:c>
      <x:c r="J1041" s="5" t="inlineStr">
        <x:is>
          <x:t xml:space="preserve">成都市金牛区高科技产业园区蜀西路42号</x:t>
        </x:is>
      </x:c>
      <x:c r="K1041" s="12" t="str">
        <x:f>LEFT("9151000063314141XG",18)</x:f>
        <x:v>9151000063314141XG</x:v>
      </x:c>
    </x:row>
    <x:row r="1042">
      <x:c r="A1042" s="2" t="n">
        <x:v>1041</x:v>
      </x:c>
      <x:c r="B1042" s="2" t="inlineStr">
        <x:is>
          <x:t xml:space="preserve">002357</x:t>
        </x:is>
      </x:c>
      <x:c r="C1042" s="3" t="inlineStr">
        <x:is>
          <x:t xml:space="preserve">富临运业</x:t>
        </x:is>
      </x:c>
      <x:c r="D1042" s="3" t="inlineStr">
        <x:is>
          <x:t xml:space="preserve">四川富临运业集团股份有限公司</x:t>
        </x:is>
      </x:c>
      <x:c r="E1042" s="2" t="inlineStr">
        <x:is>
          <x:t xml:space="preserve">四川省</x:t>
        </x:is>
      </x:c>
      <x:c r="F1042" s="2" t="inlineStr">
        <x:is>
          <x:t xml:space="preserve">绵阳市</x:t>
        </x:is>
      </x:c>
      <x:c r="G1042" s="3" t="inlineStr">
        <x:is>
          <x:t xml:space="preserve">四川省-绵阳市</x:t>
        </x:is>
      </x:c>
      <x:c r="H1042" s="2" t="inlineStr">
        <x:is>
          <x:t xml:space="preserve">高速公路</x:t>
        </x:is>
      </x:c>
      <x:c r="I1042" s="2" t="inlineStr">
        <x:is>
          <x:t xml:space="preserve">2010-02-10</x:t>
        </x:is>
      </x:c>
      <x:c r="J1042" s="3" t="inlineStr">
        <x:is>
          <x:t xml:space="preserve">四川省绵阳市绵州大道北段98号</x:t>
        </x:is>
      </x:c>
      <x:c r="K1042" s="12" t="str">
        <x:f>LEFT("915107007358967844",18)</x:f>
        <x:v>915107007358967800</x:v>
      </x:c>
    </x:row>
    <x:row r="1043">
      <x:c r="A1043" s="4" t="n">
        <x:v>1042</x:v>
      </x:c>
      <x:c r="B1043" s="4" t="inlineStr">
        <x:is>
          <x:t xml:space="preserve">002366</x:t>
        </x:is>
      </x:c>
      <x:c r="C1043" s="5" t="inlineStr">
        <x:is>
          <x:t xml:space="preserve">融发核电</x:t>
        </x:is>
      </x:c>
      <x:c r="D1043" s="5" t="inlineStr">
        <x:is>
          <x:t xml:space="preserve">融发核电设备股份有限公司</x:t>
        </x:is>
      </x:c>
      <x:c r="E1043" s="4" t="inlineStr">
        <x:is>
          <x:t xml:space="preserve">四川省</x:t>
        </x:is>
      </x:c>
      <x:c r="F1043" s="4" t="inlineStr">
        <x:is>
          <x:t xml:space="preserve">眉山市</x:t>
        </x:is>
      </x:c>
      <x:c r="G1043" s="5" t="inlineStr">
        <x:is>
          <x:t xml:space="preserve">四川省-眉山市</x:t>
        </x:is>
      </x:c>
      <x:c r="H1043" s="4" t="inlineStr">
        <x:is>
          <x:t xml:space="preserve">电源设备</x:t>
        </x:is>
      </x:c>
      <x:c r="I1043" s="4" t="inlineStr">
        <x:is>
          <x:t xml:space="preserve">2010-03-12</x:t>
        </x:is>
      </x:c>
      <x:c r="J1043" s="5" t="inlineStr">
        <x:is>
          <x:t xml:space="preserve">四川省青神县黑龙镇</x:t>
        </x:is>
      </x:c>
      <x:c r="K1043" s="12" t="str">
        <x:f>LEFT("915114002879650447",18)</x:f>
        <x:v>915114002879650400</x:v>
      </x:c>
    </x:row>
    <x:row r="1044">
      <x:c r="A1044" s="2" t="n">
        <x:v>1043</x:v>
      </x:c>
      <x:c r="B1044" s="2" t="inlineStr">
        <x:is>
          <x:t xml:space="preserve">002386</x:t>
        </x:is>
      </x:c>
      <x:c r="C1044" s="3" t="inlineStr">
        <x:is>
          <x:t xml:space="preserve">天原股份</x:t>
        </x:is>
      </x:c>
      <x:c r="D1044" s="3" t="inlineStr">
        <x:is>
          <x:t xml:space="preserve">宜宾天原集团股份有限公司</x:t>
        </x:is>
      </x:c>
      <x:c r="E1044" s="2" t="inlineStr">
        <x:is>
          <x:t xml:space="preserve">四川省</x:t>
        </x:is>
      </x:c>
      <x:c r="F1044" s="2" t="inlineStr">
        <x:is>
          <x:t xml:space="preserve">宜宾市</x:t>
        </x:is>
      </x:c>
      <x:c r="G1044" s="3" t="inlineStr">
        <x:is>
          <x:t xml:space="preserve">四川省-宜宾市</x:t>
        </x:is>
      </x:c>
      <x:c r="H1044" s="2" t="inlineStr">
        <x:is>
          <x:t xml:space="preserve">化学原料</x:t>
        </x:is>
      </x:c>
      <x:c r="I1044" s="2" t="inlineStr">
        <x:is>
          <x:t xml:space="preserve">2010-04-09</x:t>
        </x:is>
      </x:c>
      <x:c r="J1044" s="3" t="inlineStr">
        <x:is>
          <x:t xml:space="preserve">四川省宜宾临港经济技术开发区港园路西段61号</x:t>
        </x:is>
      </x:c>
      <x:c r="K1044" s="12" t="str">
        <x:f>LEFT("9151150020885067X6",18)</x:f>
        <x:v>9151150020885067X6</x:v>
      </x:c>
    </x:row>
    <x:row r="1045">
      <x:c r="A1045" s="4" t="n">
        <x:v>1044</x:v>
      </x:c>
      <x:c r="B1045" s="4" t="inlineStr">
        <x:is>
          <x:t xml:space="preserve">002422</x:t>
        </x:is>
      </x:c>
      <x:c r="C1045" s="5" t="inlineStr">
        <x:is>
          <x:t xml:space="preserve">科伦药业</x:t>
        </x:is>
      </x:c>
      <x:c r="D1045" s="5" t="inlineStr">
        <x:is>
          <x:t xml:space="preserve">四川科伦药业股份有限公司</x:t>
        </x:is>
      </x:c>
      <x:c r="E1045" s="4" t="inlineStr">
        <x:is>
          <x:t xml:space="preserve">四川省</x:t>
        </x:is>
      </x:c>
      <x:c r="F1045" s="4" t="inlineStr">
        <x:is>
          <x:t xml:space="preserve">成都市</x:t>
        </x:is>
      </x:c>
      <x:c r="G1045" s="5" t="inlineStr">
        <x:is>
          <x:t xml:space="preserve">四川省-成都市</x:t>
        </x:is>
      </x:c>
      <x:c r="H1045" s="4" t="inlineStr">
        <x:is>
          <x:t xml:space="preserve">医药制造</x:t>
        </x:is>
      </x:c>
      <x:c r="I1045" s="4" t="inlineStr">
        <x:is>
          <x:t xml:space="preserve">2010-06-03</x:t>
        </x:is>
      </x:c>
      <x:c r="J1045" s="5" t="inlineStr">
        <x:is>
          <x:t xml:space="preserve">成都市新都卫星城工业开发区南二路</x:t>
        </x:is>
      </x:c>
      <x:c r="K1045" s="12" t="str">
        <x:f>LEFT("9151010020260067X4",18)</x:f>
        <x:v>9151010020260067X4</x:v>
      </x:c>
    </x:row>
    <x:row r="1046">
      <x:c r="A1046" s="2" t="n">
        <x:v>1045</x:v>
      </x:c>
      <x:c r="B1046" s="2" t="inlineStr">
        <x:is>
          <x:t xml:space="preserve">002466</x:t>
        </x:is>
      </x:c>
      <x:c r="C1046" s="3" t="inlineStr">
        <x:is>
          <x:t xml:space="preserve">天齐锂业</x:t>
        </x:is>
      </x:c>
      <x:c r="D1046" s="3" t="inlineStr">
        <x:is>
          <x:t xml:space="preserve">天齐锂业股份有限公司</x:t>
        </x:is>
      </x:c>
      <x:c r="E1046" s="2" t="inlineStr">
        <x:is>
          <x:t xml:space="preserve">四川省</x:t>
        </x:is>
      </x:c>
      <x:c r="F1046" s="2" t="inlineStr">
        <x:is>
          <x:t xml:space="preserve">遂宁市</x:t>
        </x:is>
      </x:c>
      <x:c r="G1046" s="3" t="inlineStr">
        <x:is>
          <x:t xml:space="preserve">四川省-遂宁市</x:t>
        </x:is>
      </x:c>
      <x:c r="H1046" s="2" t="inlineStr">
        <x:is>
          <x:t xml:space="preserve">能源金属</x:t>
        </x:is>
      </x:c>
      <x:c r="I1046" s="2" t="inlineStr">
        <x:is>
          <x:t xml:space="preserve">2010-08-31</x:t>
        </x:is>
      </x:c>
      <x:c r="J1046" s="3" t="inlineStr">
        <x:is>
          <x:t xml:space="preserve">四川省射洪县太和镇城北</x:t>
        </x:is>
      </x:c>
      <x:c r="K1046" s="12" t="str">
        <x:f>LEFT("91510900206360802D",18)</x:f>
        <x:v>91510900206360802D</x:v>
      </x:c>
    </x:row>
    <x:row r="1047">
      <x:c r="A1047" s="4" t="n">
        <x:v>1046</x:v>
      </x:c>
      <x:c r="B1047" s="4" t="inlineStr">
        <x:is>
          <x:t xml:space="preserve">002480</x:t>
        </x:is>
      </x:c>
      <x:c r="C1047" s="5" t="inlineStr">
        <x:is>
          <x:t xml:space="preserve">新筑股份</x:t>
        </x:is>
      </x:c>
      <x:c r="D1047" s="5" t="inlineStr">
        <x:is>
          <x:t xml:space="preserve">成都市新筑路桥机械股份有限公司</x:t>
        </x:is>
      </x:c>
      <x:c r="E1047" s="4" t="inlineStr">
        <x:is>
          <x:t xml:space="preserve">四川省</x:t>
        </x:is>
      </x:c>
      <x:c r="F1047" s="4" t="inlineStr">
        <x:is>
          <x:t xml:space="preserve">成都市</x:t>
        </x:is>
      </x:c>
      <x:c r="G1047" s="5" t="inlineStr">
        <x:is>
          <x:t xml:space="preserve">四川省-成都市</x:t>
        </x:is>
      </x:c>
      <x:c r="H1047" s="4" t="inlineStr">
        <x:is>
          <x:t xml:space="preserve">机械行业</x:t>
        </x:is>
      </x:c>
      <x:c r="I1047" s="4" t="inlineStr">
        <x:is>
          <x:t xml:space="preserve">2010-09-21</x:t>
        </x:is>
      </x:c>
      <x:c r="J1047" s="5" t="inlineStr">
        <x:is>
          <x:t xml:space="preserve">成都市四川新津工业园区</x:t>
        </x:is>
      </x:c>
      <x:c r="K1047" s="12" t="str">
        <x:f>LEFT("91510000725526042X",18)</x:f>
        <x:v>91510000725526042X</x:v>
      </x:c>
    </x:row>
    <x:row r="1048">
      <x:c r="A1048" s="2" t="n">
        <x:v>1047</x:v>
      </x:c>
      <x:c r="B1048" s="2" t="inlineStr">
        <x:is>
          <x:t xml:space="preserve">002497</x:t>
        </x:is>
      </x:c>
      <x:c r="C1048" s="3" t="inlineStr">
        <x:is>
          <x:t xml:space="preserve">雅化集团</x:t>
        </x:is>
      </x:c>
      <x:c r="D1048" s="3" t="inlineStr">
        <x:is>
          <x:t xml:space="preserve">四川雅化实业集团股份有限公司</x:t>
        </x:is>
      </x:c>
      <x:c r="E1048" s="2" t="inlineStr">
        <x:is>
          <x:t xml:space="preserve">四川省</x:t>
        </x:is>
      </x:c>
      <x:c r="F1048" s="2" t="inlineStr">
        <x:is>
          <x:t xml:space="preserve">雅安市</x:t>
        </x:is>
      </x:c>
      <x:c r="G1048" s="3" t="inlineStr">
        <x:is>
          <x:t xml:space="preserve">四川省-雅安市</x:t>
        </x:is>
      </x:c>
      <x:c r="H1048" s="2" t="inlineStr">
        <x:is>
          <x:t xml:space="preserve">化工行业</x:t>
        </x:is>
      </x:c>
      <x:c r="I1048" s="2" t="inlineStr">
        <x:is>
          <x:t xml:space="preserve">2010-11-09</x:t>
        </x:is>
      </x:c>
      <x:c r="J1048" s="3" t="inlineStr">
        <x:is>
          <x:t xml:space="preserve">四川省雅安市经开区永兴大道南段99号</x:t>
        </x:is>
      </x:c>
      <x:c r="K1048" s="12" t="str">
        <x:f>LEFT("91511800210900541J",18)</x:f>
        <x:v>91511800210900541J</x:v>
      </x:c>
    </x:row>
    <x:row r="1049">
      <x:c r="A1049" s="4" t="n">
        <x:v>1048</x:v>
      </x:c>
      <x:c r="B1049" s="4" t="inlineStr">
        <x:is>
          <x:t xml:space="preserve">002539</x:t>
        </x:is>
      </x:c>
      <x:c r="C1049" s="5" t="inlineStr">
        <x:is>
          <x:t xml:space="preserve">云图控股</x:t>
        </x:is>
      </x:c>
      <x:c r="D1049" s="5" t="inlineStr">
        <x:is>
          <x:t xml:space="preserve">成都云图控股股份有限公司</x:t>
        </x:is>
      </x:c>
      <x:c r="E1049" s="4" t="inlineStr">
        <x:is>
          <x:t xml:space="preserve">四川省</x:t>
        </x:is>
      </x:c>
      <x:c r="F1049" s="4" t="inlineStr">
        <x:is>
          <x:t xml:space="preserve">成都市</x:t>
        </x:is>
      </x:c>
      <x:c r="G1049" s="5" t="inlineStr">
        <x:is>
          <x:t xml:space="preserve">四川省-成都市</x:t>
        </x:is>
      </x:c>
      <x:c r="H1049" s="4" t="inlineStr">
        <x:is>
          <x:t xml:space="preserve">化肥行业</x:t>
        </x:is>
      </x:c>
      <x:c r="I1049" s="4" t="inlineStr">
        <x:is>
          <x:t xml:space="preserve">2011-01-18</x:t>
        </x:is>
      </x:c>
      <x:c r="J1049" s="5" t="inlineStr">
        <x:is>
          <x:t xml:space="preserve">四川省成都市新都区蓉都大道南二段98号附101号</x:t>
        </x:is>
      </x:c>
      <x:c r="K1049" s="12" t="str">
        <x:f>LEFT("91510100202593801A",18)</x:f>
        <x:v>91510100202593801A</x:v>
      </x:c>
    </x:row>
    <x:row r="1050">
      <x:c r="A1050" s="2" t="n">
        <x:v>1049</x:v>
      </x:c>
      <x:c r="B1050" s="2" t="inlineStr">
        <x:is>
          <x:t xml:space="preserve">002628</x:t>
        </x:is>
      </x:c>
      <x:c r="C1050" s="3" t="inlineStr">
        <x:is>
          <x:t xml:space="preserve">成都路桥</x:t>
        </x:is>
      </x:c>
      <x:c r="D1050" s="3" t="inlineStr">
        <x:is>
          <x:t xml:space="preserve">成都市路桥工程股份有限公司</x:t>
        </x:is>
      </x:c>
      <x:c r="E1050" s="2" t="inlineStr">
        <x:is>
          <x:t xml:space="preserve">四川省</x:t>
        </x:is>
      </x:c>
      <x:c r="F1050" s="2" t="inlineStr">
        <x:is>
          <x:t xml:space="preserve">成都市</x:t>
        </x:is>
      </x:c>
      <x:c r="G1050" s="3" t="inlineStr">
        <x:is>
          <x:t xml:space="preserve">四川省-成都市</x:t>
        </x:is>
      </x:c>
      <x:c r="H1050" s="2" t="inlineStr">
        <x:is>
          <x:t xml:space="preserve">工程建设</x:t>
        </x:is>
      </x:c>
      <x:c r="I1050" s="2" t="inlineStr">
        <x:is>
          <x:t xml:space="preserve">2011-11-03</x:t>
        </x:is>
      </x:c>
      <x:c r="J1050" s="3" t="inlineStr">
        <x:is>
          <x:t xml:space="preserve">四川省成都市武侯区武科东四路11号</x:t>
        </x:is>
      </x:c>
      <x:c r="K1050" s="12" t="str">
        <x:f>LEFT("91510100201906095N",18)</x:f>
        <x:v>91510100201906095N</x:v>
      </x:c>
    </x:row>
    <x:row r="1051">
      <x:c r="A1051" s="4" t="n">
        <x:v>1050</x:v>
      </x:c>
      <x:c r="B1051" s="4" t="inlineStr">
        <x:is>
          <x:t xml:space="preserve">002630</x:t>
        </x:is>
      </x:c>
      <x:c r="C1051" s="5" t="inlineStr">
        <x:is>
          <x:t xml:space="preserve">华西能源</x:t>
        </x:is>
      </x:c>
      <x:c r="D1051" s="5" t="inlineStr">
        <x:is>
          <x:t xml:space="preserve">华西能源工业股份有限公司</x:t>
        </x:is>
      </x:c>
      <x:c r="E1051" s="4" t="inlineStr">
        <x:is>
          <x:t xml:space="preserve">四川省</x:t>
        </x:is>
      </x:c>
      <x:c r="F1051" s="4" t="inlineStr">
        <x:is>
          <x:t xml:space="preserve">自贡市</x:t>
        </x:is>
      </x:c>
      <x:c r="G1051" s="5" t="inlineStr">
        <x:is>
          <x:t xml:space="preserve">四川省-自贡市</x:t>
        </x:is>
      </x:c>
      <x:c r="H1051" s="4" t="inlineStr">
        <x:is>
          <x:t xml:space="preserve">电源设备</x:t>
        </x:is>
      </x:c>
      <x:c r="I1051" s="4" t="inlineStr">
        <x:is>
          <x:t xml:space="preserve">2011-11-11</x:t>
        </x:is>
      </x:c>
      <x:c r="J1051" s="5" t="inlineStr">
        <x:is>
          <x:t xml:space="preserve">四川省自贡市高新工业园区荣川路66号</x:t>
        </x:is>
      </x:c>
      <x:c r="K1051" s="12" t="str">
        <x:f>LEFT("91510300762306858F",18)</x:f>
        <x:v>91510300762306858F</x:v>
      </x:c>
    </x:row>
    <x:row r="1052">
      <x:c r="A1052" s="2" t="n">
        <x:v>1051</x:v>
      </x:c>
      <x:c r="B1052" s="2" t="inlineStr">
        <x:is>
          <x:t xml:space="preserve">002651</x:t>
        </x:is>
      </x:c>
      <x:c r="C1052" s="3" t="inlineStr">
        <x:is>
          <x:t xml:space="preserve">利君股份</x:t>
        </x:is>
      </x:c>
      <x:c r="D1052" s="3" t="inlineStr">
        <x:is>
          <x:t xml:space="preserve">成都利君实业股份有限公司</x:t>
        </x:is>
      </x:c>
      <x:c r="E1052" s="2" t="inlineStr">
        <x:is>
          <x:t xml:space="preserve">四川省</x:t>
        </x:is>
      </x:c>
      <x:c r="F1052" s="2" t="inlineStr">
        <x:is>
          <x:t xml:space="preserve">成都市</x:t>
        </x:is>
      </x:c>
      <x:c r="G1052" s="3" t="inlineStr">
        <x:is>
          <x:t xml:space="preserve">四川省-成都市</x:t>
        </x:is>
      </x:c>
      <x:c r="H1052" s="2" t="inlineStr">
        <x:is>
          <x:t xml:space="preserve">专用设备</x:t>
        </x:is>
      </x:c>
      <x:c r="I1052" s="2" t="inlineStr">
        <x:is>
          <x:t xml:space="preserve">2012-01-06</x:t>
        </x:is>
      </x:c>
      <x:c r="J1052" s="3" t="inlineStr">
        <x:is>
          <x:t xml:space="preserve">成都市武侯区武科东二路5号</x:t>
        </x:is>
      </x:c>
      <x:c r="K1052" s="12" t="str">
        <x:f>LEFT("91510107720312707J",18)</x:f>
        <x:v>91510107720312707J</x:v>
      </x:c>
    </x:row>
    <x:row r="1053">
      <x:c r="A1053" s="4" t="n">
        <x:v>1052</x:v>
      </x:c>
      <x:c r="B1053" s="4" t="inlineStr">
        <x:is>
          <x:t xml:space="preserve">002697</x:t>
        </x:is>
      </x:c>
      <x:c r="C1053" s="5" t="inlineStr">
        <x:is>
          <x:t xml:space="preserve">红旗连锁</x:t>
        </x:is>
      </x:c>
      <x:c r="D1053" s="5" t="inlineStr">
        <x:is>
          <x:t xml:space="preserve">成都红旗连锁股份有限公司</x:t>
        </x:is>
      </x:c>
      <x:c r="E1053" s="4" t="inlineStr">
        <x:is>
          <x:t xml:space="preserve">四川省</x:t>
        </x:is>
      </x:c>
      <x:c r="F1053" s="4" t="inlineStr">
        <x:is>
          <x:t xml:space="preserve">成都市</x:t>
        </x:is>
      </x:c>
      <x:c r="G1053" s="5" t="inlineStr">
        <x:is>
          <x:t xml:space="preserve">四川省-成都市</x:t>
        </x:is>
      </x:c>
      <x:c r="H1053" s="4" t="inlineStr">
        <x:is>
          <x:t xml:space="preserve">商业百货</x:t>
        </x:is>
      </x:c>
      <x:c r="I1053" s="4" t="inlineStr">
        <x:is>
          <x:t xml:space="preserve">2012-09-05</x:t>
        </x:is>
      </x:c>
      <x:c r="J1053" s="5" t="inlineStr">
        <x:is>
          <x:t xml:space="preserve">成都市高新区西区迪康大道7号</x:t>
        </x:is>
      </x:c>
      <x:c r="K1053" s="12" t="str">
        <x:f>LEFT("91510100720396648R",18)</x:f>
        <x:v>91510100720396648R</x:v>
      </x:c>
    </x:row>
    <x:row r="1054">
      <x:c r="A1054" s="2" t="n">
        <x:v>1053</x:v>
      </x:c>
      <x:c r="B1054" s="2" t="inlineStr">
        <x:is>
          <x:t xml:space="preserve">002749</x:t>
        </x:is>
      </x:c>
      <x:c r="C1054" s="3" t="inlineStr">
        <x:is>
          <x:t xml:space="preserve">国光股份</x:t>
        </x:is>
      </x:c>
      <x:c r="D1054" s="3" t="inlineStr">
        <x:is>
          <x:t xml:space="preserve">四川国光农化股份有限公司</x:t>
        </x:is>
      </x:c>
      <x:c r="E1054" s="2" t="inlineStr">
        <x:is>
          <x:t xml:space="preserve">四川省</x:t>
        </x:is>
      </x:c>
      <x:c r="F1054" s="2" t="inlineStr">
        <x:is>
          <x:t xml:space="preserve">成都市</x:t>
        </x:is>
      </x:c>
      <x:c r="G1054" s="3" t="inlineStr">
        <x:is>
          <x:t xml:space="preserve">四川省-成都市</x:t>
        </x:is>
      </x:c>
      <x:c r="H1054" s="2" t="inlineStr">
        <x:is>
          <x:t xml:space="preserve">农药兽药</x:t>
        </x:is>
      </x:c>
      <x:c r="I1054" s="2" t="inlineStr">
        <x:is>
          <x:t xml:space="preserve">2015-03-20</x:t>
        </x:is>
      </x:c>
      <x:c r="J1054" s="3" t="inlineStr">
        <x:is>
          <x:t xml:space="preserve">四川省成都市简阳市平泉街道</x:t>
        </x:is>
      </x:c>
      <x:c r="K1054" s="12" t="str">
        <x:f>LEFT("91512000206861148T",18)</x:f>
        <x:v>91512000206861148T</x:v>
      </x:c>
    </x:row>
    <x:row r="1055">
      <x:c r="A1055" s="4" t="n">
        <x:v>1054</x:v>
      </x:c>
      <x:c r="B1055" s="4" t="inlineStr">
        <x:is>
          <x:t xml:space="preserve">002773</x:t>
        </x:is>
      </x:c>
      <x:c r="C1055" s="5" t="inlineStr">
        <x:is>
          <x:t xml:space="preserve">康弘药业</x:t>
        </x:is>
      </x:c>
      <x:c r="D1055" s="5" t="inlineStr">
        <x:is>
          <x:t xml:space="preserve">成都康弘药业集团股份有限公司</x:t>
        </x:is>
      </x:c>
      <x:c r="E1055" s="4" t="inlineStr">
        <x:is>
          <x:t xml:space="preserve">四川省</x:t>
        </x:is>
      </x:c>
      <x:c r="F1055" s="4" t="inlineStr">
        <x:is>
          <x:t xml:space="preserve">成都市</x:t>
        </x:is>
      </x:c>
      <x:c r="G1055" s="5" t="inlineStr">
        <x:is>
          <x:t xml:space="preserve">四川省-成都市</x:t>
        </x:is>
      </x:c>
      <x:c r="H1055" s="4" t="inlineStr">
        <x:is>
          <x:t xml:space="preserve">医药制造</x:t>
        </x:is>
      </x:c>
      <x:c r="I1055" s="4" t="inlineStr">
        <x:is>
          <x:t xml:space="preserve">2015-06-26</x:t>
        </x:is>
      </x:c>
      <x:c r="J1055" s="5" t="inlineStr">
        <x:is>
          <x:t xml:space="preserve">成都市金牛区蜀西路108号</x:t>
        </x:is>
      </x:c>
      <x:c r="K1055" s="12" t="str">
        <x:f>LEFT("91510100633116839D",18)</x:f>
        <x:v>91510100633116839D</x:v>
      </x:c>
    </x:row>
    <x:row r="1056">
      <x:c r="A1056" s="2" t="n">
        <x:v>1055</x:v>
      </x:c>
      <x:c r="B1056" s="2" t="inlineStr">
        <x:is>
          <x:t xml:space="preserve">002777</x:t>
        </x:is>
      </x:c>
      <x:c r="C1056" s="3" t="inlineStr">
        <x:is>
          <x:t xml:space="preserve">久远银海</x:t>
        </x:is>
      </x:c>
      <x:c r="D1056" s="3" t="inlineStr">
        <x:is>
          <x:t xml:space="preserve">四川久远银海软件股份有限公司</x:t>
        </x:is>
      </x:c>
      <x:c r="E1056" s="2" t="inlineStr">
        <x:is>
          <x:t xml:space="preserve">四川省</x:t>
        </x:is>
      </x:c>
      <x:c r="F1056" s="2" t="inlineStr">
        <x:is>
          <x:t xml:space="preserve">成都市</x:t>
        </x:is>
      </x:c>
      <x:c r="G1056" s="3" t="inlineStr">
        <x:is>
          <x:t xml:space="preserve">四川省-成都市</x:t>
        </x:is>
      </x:c>
      <x:c r="H1056" s="2" t="inlineStr">
        <x:is>
          <x:t xml:space="preserve">电子信息</x:t>
        </x:is>
      </x:c>
      <x:c r="I1056" s="2" t="inlineStr">
        <x:is>
          <x:t xml:space="preserve">2015-12-31</x:t>
        </x:is>
      </x:c>
      <x:c r="J1056" s="3" t="inlineStr">
        <x:is>
          <x:t xml:space="preserve">成都市高新区科园一路3号2幢</x:t>
        </x:is>
      </x:c>
      <x:c r="K1056" s="12" t="str">
        <x:f>LEFT("915101006818136552",18)</x:f>
        <x:v>915101006818136600</x:v>
      </x:c>
    </x:row>
    <x:row r="1057">
      <x:c r="A1057" s="4" t="n">
        <x:v>1056</x:v>
      </x:c>
      <x:c r="B1057" s="4" t="inlineStr">
        <x:is>
          <x:t xml:space="preserve">002798</x:t>
        </x:is>
      </x:c>
      <x:c r="C1057" s="5" t="inlineStr">
        <x:is>
          <x:t xml:space="preserve">帝欧水华</x:t>
        </x:is>
      </x:c>
      <x:c r="D1057" s="5" t="inlineStr">
        <x:is>
          <x:t xml:space="preserve">帝欧水华集团股份有限公司</x:t>
        </x:is>
      </x:c>
      <x:c r="E1057" s="4" t="inlineStr">
        <x:is>
          <x:t xml:space="preserve">四川省</x:t>
        </x:is>
      </x:c>
      <x:c r="F1057" s="4" t="inlineStr">
        <x:is>
          <x:t xml:space="preserve">成都市</x:t>
        </x:is>
      </x:c>
      <x:c r="G1057" s="5" t="inlineStr">
        <x:is>
          <x:t xml:space="preserve">四川省-成都市</x:t>
        </x:is>
      </x:c>
      <x:c r="H1057" s="4" t="inlineStr">
        <x:is>
          <x:t xml:space="preserve">装修建材</x:t>
        </x:is>
      </x:c>
      <x:c r="I1057" s="4" t="inlineStr">
        <x:is>
          <x:t xml:space="preserve">2016-05-25</x:t>
        </x:is>
      </x:c>
      <x:c r="J1057" s="5" t="inlineStr">
        <x:is>
          <x:t xml:space="preserve">四川省成都东部新区贾家街道工业开发区</x:t>
        </x:is>
      </x:c>
      <x:c r="K1057" s="12" t="str">
        <x:f>LEFT("915120002068726561",18)</x:f>
        <x:v>915120002068726500</x:v>
      </x:c>
    </x:row>
    <x:row r="1058">
      <x:c r="A1058" s="2" t="n">
        <x:v>1057</x:v>
      </x:c>
      <x:c r="B1058" s="2" t="inlineStr">
        <x:is>
          <x:t xml:space="preserve">002818</x:t>
        </x:is>
      </x:c>
      <x:c r="C1058" s="3" t="inlineStr">
        <x:is>
          <x:t xml:space="preserve">富森美</x:t>
        </x:is>
      </x:c>
      <x:c r="D1058" s="3" t="inlineStr">
        <x:is>
          <x:t xml:space="preserve">成都富森美家居股份有限公司</x:t>
        </x:is>
      </x:c>
      <x:c r="E1058" s="2" t="inlineStr">
        <x:is>
          <x:t xml:space="preserve">四川省</x:t>
        </x:is>
      </x:c>
      <x:c r="F1058" s="2" t="inlineStr">
        <x:is>
          <x:t xml:space="preserve">成都市</x:t>
        </x:is>
      </x:c>
      <x:c r="G1058" s="3" t="inlineStr">
        <x:is>
          <x:t xml:space="preserve">四川省-成都市</x:t>
        </x:is>
      </x:c>
      <x:c r="H1058" s="2" t="inlineStr">
        <x:is>
          <x:t xml:space="preserve">商业百货</x:t>
        </x:is>
      </x:c>
      <x:c r="I1058" s="2" t="inlineStr">
        <x:is>
          <x:t xml:space="preserve">2016-11-09</x:t>
        </x:is>
      </x:c>
      <x:c r="J1058" s="3" t="inlineStr">
        <x:is>
          <x:t xml:space="preserve">四川省成都市蓉都大道将军路68号</x:t>
        </x:is>
      </x:c>
      <x:c r="K1058" s="12" t="str">
        <x:f>LEFT("91510108725370041R",18)</x:f>
        <x:v>91510108725370041R</x:v>
      </x:c>
    </x:row>
    <x:row r="1059">
      <x:c r="A1059" s="4" t="n">
        <x:v>1058</x:v>
      </x:c>
      <x:c r="B1059" s="4" t="inlineStr">
        <x:is>
          <x:t xml:space="preserve">002926</x:t>
        </x:is>
      </x:c>
      <x:c r="C1059" s="5" t="inlineStr">
        <x:is>
          <x:t xml:space="preserve">华西证券</x:t>
        </x:is>
      </x:c>
      <x:c r="D1059" s="5" t="inlineStr">
        <x:is>
          <x:t xml:space="preserve">华西证券股份有限公司</x:t>
        </x:is>
      </x:c>
      <x:c r="E1059" s="4" t="inlineStr">
        <x:is>
          <x:t xml:space="preserve">四川省</x:t>
        </x:is>
      </x:c>
      <x:c r="F1059" s="4" t="inlineStr">
        <x:is>
          <x:t xml:space="preserve">成都市</x:t>
        </x:is>
      </x:c>
      <x:c r="G1059" s="5" t="inlineStr">
        <x:is>
          <x:t xml:space="preserve">四川省-成都市</x:t>
        </x:is>
      </x:c>
      <x:c r="H1059" s="4" t="inlineStr">
        <x:is>
          <x:t xml:space="preserve">券商信托</x:t>
        </x:is>
      </x:c>
      <x:c r="I1059" s="4" t="inlineStr">
        <x:is>
          <x:t xml:space="preserve">2018-02-05</x:t>
        </x:is>
      </x:c>
      <x:c r="J1059" s="5" t="inlineStr">
        <x:is>
          <x:t xml:space="preserve">中国(四川)自由贸易试验区成都市高新区天府二街198号</x:t>
        </x:is>
      </x:c>
      <x:c r="K1059" s="12" t="str">
        <x:f>LEFT("91510000201811328M",18)</x:f>
        <x:v>91510000201811328M</x:v>
      </x:c>
    </x:row>
    <x:row r="1060">
      <x:c r="A1060" s="2" t="n">
        <x:v>1059</x:v>
      </x:c>
      <x:c r="B1060" s="2" t="inlineStr">
        <x:is>
          <x:t xml:space="preserve">002935</x:t>
        </x:is>
      </x:c>
      <x:c r="C1060" s="3" t="inlineStr">
        <x:is>
          <x:t xml:space="preserve">天奥电子</x:t>
        </x:is>
      </x:c>
      <x:c r="D1060" s="3" t="inlineStr">
        <x:is>
          <x:t xml:space="preserve">成都天奥电子股份有限公司</x:t>
        </x:is>
      </x:c>
      <x:c r="E1060" s="2" t="inlineStr">
        <x:is>
          <x:t xml:space="preserve">四川省</x:t>
        </x:is>
      </x:c>
      <x:c r="F1060" s="2" t="inlineStr">
        <x:is>
          <x:t xml:space="preserve">成都市</x:t>
        </x:is>
      </x:c>
      <x:c r="G1060" s="3" t="inlineStr">
        <x:is>
          <x:t xml:space="preserve">四川省-成都市</x:t>
        </x:is>
      </x:c>
      <x:c r="H1060" s="2" t="inlineStr">
        <x:is>
          <x:t xml:space="preserve">通信设备</x:t>
        </x:is>
      </x:c>
      <x:c r="I1060" s="2" t="inlineStr">
        <x:is>
          <x:t xml:space="preserve">2018-09-03</x:t>
        </x:is>
      </x:c>
      <x:c r="J1060" s="3" t="inlineStr">
        <x:is>
          <x:t xml:space="preserve">四川省成都市金牛区盛业路66号</x:t>
        </x:is>
      </x:c>
      <x:c r="K1060" s="12" t="str">
        <x:f>LEFT("9151010075598305X1",18)</x:f>
        <x:v>9151010075598305X1</x:v>
      </x:c>
    </x:row>
    <x:row r="1061">
      <x:c r="A1061" s="4" t="n">
        <x:v>1060</x:v>
      </x:c>
      <x:c r="B1061" s="4" t="inlineStr">
        <x:is>
          <x:t xml:space="preserve">002946</x:t>
        </x:is>
      </x:c>
      <x:c r="C1061" s="5" t="inlineStr">
        <x:is>
          <x:t xml:space="preserve">新乳业</x:t>
        </x:is>
      </x:c>
      <x:c r="D1061" s="5" t="inlineStr">
        <x:is>
          <x:t xml:space="preserve">新希望乳业股份有限公司</x:t>
        </x:is>
      </x:c>
      <x:c r="E1061" s="4" t="inlineStr">
        <x:is>
          <x:t xml:space="preserve">四川省</x:t>
        </x:is>
      </x:c>
      <x:c r="F1061" s="4" t="inlineStr">
        <x:is>
          <x:t xml:space="preserve">成都市</x:t>
        </x:is>
      </x:c>
      <x:c r="G1061" s="5" t="inlineStr">
        <x:is>
          <x:t xml:space="preserve">四川省-成都市</x:t>
        </x:is>
      </x:c>
      <x:c r="H1061" s="4" t="inlineStr">
        <x:is>
          <x:t xml:space="preserve">食品饮料</x:t>
        </x:is>
      </x:c>
      <x:c r="I1061" s="4" t="inlineStr">
        <x:is>
          <x:t xml:space="preserve">2019-01-25</x:t>
        </x:is>
      </x:c>
      <x:c r="J1061" s="5" t="inlineStr">
        <x:is>
          <x:t xml:space="preserve">四川省成都市锦江区金石路366号新希望中鼎国际2栋8楼2号</x:t>
        </x:is>
      </x:c>
      <x:c r="K1061" s="12" t="str">
        <x:f>LEFT("91510100790021999F",18)</x:f>
        <x:v>91510100790021999F</x:v>
      </x:c>
    </x:row>
    <x:row r="1062">
      <x:c r="A1062" s="2" t="n">
        <x:v>1061</x:v>
      </x:c>
      <x:c r="B1062" s="2" t="inlineStr">
        <x:is>
          <x:t xml:space="preserve">002951</x:t>
        </x:is>
      </x:c>
      <x:c r="C1062" s="3" t="inlineStr">
        <x:is>
          <x:t xml:space="preserve">金时科技</x:t>
        </x:is>
      </x:c>
      <x:c r="D1062" s="3" t="inlineStr">
        <x:is>
          <x:t xml:space="preserve">四川金时科技股份有限公司</x:t>
        </x:is>
      </x:c>
      <x:c r="E1062" s="2" t="inlineStr">
        <x:is>
          <x:t xml:space="preserve">四川省</x:t>
        </x:is>
      </x:c>
      <x:c r="F1062" s="2" t="inlineStr">
        <x:is>
          <x:t xml:space="preserve">成都市</x:t>
        </x:is>
      </x:c>
      <x:c r="G1062" s="3" t="inlineStr">
        <x:is>
          <x:t xml:space="preserve">四川省-成都市</x:t>
        </x:is>
      </x:c>
      <x:c r="H1062" s="2" t="inlineStr">
        <x:is>
          <x:t xml:space="preserve">电源设备</x:t>
        </x:is>
      </x:c>
      <x:c r="I1062" s="2" t="inlineStr">
        <x:is>
          <x:t xml:space="preserve">2019-03-15</x:t>
        </x:is>
      </x:c>
      <x:c r="J1062" s="3" t="inlineStr">
        <x:is>
          <x:t xml:space="preserve">四川省成都经济技术开发区(龙泉驿区)车城西三路289号</x:t>
        </x:is>
      </x:c>
      <x:c r="K1062" s="12" t="str">
        <x:f>LEFT("915101126818379484",18)</x:f>
        <x:v>915101126818379500</x:v>
      </x:c>
    </x:row>
    <x:row r="1063">
      <x:c r="A1063" s="4" t="n">
        <x:v>1062</x:v>
      </x:c>
      <x:c r="B1063" s="4" t="inlineStr">
        <x:is>
          <x:t xml:space="preserve">002977</x:t>
        </x:is>
      </x:c>
      <x:c r="C1063" s="5" t="inlineStr">
        <x:is>
          <x:t xml:space="preserve">天箭科技</x:t>
        </x:is>
      </x:c>
      <x:c r="D1063" s="5" t="inlineStr">
        <x:is>
          <x:t xml:space="preserve">成都天箭科技股份有限公司</x:t>
        </x:is>
      </x:c>
      <x:c r="E1063" s="4" t="inlineStr">
        <x:is>
          <x:t xml:space="preserve">四川省</x:t>
        </x:is>
      </x:c>
      <x:c r="F1063" s="4" t="inlineStr">
        <x:is>
          <x:t xml:space="preserve">成都市</x:t>
        </x:is>
      </x:c>
      <x:c r="G1063" s="5" t="inlineStr">
        <x:is>
          <x:t xml:space="preserve">四川省-成都市</x:t>
        </x:is>
      </x:c>
      <x:c r="H1063" s="4" t="inlineStr">
        <x:is>
          <x:t xml:space="preserve">通信设备</x:t>
        </x:is>
      </x:c>
      <x:c r="I1063" s="4" t="inlineStr">
        <x:is>
          <x:t xml:space="preserve">2020-03-17</x:t>
        </x:is>
      </x:c>
      <x:c r="J1063" s="5" t="inlineStr">
        <x:is>
          <x:t xml:space="preserve">成都市高新区和茂街333号</x:t>
        </x:is>
      </x:c>
      <x:c r="K1063" s="12" t="str">
        <x:f>LEFT("91510100771221389K",18)</x:f>
        <x:v>91510100771221389K</x:v>
      </x:c>
    </x:row>
    <x:row r="1064">
      <x:c r="A1064" s="2" t="n">
        <x:v>1063</x:v>
      </x:c>
      <x:c r="B1064" s="2" t="inlineStr">
        <x:is>
          <x:t xml:space="preserve">002978</x:t>
        </x:is>
      </x:c>
      <x:c r="C1064" s="3" t="inlineStr">
        <x:is>
          <x:t xml:space="preserve">安宁股份</x:t>
        </x:is>
      </x:c>
      <x:c r="D1064" s="3" t="inlineStr">
        <x:is>
          <x:t xml:space="preserve">四川安宁铁钛股份有限公司</x:t>
        </x:is>
      </x:c>
      <x:c r="E1064" s="2" t="inlineStr">
        <x:is>
          <x:t xml:space="preserve">四川省</x:t>
        </x:is>
      </x:c>
      <x:c r="F1064" s="2" t="inlineStr">
        <x:is>
          <x:t xml:space="preserve">攀枝花市</x:t>
        </x:is>
      </x:c>
      <x:c r="G1064" s="3" t="inlineStr">
        <x:is>
          <x:t xml:space="preserve">四川省-攀枝花市</x:t>
        </x:is>
      </x:c>
      <x:c r="H1064" s="2" t="inlineStr">
        <x:is>
          <x:t xml:space="preserve">钢铁行业</x:t>
        </x:is>
      </x:c>
      <x:c r="I1064" s="2" t="inlineStr">
        <x:is>
          <x:t xml:space="preserve">2020-04-17</x:t>
        </x:is>
      </x:c>
      <x:c r="J1064" s="3" t="inlineStr">
        <x:is>
          <x:t xml:space="preserve">攀枝花市米易县攀莲镇安宁路80号</x:t>
        </x:is>
      </x:c>
      <x:c r="K1064" s="12" t="str">
        <x:f>LEFT("91510400204604471T",18)</x:f>
        <x:v>91510400204604471T</x:v>
      </x:c>
    </x:row>
    <x:row r="1065">
      <x:c r="A1065" s="4" t="n">
        <x:v>1064</x:v>
      </x:c>
      <x:c r="B1065" s="4" t="inlineStr">
        <x:is>
          <x:t xml:space="preserve">003023</x:t>
        </x:is>
      </x:c>
      <x:c r="C1065" s="5" t="inlineStr">
        <x:is>
          <x:t xml:space="preserve">彩虹集团</x:t>
        </x:is>
      </x:c>
      <x:c r="D1065" s="5" t="inlineStr">
        <x:is>
          <x:t xml:space="preserve">成都彩虹电器(集团)股份有限公司</x:t>
        </x:is>
      </x:c>
      <x:c r="E1065" s="4" t="inlineStr">
        <x:is>
          <x:t xml:space="preserve">四川省</x:t>
        </x:is>
      </x:c>
      <x:c r="F1065" s="4" t="inlineStr">
        <x:is>
          <x:t xml:space="preserve">成都市</x:t>
        </x:is>
      </x:c>
      <x:c r="G1065" s="5" t="inlineStr">
        <x:is>
          <x:t xml:space="preserve">四川省-成都市</x:t>
        </x:is>
      </x:c>
      <x:c r="H1065" s="4" t="inlineStr">
        <x:is>
          <x:t xml:space="preserve">家电行业</x:t>
        </x:is>
      </x:c>
      <x:c r="I1065" s="4" t="inlineStr">
        <x:is>
          <x:t xml:space="preserve">2020-12-11</x:t>
        </x:is>
      </x:c>
      <x:c r="J1065" s="5" t="inlineStr">
        <x:is>
          <x:t xml:space="preserve">四川省成都市武侯区武侯大道顺江段73号</x:t>
        </x:is>
      </x:c>
      <x:c r="K1065" s="12" t="str">
        <x:f>LEFT("915101002019667683",18)</x:f>
        <x:v>915101002019667700</x:v>
      </x:c>
    </x:row>
    <x:row r="1066">
      <x:c r="A1066" s="2" t="n">
        <x:v>1065</x:v>
      </x:c>
      <x:c r="B1066" s="2" t="inlineStr">
        <x:is>
          <x:t xml:space="preserve">300019</x:t>
        </x:is>
      </x:c>
      <x:c r="C1066" s="3" t="inlineStr">
        <x:is>
          <x:t xml:space="preserve">硅宝科技</x:t>
        </x:is>
      </x:c>
      <x:c r="D1066" s="3" t="inlineStr">
        <x:is>
          <x:t xml:space="preserve">成都硅宝科技股份有限公司</x:t>
        </x:is>
      </x:c>
      <x:c r="E1066" s="2" t="inlineStr">
        <x:is>
          <x:t xml:space="preserve">四川省</x:t>
        </x:is>
      </x:c>
      <x:c r="F1066" s="2" t="inlineStr">
        <x:is>
          <x:t xml:space="preserve">成都市</x:t>
        </x:is>
      </x:c>
      <x:c r="G1066" s="3" t="inlineStr">
        <x:is>
          <x:t xml:space="preserve">四川省-成都市</x:t>
        </x:is>
      </x:c>
      <x:c r="H1066" s="2" t="inlineStr">
        <x:is>
          <x:t xml:space="preserve">化工行业</x:t>
        </x:is>
      </x:c>
      <x:c r="I1066" s="2" t="inlineStr">
        <x:is>
          <x:t xml:space="preserve">2009-10-30</x:t>
        </x:is>
      </x:c>
      <x:c r="J1066" s="3" t="inlineStr">
        <x:is>
          <x:t xml:space="preserve">成都高新区新园大道16号</x:t>
        </x:is>
      </x:c>
      <x:c r="K1066" s="12" t="str">
        <x:f>LEFT("91510100713042497M",18)</x:f>
        <x:v>91510100713042497M</x:v>
      </x:c>
    </x:row>
    <x:row r="1067">
      <x:c r="A1067" s="4" t="n">
        <x:v>1066</x:v>
      </x:c>
      <x:c r="B1067" s="4" t="inlineStr">
        <x:is>
          <x:t xml:space="preserve">300022</x:t>
        </x:is>
      </x:c>
      <x:c r="C1067" s="5" t="inlineStr">
        <x:is>
          <x:t xml:space="preserve">吉峰科技</x:t>
        </x:is>
      </x:c>
      <x:c r="D1067" s="5" t="inlineStr">
        <x:is>
          <x:t xml:space="preserve">吉峰三农科技服务股份有限公司</x:t>
        </x:is>
      </x:c>
      <x:c r="E1067" s="4" t="inlineStr">
        <x:is>
          <x:t xml:space="preserve">四川省</x:t>
        </x:is>
      </x:c>
      <x:c r="F1067" s="4" t="inlineStr">
        <x:is>
          <x:t xml:space="preserve">成都市</x:t>
        </x:is>
      </x:c>
      <x:c r="G1067" s="5" t="inlineStr">
        <x:is>
          <x:t xml:space="preserve">四川省-成都市</x:t>
        </x:is>
      </x:c>
      <x:c r="H1067" s="4" t="inlineStr">
        <x:is>
          <x:t xml:space="preserve">工程机械</x:t>
        </x:is>
      </x:c>
      <x:c r="I1067" s="4" t="inlineStr">
        <x:is>
          <x:t xml:space="preserve">2009-10-30</x:t>
        </x:is>
      </x:c>
      <x:c r="J1067" s="5" t="inlineStr">
        <x:is>
          <x:t xml:space="preserve">成都市郫都区成都现代工业港北部园区港通北二路219号</x:t>
        </x:is>
      </x:c>
      <x:c r="K1067" s="12" t="str">
        <x:f>LEFT("915100002018692710",18)</x:f>
        <x:v>915100002018692700</x:v>
      </x:c>
    </x:row>
    <x:row r="1068">
      <x:c r="A1068" s="2" t="n">
        <x:v>1067</x:v>
      </x:c>
      <x:c r="B1068" s="2" t="inlineStr">
        <x:is>
          <x:t xml:space="preserve">300092</x:t>
        </x:is>
      </x:c>
      <x:c r="C1068" s="3" t="inlineStr">
        <x:is>
          <x:t xml:space="preserve">科新机电</x:t>
        </x:is>
      </x:c>
      <x:c r="D1068" s="3" t="inlineStr">
        <x:is>
          <x:t xml:space="preserve">四川科新机电股份有限公司</x:t>
        </x:is>
      </x:c>
      <x:c r="E1068" s="2" t="inlineStr">
        <x:is>
          <x:t xml:space="preserve">四川省</x:t>
        </x:is>
      </x:c>
      <x:c r="F1068" s="2" t="inlineStr">
        <x:is>
          <x:t xml:space="preserve">川省什邡市</x:t>
        </x:is>
      </x:c>
      <x:c r="G1068" s="3" t="inlineStr">
        <x:is>
          <x:t xml:space="preserve">四川省-川省什邡市</x:t>
        </x:is>
      </x:c>
      <x:c r="H1068" s="2" t="inlineStr">
        <x:is>
          <x:t xml:space="preserve">机械行业</x:t>
        </x:is>
      </x:c>
      <x:c r="I1068" s="2" t="inlineStr">
        <x:is>
          <x:t xml:space="preserve">2010-07-08</x:t>
        </x:is>
      </x:c>
      <x:c r="J1068" s="3" t="inlineStr">
        <x:is>
          <x:t xml:space="preserve">四川省什邡市马祖镇</x:t>
        </x:is>
      </x:c>
      <x:c r="K1068" s="12" t="str">
        <x:f>LEFT("91510600205366604X",18)</x:f>
        <x:v>91510600205366604X</x:v>
      </x:c>
    </x:row>
    <x:row r="1069">
      <x:c r="A1069" s="4" t="n">
        <x:v>1068</x:v>
      </x:c>
      <x:c r="B1069" s="4" t="inlineStr">
        <x:is>
          <x:t xml:space="preserve">300101</x:t>
        </x:is>
      </x:c>
      <x:c r="C1069" s="5" t="inlineStr">
        <x:is>
          <x:t xml:space="preserve">振芯科技</x:t>
        </x:is>
      </x:c>
      <x:c r="D1069" s="5" t="inlineStr">
        <x:is>
          <x:t xml:space="preserve">成都振芯科技股份有限公司</x:t>
        </x:is>
      </x:c>
      <x:c r="E1069" s="4" t="inlineStr">
        <x:is>
          <x:t xml:space="preserve">四川省</x:t>
        </x:is>
      </x:c>
      <x:c r="F1069" s="4" t="inlineStr">
        <x:is>
          <x:t xml:space="preserve">成都市</x:t>
        </x:is>
      </x:c>
      <x:c r="G1069" s="5" t="inlineStr">
        <x:is>
          <x:t xml:space="preserve">四川省-成都市</x:t>
        </x:is>
      </x:c>
      <x:c r="H1069" s="4" t="inlineStr">
        <x:is>
          <x:t xml:space="preserve">通讯行业</x:t>
        </x:is>
      </x:c>
      <x:c r="I1069" s="4" t="inlineStr">
        <x:is>
          <x:t xml:space="preserve">2010-08-06</x:t>
        </x:is>
      </x:c>
      <x:c r="J1069" s="5" t="inlineStr">
        <x:is>
          <x:t xml:space="preserve">四川省成都市高新区高朋大道1号</x:t>
        </x:is>
      </x:c>
      <x:c r="K1069" s="12" t="str">
        <x:f>LEFT("915101007497238179",18)</x:f>
        <x:v>915101007497238100</x:v>
      </x:c>
    </x:row>
    <x:row r="1070">
      <x:c r="A1070" s="2" t="n">
        <x:v>1069</x:v>
      </x:c>
      <x:c r="B1070" s="2" t="inlineStr">
        <x:is>
          <x:t xml:space="preserve">300127</x:t>
        </x:is>
      </x:c>
      <x:c r="C1070" s="3" t="inlineStr">
        <x:is>
          <x:t xml:space="preserve">银河磁体</x:t>
        </x:is>
      </x:c>
      <x:c r="D1070" s="3" t="inlineStr">
        <x:is>
          <x:t xml:space="preserve">成都银河磁体股份有限公司</x:t>
        </x:is>
      </x:c>
      <x:c r="E1070" s="2" t="inlineStr">
        <x:is>
          <x:t xml:space="preserve">四川省</x:t>
        </x:is>
      </x:c>
      <x:c r="F1070" s="2" t="inlineStr">
        <x:is>
          <x:t xml:space="preserve">成都市</x:t>
        </x:is>
      </x:c>
      <x:c r="G1070" s="3" t="inlineStr">
        <x:is>
          <x:t xml:space="preserve">四川省-成都市</x:t>
        </x:is>
      </x:c>
      <x:c r="H1070" s="2" t="inlineStr">
        <x:is>
          <x:t xml:space="preserve">小金属</x:t>
        </x:is>
      </x:c>
      <x:c r="I1070" s="2" t="inlineStr">
        <x:is>
          <x:t xml:space="preserve">2010-10-13</x:t>
        </x:is>
      </x:c>
      <x:c r="J1070" s="3" t="inlineStr">
        <x:is>
          <x:t xml:space="preserve">四川省成都市高新区西区百草路6号</x:t>
        </x:is>
      </x:c>
      <x:c r="K1070" s="12" t="str">
        <x:f>LEFT("91510100202499882E",18)</x:f>
        <x:v>91510100202499882E</x:v>
      </x:c>
    </x:row>
    <x:row r="1071">
      <x:c r="A1071" s="4" t="n">
        <x:v>1070</x:v>
      </x:c>
      <x:c r="B1071" s="4" t="inlineStr">
        <x:is>
          <x:t xml:space="preserve">300249</x:t>
        </x:is>
      </x:c>
      <x:c r="C1071" s="5" t="inlineStr">
        <x:is>
          <x:t xml:space="preserve">依米康</x:t>
        </x:is>
      </x:c>
      <x:c r="D1071" s="5" t="inlineStr">
        <x:is>
          <x:t xml:space="preserve">依米康科技集团股份有限公司</x:t>
        </x:is>
      </x:c>
      <x:c r="E1071" s="4" t="inlineStr">
        <x:is>
          <x:t xml:space="preserve">四川省</x:t>
        </x:is>
      </x:c>
      <x:c r="F1071" s="4" t="inlineStr">
        <x:is>
          <x:t xml:space="preserve">成都市</x:t>
        </x:is>
      </x:c>
      <x:c r="G1071" s="5" t="inlineStr">
        <x:is>
          <x:t xml:space="preserve">四川省-成都市</x:t>
        </x:is>
      </x:c>
      <x:c r="H1071" s="4" t="inlineStr">
        <x:is>
          <x:t xml:space="preserve">软件服务</x:t>
        </x:is>
      </x:c>
      <x:c r="I1071" s="4" t="inlineStr">
        <x:is>
          <x:t xml:space="preserve">2011-08-03</x:t>
        </x:is>
      </x:c>
      <x:c r="J1071" s="5" t="inlineStr">
        <x:is>
          <x:t xml:space="preserve">成都高新区科园南二路2号</x:t>
        </x:is>
      </x:c>
      <x:c r="K1071" s="12" t="str">
        <x:f>LEFT("91510100740327535Y",18)</x:f>
        <x:v>91510100740327535Y</x:v>
      </x:c>
    </x:row>
    <x:row r="1072">
      <x:c r="A1072" s="2" t="n">
        <x:v>1071</x:v>
      </x:c>
      <x:c r="B1072" s="2" t="inlineStr">
        <x:is>
          <x:t xml:space="preserve">300366</x:t>
        </x:is>
      </x:c>
      <x:c r="C1072" s="3" t="inlineStr">
        <x:is>
          <x:t xml:space="preserve">ST创意</x:t>
        </x:is>
      </x:c>
      <x:c r="D1072" s="3" t="inlineStr">
        <x:is>
          <x:t xml:space="preserve">创意信息技术股份有限公司</x:t>
        </x:is>
      </x:c>
      <x:c r="E1072" s="2" t="inlineStr">
        <x:is>
          <x:t xml:space="preserve">四川省</x:t>
        </x:is>
      </x:c>
      <x:c r="F1072" s="2" t="inlineStr">
        <x:is>
          <x:t xml:space="preserve">成都市</x:t>
        </x:is>
      </x:c>
      <x:c r="G1072" s="3" t="inlineStr">
        <x:is>
          <x:t xml:space="preserve">四川省-成都市</x:t>
        </x:is>
      </x:c>
      <x:c r="H1072" s="2" t="inlineStr">
        <x:is>
          <x:t xml:space="preserve">软件开发</x:t>
        </x:is>
      </x:c>
      <x:c r="I1072" s="2" t="inlineStr">
        <x:is>
          <x:t xml:space="preserve">2014-01-27</x:t>
        </x:is>
      </x:c>
      <x:c r="J1072" s="3" t="inlineStr">
        <x:is>
          <x:t xml:space="preserve">成都市青羊区红星路一段86号1栋222号</x:t>
        </x:is>
      </x:c>
      <x:c r="K1072" s="12" t="str">
        <x:f>LEFT("91510000201892738J",18)</x:f>
        <x:v>91510000201892738J</x:v>
      </x:c>
    </x:row>
    <x:row r="1073">
      <x:c r="A1073" s="4" t="n">
        <x:v>1072</x:v>
      </x:c>
      <x:c r="B1073" s="4" t="inlineStr">
        <x:is>
          <x:t xml:space="preserve">300370</x:t>
        </x:is>
      </x:c>
      <x:c r="C1073" s="5" t="inlineStr">
        <x:is>
          <x:t xml:space="preserve">安控科技</x:t>
        </x:is>
      </x:c>
      <x:c r="D1073" s="5" t="inlineStr">
        <x:is>
          <x:t xml:space="preserve">四川安控科技股份有限公司</x:t>
        </x:is>
      </x:c>
      <x:c r="E1073" s="4" t="inlineStr">
        <x:is>
          <x:t xml:space="preserve">四川省</x:t>
        </x:is>
      </x:c>
      <x:c r="F1073" s="4" t="inlineStr">
        <x:is>
          <x:t xml:space="preserve">宜宾市</x:t>
        </x:is>
      </x:c>
      <x:c r="G1073" s="5" t="inlineStr">
        <x:is>
          <x:t xml:space="preserve">四川省-宜宾市</x:t>
        </x:is>
      </x:c>
      <x:c r="H1073" s="4" t="inlineStr">
        <x:is>
          <x:t xml:space="preserve">仪器仪表</x:t>
        </x:is>
      </x:c>
      <x:c r="I1073" s="4" t="inlineStr">
        <x:is>
          <x:t xml:space="preserve">2014-01-23</x:t>
        </x:is>
      </x:c>
      <x:c r="J1073" s="5" t="inlineStr">
        <x:is>
          <x:t xml:space="preserve">四川省宜宾市叙州区金润产业园9栋</x:t>
        </x:is>
      </x:c>
      <x:c r="K1073" s="12" t="str">
        <x:f>LEFT("91110000633710213T",18)</x:f>
        <x:v>91110000633710213T</x:v>
      </x:c>
    </x:row>
    <x:row r="1074">
      <x:c r="A1074" s="2" t="n">
        <x:v>1073</x:v>
      </x:c>
      <x:c r="B1074" s="2" t="inlineStr">
        <x:is>
          <x:t xml:space="preserve">300414</x:t>
        </x:is>
      </x:c>
      <x:c r="C1074" s="3" t="inlineStr">
        <x:is>
          <x:t xml:space="preserve">中光防雷</x:t>
        </x:is>
      </x:c>
      <x:c r="D1074" s="3" t="inlineStr">
        <x:is>
          <x:t xml:space="preserve">四川中光防雷科技股份有限公司</x:t>
        </x:is>
      </x:c>
      <x:c r="E1074" s="2" t="inlineStr">
        <x:is>
          <x:t xml:space="preserve">四川省</x:t>
        </x:is>
      </x:c>
      <x:c r="F1074" s="2" t="inlineStr">
        <x:is>
          <x:t xml:space="preserve">成都市</x:t>
        </x:is>
      </x:c>
      <x:c r="G1074" s="3" t="inlineStr">
        <x:is>
          <x:t xml:space="preserve">四川省-成都市</x:t>
        </x:is>
      </x:c>
      <x:c r="H1074" s="2" t="inlineStr">
        <x:is>
          <x:t xml:space="preserve">通信设备</x:t>
        </x:is>
      </x:c>
      <x:c r="I1074" s="2" t="inlineStr">
        <x:is>
          <x:t xml:space="preserve">2015-05-13</x:t>
        </x:is>
      </x:c>
      <x:c r="J1074" s="3" t="inlineStr">
        <x:is>
          <x:t xml:space="preserve">成都高新区西部园区天宇路19号</x:t>
        </x:is>
      </x:c>
      <x:c r="K1074" s="12" t="str">
        <x:f>LEFT("91510100758751879A",18)</x:f>
        <x:v>91510100758751879A</x:v>
      </x:c>
    </x:row>
    <x:row r="1075">
      <x:c r="A1075" s="4" t="n">
        <x:v>1074</x:v>
      </x:c>
      <x:c r="B1075" s="4" t="inlineStr">
        <x:is>
          <x:t xml:space="preserve">300425</x:t>
        </x:is>
      </x:c>
      <x:c r="C1075" s="5" t="inlineStr">
        <x:is>
          <x:t xml:space="preserve">中建环能</x:t>
        </x:is>
      </x:c>
      <x:c r="D1075" s="5" t="inlineStr">
        <x:is>
          <x:t xml:space="preserve">中建环能科技股份有限公司</x:t>
        </x:is>
      </x:c>
      <x:c r="E1075" s="4" t="inlineStr">
        <x:is>
          <x:t xml:space="preserve">四川省</x:t>
        </x:is>
      </x:c>
      <x:c r="F1075" s="4" t="inlineStr">
        <x:is>
          <x:t xml:space="preserve">成都市</x:t>
        </x:is>
      </x:c>
      <x:c r="G1075" s="5" t="inlineStr">
        <x:is>
          <x:t xml:space="preserve">四川省-成都市</x:t>
        </x:is>
      </x:c>
      <x:c r="H1075" s="4" t="inlineStr">
        <x:is>
          <x:t xml:space="preserve">环保工程</x:t>
        </x:is>
      </x:c>
      <x:c r="I1075" s="4" t="inlineStr">
        <x:is>
          <x:t xml:space="preserve">2015-02-16</x:t>
        </x:is>
      </x:c>
      <x:c r="J1075" s="5" t="inlineStr">
        <x:is>
          <x:t xml:space="preserve">四川省成都市武侯区武兴一路3号</x:t>
        </x:is>
      </x:c>
      <x:c r="K1075" s="12" t="str">
        <x:f>LEFT("91510107737736610C",18)</x:f>
        <x:v>91510107737736610C</x:v>
      </x:c>
    </x:row>
    <x:row r="1076">
      <x:c r="A1076" s="2" t="n">
        <x:v>1075</x:v>
      </x:c>
      <x:c r="B1076" s="2" t="inlineStr">
        <x:is>
          <x:t xml:space="preserve">300432</x:t>
        </x:is>
      </x:c>
      <x:c r="C1076" s="3" t="inlineStr">
        <x:is>
          <x:t xml:space="preserve">富临精工</x:t>
        </x:is>
      </x:c>
      <x:c r="D1076" s="3" t="inlineStr">
        <x:is>
          <x:t xml:space="preserve">富临精工股份有限公司</x:t>
        </x:is>
      </x:c>
      <x:c r="E1076" s="2" t="inlineStr">
        <x:is>
          <x:t xml:space="preserve">四川省</x:t>
        </x:is>
      </x:c>
      <x:c r="F1076" s="2" t="inlineStr">
        <x:is>
          <x:t xml:space="preserve">绵阳市</x:t>
        </x:is>
      </x:c>
      <x:c r="G1076" s="3" t="inlineStr">
        <x:is>
          <x:t xml:space="preserve">四川省-绵阳市</x:t>
        </x:is>
      </x:c>
      <x:c r="H1076" s="2" t="inlineStr">
        <x:is>
          <x:t xml:space="preserve">汽车行业</x:t>
        </x:is>
      </x:c>
      <x:c r="I1076" s="2" t="inlineStr">
        <x:is>
          <x:t xml:space="preserve">2015-03-19</x:t>
        </x:is>
      </x:c>
      <x:c r="J1076" s="3" t="inlineStr">
        <x:is>
          <x:t xml:space="preserve">绵阳高端制造产业园凤凰中路37号</x:t>
        </x:is>
      </x:c>
      <x:c r="K1076" s="12" t="str">
        <x:f>LEFT("91510700708956104R",18)</x:f>
        <x:v>91510700708956104R</x:v>
      </x:c>
    </x:row>
    <x:row r="1077">
      <x:c r="A1077" s="4" t="n">
        <x:v>1076</x:v>
      </x:c>
      <x:c r="B1077" s="4" t="inlineStr">
        <x:is>
          <x:t xml:space="preserve">300434</x:t>
        </x:is>
      </x:c>
      <x:c r="C1077" s="5" t="inlineStr">
        <x:is>
          <x:t xml:space="preserve">金石亚药</x:t>
        </x:is>
      </x:c>
      <x:c r="D1077" s="5" t="inlineStr">
        <x:is>
          <x:t xml:space="preserve">四川金石亚洲医药股份有限公司</x:t>
        </x:is>
      </x:c>
      <x:c r="E1077" s="4" t="inlineStr">
        <x:is>
          <x:t xml:space="preserve">四川省</x:t>
        </x:is>
      </x:c>
      <x:c r="F1077" s="4" t="inlineStr">
        <x:is>
          <x:t xml:space="preserve">成都市</x:t>
        </x:is>
      </x:c>
      <x:c r="G1077" s="5" t="inlineStr">
        <x:is>
          <x:t xml:space="preserve">四川省-成都市</x:t>
        </x:is>
      </x:c>
      <x:c r="H1077" s="4" t="inlineStr">
        <x:is>
          <x:t xml:space="preserve">医药制造</x:t>
        </x:is>
      </x:c>
      <x:c r="I1077" s="4" t="inlineStr">
        <x:is>
          <x:t xml:space="preserve">2015-04-24</x:t>
        </x:is>
      </x:c>
      <x:c r="J1077" s="5" t="inlineStr">
        <x:is>
          <x:t xml:space="preserve">双流县九江镇万家社区</x:t>
        </x:is>
      </x:c>
      <x:c r="K1077" s="12" t="str">
        <x:f>LEFT("91510100762295001Q",18)</x:f>
        <x:v>91510100762295001Q</x:v>
      </x:c>
    </x:row>
    <x:row r="1078">
      <x:c r="A1078" s="2" t="n">
        <x:v>1077</x:v>
      </x:c>
      <x:c r="B1078" s="2" t="inlineStr">
        <x:is>
          <x:t xml:space="preserve">300440</x:t>
        </x:is>
      </x:c>
      <x:c r="C1078" s="3" t="inlineStr">
        <x:is>
          <x:t xml:space="preserve">运达科技</x:t>
        </x:is>
      </x:c>
      <x:c r="D1078" s="3" t="inlineStr">
        <x:is>
          <x:t xml:space="preserve">成都运达科技股份有限公司</x:t>
        </x:is>
      </x:c>
      <x:c r="E1078" s="2" t="inlineStr">
        <x:is>
          <x:t xml:space="preserve">四川省</x:t>
        </x:is>
      </x:c>
      <x:c r="F1078" s="2" t="inlineStr">
        <x:is>
          <x:t xml:space="preserve">成都市</x:t>
        </x:is>
      </x:c>
      <x:c r="G1078" s="3" t="inlineStr">
        <x:is>
          <x:t xml:space="preserve">四川省-成都市</x:t>
        </x:is>
      </x:c>
      <x:c r="H1078" s="2" t="inlineStr">
        <x:is>
          <x:t xml:space="preserve">电子信息</x:t>
        </x:is>
      </x:c>
      <x:c r="I1078" s="2" t="inlineStr">
        <x:is>
          <x:t xml:space="preserve">2015-04-23</x:t>
        </x:is>
      </x:c>
      <x:c r="J1078" s="3" t="inlineStr">
        <x:is>
          <x:t xml:space="preserve">成都高新区康强四路99号</x:t>
        </x:is>
      </x:c>
      <x:c r="K1078" s="12" t="str">
        <x:f>LEFT("91510100785429105D",18)</x:f>
        <x:v>91510100785429105D</x:v>
      </x:c>
    </x:row>
    <x:row r="1079">
      <x:c r="A1079" s="4" t="n">
        <x:v>1078</x:v>
      </x:c>
      <x:c r="B1079" s="4" t="inlineStr">
        <x:is>
          <x:t xml:space="preserve">300463</x:t>
        </x:is>
      </x:c>
      <x:c r="C1079" s="5" t="inlineStr">
        <x:is>
          <x:t xml:space="preserve">迈克生物</x:t>
        </x:is>
      </x:c>
      <x:c r="D1079" s="5" t="inlineStr">
        <x:is>
          <x:t xml:space="preserve">迈克生物股份有限公司</x:t>
        </x:is>
      </x:c>
      <x:c r="E1079" s="4" t="inlineStr">
        <x:is>
          <x:t xml:space="preserve">四川省</x:t>
        </x:is>
      </x:c>
      <x:c r="F1079" s="4" t="inlineStr">
        <x:is>
          <x:t xml:space="preserve">成都市</x:t>
        </x:is>
      </x:c>
      <x:c r="G1079" s="5" t="inlineStr">
        <x:is>
          <x:t xml:space="preserve">四川省-成都市</x:t>
        </x:is>
      </x:c>
      <x:c r="H1079" s="4" t="inlineStr">
        <x:is>
          <x:t xml:space="preserve">医疗器械</x:t>
        </x:is>
      </x:c>
      <x:c r="I1079" s="4" t="inlineStr">
        <x:is>
          <x:t xml:space="preserve">2015-05-28</x:t>
        </x:is>
      </x:c>
      <x:c r="J1079" s="5" t="inlineStr">
        <x:is>
          <x:t xml:space="preserve">成都市高新区百川路16号</x:t>
        </x:is>
      </x:c>
      <x:c r="K1079" s="12" t="str">
        <x:f>LEFT("9151000020186004X7",18)</x:f>
        <x:v>9151000020186004X7</x:v>
      </x:c>
    </x:row>
    <x:row r="1080">
      <x:c r="A1080" s="2" t="n">
        <x:v>1079</x:v>
      </x:c>
      <x:c r="B1080" s="2" t="inlineStr">
        <x:is>
          <x:t xml:space="preserve">300467</x:t>
        </x:is>
      </x:c>
      <x:c r="C1080" s="3" t="inlineStr">
        <x:is>
          <x:t xml:space="preserve">迅游科技</x:t>
        </x:is>
      </x:c>
      <x:c r="D1080" s="3" t="inlineStr">
        <x:is>
          <x:t xml:space="preserve">四川迅游网络科技股份有限公司</x:t>
        </x:is>
      </x:c>
      <x:c r="E1080" s="2" t="inlineStr">
        <x:is>
          <x:t xml:space="preserve">四川省</x:t>
        </x:is>
      </x:c>
      <x:c r="F1080" s="2" t="inlineStr">
        <x:is>
          <x:t xml:space="preserve">成都市</x:t>
        </x:is>
      </x:c>
      <x:c r="G1080" s="3" t="inlineStr">
        <x:is>
          <x:t xml:space="preserve">四川省-成都市</x:t>
        </x:is>
      </x:c>
      <x:c r="H1080" s="2" t="inlineStr">
        <x:is>
          <x:t xml:space="preserve">游戏</x:t>
        </x:is>
      </x:c>
      <x:c r="I1080" s="2" t="inlineStr">
        <x:is>
          <x:t xml:space="preserve">2015-05-27</x:t>
        </x:is>
      </x:c>
      <x:c r="J1080" s="3" t="inlineStr">
        <x:is>
          <x:t xml:space="preserve">中国(四川)自由贸易试验区成都高新区世纪城南路599号7栋6、7层</x:t>
        </x:is>
      </x:c>
      <x:c r="K1080" s="12" t="str">
        <x:f>LEFT("91510100677184972A",18)</x:f>
        <x:v>91510100677184972A</x:v>
      </x:c>
    </x:row>
    <x:row r="1081">
      <x:c r="A1081" s="4" t="n">
        <x:v>1080</x:v>
      </x:c>
      <x:c r="B1081" s="4" t="inlineStr">
        <x:is>
          <x:t xml:space="preserve">300470</x:t>
        </x:is>
      </x:c>
      <x:c r="C1081" s="5" t="inlineStr">
        <x:is>
          <x:t xml:space="preserve">中密控股</x:t>
        </x:is>
      </x:c>
      <x:c r="D1081" s="5" t="inlineStr">
        <x:is>
          <x:t xml:space="preserve">中密控股股份有限公司</x:t>
        </x:is>
      </x:c>
      <x:c r="E1081" s="4" t="inlineStr">
        <x:is>
          <x:t xml:space="preserve">四川省</x:t>
        </x:is>
      </x:c>
      <x:c r="F1081" s="4" t="inlineStr">
        <x:is>
          <x:t xml:space="preserve">成都市</x:t>
        </x:is>
      </x:c>
      <x:c r="G1081" s="5" t="inlineStr">
        <x:is>
          <x:t xml:space="preserve">四川省-成都市</x:t>
        </x:is>
      </x:c>
      <x:c r="H1081" s="4" t="inlineStr">
        <x:is>
          <x:t xml:space="preserve">机械行业</x:t>
        </x:is>
      </x:c>
      <x:c r="I1081" s="4" t="inlineStr">
        <x:is>
          <x:t xml:space="preserve">2015-06-12</x:t>
        </x:is>
      </x:c>
      <x:c r="J1081" s="5" t="inlineStr">
        <x:is>
          <x:t xml:space="preserve">四川省成都市武侯区武科西四路八号</x:t>
        </x:is>
      </x:c>
      <x:c r="K1081" s="12" t="str">
        <x:f>LEFT("91510000621607817X",18)</x:f>
        <x:v>91510000621607817X</x:v>
      </x:c>
    </x:row>
    <x:row r="1082">
      <x:c r="A1082" s="2" t="n">
        <x:v>1081</x:v>
      </x:c>
      <x:c r="B1082" s="2" t="inlineStr">
        <x:is>
          <x:t xml:space="preserve">300471</x:t>
        </x:is>
      </x:c>
      <x:c r="C1082" s="3" t="inlineStr">
        <x:is>
          <x:t xml:space="preserve">厚普股份</x:t>
        </x:is>
      </x:c>
      <x:c r="D1082" s="3" t="inlineStr">
        <x:is>
          <x:t xml:space="preserve">厚普清洁能源(集团)股份有限公司</x:t>
        </x:is>
      </x:c>
      <x:c r="E1082" s="2" t="inlineStr">
        <x:is>
          <x:t xml:space="preserve">四川省</x:t>
        </x:is>
      </x:c>
      <x:c r="F1082" s="2" t="inlineStr">
        <x:is>
          <x:t xml:space="preserve">成都市</x:t>
        </x:is>
      </x:c>
      <x:c r="G1082" s="3" t="inlineStr">
        <x:is>
          <x:t xml:space="preserve">四川省-成都市</x:t>
        </x:is>
      </x:c>
      <x:c r="H1082" s="2" t="inlineStr">
        <x:is>
          <x:t xml:space="preserve">专用设备</x:t>
        </x:is>
      </x:c>
      <x:c r="I1082" s="2" t="inlineStr">
        <x:is>
          <x:t xml:space="preserve">2015-06-11</x:t>
        </x:is>
      </x:c>
      <x:c r="J1082" s="3" t="inlineStr">
        <x:is>
          <x:t xml:space="preserve">成都市高新区康隆路555号102栋1层1号</x:t>
        </x:is>
      </x:c>
      <x:c r="K1082" s="12" t="str">
        <x:f>LEFT("91510100768641294J",18)</x:f>
        <x:v>91510100768641294J</x:v>
      </x:c>
    </x:row>
    <x:row r="1083">
      <x:c r="A1083" s="4" t="n">
        <x:v>1082</x:v>
      </x:c>
      <x:c r="B1083" s="4" t="inlineStr">
        <x:is>
          <x:t xml:space="preserve">300492</x:t>
        </x:is>
      </x:c>
      <x:c r="C1083" s="5" t="inlineStr">
        <x:is>
          <x:t xml:space="preserve">华图山鼎</x:t>
        </x:is>
      </x:c>
      <x:c r="D1083" s="5" t="inlineStr">
        <x:is>
          <x:t xml:space="preserve">华图山鼎设计股份有限公司</x:t>
        </x:is>
      </x:c>
      <x:c r="E1083" s="4" t="inlineStr">
        <x:is>
          <x:t xml:space="preserve">四川省</x:t>
        </x:is>
      </x:c>
      <x:c r="F1083" s="4" t="inlineStr">
        <x:is>
          <x:t xml:space="preserve">成都市</x:t>
        </x:is>
      </x:c>
      <x:c r="G1083" s="5" t="inlineStr">
        <x:is>
          <x:t xml:space="preserve">四川省-成都市</x:t>
        </x:is>
      </x:c>
      <x:c r="H1083" s="4" t="inlineStr">
        <x:is>
          <x:t xml:space="preserve">工程咨询服务</x:t>
        </x:is>
      </x:c>
      <x:c r="I1083" s="4" t="inlineStr">
        <x:is>
          <x:t xml:space="preserve">2015-12-23</x:t>
        </x:is>
      </x:c>
      <x:c r="J1083" s="5" t="inlineStr">
        <x:is>
          <x:t xml:space="preserve">成都市锦江区东大街芷泉段6号1栋1单元37层8号</x:t>
        </x:is>
      </x:c>
      <x:c r="K1083" s="12" t="str">
        <x:f>LEFT("9151010474469974XL",18)</x:f>
        <x:v>9151010474469974XL</x:v>
      </x:c>
    </x:row>
    <x:row r="1084">
      <x:c r="A1084" s="2" t="n">
        <x:v>1083</x:v>
      </x:c>
      <x:c r="B1084" s="2" t="inlineStr">
        <x:is>
          <x:t xml:space="preserve">300502</x:t>
        </x:is>
      </x:c>
      <x:c r="C1084" s="3" t="inlineStr">
        <x:is>
          <x:t xml:space="preserve">新易盛</x:t>
        </x:is>
      </x:c>
      <x:c r="D1084" s="3" t="inlineStr">
        <x:is>
          <x:t xml:space="preserve">成都新易盛通信技术股份有限公司</x:t>
        </x:is>
      </x:c>
      <x:c r="E1084" s="2" t="inlineStr">
        <x:is>
          <x:t xml:space="preserve">四川省</x:t>
        </x:is>
      </x:c>
      <x:c r="F1084" s="2" t="inlineStr">
        <x:is>
          <x:t xml:space="preserve">成都市</x:t>
        </x:is>
      </x:c>
      <x:c r="G1084" s="3" t="inlineStr">
        <x:is>
          <x:t xml:space="preserve">四川省-成都市</x:t>
        </x:is>
      </x:c>
      <x:c r="H1084" s="2" t="inlineStr">
        <x:is>
          <x:t xml:space="preserve">通讯行业</x:t>
        </x:is>
      </x:c>
      <x:c r="I1084" s="2" t="inlineStr">
        <x:is>
          <x:t xml:space="preserve">2016-03-03</x:t>
        </x:is>
      </x:c>
      <x:c r="J1084" s="3" t="inlineStr">
        <x:is>
          <x:t xml:space="preserve">中国(四川)自由贸易试验区成都市双流区黄甲街道物联大道510号</x:t>
        </x:is>
      </x:c>
      <x:c r="K1084" s="12" t="str">
        <x:f>LEFT("91510100674300237M",18)</x:f>
        <x:v>91510100674300237M</x:v>
      </x:c>
    </x:row>
    <x:row r="1085">
      <x:c r="A1085" s="4" t="n">
        <x:v>1084</x:v>
      </x:c>
      <x:c r="B1085" s="4" t="inlineStr">
        <x:is>
          <x:t xml:space="preserve">300504</x:t>
        </x:is>
      </x:c>
      <x:c r="C1085" s="5" t="inlineStr">
        <x:is>
          <x:t xml:space="preserve">天邑股份</x:t>
        </x:is>
      </x:c>
      <x:c r="D1085" s="5" t="inlineStr">
        <x:is>
          <x:t xml:space="preserve">四川天邑康和通信股份有限公司</x:t>
        </x:is>
      </x:c>
      <x:c r="E1085" s="4" t="inlineStr">
        <x:is>
          <x:t xml:space="preserve">四川省</x:t>
        </x:is>
      </x:c>
      <x:c r="F1085" s="4" t="inlineStr">
        <x:is>
          <x:t xml:space="preserve">成都市</x:t>
        </x:is>
      </x:c>
      <x:c r="G1085" s="5" t="inlineStr">
        <x:is>
          <x:t xml:space="preserve">四川省-成都市</x:t>
        </x:is>
      </x:c>
      <x:c r="H1085" s="4" t="inlineStr">
        <x:is>
          <x:t xml:space="preserve">通讯行业</x:t>
        </x:is>
      </x:c>
      <x:c r="I1085" s="4" t="inlineStr">
        <x:is>
          <x:t xml:space="preserve">2018-03-30</x:t>
        </x:is>
      </x:c>
      <x:c r="J1085" s="5" t="inlineStr">
        <x:is>
          <x:t xml:space="preserve">四川省大邑县晋原镇雪山大道一段198号</x:t>
        </x:is>
      </x:c>
      <x:c r="K1085" s="12" t="str">
        <x:f>LEFT("91510000902667031J",18)</x:f>
        <x:v>91510000902667031J</x:v>
      </x:c>
    </x:row>
    <x:row r="1086">
      <x:c r="A1086" s="2" t="n">
        <x:v>1085</x:v>
      </x:c>
      <x:c r="B1086" s="2" t="inlineStr">
        <x:is>
          <x:t xml:space="preserve">300535</x:t>
        </x:is>
      </x:c>
      <x:c r="C1086" s="3" t="inlineStr">
        <x:is>
          <x:t xml:space="preserve">达威股份</x:t>
        </x:is>
      </x:c>
      <x:c r="D1086" s="3" t="inlineStr">
        <x:is>
          <x:t xml:space="preserve">四川达威科技股份有限公司</x:t>
        </x:is>
      </x:c>
      <x:c r="E1086" s="2" t="inlineStr">
        <x:is>
          <x:t xml:space="preserve">四川省</x:t>
        </x:is>
      </x:c>
      <x:c r="F1086" s="2" t="inlineStr">
        <x:is>
          <x:t xml:space="preserve">成都市</x:t>
        </x:is>
      </x:c>
      <x:c r="G1086" s="3" t="inlineStr">
        <x:is>
          <x:t xml:space="preserve">四川省-成都市</x:t>
        </x:is>
      </x:c>
      <x:c r="H1086" s="2" t="inlineStr">
        <x:is>
          <x:t xml:space="preserve">化工行业</x:t>
        </x:is>
      </x:c>
      <x:c r="I1086" s="2" t="inlineStr">
        <x:is>
          <x:t xml:space="preserve">2016-08-12</x:t>
        </x:is>
      </x:c>
      <x:c r="J1086" s="3" t="inlineStr">
        <x:is>
          <x:t xml:space="preserve">四川省成都市新津区普兴街道平塘西路10号</x:t>
        </x:is>
      </x:c>
      <x:c r="K1086" s="12" t="str">
        <x:f>LEFT("9151010075595673X5",18)</x:f>
        <x:v>9151010075595673X5</x:v>
      </x:c>
    </x:row>
    <x:row r="1087">
      <x:c r="A1087" s="4" t="n">
        <x:v>1086</x:v>
      </x:c>
      <x:c r="B1087" s="4" t="inlineStr">
        <x:is>
          <x:t xml:space="preserve">300540</x:t>
        </x:is>
      </x:c>
      <x:c r="C1087" s="5" t="inlineStr">
        <x:is>
          <x:t xml:space="preserve">蜀道装备</x:t>
        </x:is>
      </x:c>
      <x:c r="D1087" s="5" t="inlineStr">
        <x:is>
          <x:t xml:space="preserve">四川蜀道装备科技股份有限公司</x:t>
        </x:is>
      </x:c>
      <x:c r="E1087" s="4" t="inlineStr">
        <x:is>
          <x:t xml:space="preserve">四川省</x:t>
        </x:is>
      </x:c>
      <x:c r="F1087" s="4" t="inlineStr">
        <x:is>
          <x:t xml:space="preserve">成都市</x:t>
        </x:is>
      </x:c>
      <x:c r="G1087" s="5" t="inlineStr">
        <x:is>
          <x:t xml:space="preserve">四川省-成都市</x:t>
        </x:is>
      </x:c>
      <x:c r="H1087" s="4" t="inlineStr">
        <x:is>
          <x:t xml:space="preserve">专用设备</x:t>
        </x:is>
      </x:c>
      <x:c r="I1087" s="4" t="inlineStr">
        <x:is>
          <x:t xml:space="preserve">2016-08-23</x:t>
        </x:is>
      </x:c>
      <x:c r="J1087" s="5" t="inlineStr">
        <x:is>
          <x:t xml:space="preserve">成都市郫都区现代工业港北片区同善桥路569号</x:t>
        </x:is>
      </x:c>
      <x:c r="K1087" s="12" t="str">
        <x:f>LEFT("91510124674318293R",18)</x:f>
        <x:v>91510124674318293R</x:v>
      </x:c>
    </x:row>
    <x:row r="1088">
      <x:c r="A1088" s="2" t="n">
        <x:v>1087</x:v>
      </x:c>
      <x:c r="B1088" s="2" t="inlineStr">
        <x:is>
          <x:t xml:space="preserve">300547</x:t>
        </x:is>
      </x:c>
      <x:c r="C1088" s="3" t="inlineStr">
        <x:is>
          <x:t xml:space="preserve">川环科技</x:t>
        </x:is>
      </x:c>
      <x:c r="D1088" s="3" t="inlineStr">
        <x:is>
          <x:t xml:space="preserve">四川川环科技股份有限公司</x:t>
        </x:is>
      </x:c>
      <x:c r="E1088" s="2" t="inlineStr">
        <x:is>
          <x:t xml:space="preserve">四川省</x:t>
        </x:is>
      </x:c>
      <x:c r="F1088" s="2" t="inlineStr">
        <x:is>
          <x:t xml:space="preserve">达州市</x:t>
        </x:is>
      </x:c>
      <x:c r="G1088" s="3" t="inlineStr">
        <x:is>
          <x:t xml:space="preserve">四川省-达州市</x:t>
        </x:is>
      </x:c>
      <x:c r="H1088" s="2" t="inlineStr">
        <x:is>
          <x:t xml:space="preserve">橡胶制品</x:t>
        </x:is>
      </x:c>
      <x:c r="I1088" s="2" t="inlineStr">
        <x:is>
          <x:t xml:space="preserve">2016-09-30</x:t>
        </x:is>
      </x:c>
      <x:c r="J1088" s="3" t="inlineStr">
        <x:is>
          <x:t xml:space="preserve">四川省达州市大竹县东柳工业园区</x:t>
        </x:is>
      </x:c>
      <x:c r="K1088" s="12" t="str">
        <x:f>LEFT("91511700740027188A",18)</x:f>
        <x:v>91511700740027188A</x:v>
      </x:c>
    </x:row>
    <x:row r="1089">
      <x:c r="A1089" s="4" t="n">
        <x:v>1088</x:v>
      </x:c>
      <x:c r="B1089" s="4" t="inlineStr">
        <x:is>
          <x:t xml:space="preserve">300559</x:t>
        </x:is>
      </x:c>
      <x:c r="C1089" s="5" t="inlineStr">
        <x:is>
          <x:t xml:space="preserve">佳发教育</x:t>
        </x:is>
      </x:c>
      <x:c r="D1089" s="5" t="inlineStr">
        <x:is>
          <x:t xml:space="preserve">成都佳发安泰教育科技股份有限公司</x:t>
        </x:is>
      </x:c>
      <x:c r="E1089" s="4" t="inlineStr">
        <x:is>
          <x:t xml:space="preserve">四川省</x:t>
        </x:is>
      </x:c>
      <x:c r="F1089" s="4" t="inlineStr">
        <x:is>
          <x:t xml:space="preserve">成都市</x:t>
        </x:is>
      </x:c>
      <x:c r="G1089" s="5" t="inlineStr">
        <x:is>
          <x:t xml:space="preserve">四川省-成都市</x:t>
        </x:is>
      </x:c>
      <x:c r="H1089" s="4" t="inlineStr">
        <x:is>
          <x:t xml:space="preserve">软件服务</x:t>
        </x:is>
      </x:c>
      <x:c r="I1089" s="4" t="inlineStr">
        <x:is>
          <x:t xml:space="preserve">2016-11-01</x:t>
        </x:is>
      </x:c>
      <x:c r="J1089" s="5" t="inlineStr">
        <x:is>
          <x:t xml:space="preserve">成都市武侯区武侯电商产业功能区管委会武科西二路188号</x:t>
        </x:is>
      </x:c>
      <x:c r="K1089" s="12" t="str">
        <x:f>LEFT("915101077436163833",18)</x:f>
        <x:v>915101077436163800</x:v>
      </x:c>
    </x:row>
    <x:row r="1090">
      <x:c r="A1090" s="2" t="n">
        <x:v>1089</x:v>
      </x:c>
      <x:c r="B1090" s="2" t="inlineStr">
        <x:is>
          <x:t xml:space="preserve">300678</x:t>
        </x:is>
      </x:c>
      <x:c r="C1090" s="3" t="inlineStr">
        <x:is>
          <x:t xml:space="preserve">中科信息</x:t>
        </x:is>
      </x:c>
      <x:c r="D1090" s="3" t="inlineStr">
        <x:is>
          <x:t xml:space="preserve">中科院成都信息技术股份有限公司</x:t>
        </x:is>
      </x:c>
      <x:c r="E1090" s="2" t="inlineStr">
        <x:is>
          <x:t xml:space="preserve">四川省</x:t>
        </x:is>
      </x:c>
      <x:c r="F1090" s="2" t="inlineStr">
        <x:is>
          <x:t xml:space="preserve">成都市</x:t>
        </x:is>
      </x:c>
      <x:c r="G1090" s="3" t="inlineStr">
        <x:is>
          <x:t xml:space="preserve">四川省-成都市</x:t>
        </x:is>
      </x:c>
      <x:c r="H1090" s="2" t="inlineStr">
        <x:is>
          <x:t xml:space="preserve">互联网服务</x:t>
        </x:is>
      </x:c>
      <x:c r="I1090" s="2" t="inlineStr">
        <x:is>
          <x:t xml:space="preserve">2017-07-28</x:t>
        </x:is>
      </x:c>
      <x:c r="J1090" s="3" t="inlineStr">
        <x:is>
          <x:t xml:space="preserve">四川天府新区兴隆街道科智路1369号</x:t>
        </x:is>
      </x:c>
      <x:c r="K1090" s="12" t="str">
        <x:f>LEFT("915101007301965784",18)</x:f>
        <x:v>915101007301965800</x:v>
      </x:c>
    </x:row>
    <x:row r="1091">
      <x:c r="A1091" s="4" t="n">
        <x:v>1090</x:v>
      </x:c>
      <x:c r="B1091" s="4" t="inlineStr">
        <x:is>
          <x:t xml:space="preserve">300696</x:t>
        </x:is>
      </x:c>
      <x:c r="C1091" s="5" t="inlineStr">
        <x:is>
          <x:t xml:space="preserve">爱乐达</x:t>
        </x:is>
      </x:c>
      <x:c r="D1091" s="5" t="inlineStr">
        <x:is>
          <x:t xml:space="preserve">成都爱乐达航空制造股份有限公司</x:t>
        </x:is>
      </x:c>
      <x:c r="E1091" s="4" t="inlineStr">
        <x:is>
          <x:t xml:space="preserve">四川省</x:t>
        </x:is>
      </x:c>
      <x:c r="F1091" s="4" t="inlineStr">
        <x:is>
          <x:t xml:space="preserve">成都市</x:t>
        </x:is>
      </x:c>
      <x:c r="G1091" s="5" t="inlineStr">
        <x:is>
          <x:t xml:space="preserve">四川省-成都市</x:t>
        </x:is>
      </x:c>
      <x:c r="H1091" s="4" t="inlineStr">
        <x:is>
          <x:t xml:space="preserve">航天航空</x:t>
        </x:is>
      </x:c>
      <x:c r="I1091" s="4" t="inlineStr">
        <x:is>
          <x:t xml:space="preserve">2017-08-22</x:t>
        </x:is>
      </x:c>
      <x:c r="J1091" s="5" t="inlineStr">
        <x:is>
          <x:t xml:space="preserve">成都市高新区西部园区天勤路819号</x:t>
        </x:is>
      </x:c>
      <x:c r="K1091" s="12" t="str">
        <x:f>LEFT("91510100758755984E",18)</x:f>
        <x:v>91510100758755984E</x:v>
      </x:c>
    </x:row>
    <x:row r="1092">
      <x:c r="A1092" s="2" t="n">
        <x:v>1091</x:v>
      </x:c>
      <x:c r="B1092" s="2" t="inlineStr">
        <x:is>
          <x:t xml:space="preserve">300733</x:t>
        </x:is>
      </x:c>
      <x:c r="C1092" s="3" t="inlineStr">
        <x:is>
          <x:t xml:space="preserve">西菱动力</x:t>
        </x:is>
      </x:c>
      <x:c r="D1092" s="3" t="inlineStr">
        <x:is>
          <x:t xml:space="preserve">成都西菱动力科技股份有限公司</x:t>
        </x:is>
      </x:c>
      <x:c r="E1092" s="2" t="inlineStr">
        <x:is>
          <x:t xml:space="preserve">四川省</x:t>
        </x:is>
      </x:c>
      <x:c r="F1092" s="2" t="inlineStr">
        <x:is>
          <x:t xml:space="preserve">成都市</x:t>
        </x:is>
      </x:c>
      <x:c r="G1092" s="3" t="inlineStr">
        <x:is>
          <x:t xml:space="preserve">四川省-成都市</x:t>
        </x:is>
      </x:c>
      <x:c r="H1092" s="2" t="inlineStr">
        <x:is>
          <x:t xml:space="preserve">汽车行业</x:t>
        </x:is>
      </x:c>
      <x:c r="I1092" s="2" t="inlineStr">
        <x:is>
          <x:t xml:space="preserve">2018-01-16</x:t>
        </x:is>
      </x:c>
      <x:c r="J1092" s="3" t="inlineStr">
        <x:is>
          <x:t xml:space="preserve">成都市青羊区腾飞大道298号</x:t>
        </x:is>
      </x:c>
      <x:c r="K1092" s="12" t="str">
        <x:f>LEFT("91510100716037634G",18)</x:f>
        <x:v>91510100716037634G</x:v>
      </x:c>
    </x:row>
    <x:row r="1093">
      <x:c r="A1093" s="4" t="n">
        <x:v>1092</x:v>
      </x:c>
      <x:c r="B1093" s="4" t="inlineStr">
        <x:is>
          <x:t xml:space="preserve">300780</x:t>
        </x:is>
      </x:c>
      <x:c r="C1093" s="5" t="inlineStr">
        <x:is>
          <x:t xml:space="preserve">德恩精工</x:t>
        </x:is>
      </x:c>
      <x:c r="D1093" s="5" t="inlineStr">
        <x:is>
          <x:t xml:space="preserve">四川德恩精工科技股份有限公司</x:t>
        </x:is>
      </x:c>
      <x:c r="E1093" s="4" t="inlineStr">
        <x:is>
          <x:t xml:space="preserve">四川省</x:t>
        </x:is>
      </x:c>
      <x:c r="F1093" s="4" t="inlineStr">
        <x:is>
          <x:t xml:space="preserve">眉山市</x:t>
        </x:is>
      </x:c>
      <x:c r="G1093" s="5" t="inlineStr">
        <x:is>
          <x:t xml:space="preserve">四川省-眉山市</x:t>
        </x:is>
      </x:c>
      <x:c r="H1093" s="4" t="inlineStr">
        <x:is>
          <x:t xml:space="preserve">机械行业</x:t>
        </x:is>
      </x:c>
      <x:c r="I1093" s="4" t="inlineStr">
        <x:is>
          <x:t xml:space="preserve">2019-05-31</x:t>
        </x:is>
      </x:c>
      <x:c r="J1093" s="5" t="inlineStr">
        <x:is>
          <x:t xml:space="preserve">四川省眉山市青神县竹艺大道8号</x:t>
        </x:is>
      </x:c>
      <x:c r="K1093" s="12" t="str">
        <x:f>LEFT("91511400754715627L",18)</x:f>
        <x:v>91511400754715627L</x:v>
      </x:c>
    </x:row>
    <x:row r="1094">
      <x:c r="A1094" s="2" t="n">
        <x:v>1093</x:v>
      </x:c>
      <x:c r="B1094" s="2" t="inlineStr">
        <x:is>
          <x:t xml:space="preserve">300789</x:t>
        </x:is>
      </x:c>
      <x:c r="C1094" s="3" t="inlineStr">
        <x:is>
          <x:t xml:space="preserve">唐源电气</x:t>
        </x:is>
      </x:c>
      <x:c r="D1094" s="3" t="inlineStr">
        <x:is>
          <x:t xml:space="preserve">成都唐源电气股份有限公司</x:t>
        </x:is>
      </x:c>
      <x:c r="E1094" s="2" t="inlineStr">
        <x:is>
          <x:t xml:space="preserve">四川省</x:t>
        </x:is>
      </x:c>
      <x:c r="F1094" s="2" t="inlineStr">
        <x:is>
          <x:t xml:space="preserve">成都市</x:t>
        </x:is>
      </x:c>
      <x:c r="G1094" s="3" t="inlineStr">
        <x:is>
          <x:t xml:space="preserve">四川省-成都市</x:t>
        </x:is>
      </x:c>
      <x:c r="H1094" s="2" t="inlineStr">
        <x:is>
          <x:t xml:space="preserve">软件服务</x:t>
        </x:is>
      </x:c>
      <x:c r="I1094" s="2" t="inlineStr">
        <x:is>
          <x:t xml:space="preserve">2019-08-28</x:t>
        </x:is>
      </x:c>
      <x:c r="J1094" s="3" t="inlineStr">
        <x:is>
          <x:t xml:space="preserve">四川省成都市武侯区武科西一路9号</x:t>
        </x:is>
      </x:c>
      <x:c r="K1094" s="12" t="str">
        <x:f>LEFT("91510107564461398L",18)</x:f>
        <x:v>91510107564461398L</x:v>
      </x:c>
    </x:row>
    <x:row r="1095">
      <x:c r="A1095" s="4" t="n">
        <x:v>1094</x:v>
      </x:c>
      <x:c r="B1095" s="4" t="inlineStr">
        <x:is>
          <x:t xml:space="preserve">300820</x:t>
        </x:is>
      </x:c>
      <x:c r="C1095" s="5" t="inlineStr">
        <x:is>
          <x:t xml:space="preserve">英杰电气</x:t>
        </x:is>
      </x:c>
      <x:c r="D1095" s="5" t="inlineStr">
        <x:is>
          <x:t xml:space="preserve">四川英杰电气股份有限公司</x:t>
        </x:is>
      </x:c>
      <x:c r="E1095" s="4" t="inlineStr">
        <x:is>
          <x:t xml:space="preserve">四川省</x:t>
        </x:is>
      </x:c>
      <x:c r="F1095" s="4" t="inlineStr">
        <x:is>
          <x:t xml:space="preserve">德阳市</x:t>
        </x:is>
      </x:c>
      <x:c r="G1095" s="5" t="inlineStr">
        <x:is>
          <x:t xml:space="preserve">四川省-德阳市</x:t>
        </x:is>
      </x:c>
      <x:c r="H1095" s="4" t="inlineStr">
        <x:is>
          <x:t xml:space="preserve">电源设备</x:t>
        </x:is>
      </x:c>
      <x:c r="I1095" s="4" t="inlineStr">
        <x:is>
          <x:t xml:space="preserve">2020-02-13</x:t>
        </x:is>
      </x:c>
      <x:c r="J1095" s="5" t="inlineStr">
        <x:is>
          <x:t xml:space="preserve">四川省德阳市旌阳区金沙江西路686号</x:t>
        </x:is>
      </x:c>
      <x:c r="K1095" s="12" t="str">
        <x:f>LEFT("9151060020515584XN",18)</x:f>
        <x:v>9151060020515584XN</x:v>
      </x:c>
    </x:row>
    <x:row r="1096">
      <x:c r="A1096" s="2" t="n">
        <x:v>1095</x:v>
      </x:c>
      <x:c r="B1096" s="2" t="inlineStr">
        <x:is>
          <x:t xml:space="preserve">300841</x:t>
        </x:is>
      </x:c>
      <x:c r="C1096" s="3" t="inlineStr">
        <x:is>
          <x:t xml:space="preserve">康华生物</x:t>
        </x:is>
      </x:c>
      <x:c r="D1096" s="3" t="inlineStr">
        <x:is>
          <x:t xml:space="preserve">成都康华生物制品股份有限公司</x:t>
        </x:is>
      </x:c>
      <x:c r="E1096" s="2" t="inlineStr">
        <x:is>
          <x:t xml:space="preserve">四川省</x:t>
        </x:is>
      </x:c>
      <x:c r="F1096" s="2" t="inlineStr">
        <x:is>
          <x:t xml:space="preserve">成都市</x:t>
        </x:is>
      </x:c>
      <x:c r="G1096" s="3" t="inlineStr">
        <x:is>
          <x:t xml:space="preserve">四川省-成都市</x:t>
        </x:is>
      </x:c>
      <x:c r="H1096" s="2" t="inlineStr">
        <x:is>
          <x:t xml:space="preserve">生物制品</x:t>
        </x:is>
      </x:c>
      <x:c r="I1096" s="2" t="inlineStr">
        <x:is>
          <x:t xml:space="preserve">2020-06-16</x:t>
        </x:is>
      </x:c>
      <x:c r="J1096" s="3" t="inlineStr">
        <x:is>
          <x:t xml:space="preserve">四川省成都经济技术开发区北京路182号</x:t>
        </x:is>
      </x:c>
      <x:c r="K1096" s="12" t="str">
        <x:f>LEFT("91510112758779783Q",18)</x:f>
        <x:v>91510112758779783Q</x:v>
      </x:c>
    </x:row>
    <x:row r="1097">
      <x:c r="A1097" s="4" t="n">
        <x:v>1096</x:v>
      </x:c>
      <x:c r="B1097" s="4" t="inlineStr">
        <x:is>
          <x:t xml:space="preserve">300865</x:t>
        </x:is>
      </x:c>
      <x:c r="C1097" s="5" t="inlineStr">
        <x:is>
          <x:t xml:space="preserve">大宏立</x:t>
        </x:is>
      </x:c>
      <x:c r="D1097" s="5" t="inlineStr">
        <x:is>
          <x:t xml:space="preserve">成都大宏立机器股份有限公司</x:t>
        </x:is>
      </x:c>
      <x:c r="E1097" s="4" t="inlineStr">
        <x:is>
          <x:t xml:space="preserve">四川省</x:t>
        </x:is>
      </x:c>
      <x:c r="F1097" s="4" t="inlineStr">
        <x:is>
          <x:t xml:space="preserve">成都市</x:t>
        </x:is>
      </x:c>
      <x:c r="G1097" s="5" t="inlineStr">
        <x:is>
          <x:t xml:space="preserve">四川省-成都市</x:t>
        </x:is>
      </x:c>
      <x:c r="H1097" s="4" t="inlineStr">
        <x:is>
          <x:t xml:space="preserve">专用设备</x:t>
        </x:is>
      </x:c>
      <x:c r="I1097" s="4" t="inlineStr">
        <x:is>
          <x:t xml:space="preserve">2020-08-24</x:t>
        </x:is>
      </x:c>
      <x:c r="J1097" s="5" t="inlineStr">
        <x:is>
          <x:t xml:space="preserve">四川省成都市大邑县晋原镇工业大道128号(经济开发区)</x:t>
        </x:is>
      </x:c>
      <x:c r="K1097" s="12" t="str">
        <x:f>LEFT("915101297622543064",18)</x:f>
        <x:v>915101297622543100</x:v>
      </x:c>
    </x:row>
    <x:row r="1098">
      <x:c r="A1098" s="2" t="n">
        <x:v>1097</x:v>
      </x:c>
      <x:c r="B1098" s="2" t="inlineStr">
        <x:is>
          <x:t xml:space="preserve">300937</x:t>
        </x:is>
      </x:c>
      <x:c r="C1098" s="3" t="inlineStr">
        <x:is>
          <x:t xml:space="preserve">药易购</x:t>
        </x:is>
      </x:c>
      <x:c r="D1098" s="3" t="inlineStr">
        <x:is>
          <x:t xml:space="preserve">四川合纵药易购医药股份有限公司</x:t>
        </x:is>
      </x:c>
      <x:c r="E1098" s="2" t="inlineStr">
        <x:is>
          <x:t xml:space="preserve">四川省</x:t>
        </x:is>
      </x:c>
      <x:c r="F1098" s="2" t="inlineStr">
        <x:is>
          <x:t xml:space="preserve">成都市</x:t>
        </x:is>
      </x:c>
      <x:c r="G1098" s="3" t="inlineStr">
        <x:is>
          <x:t xml:space="preserve">四川省-成都市</x:t>
        </x:is>
      </x:c>
      <x:c r="H1098" s="2" t="inlineStr">
        <x:is>
          <x:t xml:space="preserve">医药商业</x:t>
        </x:is>
      </x:c>
      <x:c r="I1098" s="2" t="inlineStr">
        <x:is>
          <x:t xml:space="preserve">2021-01-27</x:t>
        </x:is>
      </x:c>
      <x:c r="J1098" s="3" t="inlineStr">
        <x:is>
          <x:t xml:space="preserve">成都市金牛区友联一街18号13层</x:t>
        </x:is>
      </x:c>
      <x:c r="K1098" s="12" t="str">
        <x:f>LEFT("91510000660290648K",18)</x:f>
        <x:v>91510000660290648K</x:v>
      </x:c>
    </x:row>
    <x:row r="1099">
      <x:c r="A1099" s="4" t="n">
        <x:v>1098</x:v>
      </x:c>
      <x:c r="B1099" s="4" t="inlineStr">
        <x:is>
          <x:t xml:space="preserve">300987</x:t>
        </x:is>
      </x:c>
      <x:c r="C1099" s="5" t="inlineStr">
        <x:is>
          <x:t xml:space="preserve">川网传媒</x:t>
        </x:is>
      </x:c>
      <x:c r="D1099" s="5" t="inlineStr">
        <x:is>
          <x:t xml:space="preserve">四川新闻网传媒(集团)股份有限公司</x:t>
        </x:is>
      </x:c>
      <x:c r="E1099" s="4" t="inlineStr">
        <x:is>
          <x:t xml:space="preserve">四川省</x:t>
        </x:is>
      </x:c>
      <x:c r="F1099" s="4" t="inlineStr">
        <x:is>
          <x:t xml:space="preserve">成都市</x:t>
        </x:is>
      </x:c>
      <x:c r="G1099" s="5" t="inlineStr">
        <x:is>
          <x:t xml:space="preserve">四川省-成都市</x:t>
        </x:is>
      </x:c>
      <x:c r="H1099" s="4" t="inlineStr">
        <x:is>
          <x:t xml:space="preserve">文化传媒</x:t>
        </x:is>
      </x:c>
      <x:c r="I1099" s="4" t="inlineStr">
        <x:is>
          <x:t xml:space="preserve">2021-05-11</x:t>
        </x:is>
      </x:c>
      <x:c r="J1099" s="5" t="inlineStr">
        <x:is>
          <x:t xml:space="preserve">成都高新区世纪城南路599号天府软件园D区5栋2、6层、7栋16层</x:t>
        </x:is>
      </x:c>
      <x:c r="K1099" s="12" t="str">
        <x:f>LEFT("91510100698871173Y",18)</x:f>
        <x:v>91510100698871173Y</x:v>
      </x:c>
    </x:row>
    <x:row r="1100">
      <x:c r="A1100" s="2" t="n">
        <x:v>1099</x:v>
      </x:c>
      <x:c r="B1100" s="2" t="inlineStr">
        <x:is>
          <x:t xml:space="preserve">301050</x:t>
        </x:is>
      </x:c>
      <x:c r="C1100" s="3" t="inlineStr">
        <x:is>
          <x:t xml:space="preserve">雷电微力</x:t>
        </x:is>
      </x:c>
      <x:c r="D1100" s="3" t="inlineStr">
        <x:is>
          <x:t xml:space="preserve">成都雷电微力科技股份有限公司</x:t>
        </x:is>
      </x:c>
      <x:c r="E1100" s="2" t="inlineStr">
        <x:is>
          <x:t xml:space="preserve">四川省</x:t>
        </x:is>
      </x:c>
      <x:c r="F1100" s="2" t="inlineStr">
        <x:is>
          <x:t xml:space="preserve">成都市</x:t>
        </x:is>
      </x:c>
      <x:c r="G1100" s="3" t="inlineStr">
        <x:is>
          <x:t xml:space="preserve">四川省-成都市</x:t>
        </x:is>
      </x:c>
      <x:c r="H1100" s="2" t="inlineStr">
        <x:is>
          <x:t xml:space="preserve">半导体</x:t>
        </x:is>
      </x:c>
      <x:c r="I1100" s="2" t="inlineStr">
        <x:is>
          <x:t xml:space="preserve">2021-08-24</x:t>
        </x:is>
      </x:c>
      <x:c r="J1100" s="3" t="inlineStr">
        <x:is>
          <x:t xml:space="preserve">四川省成都高新区益新大道288号石羊工业园</x:t>
        </x:is>
      </x:c>
      <x:c r="K1100" s="12" t="str">
        <x:f>LEFT("91510100665337310H",18)</x:f>
        <x:v>91510100665337310H</x:v>
      </x:c>
    </x:row>
    <x:row r="1101">
      <x:c r="A1101" s="4" t="n">
        <x:v>1100</x:v>
      </x:c>
      <x:c r="B1101" s="4" t="inlineStr">
        <x:is>
          <x:t xml:space="preserve">301117</x:t>
        </x:is>
      </x:c>
      <x:c r="C1101" s="5" t="inlineStr">
        <x:is>
          <x:t xml:space="preserve">佳缘科技</x:t>
        </x:is>
      </x:c>
      <x:c r="D1101" s="5" t="inlineStr">
        <x:is>
          <x:t xml:space="preserve">佳缘科技股份有限公司</x:t>
        </x:is>
      </x:c>
      <x:c r="E1101" s="4" t="inlineStr">
        <x:is>
          <x:t xml:space="preserve">四川省</x:t>
        </x:is>
      </x:c>
      <x:c r="F1101" s="4" t="inlineStr">
        <x:is>
          <x:t xml:space="preserve">成都市</x:t>
        </x:is>
      </x:c>
      <x:c r="G1101" s="5" t="inlineStr">
        <x:is>
          <x:t xml:space="preserve">四川省-成都市</x:t>
        </x:is>
      </x:c>
      <x:c r="H1101" s="4" t="inlineStr">
        <x:is>
          <x:t xml:space="preserve">软件开发</x:t>
        </x:is>
      </x:c>
      <x:c r="I1101" s="4" t="inlineStr">
        <x:is>
          <x:t xml:space="preserve">2022-01-17</x:t>
        </x:is>
      </x:c>
      <x:c r="J1101" s="5" t="inlineStr">
        <x:is>
          <x:t xml:space="preserve">成都市高新区(西区)天辰路333号</x:t>
        </x:is>
      </x:c>
      <x:c r="K1101" s="12" t="str">
        <x:f>LEFT("91510100209459605G",18)</x:f>
        <x:v>91510100209459605G</x:v>
      </x:c>
    </x:row>
    <x:row r="1102">
      <x:c r="A1102" s="2" t="n">
        <x:v>1101</x:v>
      </x:c>
      <x:c r="B1102" s="2" t="inlineStr">
        <x:is>
          <x:t xml:space="preserve">301172</x:t>
        </x:is>
      </x:c>
      <x:c r="C1102" s="3" t="inlineStr">
        <x:is>
          <x:t xml:space="preserve">君逸数码</x:t>
        </x:is>
      </x:c>
      <x:c r="D1102" s="3" t="inlineStr">
        <x:is>
          <x:t xml:space="preserve">四川君逸数码科技股份有限公司</x:t>
        </x:is>
      </x:c>
      <x:c r="E1102" s="2" t="inlineStr">
        <x:is>
          <x:t xml:space="preserve">四川省</x:t>
        </x:is>
      </x:c>
      <x:c r="F1102" s="2" t="inlineStr">
        <x:is>
          <x:t xml:space="preserve">成都市</x:t>
        </x:is>
      </x:c>
      <x:c r="G1102" s="3" t="inlineStr">
        <x:is>
          <x:t xml:space="preserve">四川省-成都市</x:t>
        </x:is>
      </x:c>
      <x:c r="H1102" s="2" t="inlineStr">
        <x:is>
          <x:t xml:space="preserve">软件开发</x:t>
        </x:is>
      </x:c>
      <x:c r="I1102" s="2" t="inlineStr">
        <x:is>
          <x:t xml:space="preserve">2023-07-26</x:t>
        </x:is>
      </x:c>
      <x:c r="J1102" s="3" t="inlineStr">
        <x:is>
          <x:t xml:space="preserve">中国(四川)自由贸易试验区成都高新区天府三街288号1号楼13层2-7号</x:t>
        </x:is>
      </x:c>
      <x:c r="K1102" s="12" t="str">
        <x:f>LEFT("91510100737730294R",18)</x:f>
        <x:v>91510100737730294R</x:v>
      </x:c>
    </x:row>
    <x:row r="1103">
      <x:c r="A1103" s="4" t="n">
        <x:v>1102</x:v>
      </x:c>
      <x:c r="B1103" s="4" t="inlineStr">
        <x:is>
          <x:t xml:space="preserve">301213</x:t>
        </x:is>
      </x:c>
      <x:c r="C1103" s="5" t="inlineStr">
        <x:is>
          <x:t xml:space="preserve">观想科技</x:t>
        </x:is>
      </x:c>
      <x:c r="D1103" s="5" t="inlineStr">
        <x:is>
          <x:t xml:space="preserve">四川观想科技股份有限公司</x:t>
        </x:is>
      </x:c>
      <x:c r="E1103" s="4" t="inlineStr">
        <x:is>
          <x:t xml:space="preserve">四川省</x:t>
        </x:is>
      </x:c>
      <x:c r="F1103" s="4" t="inlineStr">
        <x:is>
          <x:t xml:space="preserve">成都市</x:t>
        </x:is>
      </x:c>
      <x:c r="G1103" s="5" t="inlineStr">
        <x:is>
          <x:t xml:space="preserve">四川省-成都市</x:t>
        </x:is>
      </x:c>
      <x:c r="H1103" s="4" t="inlineStr">
        <x:is>
          <x:t xml:space="preserve">软件服务</x:t>
        </x:is>
      </x:c>
      <x:c r="I1103" s="4" t="inlineStr">
        <x:is>
          <x:t xml:space="preserve">2021-12-06</x:t>
        </x:is>
      </x:c>
      <x:c r="J1103" s="5" t="inlineStr">
        <x:is>
          <x:t xml:space="preserve">中国(四川)自由贸易试验区成都天府新区湖畔路西段99号5栋1单元14楼</x:t>
        </x:is>
      </x:c>
      <x:c r="K1103" s="12" t="str">
        <x:f>LEFT("91510100684569782E",18)</x:f>
        <x:v>91510100684569782E</x:v>
      </x:c>
    </x:row>
    <x:row r="1104">
      <x:c r="A1104" s="2" t="n">
        <x:v>1103</x:v>
      </x:c>
      <x:c r="B1104" s="2" t="inlineStr">
        <x:is>
          <x:t xml:space="preserve">301233</x:t>
        </x:is>
      </x:c>
      <x:c r="C1104" s="3" t="inlineStr">
        <x:is>
          <x:t xml:space="preserve">盛帮股份</x:t>
        </x:is>
      </x:c>
      <x:c r="D1104" s="3" t="inlineStr">
        <x:is>
          <x:t xml:space="preserve">成都盛帮密封件股份有限公司</x:t>
        </x:is>
      </x:c>
      <x:c r="E1104" s="2" t="inlineStr">
        <x:is>
          <x:t xml:space="preserve">四川省</x:t>
        </x:is>
      </x:c>
      <x:c r="F1104" s="2" t="inlineStr">
        <x:is>
          <x:t xml:space="preserve">成都市</x:t>
        </x:is>
      </x:c>
      <x:c r="G1104" s="3" t="inlineStr">
        <x:is>
          <x:t xml:space="preserve">四川省-成都市</x:t>
        </x:is>
      </x:c>
      <x:c r="H1104" s="2" t="inlineStr">
        <x:is>
          <x:t xml:space="preserve">橡胶制品</x:t>
        </x:is>
      </x:c>
      <x:c r="I1104" s="2" t="inlineStr">
        <x:is>
          <x:t xml:space="preserve">2022-07-06</x:t>
        </x:is>
      </x:c>
      <x:c r="J1104" s="3" t="inlineStr">
        <x:is>
          <x:t xml:space="preserve">成都市双流区西南航空港经济开发区空港二路1388号</x:t>
        </x:is>
      </x:c>
      <x:c r="K1104" s="12" t="str">
        <x:f>LEFT("91510100762270090B",18)</x:f>
        <x:v>91510100762270090B</x:v>
      </x:c>
    </x:row>
    <x:row r="1105">
      <x:c r="A1105" s="4" t="n">
        <x:v>1104</x:v>
      </x:c>
      <x:c r="B1105" s="4" t="inlineStr">
        <x:is>
          <x:t xml:space="preserve">301239</x:t>
        </x:is>
      </x:c>
      <x:c r="C1105" s="5" t="inlineStr">
        <x:is>
          <x:t xml:space="preserve">普瑞眼科</x:t>
        </x:is>
      </x:c>
      <x:c r="D1105" s="5" t="inlineStr">
        <x:is>
          <x:t xml:space="preserve">普瑞眼科医院集团股份有限公司</x:t>
        </x:is>
      </x:c>
      <x:c r="E1105" s="4" t="inlineStr">
        <x:is>
          <x:t xml:space="preserve">四川省</x:t>
        </x:is>
      </x:c>
      <x:c r="F1105" s="4" t="inlineStr">
        <x:is>
          <x:t xml:space="preserve">成都市</x:t>
        </x:is>
      </x:c>
      <x:c r="G1105" s="5" t="inlineStr">
        <x:is>
          <x:t xml:space="preserve">四川省-成都市</x:t>
        </x:is>
      </x:c>
      <x:c r="H1105" s="4" t="inlineStr">
        <x:is>
          <x:t xml:space="preserve">医疗服务</x:t>
        </x:is>
      </x:c>
      <x:c r="I1105" s="4" t="inlineStr">
        <x:is>
          <x:t xml:space="preserve">2022-07-05</x:t>
        </x:is>
      </x:c>
      <x:c r="J1105" s="5" t="inlineStr">
        <x:is>
          <x:t xml:space="preserve">成都市金牛区一环路北四段215号</x:t>
        </x:is>
      </x:c>
      <x:c r="K1105" s="12" t="str">
        <x:f>LEFT("91510106785430077J",18)</x:f>
        <x:v>91510106785430077J</x:v>
      </x:c>
    </x:row>
    <x:row r="1106">
      <x:c r="A1106" s="2" t="n">
        <x:v>1105</x:v>
      </x:c>
      <x:c r="B1106" s="2" t="inlineStr">
        <x:is>
          <x:t xml:space="preserve">301256</x:t>
        </x:is>
      </x:c>
      <x:c r="C1106" s="3" t="inlineStr">
        <x:is>
          <x:t xml:space="preserve">华融化学</x:t>
        </x:is>
      </x:c>
      <x:c r="D1106" s="3" t="inlineStr">
        <x:is>
          <x:t xml:space="preserve">华融化学股份有限公司</x:t>
        </x:is>
      </x:c>
      <x:c r="E1106" s="2" t="inlineStr">
        <x:is>
          <x:t xml:space="preserve">四川省</x:t>
        </x:is>
      </x:c>
      <x:c r="F1106" s="2" t="inlineStr">
        <x:is>
          <x:t xml:space="preserve">成都市</x:t>
        </x:is>
      </x:c>
      <x:c r="G1106" s="3" t="inlineStr">
        <x:is>
          <x:t xml:space="preserve">四川省-成都市</x:t>
        </x:is>
      </x:c>
      <x:c r="H1106" s="2" t="inlineStr">
        <x:is>
          <x:t xml:space="preserve">化学原料</x:t>
        </x:is>
      </x:c>
      <x:c r="I1106" s="2" t="inlineStr">
        <x:is>
          <x:t xml:space="preserve">2022-03-22</x:t>
        </x:is>
      </x:c>
      <x:c r="J1106" s="3" t="inlineStr">
        <x:is>
          <x:t xml:space="preserve">四川省成都市彭州市九尺镇林杨路166号</x:t>
        </x:is>
      </x:c>
      <x:c r="K1106" s="12" t="str">
        <x:f>LEFT("91510182723425301F",18)</x:f>
        <x:v>91510182723425301F</x:v>
      </x:c>
    </x:row>
    <x:row r="1107">
      <x:c r="A1107" s="4" t="n">
        <x:v>1106</x:v>
      </x:c>
      <x:c r="B1107" s="4" t="inlineStr">
        <x:is>
          <x:t xml:space="preserve">301286</x:t>
        </x:is>
      </x:c>
      <x:c r="C1107" s="5" t="inlineStr">
        <x:is>
          <x:t xml:space="preserve">侨源股份</x:t>
        </x:is>
      </x:c>
      <x:c r="D1107" s="5" t="inlineStr">
        <x:is>
          <x:t xml:space="preserve">四川侨源气体股份有限公司</x:t>
        </x:is>
      </x:c>
      <x:c r="E1107" s="4" t="inlineStr">
        <x:is>
          <x:t xml:space="preserve">四川省</x:t>
        </x:is>
      </x:c>
      <x:c r="F1107" s="4" t="inlineStr">
        <x:is>
          <x:t xml:space="preserve">成都市</x:t>
        </x:is>
      </x:c>
      <x:c r="G1107" s="5" t="inlineStr">
        <x:is>
          <x:t xml:space="preserve">四川省-成都市</x:t>
        </x:is>
      </x:c>
      <x:c r="H1107" s="4" t="inlineStr">
        <x:is>
          <x:t xml:space="preserve">化学原料</x:t>
        </x:is>
      </x:c>
      <x:c r="I1107" s="4" t="inlineStr">
        <x:is>
          <x:t xml:space="preserve">2022-06-14</x:t>
        </x:is>
      </x:c>
      <x:c r="J1107" s="5" t="inlineStr">
        <x:is>
          <x:t xml:space="preserve">四川省成都市都江堰市灌温路1399号</x:t>
        </x:is>
      </x:c>
      <x:c r="K1107" s="12" t="str">
        <x:f>LEFT("91510100740341476L",18)</x:f>
        <x:v>91510100740341476L</x:v>
      </x:c>
    </x:row>
    <x:row r="1108">
      <x:c r="A1108" s="2" t="n">
        <x:v>1107</x:v>
      </x:c>
      <x:c r="B1108" s="2" t="inlineStr">
        <x:is>
          <x:t xml:space="preserve">301336</x:t>
        </x:is>
      </x:c>
      <x:c r="C1108" s="3" t="inlineStr">
        <x:is>
          <x:t xml:space="preserve">趣睡科技</x:t>
        </x:is>
      </x:c>
      <x:c r="D1108" s="3" t="inlineStr">
        <x:is>
          <x:t xml:space="preserve">成都趣睡科技股份有限公司</x:t>
        </x:is>
      </x:c>
      <x:c r="E1108" s="2" t="inlineStr">
        <x:is>
          <x:t xml:space="preserve">四川省</x:t>
        </x:is>
      </x:c>
      <x:c r="F1108" s="2" t="inlineStr">
        <x:is>
          <x:t xml:space="preserve">成都市</x:t>
        </x:is>
      </x:c>
      <x:c r="G1108" s="3" t="inlineStr">
        <x:is>
          <x:t xml:space="preserve">四川省-成都市</x:t>
        </x:is>
      </x:c>
      <x:c r="H1108" s="2" t="inlineStr">
        <x:is>
          <x:t xml:space="preserve">家用轻工</x:t>
        </x:is>
      </x:c>
      <x:c r="I1108" s="2" t="inlineStr">
        <x:is>
          <x:t xml:space="preserve">2022-08-12</x:t>
        </x:is>
      </x:c>
      <x:c r="J1108" s="3" t="inlineStr">
        <x:is>
          <x:t xml:space="preserve">中国(四川)自由贸易试验区成都高新区天府大道中段1268号1栋7楼8号</x:t>
        </x:is>
      </x:c>
      <x:c r="K1108" s="12" t="str">
        <x:f>LEFT("915101003942838580",18)</x:f>
        <x:v>915101003942838500</x:v>
      </x:c>
    </x:row>
    <x:row r="1109">
      <x:c r="A1109" s="4" t="n">
        <x:v>1108</x:v>
      </x:c>
      <x:c r="B1109" s="4" t="inlineStr">
        <x:is>
          <x:t xml:space="preserve">301515</x:t>
        </x:is>
      </x:c>
      <x:c r="C1109" s="5" t="inlineStr">
        <x:is>
          <x:t xml:space="preserve">港通医疗</x:t>
        </x:is>
      </x:c>
      <x:c r="D1109" s="5" t="inlineStr">
        <x:is>
          <x:t xml:space="preserve">四川港通医疗设备集团股份有限公司</x:t>
        </x:is>
      </x:c>
      <x:c r="E1109" s="4" t="inlineStr">
        <x:is>
          <x:t xml:space="preserve">四川省</x:t>
        </x:is>
      </x:c>
      <x:c r="F1109" s="4" t="inlineStr">
        <x:is>
          <x:t xml:space="preserve">成都市</x:t>
        </x:is>
      </x:c>
      <x:c r="G1109" s="5" t="inlineStr">
        <x:is>
          <x:t xml:space="preserve">四川省-成都市</x:t>
        </x:is>
      </x:c>
      <x:c r="H1109" s="4" t="inlineStr">
        <x:is>
          <x:t xml:space="preserve">医疗器械</x:t>
        </x:is>
      </x:c>
      <x:c r="I1109" s="4" t="inlineStr">
        <x:is>
          <x:t xml:space="preserve">2023-07-25</x:t>
        </x:is>
      </x:c>
      <x:c r="J1109" s="5" t="inlineStr">
        <x:is>
          <x:t xml:space="preserve">四川省成都市简阳市凯力威工业大道南段356号</x:t>
        </x:is>
      </x:c>
      <x:c r="K1109" s="12" t="str">
        <x:f>LEFT("91510100206881448P",18)</x:f>
        <x:v>91510100206881448P</x:v>
      </x:c>
    </x:row>
    <x:row r="1110">
      <x:c r="A1110" s="2" t="n">
        <x:v>1109</x:v>
      </x:c>
      <x:c r="B1110" s="2" t="inlineStr">
        <x:is>
          <x:t xml:space="preserve">301592</x:t>
        </x:is>
      </x:c>
      <x:c r="C1110" s="3" t="inlineStr">
        <x:is>
          <x:t xml:space="preserve">六九一二</x:t>
        </x:is>
      </x:c>
      <x:c r="D1110" s="3" t="inlineStr">
        <x:is>
          <x:t xml:space="preserve">四川六九一二通信技术股份有限公司</x:t>
        </x:is>
      </x:c>
      <x:c r="E1110" s="2" t="inlineStr">
        <x:is>
          <x:t xml:space="preserve">四川省</x:t>
        </x:is>
      </x:c>
      <x:c r="F1110" s="2" t="inlineStr">
        <x:is>
          <x:t xml:space="preserve">德阳市</x:t>
        </x:is>
      </x:c>
      <x:c r="G1110" s="3" t="inlineStr">
        <x:is>
          <x:t xml:space="preserve">四川省-德阳市</x:t>
        </x:is>
      </x:c>
      <x:c r="H1110" s="2" t="inlineStr">
        <x:is>
          <x:t xml:space="preserve">软件开发</x:t>
        </x:is>
      </x:c>
      <x:c r="I1110" s="2" t="inlineStr">
        <x:is>
          <x:t xml:space="preserve">2024-10-24</x:t>
        </x:is>
      </x:c>
      <x:c r="J1110" s="3" t="inlineStr">
        <x:is>
          <x:t xml:space="preserve">四川省德阳市区祁连山路228号</x:t>
        </x:is>
      </x:c>
      <x:c r="K1110" s="12" t="str">
        <x:f>LEFT("91510600MA6ATY6D22",18)</x:f>
        <x:v>91510600MA6ATY6D22</x:v>
      </x:c>
    </x:row>
    <x:row r="1111">
      <x:c r="A1111" s="4" t="n">
        <x:v>1110</x:v>
      </x:c>
      <x:c r="B1111" s="4" t="inlineStr">
        <x:is>
          <x:t xml:space="preserve">301596</x:t>
        </x:is>
      </x:c>
      <x:c r="C1111" s="5" t="inlineStr">
        <x:is>
          <x:t xml:space="preserve">瑞迪智驱</x:t>
        </x:is>
      </x:c>
      <x:c r="D1111" s="5" t="inlineStr">
        <x:is>
          <x:t xml:space="preserve">成都瑞迪智驱科技股份有限公司</x:t>
        </x:is>
      </x:c>
      <x:c r="E1111" s="4" t="inlineStr">
        <x:is>
          <x:t xml:space="preserve">四川省</x:t>
        </x:is>
      </x:c>
      <x:c r="F1111" s="4" t="inlineStr">
        <x:is>
          <x:t xml:space="preserve">成都市</x:t>
        </x:is>
      </x:c>
      <x:c r="G1111" s="5" t="inlineStr">
        <x:is>
          <x:t xml:space="preserve">四川省-成都市</x:t>
        </x:is>
      </x:c>
      <x:c r="H1111" s="4" t="inlineStr">
        <x:is>
          <x:t xml:space="preserve">通用设备</x:t>
        </x:is>
      </x:c>
      <x:c r="I1111" s="4" t="inlineStr">
        <x:is>
          <x:t xml:space="preserve">2024-05-13</x:t>
        </x:is>
      </x:c>
      <x:c r="J1111" s="5" t="inlineStr">
        <x:is>
          <x:t xml:space="preserve">成都市双流区西航港大道中四段909号</x:t>
        </x:is>
      </x:c>
      <x:c r="K1111" s="12" t="str">
        <x:f>LEFT("9151012268456739XR",18)</x:f>
        <x:v>9151012268456739XR</x:v>
      </x:c>
    </x:row>
    <x:row r="1112">
      <x:c r="A1112" s="2" t="n">
        <x:v>1111</x:v>
      </x:c>
      <x:c r="B1112" s="2" t="inlineStr">
        <x:is>
          <x:t xml:space="preserve">600039</x:t>
        </x:is>
      </x:c>
      <x:c r="C1112" s="3" t="inlineStr">
        <x:is>
          <x:t xml:space="preserve">四川路桥</x:t>
        </x:is>
      </x:c>
      <x:c r="D1112" s="3" t="inlineStr">
        <x:is>
          <x:t xml:space="preserve">四川路桥建设集团股份有限公司</x:t>
        </x:is>
      </x:c>
      <x:c r="E1112" s="2" t="inlineStr">
        <x:is>
          <x:t xml:space="preserve">四川省</x:t>
        </x:is>
      </x:c>
      <x:c r="F1112" s="2" t="inlineStr">
        <x:is>
          <x:t xml:space="preserve">成都市</x:t>
        </x:is>
      </x:c>
      <x:c r="G1112" s="3" t="inlineStr">
        <x:is>
          <x:t xml:space="preserve">四川省-成都市</x:t>
        </x:is>
      </x:c>
      <x:c r="H1112" s="2" t="inlineStr">
        <x:is>
          <x:t xml:space="preserve">工程建设</x:t>
        </x:is>
      </x:c>
      <x:c r="I1112" s="2" t="inlineStr">
        <x:is>
          <x:t xml:space="preserve">2003-03-25</x:t>
        </x:is>
      </x:c>
      <x:c r="J1112" s="3" t="inlineStr">
        <x:is>
          <x:t xml:space="preserve">四川省成都市高新区高朋大道11号科技工业园F-59号</x:t>
        </x:is>
      </x:c>
      <x:c r="K1112" s="12" t="str">
        <x:f>LEFT("915100007118906956",18)</x:f>
        <x:v>915100007118907000</x:v>
      </x:c>
    </x:row>
    <x:row r="1113">
      <x:c r="A1113" s="4" t="n">
        <x:v>1112</x:v>
      </x:c>
      <x:c r="B1113" s="4" t="inlineStr">
        <x:is>
          <x:t xml:space="preserve">600101</x:t>
        </x:is>
      </x:c>
      <x:c r="C1113" s="5" t="inlineStr">
        <x:is>
          <x:t xml:space="preserve">明星电力</x:t>
        </x:is>
      </x:c>
      <x:c r="D1113" s="5" t="inlineStr">
        <x:is>
          <x:t xml:space="preserve">四川明星电力股份有限公司</x:t>
        </x:is>
      </x:c>
      <x:c r="E1113" s="4" t="inlineStr">
        <x:is>
          <x:t xml:space="preserve">四川省</x:t>
        </x:is>
      </x:c>
      <x:c r="F1113" s="4" t="inlineStr">
        <x:is>
          <x:t xml:space="preserve">遂宁市</x:t>
        </x:is>
      </x:c>
      <x:c r="G1113" s="5" t="inlineStr">
        <x:is>
          <x:t xml:space="preserve">四川省-遂宁市</x:t>
        </x:is>
      </x:c>
      <x:c r="H1113" s="4" t="inlineStr">
        <x:is>
          <x:t xml:space="preserve">电力行业</x:t>
        </x:is>
      </x:c>
      <x:c r="I1113" s="4" t="inlineStr">
        <x:is>
          <x:t xml:space="preserve">1997-06-27</x:t>
        </x:is>
      </x:c>
      <x:c r="J1113" s="5" t="inlineStr">
        <x:is>
          <x:t xml:space="preserve">四川省遂宁市开发区明月路56号</x:t>
        </x:is>
      </x:c>
      <x:c r="K1113" s="12" t="str">
        <x:f>LEFT("91510000206152800A",18)</x:f>
        <x:v>91510000206152800A</x:v>
      </x:c>
    </x:row>
    <x:row r="1114">
      <x:c r="A1114" s="2" t="n">
        <x:v>1113</x:v>
      </x:c>
      <x:c r="B1114" s="2" t="inlineStr">
        <x:is>
          <x:t xml:space="preserve">600109</x:t>
        </x:is>
      </x:c>
      <x:c r="C1114" s="3" t="inlineStr">
        <x:is>
          <x:t xml:space="preserve">国金证券</x:t>
        </x:is>
      </x:c>
      <x:c r="D1114" s="3" t="inlineStr">
        <x:is>
          <x:t xml:space="preserve">国金证券股份有限公司</x:t>
        </x:is>
      </x:c>
      <x:c r="E1114" s="2" t="inlineStr">
        <x:is>
          <x:t xml:space="preserve">四川省</x:t>
        </x:is>
      </x:c>
      <x:c r="F1114" s="2" t="inlineStr">
        <x:is>
          <x:t xml:space="preserve">成都市</x:t>
        </x:is>
      </x:c>
      <x:c r="G1114" s="3" t="inlineStr">
        <x:is>
          <x:t xml:space="preserve">四川省-成都市</x:t>
        </x:is>
      </x:c>
      <x:c r="H1114" s="2" t="inlineStr">
        <x:is>
          <x:t xml:space="preserve">券商信托</x:t>
        </x:is>
      </x:c>
      <x:c r="I1114" s="2" t="inlineStr">
        <x:is>
          <x:t xml:space="preserve">1997-08-07</x:t>
        </x:is>
      </x:c>
      <x:c r="J1114" s="3" t="inlineStr">
        <x:is>
          <x:t xml:space="preserve">成都市青羊区东城根上街95号</x:t>
        </x:is>
      </x:c>
      <x:c r="K1114" s="12" t="str">
        <x:f>LEFT("91510100201961940F",18)</x:f>
        <x:v>91510100201961940F</x:v>
      </x:c>
    </x:row>
    <x:row r="1115">
      <x:c r="A1115" s="4" t="n">
        <x:v>1114</x:v>
      </x:c>
      <x:c r="B1115" s="4" t="inlineStr">
        <x:is>
          <x:t xml:space="preserve">600131</x:t>
        </x:is>
      </x:c>
      <x:c r="C1115" s="5" t="inlineStr">
        <x:is>
          <x:t xml:space="preserve">国网信通</x:t>
        </x:is>
      </x:c>
      <x:c r="D1115" s="5" t="inlineStr">
        <x:is>
          <x:t xml:space="preserve">国网信息通信股份有限公司</x:t>
        </x:is>
      </x:c>
      <x:c r="E1115" s="4" t="inlineStr">
        <x:is>
          <x:t xml:space="preserve">四川省</x:t>
        </x:is>
      </x:c>
      <x:c r="F1115" s="4" t="inlineStr">
        <x:is>
          <x:t xml:space="preserve">汶川市</x:t>
        </x:is>
      </x:c>
      <x:c r="G1115" s="5" t="inlineStr">
        <x:is>
          <x:t xml:space="preserve">四川省-汶川市</x:t>
        </x:is>
      </x:c>
      <x:c r="H1115" s="4" t="inlineStr">
        <x:is>
          <x:t xml:space="preserve">电子信息</x:t>
        </x:is>
      </x:c>
      <x:c r="I1115" s="4" t="inlineStr">
        <x:is>
          <x:t xml:space="preserve">1998-04-02</x:t>
        </x:is>
      </x:c>
      <x:c r="J1115" s="5" t="inlineStr">
        <x:is>
          <x:t xml:space="preserve">四川汶川县下索桥</x:t>
        </x:is>
      </x:c>
      <x:c r="K1115" s="12" t="str">
        <x:f>LEFT("91513200211352460H",18)</x:f>
        <x:v>91513200211352460H</x:v>
      </x:c>
    </x:row>
    <x:row r="1116">
      <x:c r="A1116" s="2" t="n">
        <x:v>1115</x:v>
      </x:c>
      <x:c r="B1116" s="2" t="inlineStr">
        <x:is>
          <x:t xml:space="preserve">600137</x:t>
        </x:is>
      </x:c>
      <x:c r="C1116" s="3" t="inlineStr">
        <x:is>
          <x:t xml:space="preserve">浪莎股份</x:t>
        </x:is>
      </x:c>
      <x:c r="D1116" s="3" t="inlineStr">
        <x:is>
          <x:t xml:space="preserve">四川浪莎控股股份有限公司</x:t>
        </x:is>
      </x:c>
      <x:c r="E1116" s="2" t="inlineStr">
        <x:is>
          <x:t xml:space="preserve">四川省</x:t>
        </x:is>
      </x:c>
      <x:c r="F1116" s="2" t="inlineStr">
        <x:is>
          <x:t xml:space="preserve">宜宾市</x:t>
        </x:is>
      </x:c>
      <x:c r="G1116" s="3" t="inlineStr">
        <x:is>
          <x:t xml:space="preserve">四川省-宜宾市</x:t>
        </x:is>
      </x:c>
      <x:c r="H1116" s="2" t="inlineStr">
        <x:is>
          <x:t xml:space="preserve">纺织服装</x:t>
        </x:is>
      </x:c>
      <x:c r="I1116" s="2" t="inlineStr">
        <x:is>
          <x:t xml:space="preserve">1998-04-16</x:t>
        </x:is>
      </x:c>
      <x:c r="J1116" s="3" t="inlineStr">
        <x:is>
          <x:t xml:space="preserve">四川省宜宾市外南街63号</x:t>
        </x:is>
      </x:c>
      <x:c r="K1116" s="12" t="str">
        <x:f>LEFT("91510000208850813L",18)</x:f>
        <x:v>91510000208850813L</x:v>
      </x:c>
    </x:row>
    <x:row r="1117">
      <x:c r="A1117" s="4" t="n">
        <x:v>1116</x:v>
      </x:c>
      <x:c r="B1117" s="4" t="inlineStr">
        <x:is>
          <x:t xml:space="preserve">600331</x:t>
        </x:is>
      </x:c>
      <x:c r="C1117" s="5" t="inlineStr">
        <x:is>
          <x:t xml:space="preserve">宏达股份</x:t>
        </x:is>
      </x:c>
      <x:c r="D1117" s="5" t="inlineStr">
        <x:is>
          <x:t xml:space="preserve">四川宏达股份有限公司</x:t>
        </x:is>
      </x:c>
      <x:c r="E1117" s="4" t="inlineStr">
        <x:is>
          <x:t xml:space="preserve">四川省</x:t>
        </x:is>
      </x:c>
      <x:c r="F1117" s="4" t="inlineStr">
        <x:is>
          <x:t xml:space="preserve">德阳市</x:t>
        </x:is>
      </x:c>
      <x:c r="G1117" s="5" t="inlineStr">
        <x:is>
          <x:t xml:space="preserve">四川省-德阳市</x:t>
        </x:is>
      </x:c>
      <x:c r="H1117" s="4" t="inlineStr">
        <x:is>
          <x:t xml:space="preserve">有色金属</x:t>
        </x:is>
      </x:c>
      <x:c r="I1117" s="4" t="inlineStr">
        <x:is>
          <x:t xml:space="preserve">2001-12-20</x:t>
        </x:is>
      </x:c>
      <x:c r="J1117" s="5" t="inlineStr">
        <x:is>
          <x:t xml:space="preserve">四川省德阳市什邡市师古镇九里埂村</x:t>
        </x:is>
      </x:c>
      <x:c r="K1117" s="12" t="str">
        <x:f>LEFT("91510600205363163Y",18)</x:f>
        <x:v>91510600205363163Y</x:v>
      </x:c>
    </x:row>
    <x:row r="1118">
      <x:c r="A1118" s="2" t="n">
        <x:v>1117</x:v>
      </x:c>
      <x:c r="B1118" s="2" t="inlineStr">
        <x:is>
          <x:t xml:space="preserve">600353</x:t>
        </x:is>
      </x:c>
      <x:c r="C1118" s="3" t="inlineStr">
        <x:is>
          <x:t xml:space="preserve">旭光电子</x:t>
        </x:is>
      </x:c>
      <x:c r="D1118" s="3" t="inlineStr">
        <x:is>
          <x:t xml:space="preserve">成都旭光电子股份有限公司</x:t>
        </x:is>
      </x:c>
      <x:c r="E1118" s="2" t="inlineStr">
        <x:is>
          <x:t xml:space="preserve">四川省</x:t>
        </x:is>
      </x:c>
      <x:c r="F1118" s="2" t="inlineStr">
        <x:is>
          <x:t xml:space="preserve">成都市</x:t>
        </x:is>
      </x:c>
      <x:c r="G1118" s="3" t="inlineStr">
        <x:is>
          <x:t xml:space="preserve">四川省-成都市</x:t>
        </x:is>
      </x:c>
      <x:c r="H1118" s="2" t="inlineStr">
        <x:is>
          <x:t xml:space="preserve">电子元件</x:t>
        </x:is>
      </x:c>
      <x:c r="I1118" s="2" t="inlineStr">
        <x:is>
          <x:t xml:space="preserve">2002-11-20</x:t>
        </x:is>
      </x:c>
      <x:c r="J1118" s="3" t="inlineStr">
        <x:is>
          <x:t xml:space="preserve">成都市新都区新都镇新工大道318号</x:t>
        </x:is>
      </x:c>
      <x:c r="K1118" s="12" t="str">
        <x:f>LEFT("9151010020258792XX",18)</x:f>
        <x:v>9151010020258792XX</x:v>
      </x:c>
    </x:row>
    <x:row r="1119">
      <x:c r="A1119" s="4" t="n">
        <x:v>1118</x:v>
      </x:c>
      <x:c r="B1119" s="4" t="inlineStr">
        <x:is>
          <x:t xml:space="preserve">600378</x:t>
        </x:is>
      </x:c>
      <x:c r="C1119" s="5" t="inlineStr">
        <x:is>
          <x:t xml:space="preserve">昊华科技</x:t>
        </x:is>
      </x:c>
      <x:c r="D1119" s="5" t="inlineStr">
        <x:is>
          <x:t xml:space="preserve">昊华化工科技集团股份有限公司</x:t>
        </x:is>
      </x:c>
      <x:c r="E1119" s="4" t="inlineStr">
        <x:is>
          <x:t xml:space="preserve">四川省</x:t>
        </x:is>
      </x:c>
      <x:c r="F1119" s="4" t="inlineStr">
        <x:is>
          <x:t xml:space="preserve">成都市</x:t>
        </x:is>
      </x:c>
      <x:c r="G1119" s="5" t="inlineStr">
        <x:is>
          <x:t xml:space="preserve">四川省-成都市</x:t>
        </x:is>
      </x:c>
      <x:c r="H1119" s="4" t="inlineStr">
        <x:is>
          <x:t xml:space="preserve">化工行业</x:t>
        </x:is>
      </x:c>
      <x:c r="I1119" s="4" t="inlineStr">
        <x:is>
          <x:t xml:space="preserve">2001-01-11</x:t>
        </x:is>
      </x:c>
      <x:c r="J1119" s="5" t="inlineStr">
        <x:is>
          <x:t xml:space="preserve">成都高新区高朋大道5号成都高新区技术创新服务中心</x:t>
        </x:is>
      </x:c>
      <x:c r="K1119" s="12" t="str">
        <x:f>LEFT("91510100716067876D",18)</x:f>
        <x:v>91510100716067876D</x:v>
      </x:c>
    </x:row>
    <x:row r="1120">
      <x:c r="A1120" s="2" t="n">
        <x:v>1119</x:v>
      </x:c>
      <x:c r="B1120" s="2" t="inlineStr">
        <x:is>
          <x:t xml:space="preserve">600391</x:t>
        </x:is>
      </x:c>
      <x:c r="C1120" s="3" t="inlineStr">
        <x:is>
          <x:t xml:space="preserve">航发科技</x:t>
        </x:is>
      </x:c>
      <x:c r="D1120" s="3" t="inlineStr">
        <x:is>
          <x:t xml:space="preserve">中国航发航空科技股份有限公司</x:t>
        </x:is>
      </x:c>
      <x:c r="E1120" s="2" t="inlineStr">
        <x:is>
          <x:t xml:space="preserve">四川省</x:t>
        </x:is>
      </x:c>
      <x:c r="F1120" s="2" t="inlineStr">
        <x:is>
          <x:t xml:space="preserve">成都市</x:t>
        </x:is>
      </x:c>
      <x:c r="G1120" s="3" t="inlineStr">
        <x:is>
          <x:t xml:space="preserve">四川省-成都市</x:t>
        </x:is>
      </x:c>
      <x:c r="H1120" s="2" t="inlineStr">
        <x:is>
          <x:t xml:space="preserve">航天航空</x:t>
        </x:is>
      </x:c>
      <x:c r="I1120" s="2" t="inlineStr">
        <x:is>
          <x:t xml:space="preserve">2001-12-12</x:t>
        </x:is>
      </x:c>
      <x:c r="J1120" s="3" t="inlineStr">
        <x:is>
          <x:t xml:space="preserve">中国(四川)自由贸易成都高新区天韵路150号1栋9楼901号</x:t>
        </x:is>
      </x:c>
      <x:c r="K1120" s="12" t="str">
        <x:f>LEFT("91510100720324302D",18)</x:f>
        <x:v>91510100720324302D</x:v>
      </x:c>
    </x:row>
    <x:row r="1121">
      <x:c r="A1121" s="4" t="n">
        <x:v>1120</x:v>
      </x:c>
      <x:c r="B1121" s="4" t="inlineStr">
        <x:is>
          <x:t xml:space="preserve">600392</x:t>
        </x:is>
      </x:c>
      <x:c r="C1121" s="5" t="inlineStr">
        <x:is>
          <x:t xml:space="preserve">盛和资源</x:t>
        </x:is>
      </x:c>
      <x:c r="D1121" s="5" t="inlineStr">
        <x:is>
          <x:t xml:space="preserve">盛和资源控股股份有限公司</x:t>
        </x:is>
      </x:c>
      <x:c r="E1121" s="4" t="inlineStr">
        <x:is>
          <x:t xml:space="preserve">四川省</x:t>
        </x:is>
      </x:c>
      <x:c r="F1121" s="4" t="inlineStr">
        <x:is>
          <x:t xml:space="preserve">成都市</x:t>
        </x:is>
      </x:c>
      <x:c r="G1121" s="5" t="inlineStr">
        <x:is>
          <x:t xml:space="preserve">四川省-成都市</x:t>
        </x:is>
      </x:c>
      <x:c r="H1121" s="4" t="inlineStr">
        <x:is>
          <x:t xml:space="preserve">小金属</x:t>
        </x:is>
      </x:c>
      <x:c r="I1121" s="4" t="inlineStr">
        <x:is>
          <x:t xml:space="preserve">2003-05-29</x:t>
        </x:is>
      </x:c>
      <x:c r="J1121" s="5" t="inlineStr">
        <x:is>
          <x:t xml:space="preserve">四川省成都市双流区怡心街道怡腾路399号</x:t>
        </x:is>
      </x:c>
      <x:c r="K1121" s="12" t="str">
        <x:f>LEFT("91140000701012581E",18)</x:f>
        <x:v>91140000701012581E</x:v>
      </x:c>
    </x:row>
    <x:row r="1122">
      <x:c r="A1122" s="2" t="n">
        <x:v>1121</x:v>
      </x:c>
      <x:c r="B1122" s="2" t="inlineStr">
        <x:is>
          <x:t xml:space="preserve">600438</x:t>
        </x:is>
      </x:c>
      <x:c r="C1122" s="3" t="inlineStr">
        <x:is>
          <x:t xml:space="preserve">通威股份</x:t>
        </x:is>
      </x:c>
      <x:c r="D1122" s="3" t="inlineStr">
        <x:is>
          <x:t xml:space="preserve">通威股份有限公司</x:t>
        </x:is>
      </x:c>
      <x:c r="E1122" s="2" t="inlineStr">
        <x:is>
          <x:t xml:space="preserve">四川省</x:t>
        </x:is>
      </x:c>
      <x:c r="F1122" s="2" t="inlineStr">
        <x:is>
          <x:t xml:space="preserve">成都市</x:t>
        </x:is>
      </x:c>
      <x:c r="G1122" s="3" t="inlineStr">
        <x:is>
          <x:t xml:space="preserve">四川省-成都市</x:t>
        </x:is>
      </x:c>
      <x:c r="H1122" s="2" t="inlineStr">
        <x:is>
          <x:t xml:space="preserve">光伏设备</x:t>
        </x:is>
      </x:c>
      <x:c r="I1122" s="2" t="inlineStr">
        <x:is>
          <x:t xml:space="preserve">2004-03-02</x:t>
        </x:is>
      </x:c>
      <x:c r="J1122" s="3" t="inlineStr">
        <x:is>
          <x:t xml:space="preserve">中国(四川)自由贸易试验区成都市高新区天府大道中段588号</x:t>
        </x:is>
      </x:c>
      <x:c r="K1122" s="12" t="str">
        <x:f>LEFT("91510000207305821R",18)</x:f>
        <x:v>91510000207305821R</x:v>
      </x:c>
    </x:row>
    <x:row r="1123">
      <x:c r="A1123" s="4" t="n">
        <x:v>1122</x:v>
      </x:c>
      <x:c r="B1123" s="4" t="inlineStr">
        <x:is>
          <x:t xml:space="preserve">600505</x:t>
        </x:is>
      </x:c>
      <x:c r="C1123" s="5" t="inlineStr">
        <x:is>
          <x:t xml:space="preserve">西昌电力</x:t>
        </x:is>
      </x:c>
      <x:c r="D1123" s="5" t="inlineStr">
        <x:is>
          <x:t xml:space="preserve">四川西昌电力股份有限公司</x:t>
        </x:is>
      </x:c>
      <x:c r="E1123" s="4" t="inlineStr">
        <x:is>
          <x:t xml:space="preserve">四川省</x:t>
        </x:is>
      </x:c>
      <x:c r="F1123" s="4" t="inlineStr">
        <x:is>
          <x:t xml:space="preserve">川省西昌市</x:t>
        </x:is>
      </x:c>
      <x:c r="G1123" s="5" t="inlineStr">
        <x:is>
          <x:t xml:space="preserve">四川省-川省西昌市</x:t>
        </x:is>
      </x:c>
      <x:c r="H1123" s="4" t="inlineStr">
        <x:is>
          <x:t xml:space="preserve">电力行业</x:t>
        </x:is>
      </x:c>
      <x:c r="I1123" s="4" t="inlineStr">
        <x:is>
          <x:t xml:space="preserve">2002-05-30</x:t>
        </x:is>
      </x:c>
      <x:c r="J1123" s="5" t="inlineStr">
        <x:is>
          <x:t xml:space="preserve">四川省西昌市胜利路66号</x:t>
        </x:is>
      </x:c>
      <x:c r="K1123" s="12" t="str">
        <x:f>LEFT("91513400MA62H8UQ8Q",18)</x:f>
        <x:v>91513400MA62H8UQ8Q</x:v>
      </x:c>
    </x:row>
    <x:row r="1124">
      <x:c r="A1124" s="2" t="n">
        <x:v>1123</x:v>
      </x:c>
      <x:c r="B1124" s="2" t="inlineStr">
        <x:is>
          <x:t xml:space="preserve">600558</x:t>
        </x:is>
      </x:c>
      <x:c r="C1124" s="3" t="inlineStr">
        <x:is>
          <x:t xml:space="preserve">大西洋</x:t>
        </x:is>
      </x:c>
      <x:c r="D1124" s="3" t="inlineStr">
        <x:is>
          <x:t xml:space="preserve">四川大西洋焊接材料股份有限公司</x:t>
        </x:is>
      </x:c>
      <x:c r="E1124" s="2" t="inlineStr">
        <x:is>
          <x:t xml:space="preserve">四川省</x:t>
        </x:is>
      </x:c>
      <x:c r="F1124" s="2" t="inlineStr">
        <x:is>
          <x:t xml:space="preserve">自贡市</x:t>
        </x:is>
      </x:c>
      <x:c r="G1124" s="3" t="inlineStr">
        <x:is>
          <x:t xml:space="preserve">四川省-自贡市</x:t>
        </x:is>
      </x:c>
      <x:c r="H1124" s="2" t="inlineStr">
        <x:is>
          <x:t xml:space="preserve">通用设备</x:t>
        </x:is>
      </x:c>
      <x:c r="I1124" s="2" t="inlineStr">
        <x:is>
          <x:t xml:space="preserve">2001-02-27</x:t>
        </x:is>
      </x:c>
      <x:c r="J1124" s="3" t="inlineStr">
        <x:is>
          <x:t xml:space="preserve">四川省自贡市自流井区丹阳街1号</x:t>
        </x:is>
      </x:c>
      <x:c r="K1124" s="12" t="str">
        <x:f>LEFT("91510300711887031U",18)</x:f>
        <x:v>91510300711887031U</x:v>
      </x:c>
    </x:row>
    <x:row r="1125">
      <x:c r="A1125" s="4" t="n">
        <x:v>1124</x:v>
      </x:c>
      <x:c r="B1125" s="4" t="inlineStr">
        <x:is>
          <x:t xml:space="preserve">600603</x:t>
        </x:is>
      </x:c>
      <x:c r="C1125" s="5" t="inlineStr">
        <x:is>
          <x:t xml:space="preserve">广汇物流</x:t>
        </x:is>
      </x:c>
      <x:c r="D1125" s="5" t="inlineStr">
        <x:is>
          <x:t xml:space="preserve">广汇物流股份有限公司</x:t>
        </x:is>
      </x:c>
      <x:c r="E1125" s="4" t="inlineStr">
        <x:is>
          <x:t xml:space="preserve">四川省</x:t>
        </x:is>
      </x:c>
      <x:c r="F1125" s="4" t="inlineStr">
        <x:is>
          <x:t xml:space="preserve">成都市</x:t>
        </x:is>
      </x:c>
      <x:c r="G1125" s="5" t="inlineStr">
        <x:is>
          <x:t xml:space="preserve">四川省-成都市</x:t>
        </x:is>
      </x:c>
      <x:c r="H1125" s="4" t="inlineStr">
        <x:is>
          <x:t xml:space="preserve">物流行业</x:t>
        </x:is>
      </x:c>
      <x:c r="I1125" s="4" t="inlineStr">
        <x:is>
          <x:t xml:space="preserve">1992-01-13</x:t>
        </x:is>
      </x:c>
      <x:c r="J1125" s="5" t="inlineStr">
        <x:is>
          <x:t xml:space="preserve">中国(四川)自由贸易试验区成都市天府新区隆祥西一街88号</x:t>
        </x:is>
      </x:c>
      <x:c r="K1125" s="12" t="str">
        <x:f>LEFT("91350200132205825W",18)</x:f>
        <x:v>91350200132205825W</x:v>
      </x:c>
    </x:row>
    <x:row r="1126">
      <x:c r="A1126" s="2" t="n">
        <x:v>1125</x:v>
      </x:c>
      <x:c r="B1126" s="2" t="inlineStr">
        <x:is>
          <x:t xml:space="preserve">600644</x:t>
        </x:is>
      </x:c>
      <x:c r="C1126" s="3" t="inlineStr">
        <x:is>
          <x:t xml:space="preserve">乐山电力</x:t>
        </x:is>
      </x:c>
      <x:c r="D1126" s="3" t="inlineStr">
        <x:is>
          <x:t xml:space="preserve">乐山电力股份有限公司</x:t>
        </x:is>
      </x:c>
      <x:c r="E1126" s="2" t="inlineStr">
        <x:is>
          <x:t xml:space="preserve">四川省</x:t>
        </x:is>
      </x:c>
      <x:c r="F1126" s="2" t="inlineStr">
        <x:is>
          <x:t xml:space="preserve">乐山市</x:t>
        </x:is>
      </x:c>
      <x:c r="G1126" s="3" t="inlineStr">
        <x:is>
          <x:t xml:space="preserve">四川省-乐山市</x:t>
        </x:is>
      </x:c>
      <x:c r="H1126" s="2" t="inlineStr">
        <x:is>
          <x:t xml:space="preserve">电力行业</x:t>
        </x:is>
      </x:c>
      <x:c r="I1126" s="2" t="inlineStr">
        <x:is>
          <x:t xml:space="preserve">1993-04-26</x:t>
        </x:is>
      </x:c>
      <x:c r="J1126" s="3" t="inlineStr">
        <x:is>
          <x:t xml:space="preserve">四川省乐山市市中区嘉定北路46号</x:t>
        </x:is>
      </x:c>
      <x:c r="K1126" s="12" t="str">
        <x:f>LEFT("91511100206951207W",18)</x:f>
        <x:v>91511100206951207W</x:v>
      </x:c>
    </x:row>
    <x:row r="1127">
      <x:c r="A1127" s="4" t="n">
        <x:v>1126</x:v>
      </x:c>
      <x:c r="B1127" s="4" t="inlineStr">
        <x:is>
          <x:t xml:space="preserve">600674</x:t>
        </x:is>
      </x:c>
      <x:c r="C1127" s="5" t="inlineStr">
        <x:is>
          <x:t xml:space="preserve">川投能源</x:t>
        </x:is>
      </x:c>
      <x:c r="D1127" s="5" t="inlineStr">
        <x:is>
          <x:t xml:space="preserve">四川川投能源股份有限公司</x:t>
        </x:is>
      </x:c>
      <x:c r="E1127" s="4" t="inlineStr">
        <x:is>
          <x:t xml:space="preserve">四川省</x:t>
        </x:is>
      </x:c>
      <x:c r="F1127" s="4" t="inlineStr">
        <x:is>
          <x:t xml:space="preserve">成都市</x:t>
        </x:is>
      </x:c>
      <x:c r="G1127" s="5" t="inlineStr">
        <x:is>
          <x:t xml:space="preserve">四川省-成都市</x:t>
        </x:is>
      </x:c>
      <x:c r="H1127" s="4" t="inlineStr">
        <x:is>
          <x:t xml:space="preserve">电力行业</x:t>
        </x:is>
      </x:c>
      <x:c r="I1127" s="4" t="inlineStr">
        <x:is>
          <x:t xml:space="preserve">1993-09-24</x:t>
        </x:is>
      </x:c>
      <x:c r="J1127" s="5" t="inlineStr">
        <x:is>
          <x:t xml:space="preserve">四川省成都市武侯区临江西路1号</x:t>
        </x:is>
      </x:c>
      <x:c r="K1127" s="12" t="str">
        <x:f>LEFT("91510000206956235C",18)</x:f>
        <x:v>91510000206956235C</x:v>
      </x:c>
    </x:row>
    <x:row r="1128">
      <x:c r="A1128" s="2" t="n">
        <x:v>1127</x:v>
      </x:c>
      <x:c r="B1128" s="2" t="inlineStr">
        <x:is>
          <x:t xml:space="preserve">600678</x:t>
        </x:is>
      </x:c>
      <x:c r="C1128" s="3" t="inlineStr">
        <x:is>
          <x:t xml:space="preserve">四川金顶</x:t>
        </x:is>
      </x:c>
      <x:c r="D1128" s="3" t="inlineStr">
        <x:is>
          <x:t xml:space="preserve">四川金顶(集团)股份有限公司</x:t>
        </x:is>
      </x:c>
      <x:c r="E1128" s="2" t="inlineStr">
        <x:is>
          <x:t xml:space="preserve">四川省</x:t>
        </x:is>
      </x:c>
      <x:c r="F1128" s="2" t="inlineStr">
        <x:is>
          <x:t xml:space="preserve">眉山市</x:t>
        </x:is>
      </x:c>
      <x:c r="G1128" s="3" t="inlineStr">
        <x:is>
          <x:t xml:space="preserve">四川省-眉山市</x:t>
        </x:is>
      </x:c>
      <x:c r="H1128" s="2" t="inlineStr">
        <x:is>
          <x:t xml:space="preserve">水泥建材</x:t>
        </x:is>
      </x:c>
      <x:c r="I1128" s="2" t="inlineStr">
        <x:is>
          <x:t xml:space="preserve">1993-10-08</x:t>
        </x:is>
      </x:c>
      <x:c r="J1128" s="3" t="inlineStr">
        <x:is>
          <x:t xml:space="preserve">四川省峨眉山市九里镇新农一组166号</x:t>
        </x:is>
      </x:c>
      <x:c r="K1128" s="12" t="str">
        <x:f>LEFT("915111002069551289",18)</x:f>
        <x:v>915111002069551200</x:v>
      </x:c>
    </x:row>
    <x:row r="1129">
      <x:c r="A1129" s="4" t="n">
        <x:v>1128</x:v>
      </x:c>
      <x:c r="B1129" s="4" t="inlineStr">
        <x:is>
          <x:t xml:space="preserve">600702</x:t>
        </x:is>
      </x:c>
      <x:c r="C1129" s="5" t="inlineStr">
        <x:is>
          <x:t xml:space="preserve">舍得酒业</x:t>
        </x:is>
      </x:c>
      <x:c r="D1129" s="5" t="inlineStr">
        <x:is>
          <x:t xml:space="preserve">舍得酒业股份有限公司</x:t>
        </x:is>
      </x:c>
      <x:c r="E1129" s="4" t="inlineStr">
        <x:is>
          <x:t xml:space="preserve">四川省</x:t>
        </x:is>
      </x:c>
      <x:c r="F1129" s="4" t="inlineStr">
        <x:is>
          <x:t xml:space="preserve">川省射洪市</x:t>
        </x:is>
      </x:c>
      <x:c r="G1129" s="5" t="inlineStr">
        <x:is>
          <x:t xml:space="preserve">四川省-川省射洪市</x:t>
        </x:is>
      </x:c>
      <x:c r="H1129" s="4" t="inlineStr">
        <x:is>
          <x:t xml:space="preserve">酿酒行业</x:t>
        </x:is>
      </x:c>
      <x:c r="I1129" s="4" t="inlineStr">
        <x:is>
          <x:t xml:space="preserve">1996-05-24</x:t>
        </x:is>
      </x:c>
      <x:c r="J1129" s="5" t="inlineStr">
        <x:is>
          <x:t xml:space="preserve">四川省射洪市沱牌镇沱牌大道999号</x:t>
        </x:is>
      </x:c>
      <x:c r="K1129" s="12" t="str">
        <x:f>LEFT("915100002063581985",18)</x:f>
        <x:v>915100002063582000</x:v>
      </x:c>
    </x:row>
    <x:row r="1130">
      <x:c r="A1130" s="2" t="n">
        <x:v>1129</x:v>
      </x:c>
      <x:c r="B1130" s="2" t="inlineStr">
        <x:is>
          <x:t xml:space="preserve">600779</x:t>
        </x:is>
      </x:c>
      <x:c r="C1130" s="3" t="inlineStr">
        <x:is>
          <x:t xml:space="preserve">水井坊</x:t>
        </x:is>
      </x:c>
      <x:c r="D1130" s="3" t="inlineStr">
        <x:is>
          <x:t xml:space="preserve">四川水井坊股份有限公司</x:t>
        </x:is>
      </x:c>
      <x:c r="E1130" s="2" t="inlineStr">
        <x:is>
          <x:t xml:space="preserve">四川省</x:t>
        </x:is>
      </x:c>
      <x:c r="F1130" s="2" t="inlineStr">
        <x:is>
          <x:t xml:space="preserve">成都市</x:t>
        </x:is>
      </x:c>
      <x:c r="G1130" s="3" t="inlineStr">
        <x:is>
          <x:t xml:space="preserve">四川省-成都市</x:t>
        </x:is>
      </x:c>
      <x:c r="H1130" s="2" t="inlineStr">
        <x:is>
          <x:t xml:space="preserve">酿酒行业</x:t>
        </x:is>
      </x:c>
      <x:c r="I1130" s="2" t="inlineStr">
        <x:is>
          <x:t xml:space="preserve">1996-12-06</x:t>
        </x:is>
      </x:c>
      <x:c r="J1130" s="3" t="inlineStr">
        <x:is>
          <x:t xml:space="preserve">四川省成都市金牛区全兴路9号</x:t>
        </x:is>
      </x:c>
      <x:c r="K1130" s="12" t="str">
        <x:f>LEFT("9151010072341539XY",18)</x:f>
        <x:v>9151010072341539XY</x:v>
      </x:c>
    </x:row>
    <x:row r="1131">
      <x:c r="A1131" s="4" t="n">
        <x:v>1130</x:v>
      </x:c>
      <x:c r="B1131" s="4" t="inlineStr">
        <x:is>
          <x:t xml:space="preserve">600793</x:t>
        </x:is>
      </x:c>
      <x:c r="C1131" s="5" t="inlineStr">
        <x:is>
          <x:t xml:space="preserve">宜宾纸业</x:t>
        </x:is>
      </x:c>
      <x:c r="D1131" s="5" t="inlineStr">
        <x:is>
          <x:t xml:space="preserve">宜宾纸业股份有限公司</x:t>
        </x:is>
      </x:c>
      <x:c r="E1131" s="4" t="inlineStr">
        <x:is>
          <x:t xml:space="preserve">四川省</x:t>
        </x:is>
      </x:c>
      <x:c r="F1131" s="4" t="inlineStr">
        <x:is>
          <x:t xml:space="preserve">宜宾市</x:t>
        </x:is>
      </x:c>
      <x:c r="G1131" s="5" t="inlineStr">
        <x:is>
          <x:t xml:space="preserve">四川省-宜宾市</x:t>
        </x:is>
      </x:c>
      <x:c r="H1131" s="4" t="inlineStr">
        <x:is>
          <x:t xml:space="preserve">造纸印刷</x:t>
        </x:is>
      </x:c>
      <x:c r="I1131" s="4" t="inlineStr">
        <x:is>
          <x:t xml:space="preserve">1997-02-20</x:t>
        </x:is>
      </x:c>
      <x:c r="J1131" s="5" t="inlineStr">
        <x:is>
          <x:t xml:space="preserve">四川省宜宾市南溪区裴石轻工业园区</x:t>
        </x:is>
      </x:c>
      <x:c r="K1131" s="12" t="str">
        <x:f>LEFT("915115002088509874",18)</x:f>
        <x:v>915115002088509800</x:v>
      </x:c>
    </x:row>
    <x:row r="1132">
      <x:c r="A1132" s="2" t="n">
        <x:v>1131</x:v>
      </x:c>
      <x:c r="B1132" s="2" t="inlineStr">
        <x:is>
          <x:t xml:space="preserve">600828</x:t>
        </x:is>
      </x:c>
      <x:c r="C1132" s="3" t="inlineStr">
        <x:is>
          <x:t xml:space="preserve">茂业商业</x:t>
        </x:is>
      </x:c>
      <x:c r="D1132" s="3" t="inlineStr">
        <x:is>
          <x:t xml:space="preserve">茂业商业股份有限公司</x:t>
        </x:is>
      </x:c>
      <x:c r="E1132" s="2" t="inlineStr">
        <x:is>
          <x:t xml:space="preserve">四川省</x:t>
        </x:is>
      </x:c>
      <x:c r="F1132" s="2" t="inlineStr">
        <x:is>
          <x:t xml:space="preserve">成都市</x:t>
        </x:is>
      </x:c>
      <x:c r="G1132" s="3" t="inlineStr">
        <x:is>
          <x:t xml:space="preserve">四川省-成都市</x:t>
        </x:is>
      </x:c>
      <x:c r="H1132" s="2" t="inlineStr">
        <x:is>
          <x:t xml:space="preserve">商业百货</x:t>
        </x:is>
      </x:c>
      <x:c r="I1132" s="2" t="inlineStr">
        <x:is>
          <x:t xml:space="preserve">1994-02-24</x:t>
        </x:is>
      </x:c>
      <x:c r="J1132" s="3" t="inlineStr">
        <x:is>
          <x:t xml:space="preserve">四川省成都市东御街19号</x:t>
        </x:is>
      </x:c>
      <x:c r="K1132" s="12" t="str">
        <x:f>LEFT("91510100214393110R",18)</x:f>
        <x:v>91510100214393110R</x:v>
      </x:c>
    </x:row>
    <x:row r="1133">
      <x:c r="A1133" s="4" t="n">
        <x:v>1132</x:v>
      </x:c>
      <x:c r="B1133" s="4" t="inlineStr">
        <x:is>
          <x:t xml:space="preserve">600839</x:t>
        </x:is>
      </x:c>
      <x:c r="C1133" s="5" t="inlineStr">
        <x:is>
          <x:t xml:space="preserve">四川长虹</x:t>
        </x:is>
      </x:c>
      <x:c r="D1133" s="5" t="inlineStr">
        <x:is>
          <x:t xml:space="preserve">四川长虹电器股份有限公司</x:t>
        </x:is>
      </x:c>
      <x:c r="E1133" s="4" t="inlineStr">
        <x:is>
          <x:t xml:space="preserve">四川省</x:t>
        </x:is>
      </x:c>
      <x:c r="F1133" s="4" t="inlineStr">
        <x:is>
          <x:t xml:space="preserve">绵阳市</x:t>
        </x:is>
      </x:c>
      <x:c r="G1133" s="5" t="inlineStr">
        <x:is>
          <x:t xml:space="preserve">四川省-绵阳市</x:t>
        </x:is>
      </x:c>
      <x:c r="H1133" s="4" t="inlineStr">
        <x:is>
          <x:t xml:space="preserve">家电行业</x:t>
        </x:is>
      </x:c>
      <x:c r="I1133" s="4" t="inlineStr">
        <x:is>
          <x:t xml:space="preserve">1994-03-11</x:t>
        </x:is>
      </x:c>
      <x:c r="J1133" s="5" t="inlineStr">
        <x:is>
          <x:t xml:space="preserve">四川省绵阳市高新区绵兴东路35号</x:t>
        </x:is>
      </x:c>
      <x:c r="K1133" s="12" t="str">
        <x:f>LEFT("91510700205412308D",18)</x:f>
        <x:v>91510700205412308D</x:v>
      </x:c>
    </x:row>
    <x:row r="1134">
      <x:c r="A1134" s="2" t="n">
        <x:v>1133</x:v>
      </x:c>
      <x:c r="B1134" s="2" t="inlineStr">
        <x:is>
          <x:t xml:space="preserve">600875</x:t>
        </x:is>
      </x:c>
      <x:c r="C1134" s="3" t="inlineStr">
        <x:is>
          <x:t xml:space="preserve">东方电气</x:t>
        </x:is>
      </x:c>
      <x:c r="D1134" s="3" t="inlineStr">
        <x:is>
          <x:t xml:space="preserve">东方电气股份有限公司</x:t>
        </x:is>
      </x:c>
      <x:c r="E1134" s="2" t="inlineStr">
        <x:is>
          <x:t xml:space="preserve">四川省</x:t>
        </x:is>
      </x:c>
      <x:c r="F1134" s="2" t="inlineStr">
        <x:is>
          <x:t xml:space="preserve">成都市</x:t>
        </x:is>
      </x:c>
      <x:c r="G1134" s="3" t="inlineStr">
        <x:is>
          <x:t xml:space="preserve">四川省-成都市</x:t>
        </x:is>
      </x:c>
      <x:c r="H1134" s="2" t="inlineStr">
        <x:is>
          <x:t xml:space="preserve">电源设备</x:t>
        </x:is>
      </x:c>
      <x:c r="I1134" s="2" t="inlineStr">
        <x:is>
          <x:t xml:space="preserve">1995-10-10</x:t>
        </x:is>
      </x:c>
      <x:c r="J1134" s="3" t="inlineStr">
        <x:is>
          <x:t xml:space="preserve">中国四川省成都市高新区西芯大道18号</x:t>
        </x:is>
      </x:c>
      <x:c r="K1134" s="12" t="str">
        <x:f>LEFT("915101002051154851",18)</x:f>
        <x:v>915101002051154800</x:v>
      </x:c>
    </x:row>
    <x:row r="1135">
      <x:c r="A1135" s="4" t="n">
        <x:v>1134</x:v>
      </x:c>
      <x:c r="B1135" s="4" t="inlineStr">
        <x:is>
          <x:t xml:space="preserve">600880</x:t>
        </x:is>
      </x:c>
      <x:c r="C1135" s="5" t="inlineStr">
        <x:is>
          <x:t xml:space="preserve">博瑞传播</x:t>
        </x:is>
      </x:c>
      <x:c r="D1135" s="5" t="inlineStr">
        <x:is>
          <x:t xml:space="preserve">成都博瑞传播股份有限公司</x:t>
        </x:is>
      </x:c>
      <x:c r="E1135" s="4" t="inlineStr">
        <x:is>
          <x:t xml:space="preserve">四川省</x:t>
        </x:is>
      </x:c>
      <x:c r="F1135" s="4" t="inlineStr">
        <x:is>
          <x:t xml:space="preserve">成都市</x:t>
        </x:is>
      </x:c>
      <x:c r="G1135" s="5" t="inlineStr">
        <x:is>
          <x:t xml:space="preserve">四川省-成都市</x:t>
        </x:is>
      </x:c>
      <x:c r="H1135" s="4" t="inlineStr">
        <x:is>
          <x:t xml:space="preserve">教育</x:t>
        </x:is>
      </x:c>
      <x:c r="I1135" s="4" t="inlineStr">
        <x:is>
          <x:t xml:space="preserve">1995-11-15</x:t>
        </x:is>
      </x:c>
      <x:c r="J1135" s="5" t="inlineStr">
        <x:is>
          <x:t xml:space="preserve">成都市锦江工业园区</x:t>
        </x:is>
      </x:c>
      <x:c r="K1135" s="12" t="str">
        <x:f>LEFT("915101007203362901",18)</x:f>
        <x:v>915101007203363000</x:v>
      </x:c>
    </x:row>
    <x:row r="1136">
      <x:c r="A1136" s="2" t="n">
        <x:v>1135</x:v>
      </x:c>
      <x:c r="B1136" s="2" t="inlineStr">
        <x:is>
          <x:t xml:space="preserve">600979</x:t>
        </x:is>
      </x:c>
      <x:c r="C1136" s="3" t="inlineStr">
        <x:is>
          <x:t xml:space="preserve">广安爱众</x:t>
        </x:is>
      </x:c>
      <x:c r="D1136" s="3" t="inlineStr">
        <x:is>
          <x:t xml:space="preserve">四川广安爱众股份有限公司</x:t>
        </x:is>
      </x:c>
      <x:c r="E1136" s="2" t="inlineStr">
        <x:is>
          <x:t xml:space="preserve">四川省</x:t>
        </x:is>
      </x:c>
      <x:c r="F1136" s="2" t="inlineStr">
        <x:is>
          <x:t xml:space="preserve">广安市</x:t>
        </x:is>
      </x:c>
      <x:c r="G1136" s="3" t="inlineStr">
        <x:is>
          <x:t xml:space="preserve">四川省-广安市</x:t>
        </x:is>
      </x:c>
      <x:c r="H1136" s="2" t="inlineStr">
        <x:is>
          <x:t xml:space="preserve">电力行业</x:t>
        </x:is>
      </x:c>
      <x:c r="I1136" s="2" t="inlineStr">
        <x:is>
          <x:t xml:space="preserve">2004-09-06</x:t>
        </x:is>
      </x:c>
      <x:c r="J1136" s="3" t="inlineStr">
        <x:is>
          <x:t xml:space="preserve">四川省广安市广安区渠江北路86号</x:t>
        </x:is>
      </x:c>
      <x:c r="K1136" s="12" t="str">
        <x:f>LEFT("91511600711816831P",18)</x:f>
        <x:v>91511600711816831P</x:v>
      </x:c>
    </x:row>
    <x:row r="1137">
      <x:c r="A1137" s="4" t="n">
        <x:v>1136</x:v>
      </x:c>
      <x:c r="B1137" s="4" t="inlineStr">
        <x:is>
          <x:t xml:space="preserve">601107</x:t>
        </x:is>
      </x:c>
      <x:c r="C1137" s="5" t="inlineStr">
        <x:is>
          <x:t xml:space="preserve">四川成渝</x:t>
        </x:is>
      </x:c>
      <x:c r="D1137" s="5" t="inlineStr">
        <x:is>
          <x:t xml:space="preserve">四川成渝高速公路股份有限公司</x:t>
        </x:is>
      </x:c>
      <x:c r="E1137" s="4" t="inlineStr">
        <x:is>
          <x:t xml:space="preserve">四川省</x:t>
        </x:is>
      </x:c>
      <x:c r="F1137" s="4" t="inlineStr">
        <x:is>
          <x:t xml:space="preserve">成都市</x:t>
        </x:is>
      </x:c>
      <x:c r="G1137" s="5" t="inlineStr">
        <x:is>
          <x:t xml:space="preserve">四川省-成都市</x:t>
        </x:is>
      </x:c>
      <x:c r="H1137" s="4" t="inlineStr">
        <x:is>
          <x:t xml:space="preserve">高速公路</x:t>
        </x:is>
      </x:c>
      <x:c r="I1137" s="4" t="inlineStr">
        <x:is>
          <x:t xml:space="preserve">2009-07-27</x:t>
        </x:is>
      </x:c>
      <x:c r="J1137" s="5" t="inlineStr">
        <x:is>
          <x:t xml:space="preserve">中国四川省成都市武侯祠大街252号</x:t>
        </x:is>
      </x:c>
      <x:c r="K1137" s="12" t="str">
        <x:f>LEFT("9151000020189926XW",18)</x:f>
        <x:v>9151000020189926XW</x:v>
      </x:c>
    </x:row>
    <x:row r="1138">
      <x:c r="A1138" s="2" t="n">
        <x:v>1137</x:v>
      </x:c>
      <x:c r="B1138" s="2" t="inlineStr">
        <x:is>
          <x:t xml:space="preserve">601208</x:t>
        </x:is>
      </x:c>
      <x:c r="C1138" s="3" t="inlineStr">
        <x:is>
          <x:t xml:space="preserve">东材科技</x:t>
        </x:is>
      </x:c>
      <x:c r="D1138" s="3" t="inlineStr">
        <x:is>
          <x:t xml:space="preserve">四川东材科技集团股份有限公司</x:t>
        </x:is>
      </x:c>
      <x:c r="E1138" s="2" t="inlineStr">
        <x:is>
          <x:t xml:space="preserve">四川省</x:t>
        </x:is>
      </x:c>
      <x:c r="F1138" s="2" t="inlineStr">
        <x:is>
          <x:t xml:space="preserve">绵阳市</x:t>
        </x:is>
      </x:c>
      <x:c r="G1138" s="3" t="inlineStr">
        <x:is>
          <x:t xml:space="preserve">四川省-绵阳市</x:t>
        </x:is>
      </x:c>
      <x:c r="H1138" s="2" t="inlineStr">
        <x:is>
          <x:t xml:space="preserve">塑料制品</x:t>
        </x:is>
      </x:c>
      <x:c r="I1138" s="2" t="inlineStr">
        <x:is>
          <x:t xml:space="preserve">2011-05-20</x:t>
        </x:is>
      </x:c>
      <x:c r="J1138" s="3" t="inlineStr">
        <x:is>
          <x:t xml:space="preserve">绵阳市游仙区星月路8号</x:t>
        </x:is>
      </x:c>
      <x:c r="K1138" s="12" t="str">
        <x:f>LEFT("915107002054198848",18)</x:f>
        <x:v>915107002054198800</x:v>
      </x:c>
    </x:row>
    <x:row r="1139">
      <x:c r="A1139" s="4" t="n">
        <x:v>1138</x:v>
      </x:c>
      <x:c r="B1139" s="4" t="inlineStr">
        <x:is>
          <x:t xml:space="preserve">601399</x:t>
        </x:is>
      </x:c>
      <x:c r="C1139" s="5" t="inlineStr">
        <x:is>
          <x:t xml:space="preserve">国机重装</x:t>
        </x:is>
      </x:c>
      <x:c r="D1139" s="5" t="inlineStr">
        <x:is>
          <x:t xml:space="preserve">国机重型装备集团股份有限公司</x:t>
        </x:is>
      </x:c>
      <x:c r="E1139" s="4" t="inlineStr">
        <x:is>
          <x:t xml:space="preserve">四川省</x:t>
        </x:is>
      </x:c>
      <x:c r="F1139" s="4" t="inlineStr">
        <x:is>
          <x:t xml:space="preserve">德阳市</x:t>
        </x:is>
      </x:c>
      <x:c r="G1139" s="5" t="inlineStr">
        <x:is>
          <x:t xml:space="preserve">四川省-德阳市</x:t>
        </x:is>
      </x:c>
      <x:c r="H1139" s="4" t="inlineStr">
        <x:is>
          <x:t xml:space="preserve">专用设备</x:t>
        </x:is>
      </x:c>
      <x:c r="I1139" s="4" t="inlineStr">
        <x:is>
          <x:t xml:space="preserve">2020-06-08</x:t>
        </x:is>
      </x:c>
      <x:c r="J1139" s="5" t="inlineStr">
        <x:is>
          <x:t xml:space="preserve">四川省德阳市珠江东路99号</x:t>
        </x:is>
      </x:c>
      <x:c r="K1139" s="12" t="str">
        <x:f>LEFT("91510600735892505H",18)</x:f>
        <x:v>91510600735892505H</x:v>
      </x:c>
    </x:row>
    <x:row r="1140">
      <x:c r="A1140" s="2" t="n">
        <x:v>1139</x:v>
      </x:c>
      <x:c r="B1140" s="2" t="inlineStr">
        <x:is>
          <x:t xml:space="preserve">601811</x:t>
        </x:is>
      </x:c>
      <x:c r="C1140" s="3" t="inlineStr">
        <x:is>
          <x:t xml:space="preserve">新华文轩</x:t>
        </x:is>
      </x:c>
      <x:c r="D1140" s="3" t="inlineStr">
        <x:is>
          <x:t xml:space="preserve">新华文轩出版传媒股份有限公司</x:t>
        </x:is>
      </x:c>
      <x:c r="E1140" s="2" t="inlineStr">
        <x:is>
          <x:t xml:space="preserve">四川省</x:t>
        </x:is>
      </x:c>
      <x:c r="F1140" s="2" t="inlineStr">
        <x:is>
          <x:t xml:space="preserve">成都市</x:t>
        </x:is>
      </x:c>
      <x:c r="G1140" s="3" t="inlineStr">
        <x:is>
          <x:t xml:space="preserve">四川省-成都市</x:t>
        </x:is>
      </x:c>
      <x:c r="H1140" s="2" t="inlineStr">
        <x:is>
          <x:t xml:space="preserve">文化传媒</x:t>
        </x:is>
      </x:c>
      <x:c r="I1140" s="2" t="inlineStr">
        <x:is>
          <x:t xml:space="preserve">2016-08-08</x:t>
        </x:is>
      </x:c>
      <x:c r="J1140" s="3" t="inlineStr">
        <x:is>
          <x:t xml:space="preserve">四川省成都市锦江区三色路238号1栋1单元</x:t>
        </x:is>
      </x:c>
      <x:c r="K1140" s="12" t="str">
        <x:f>LEFT("915100007758164357",18)</x:f>
        <x:v>915100007758164400</x:v>
      </x:c>
    </x:row>
    <x:row r="1141">
      <x:c r="A1141" s="4" t="n">
        <x:v>1140</x:v>
      </x:c>
      <x:c r="B1141" s="4" t="inlineStr">
        <x:is>
          <x:t xml:space="preserve">601838</x:t>
        </x:is>
      </x:c>
      <x:c r="C1141" s="5" t="inlineStr">
        <x:is>
          <x:t xml:space="preserve">成都银行</x:t>
        </x:is>
      </x:c>
      <x:c r="D1141" s="5" t="inlineStr">
        <x:is>
          <x:t xml:space="preserve">成都银行股份有限公司</x:t>
        </x:is>
      </x:c>
      <x:c r="E1141" s="4" t="inlineStr">
        <x:is>
          <x:t xml:space="preserve">四川省</x:t>
        </x:is>
      </x:c>
      <x:c r="F1141" s="4" t="inlineStr">
        <x:is>
          <x:t xml:space="preserve">成都市</x:t>
        </x:is>
      </x:c>
      <x:c r="G1141" s="5" t="inlineStr">
        <x:is>
          <x:t xml:space="preserve">四川省-成都市</x:t>
        </x:is>
      </x:c>
      <x:c r="H1141" s="4" t="inlineStr">
        <x:is>
          <x:t xml:space="preserve">银行</x:t>
        </x:is>
      </x:c>
      <x:c r="I1141" s="4" t="inlineStr">
        <x:is>
          <x:t xml:space="preserve">2018-01-31</x:t>
        </x:is>
      </x:c>
      <x:c r="J1141" s="5" t="inlineStr">
        <x:is>
          <x:t xml:space="preserve">四川省成都市西御街16号</x:t>
        </x:is>
      </x:c>
      <x:c r="K1141" s="12" t="str">
        <x:f>LEFT("91510100633142770A",18)</x:f>
        <x:v>91510100633142770A</x:v>
      </x:c>
    </x:row>
    <x:row r="1142">
      <x:c r="A1142" s="2" t="n">
        <x:v>1141</x:v>
      </x:c>
      <x:c r="B1142" s="2" t="inlineStr">
        <x:is>
          <x:t xml:space="preserve">603027</x:t>
        </x:is>
      </x:c>
      <x:c r="C1142" s="3" t="inlineStr">
        <x:is>
          <x:t xml:space="preserve">千禾味业</x:t>
        </x:is>
      </x:c>
      <x:c r="D1142" s="3" t="inlineStr">
        <x:is>
          <x:t xml:space="preserve">千禾味业食品股份有限公司</x:t>
        </x:is>
      </x:c>
      <x:c r="E1142" s="2" t="inlineStr">
        <x:is>
          <x:t xml:space="preserve">四川省</x:t>
        </x:is>
      </x:c>
      <x:c r="F1142" s="2" t="inlineStr">
        <x:is>
          <x:t xml:space="preserve">眉山市</x:t>
        </x:is>
      </x:c>
      <x:c r="G1142" s="3" t="inlineStr">
        <x:is>
          <x:t xml:space="preserve">四川省-眉山市</x:t>
        </x:is>
      </x:c>
      <x:c r="H1142" s="2" t="inlineStr">
        <x:is>
          <x:t xml:space="preserve">食品饮料</x:t>
        </x:is>
      </x:c>
      <x:c r="I1142" s="2" t="inlineStr">
        <x:is>
          <x:t xml:space="preserve">2016-03-07</x:t>
        </x:is>
      </x:c>
      <x:c r="J1142" s="3" t="inlineStr">
        <x:is>
          <x:t xml:space="preserve">眉山市东坡区城南岷家渡</x:t>
        </x:is>
      </x:c>
      <x:c r="K1142" s="12" t="str">
        <x:f>LEFT("91511400207311690E",18)</x:f>
        <x:v>91511400207311690E</x:v>
      </x:c>
    </x:row>
    <x:row r="1143">
      <x:c r="A1143" s="4" t="n">
        <x:v>1142</x:v>
      </x:c>
      <x:c r="B1143" s="4" t="inlineStr">
        <x:is>
          <x:t xml:space="preserve">603053</x:t>
        </x:is>
      </x:c>
      <x:c r="C1143" s="5" t="inlineStr">
        <x:is>
          <x:t xml:space="preserve">成都燃气</x:t>
        </x:is>
      </x:c>
      <x:c r="D1143" s="5" t="inlineStr">
        <x:is>
          <x:t xml:space="preserve">成都燃气集团股份有限公司</x:t>
        </x:is>
      </x:c>
      <x:c r="E1143" s="4" t="inlineStr">
        <x:is>
          <x:t xml:space="preserve">四川省</x:t>
        </x:is>
      </x:c>
      <x:c r="F1143" s="4" t="inlineStr">
        <x:is>
          <x:t xml:space="preserve">成都市</x:t>
        </x:is>
      </x:c>
      <x:c r="G1143" s="5" t="inlineStr">
        <x:is>
          <x:t xml:space="preserve">四川省-成都市</x:t>
        </x:is>
      </x:c>
      <x:c r="H1143" s="4" t="inlineStr">
        <x:is>
          <x:t xml:space="preserve">燃气</x:t>
        </x:is>
      </x:c>
      <x:c r="I1143" s="4" t="inlineStr">
        <x:is>
          <x:t xml:space="preserve">2019-12-17</x:t>
        </x:is>
      </x:c>
      <x:c r="J1143" s="5" t="inlineStr">
        <x:is>
          <x:t xml:space="preserve">成都市武侯区少陵路19号</x:t>
        </x:is>
      </x:c>
      <x:c r="K1143" s="12" t="str">
        <x:f>LEFT("91510100201937211U",18)</x:f>
        <x:v>91510100201937211U</x:v>
      </x:c>
    </x:row>
    <x:row r="1144">
      <x:c r="A1144" s="2" t="n">
        <x:v>1143</x:v>
      </x:c>
      <x:c r="B1144" s="2" t="inlineStr">
        <x:is>
          <x:t xml:space="preserve">603077</x:t>
        </x:is>
      </x:c>
      <x:c r="C1144" s="3" t="inlineStr">
        <x:is>
          <x:t xml:space="preserve">和邦生物</x:t>
        </x:is>
      </x:c>
      <x:c r="D1144" s="3" t="inlineStr">
        <x:is>
          <x:t xml:space="preserve">四川和邦生物科技股份有限公司</x:t>
        </x:is>
      </x:c>
      <x:c r="E1144" s="2" t="inlineStr">
        <x:is>
          <x:t xml:space="preserve">四川省</x:t>
        </x:is>
      </x:c>
      <x:c r="F1144" s="2" t="inlineStr">
        <x:is>
          <x:t xml:space="preserve">乐山市</x:t>
        </x:is>
      </x:c>
      <x:c r="G1144" s="3" t="inlineStr">
        <x:is>
          <x:t xml:space="preserve">四川省-乐山市</x:t>
        </x:is>
      </x:c>
      <x:c r="H1144" s="2" t="inlineStr">
        <x:is>
          <x:t xml:space="preserve">化学原料</x:t>
        </x:is>
      </x:c>
      <x:c r="I1144" s="2" t="inlineStr">
        <x:is>
          <x:t xml:space="preserve">2012-07-31</x:t>
        </x:is>
      </x:c>
      <x:c r="J1144" s="3" t="inlineStr">
        <x:is>
          <x:t xml:space="preserve">乐山市五通桥区牛华镇沔坝村</x:t>
        </x:is>
      </x:c>
      <x:c r="K1144" s="12" t="str">
        <x:f>LEFT("91511100740039656L",18)</x:f>
        <x:v>91511100740039656L</x:v>
      </x:c>
    </x:row>
    <x:row r="1145">
      <x:c r="A1145" s="4" t="n">
        <x:v>1144</x:v>
      </x:c>
      <x:c r="B1145" s="4" t="inlineStr">
        <x:is>
          <x:t xml:space="preserve">603261</x:t>
        </x:is>
      </x:c>
      <x:c r="C1145" s="5" t="inlineStr">
        <x:is>
          <x:t xml:space="preserve">*ST立航</x:t>
        </x:is>
      </x:c>
      <x:c r="D1145" s="5" t="inlineStr">
        <x:is>
          <x:t xml:space="preserve">成都立航科技股份有限公司</x:t>
        </x:is>
      </x:c>
      <x:c r="E1145" s="4" t="inlineStr">
        <x:is>
          <x:t xml:space="preserve">四川省</x:t>
        </x:is>
      </x:c>
      <x:c r="F1145" s="4" t="inlineStr">
        <x:is>
          <x:t xml:space="preserve">成都市</x:t>
        </x:is>
      </x:c>
      <x:c r="G1145" s="5" t="inlineStr">
        <x:is>
          <x:t xml:space="preserve">四川省-成都市</x:t>
        </x:is>
      </x:c>
      <x:c r="H1145" s="4" t="inlineStr">
        <x:is>
          <x:t xml:space="preserve">航天航空</x:t>
        </x:is>
      </x:c>
      <x:c r="I1145" s="4" t="inlineStr">
        <x:is>
          <x:t xml:space="preserve">2022-03-15</x:t>
        </x:is>
      </x:c>
      <x:c r="J1145" s="5" t="inlineStr">
        <x:is>
          <x:t xml:space="preserve">成都高新区安泰三路100号</x:t>
        </x:is>
      </x:c>
      <x:c r="K1145" s="12" t="str">
        <x:f>LEFT("91510100749741724C",18)</x:f>
        <x:v>91510100749741724C</x:v>
      </x:c>
    </x:row>
    <x:row r="1146">
      <x:c r="A1146" s="2" t="n">
        <x:v>1145</x:v>
      </x:c>
      <x:c r="B1146" s="2" t="inlineStr">
        <x:is>
          <x:t xml:space="preserve">603317</x:t>
        </x:is>
      </x:c>
      <x:c r="C1146" s="3" t="inlineStr">
        <x:is>
          <x:t xml:space="preserve">天味食品</x:t>
        </x:is>
      </x:c>
      <x:c r="D1146" s="3" t="inlineStr">
        <x:is>
          <x:t xml:space="preserve">四川天味食品集团股份有限公司</x:t>
        </x:is>
      </x:c>
      <x:c r="E1146" s="2" t="inlineStr">
        <x:is>
          <x:t xml:space="preserve">四川省</x:t>
        </x:is>
      </x:c>
      <x:c r="F1146" s="2" t="inlineStr">
        <x:is>
          <x:t xml:space="preserve">成都市</x:t>
        </x:is>
      </x:c>
      <x:c r="G1146" s="3" t="inlineStr">
        <x:is>
          <x:t xml:space="preserve">四川省-成都市</x:t>
        </x:is>
      </x:c>
      <x:c r="H1146" s="2" t="inlineStr">
        <x:is>
          <x:t xml:space="preserve">食品饮料</x:t>
        </x:is>
      </x:c>
      <x:c r="I1146" s="2" t="inlineStr">
        <x:is>
          <x:t xml:space="preserve">2019-04-16</x:t>
        </x:is>
      </x:c>
      <x:c r="J1146" s="3" t="inlineStr">
        <x:is>
          <x:t xml:space="preserve">成都市双流区西航港街道腾飞一路333号</x:t>
        </x:is>
      </x:c>
      <x:c r="K1146" s="12" t="str">
        <x:f>LEFT("915101007978308873",18)</x:f>
        <x:v>915101007978308900</x:v>
      </x:c>
    </x:row>
    <x:row r="1147">
      <x:c r="A1147" s="4" t="n">
        <x:v>1146</x:v>
      </x:c>
      <x:c r="B1147" s="4" t="inlineStr">
        <x:is>
          <x:t xml:space="preserve">603327</x:t>
        </x:is>
      </x:c>
      <x:c r="C1147" s="5" t="inlineStr">
        <x:is>
          <x:t xml:space="preserve">福蓉科技</x:t>
        </x:is>
      </x:c>
      <x:c r="D1147" s="5" t="inlineStr">
        <x:is>
          <x:t xml:space="preserve">四川福蓉科技股份公司</x:t>
        </x:is>
      </x:c>
      <x:c r="E1147" s="4" t="inlineStr">
        <x:is>
          <x:t xml:space="preserve">四川省</x:t>
        </x:is>
      </x:c>
      <x:c r="F1147" s="4" t="inlineStr">
        <x:is>
          <x:t xml:space="preserve">成都市</x:t>
        </x:is>
      </x:c>
      <x:c r="G1147" s="5" t="inlineStr">
        <x:is>
          <x:t xml:space="preserve">四川省-成都市</x:t>
        </x:is>
      </x:c>
      <x:c r="H1147" s="4" t="inlineStr">
        <x:is>
          <x:t xml:space="preserve">消费电子</x:t>
        </x:is>
      </x:c>
      <x:c r="I1147" s="4" t="inlineStr">
        <x:is>
          <x:t xml:space="preserve">2019-05-23</x:t>
        </x:is>
      </x:c>
      <x:c r="J1147" s="5" t="inlineStr">
        <x:is>
          <x:t xml:space="preserve">四川省成都市崇州市崇双大道二段518号</x:t>
        </x:is>
      </x:c>
      <x:c r="K1147" s="12" t="str">
        <x:f>LEFT("915101845722876769",18)</x:f>
        <x:v>915101845722876800</x:v>
      </x:c>
    </x:row>
    <x:row r="1148">
      <x:c r="A1148" s="2" t="n">
        <x:v>1147</x:v>
      </x:c>
      <x:c r="B1148" s="2" t="inlineStr">
        <x:is>
          <x:t xml:space="preserve">603333</x:t>
        </x:is>
      </x:c>
      <x:c r="C1148" s="3" t="inlineStr">
        <x:is>
          <x:t xml:space="preserve">尚纬股份</x:t>
        </x:is>
      </x:c>
      <x:c r="D1148" s="3" t="inlineStr">
        <x:is>
          <x:t xml:space="preserve">尚纬股份有限公司</x:t>
        </x:is>
      </x:c>
      <x:c r="E1148" s="2" t="inlineStr">
        <x:is>
          <x:t xml:space="preserve">四川省</x:t>
        </x:is>
      </x:c>
      <x:c r="F1148" s="2" t="inlineStr">
        <x:is>
          <x:t xml:space="preserve">乐山市</x:t>
        </x:is>
      </x:c>
      <x:c r="G1148" s="3" t="inlineStr">
        <x:is>
          <x:t xml:space="preserve">四川省-乐山市</x:t>
        </x:is>
      </x:c>
      <x:c r="H1148" s="2" t="inlineStr">
        <x:is>
          <x:t xml:space="preserve">输配电气</x:t>
        </x:is>
      </x:c>
      <x:c r="I1148" s="2" t="inlineStr">
        <x:is>
          <x:t xml:space="preserve">2012-05-07</x:t>
        </x:is>
      </x:c>
      <x:c r="J1148" s="3" t="inlineStr">
        <x:is>
          <x:t xml:space="preserve">四川省乐山市高新区迎宾大道18号</x:t>
        </x:is>
      </x:c>
      <x:c r="K1148" s="12" t="str">
        <x:f>LEFT("915111007523025620",18)</x:f>
        <x:v>915111007523025700</x:v>
      </x:c>
    </x:row>
    <x:row r="1149">
      <x:c r="A1149" s="4" t="n">
        <x:v>1148</x:v>
      </x:c>
      <x:c r="B1149" s="4" t="inlineStr">
        <x:is>
          <x:t xml:space="preserve">603477</x:t>
        </x:is>
      </x:c>
      <x:c r="C1149" s="5" t="inlineStr">
        <x:is>
          <x:t xml:space="preserve">巨星农牧</x:t>
        </x:is>
      </x:c>
      <x:c r="D1149" s="5" t="inlineStr">
        <x:is>
          <x:t xml:space="preserve">乐山巨星农牧股份有限公司</x:t>
        </x:is>
      </x:c>
      <x:c r="E1149" s="4" t="inlineStr">
        <x:is>
          <x:t xml:space="preserve">四川省</x:t>
        </x:is>
      </x:c>
      <x:c r="F1149" s="4" t="inlineStr">
        <x:is>
          <x:t xml:space="preserve">乐山市</x:t>
        </x:is>
      </x:c>
      <x:c r="G1149" s="5" t="inlineStr">
        <x:is>
          <x:t xml:space="preserve">四川省-乐山市</x:t>
        </x:is>
      </x:c>
      <x:c r="H1149" s="4" t="inlineStr">
        <x:is>
          <x:t xml:space="preserve">农牧饲渔</x:t>
        </x:is>
      </x:c>
      <x:c r="I1149" s="4" t="inlineStr">
        <x:is>
          <x:t xml:space="preserve">2017-12-18</x:t>
        </x:is>
      </x:c>
      <x:c r="J1149" s="5" t="inlineStr">
        <x:is>
          <x:t xml:space="preserve">乐山市五通桥区竹根镇新华村</x:t>
        </x:is>
      </x:c>
      <x:c r="K1149" s="12" t="str">
        <x:f>LEFT("91511100085837984G",18)</x:f>
        <x:v>91511100085837984G</x:v>
      </x:c>
    </x:row>
    <x:row r="1150">
      <x:c r="A1150" s="2" t="n">
        <x:v>1149</x:v>
      </x:c>
      <x:c r="B1150" s="2" t="inlineStr">
        <x:is>
          <x:t xml:space="preserve">603679</x:t>
        </x:is>
      </x:c>
      <x:c r="C1150" s="3" t="inlineStr">
        <x:is>
          <x:t xml:space="preserve">华体科技</x:t>
        </x:is>
      </x:c>
      <x:c r="D1150" s="3" t="inlineStr">
        <x:is>
          <x:t xml:space="preserve">四川华体照明科技股份有限公司</x:t>
        </x:is>
      </x:c>
      <x:c r="E1150" s="2" t="inlineStr">
        <x:is>
          <x:t xml:space="preserve">四川省</x:t>
        </x:is>
      </x:c>
      <x:c r="F1150" s="2" t="inlineStr">
        <x:is>
          <x:t xml:space="preserve">成都市</x:t>
        </x:is>
      </x:c>
      <x:c r="G1150" s="3" t="inlineStr">
        <x:is>
          <x:t xml:space="preserve">四川省-成都市</x:t>
        </x:is>
      </x:c>
      <x:c r="H1150" s="2" t="inlineStr">
        <x:is>
          <x:t xml:space="preserve">光学光电子</x:t>
        </x:is>
      </x:c>
      <x:c r="I1150" s="2" t="inlineStr">
        <x:is>
          <x:t xml:space="preserve">2017-06-21</x:t>
        </x:is>
      </x:c>
      <x:c r="J1150" s="3" t="inlineStr">
        <x:is>
          <x:t xml:space="preserve">四川省双流西南航空港经济开发区双华路三段580号</x:t>
        </x:is>
      </x:c>
      <x:c r="K1150" s="12" t="str">
        <x:f>LEFT("91510100762260052M",18)</x:f>
        <x:v>91510100762260052M</x:v>
      </x:c>
    </x:row>
    <x:row r="1151">
      <x:c r="A1151" s="4" t="n">
        <x:v>1150</x:v>
      </x:c>
      <x:c r="B1151" s="4" t="inlineStr">
        <x:is>
          <x:t xml:space="preserve">603759</x:t>
        </x:is>
      </x:c>
      <x:c r="C1151" s="5" t="inlineStr">
        <x:is>
          <x:t xml:space="preserve">海天股份</x:t>
        </x:is>
      </x:c>
      <x:c r="D1151" s="5" t="inlineStr">
        <x:is>
          <x:t xml:space="preserve">海天水务集团股份公司</x:t>
        </x:is>
      </x:c>
      <x:c r="E1151" s="4" t="inlineStr">
        <x:is>
          <x:t xml:space="preserve">四川省</x:t>
        </x:is>
      </x:c>
      <x:c r="F1151" s="4" t="inlineStr">
        <x:is>
          <x:t xml:space="preserve">成都市</x:t>
        </x:is>
      </x:c>
      <x:c r="G1151" s="5" t="inlineStr">
        <x:is>
          <x:t xml:space="preserve">四川省-成都市</x:t>
        </x:is>
      </x:c>
      <x:c r="H1151" s="4" t="inlineStr">
        <x:is>
          <x:t xml:space="preserve">公用事业</x:t>
        </x:is>
      </x:c>
      <x:c r="I1151" s="4" t="inlineStr">
        <x:is>
          <x:t xml:space="preserve">2021-03-26</x:t>
        </x:is>
      </x:c>
      <x:c r="J1151" s="5" t="inlineStr">
        <x:is>
          <x:t xml:space="preserve">中国(四川)自有贸易试验区天府新区兴隆街道湖畔路南段506号</x:t>
        </x:is>
      </x:c>
      <x:c r="K1151" s="12" t="str">
        <x:f>LEFT("915100006714374300",18)</x:f>
        <x:v>915100006714374300</x:v>
      </x:c>
    </x:row>
    <x:row r="1152">
      <x:c r="A1152" s="2" t="n">
        <x:v>1151</x:v>
      </x:c>
      <x:c r="B1152" s="2" t="inlineStr">
        <x:is>
          <x:t xml:space="preserve">603809</x:t>
        </x:is>
      </x:c>
      <x:c r="C1152" s="3" t="inlineStr">
        <x:is>
          <x:t xml:space="preserve">豪能股份</x:t>
        </x:is>
      </x:c>
      <x:c r="D1152" s="3" t="inlineStr">
        <x:is>
          <x:t xml:space="preserve">成都豪能科技股份有限公司</x:t>
        </x:is>
      </x:c>
      <x:c r="E1152" s="2" t="inlineStr">
        <x:is>
          <x:t xml:space="preserve">四川省</x:t>
        </x:is>
      </x:c>
      <x:c r="F1152" s="2" t="inlineStr">
        <x:is>
          <x:t xml:space="preserve">成都市</x:t>
        </x:is>
      </x:c>
      <x:c r="G1152" s="3" t="inlineStr">
        <x:is>
          <x:t xml:space="preserve">四川省-成都市</x:t>
        </x:is>
      </x:c>
      <x:c r="H1152" s="2" t="inlineStr">
        <x:is>
          <x:t xml:space="preserve">汽车行业</x:t>
        </x:is>
      </x:c>
      <x:c r="I1152" s="2" t="inlineStr">
        <x:is>
          <x:t xml:space="preserve">2017-11-28</x:t>
        </x:is>
      </x:c>
      <x:c r="J1152" s="3" t="inlineStr">
        <x:is>
          <x:t xml:space="preserve">四川省成都经济技术开发区南二路288号</x:t>
        </x:is>
      </x:c>
      <x:c r="K1152" s="12" t="str">
        <x:f>LEFT("91510112792186252U",18)</x:f>
        <x:v>91510112792186252U</x:v>
      </x:c>
    </x:row>
    <x:row r="1153">
      <x:c r="A1153" s="4" t="n">
        <x:v>1152</x:v>
      </x:c>
      <x:c r="B1153" s="4" t="inlineStr">
        <x:is>
          <x:t xml:space="preserve">688053</x:t>
        </x:is>
      </x:c>
      <x:c r="C1153" s="5" t="inlineStr">
        <x:is>
          <x:t xml:space="preserve">ST思科瑞</x:t>
        </x:is>
      </x:c>
      <x:c r="D1153" s="5" t="inlineStr">
        <x:is>
          <x:t xml:space="preserve">成都思科瑞微电子股份有限公司</x:t>
        </x:is>
      </x:c>
      <x:c r="E1153" s="4" t="inlineStr">
        <x:is>
          <x:t xml:space="preserve">四川省</x:t>
        </x:is>
      </x:c>
      <x:c r="F1153" s="4" t="inlineStr">
        <x:is>
          <x:t xml:space="preserve">成都市</x:t>
        </x:is>
      </x:c>
      <x:c r="G1153" s="5" t="inlineStr">
        <x:is>
          <x:t xml:space="preserve">四川省-成都市</x:t>
        </x:is>
      </x:c>
      <x:c r="H1153" s="4" t="inlineStr">
        <x:is>
          <x:t xml:space="preserve">电子元件</x:t>
        </x:is>
      </x:c>
      <x:c r="I1153" s="4" t="inlineStr">
        <x:is>
          <x:t xml:space="preserve">2022-07-08</x:t>
        </x:is>
      </x:c>
      <x:c r="J1153" s="5" t="inlineStr">
        <x:is>
          <x:t xml:space="preserve">成都高新区安泰四路68号</x:t>
        </x:is>
      </x:c>
      <x:c r="K1153" s="12" t="str">
        <x:f>LEFT("91510100321580966H",18)</x:f>
        <x:v>91510100321580966H</x:v>
      </x:c>
    </x:row>
    <x:row r="1154">
      <x:c r="A1154" s="2" t="n">
        <x:v>1153</x:v>
      </x:c>
      <x:c r="B1154" s="2" t="inlineStr">
        <x:is>
          <x:t xml:space="preserve">688070</x:t>
        </x:is>
      </x:c>
      <x:c r="C1154" s="3" t="inlineStr">
        <x:is>
          <x:t xml:space="preserve">纵横股份</x:t>
        </x:is>
      </x:c>
      <x:c r="D1154" s="3" t="inlineStr">
        <x:is>
          <x:t xml:space="preserve">成都纵横自动化技术股份有限公司</x:t>
        </x:is>
      </x:c>
      <x:c r="E1154" s="2" t="inlineStr">
        <x:is>
          <x:t xml:space="preserve">四川省</x:t>
        </x:is>
      </x:c>
      <x:c r="F1154" s="2" t="inlineStr">
        <x:is>
          <x:t xml:space="preserve">成都市</x:t>
        </x:is>
      </x:c>
      <x:c r="G1154" s="3" t="inlineStr">
        <x:is>
          <x:t xml:space="preserve">四川省-成都市</x:t>
        </x:is>
      </x:c>
      <x:c r="H1154" s="2" t="inlineStr">
        <x:is>
          <x:t xml:space="preserve">航天航空</x:t>
        </x:is>
      </x:c>
      <x:c r="I1154" s="2" t="inlineStr">
        <x:is>
          <x:t xml:space="preserve">2021-02-10</x:t>
        </x:is>
      </x:c>
      <x:c r="J1154" s="3" t="inlineStr">
        <x:is>
          <x:t xml:space="preserve">中国(四川)自由贸易试验区成都高新区天府五街200号6号楼A区7楼</x:t>
        </x:is>
      </x:c>
      <x:c r="K1154" s="12" t="str">
        <x:f>LEFT("915101005535556718",18)</x:f>
        <x:v>915101005535556700</x:v>
      </x:c>
    </x:row>
    <x:row r="1155">
      <x:c r="A1155" s="4" t="n">
        <x:v>1154</x:v>
      </x:c>
      <x:c r="B1155" s="4" t="inlineStr">
        <x:is>
          <x:t xml:space="preserve">688117</x:t>
        </x:is>
      </x:c>
      <x:c r="C1155" s="5" t="inlineStr">
        <x:is>
          <x:t xml:space="preserve">圣诺生物</x:t>
        </x:is>
      </x:c>
      <x:c r="D1155" s="5" t="inlineStr">
        <x:is>
          <x:t xml:space="preserve">成都圣诺生物科技股份有限公司</x:t>
        </x:is>
      </x:c>
      <x:c r="E1155" s="4" t="inlineStr">
        <x:is>
          <x:t xml:space="preserve">四川省</x:t>
        </x:is>
      </x:c>
      <x:c r="F1155" s="4" t="inlineStr">
        <x:is>
          <x:t xml:space="preserve">成都市</x:t>
        </x:is>
      </x:c>
      <x:c r="G1155" s="5" t="inlineStr">
        <x:is>
          <x:t xml:space="preserve">四川省-成都市</x:t>
        </x:is>
      </x:c>
      <x:c r="H1155" s="4" t="inlineStr">
        <x:is>
          <x:t xml:space="preserve">医药制造</x:t>
        </x:is>
      </x:c>
      <x:c r="I1155" s="4" t="inlineStr">
        <x:is>
          <x:t xml:space="preserve">2021-06-03</x:t>
        </x:is>
      </x:c>
      <x:c r="J1155" s="5" t="inlineStr">
        <x:is>
          <x:t xml:space="preserve">四川省成都市大邑县大安路98号</x:t>
        </x:is>
      </x:c>
      <x:c r="K1155" s="12" t="str">
        <x:f>LEFT("91510100730206481N",18)</x:f>
        <x:v>91510100730206481N</x:v>
      </x:c>
    </x:row>
    <x:row r="1156">
      <x:c r="A1156" s="2" t="n">
        <x:v>1155</x:v>
      </x:c>
      <x:c r="B1156" s="2" t="inlineStr">
        <x:is>
          <x:t xml:space="preserve">688222</x:t>
        </x:is>
      </x:c>
      <x:c r="C1156" s="3" t="inlineStr">
        <x:is>
          <x:t xml:space="preserve">成都先导</x:t>
        </x:is>
      </x:c>
      <x:c r="D1156" s="3" t="inlineStr">
        <x:is>
          <x:t xml:space="preserve">成都先导药物开发股份有限公司</x:t>
        </x:is>
      </x:c>
      <x:c r="E1156" s="2" t="inlineStr">
        <x:is>
          <x:t xml:space="preserve">四川省</x:t>
        </x:is>
      </x:c>
      <x:c r="F1156" s="2" t="inlineStr">
        <x:is>
          <x:t xml:space="preserve">成都市</x:t>
        </x:is>
      </x:c>
      <x:c r="G1156" s="3" t="inlineStr">
        <x:is>
          <x:t xml:space="preserve">四川省-成都市</x:t>
        </x:is>
      </x:c>
      <x:c r="H1156" s="2" t="inlineStr">
        <x:is>
          <x:t xml:space="preserve">医疗行业</x:t>
        </x:is>
      </x:c>
      <x:c r="I1156" s="2" t="inlineStr">
        <x:is>
          <x:t xml:space="preserve">2020-04-16</x:t>
        </x:is>
      </x:c>
      <x:c r="J1156" s="3" t="inlineStr">
        <x:is>
          <x:t xml:space="preserve">四川省成都高新区科园南路88号1栋3层</x:t>
        </x:is>
      </x:c>
      <x:c r="K1156" s="12" t="str">
        <x:f>LEFT("91510100590230753C",18)</x:f>
        <x:v>91510100590230753C</x:v>
      </x:c>
    </x:row>
    <x:row r="1157">
      <x:c r="A1157" s="4" t="n">
        <x:v>1156</x:v>
      </x:c>
      <x:c r="B1157" s="4" t="inlineStr">
        <x:is>
          <x:t xml:space="preserve">688283</x:t>
        </x:is>
      </x:c>
      <x:c r="C1157" s="5" t="inlineStr">
        <x:is>
          <x:t xml:space="preserve">坤恒顺维</x:t>
        </x:is>
      </x:c>
      <x:c r="D1157" s="5" t="inlineStr">
        <x:is>
          <x:t xml:space="preserve">成都坤恒顺维科技股份有限公司</x:t>
        </x:is>
      </x:c>
      <x:c r="E1157" s="4" t="inlineStr">
        <x:is>
          <x:t xml:space="preserve">四川省</x:t>
        </x:is>
      </x:c>
      <x:c r="F1157" s="4" t="inlineStr">
        <x:is>
          <x:t xml:space="preserve">成都市</x:t>
        </x:is>
      </x:c>
      <x:c r="G1157" s="5" t="inlineStr">
        <x:is>
          <x:t xml:space="preserve">四川省-成都市</x:t>
        </x:is>
      </x:c>
      <x:c r="H1157" s="4" t="inlineStr">
        <x:is>
          <x:t xml:space="preserve">专用设备</x:t>
        </x:is>
      </x:c>
      <x:c r="I1157" s="4" t="inlineStr">
        <x:is>
          <x:t xml:space="preserve">2022-02-15</x:t>
        </x:is>
      </x:c>
      <x:c r="J1157" s="5" t="inlineStr">
        <x:is>
          <x:t xml:space="preserve">成都市高新区康强二路388号</x:t>
        </x:is>
      </x:c>
      <x:c r="K1157" s="12" t="str">
        <x:f>LEFT("915101005589519488",18)</x:f>
        <x:v>915101005589519500</x:v>
      </x:c>
    </x:row>
    <x:row r="1158">
      <x:c r="A1158" s="2" t="n">
        <x:v>1157</x:v>
      </x:c>
      <x:c r="B1158" s="2" t="inlineStr">
        <x:is>
          <x:t xml:space="preserve">688297</x:t>
        </x:is>
      </x:c>
      <x:c r="C1158" s="3" t="inlineStr">
        <x:is>
          <x:t xml:space="preserve">中无人机</x:t>
        </x:is>
      </x:c>
      <x:c r="D1158" s="3" t="inlineStr">
        <x:is>
          <x:t xml:space="preserve">中航(成都)无人机系统股份有限公司</x:t>
        </x:is>
      </x:c>
      <x:c r="E1158" s="2" t="inlineStr">
        <x:is>
          <x:t xml:space="preserve">四川省</x:t>
        </x:is>
      </x:c>
      <x:c r="F1158" s="2" t="inlineStr">
        <x:is>
          <x:t xml:space="preserve">成都市</x:t>
        </x:is>
      </x:c>
      <x:c r="G1158" s="3" t="inlineStr">
        <x:is>
          <x:t xml:space="preserve">四川省-成都市</x:t>
        </x:is>
      </x:c>
      <x:c r="H1158" s="2" t="inlineStr">
        <x:is>
          <x:t xml:space="preserve">航天航空</x:t>
        </x:is>
      </x:c>
      <x:c r="I1158" s="2" t="inlineStr">
        <x:is>
          <x:t xml:space="preserve">2022-06-29</x:t>
        </x:is>
      </x:c>
      <x:c r="J1158" s="3" t="inlineStr">
        <x:is>
          <x:t xml:space="preserve">成都高新西区西芯大道四号</x:t>
        </x:is>
      </x:c>
      <x:c r="K1158" s="12" t="str">
        <x:f>LEFT("915101006653023886",18)</x:f>
        <x:v>915101006653023900</x:v>
      </x:c>
    </x:row>
    <x:row r="1159">
      <x:c r="A1159" s="4" t="n">
        <x:v>1158</x:v>
      </x:c>
      <x:c r="B1159" s="4" t="inlineStr">
        <x:is>
          <x:t xml:space="preserve">688302</x:t>
        </x:is>
      </x:c>
      <x:c r="C1159" s="5" t="inlineStr">
        <x:is>
          <x:t xml:space="preserve">海创药业</x:t>
        </x:is>
      </x:c>
      <x:c r="D1159" s="5" t="inlineStr">
        <x:is>
          <x:t xml:space="preserve">海创药业股份有限公司</x:t>
        </x:is>
      </x:c>
      <x:c r="E1159" s="4" t="inlineStr">
        <x:is>
          <x:t xml:space="preserve">四川省</x:t>
        </x:is>
      </x:c>
      <x:c r="F1159" s="4" t="inlineStr">
        <x:is>
          <x:t xml:space="preserve">成都市</x:t>
        </x:is>
      </x:c>
      <x:c r="G1159" s="5" t="inlineStr">
        <x:is>
          <x:t xml:space="preserve">四川省-成都市</x:t>
        </x:is>
      </x:c>
      <x:c r="H1159" s="4" t="inlineStr">
        <x:is>
          <x:t xml:space="preserve">生物制品</x:t>
        </x:is>
      </x:c>
      <x:c r="I1159" s="4" t="inlineStr">
        <x:is>
          <x:t xml:space="preserve">2022-04-12</x:t>
        </x:is>
      </x:c>
      <x:c r="J1159" s="5" t="inlineStr">
        <x:is>
          <x:t xml:space="preserve">四川省成都市双流区凤凰路558号</x:t>
        </x:is>
      </x:c>
      <x:c r="K1159" s="12" t="str">
        <x:f>LEFT("915101000624182263",18)</x:f>
        <x:v>915101000624182300</x:v>
      </x:c>
    </x:row>
    <x:row r="1160">
      <x:c r="A1160" s="2" t="n">
        <x:v>1159</x:v>
      </x:c>
      <x:c r="B1160" s="2" t="inlineStr">
        <x:is>
          <x:t xml:space="preserve">688311</x:t>
        </x:is>
      </x:c>
      <x:c r="C1160" s="3" t="inlineStr">
        <x:is>
          <x:t xml:space="preserve">盟升电子</x:t>
        </x:is>
      </x:c>
      <x:c r="D1160" s="3" t="inlineStr">
        <x:is>
          <x:t xml:space="preserve">成都盟升电子技术股份有限公司</x:t>
        </x:is>
      </x:c>
      <x:c r="E1160" s="2" t="inlineStr">
        <x:is>
          <x:t xml:space="preserve">四川省</x:t>
        </x:is>
      </x:c>
      <x:c r="F1160" s="2" t="inlineStr">
        <x:is>
          <x:t xml:space="preserve">成都市</x:t>
        </x:is>
      </x:c>
      <x:c r="G1160" s="3" t="inlineStr">
        <x:is>
          <x:t xml:space="preserve">四川省-成都市</x:t>
        </x:is>
      </x:c>
      <x:c r="H1160" s="2" t="inlineStr">
        <x:is>
          <x:t xml:space="preserve">通信设备</x:t>
        </x:is>
      </x:c>
      <x:c r="I1160" s="2" t="inlineStr">
        <x:is>
          <x:t xml:space="preserve">2020-07-31</x:t>
        </x:is>
      </x:c>
      <x:c r="J1160" s="3" t="inlineStr">
        <x:is>
          <x:t xml:space="preserve">中国(四川)自由贸易试验区成都市天府新区兴隆街道桐子咀南街350号</x:t>
        </x:is>
      </x:c>
      <x:c r="K1160" s="12" t="str">
        <x:f>LEFT("915101000776776935",18)</x:f>
        <x:v>915101000776777000</x:v>
      </x:c>
    </x:row>
    <x:row r="1161">
      <x:c r="A1161" s="4" t="n">
        <x:v>1160</x:v>
      </x:c>
      <x:c r="B1161" s="4" t="inlineStr">
        <x:is>
          <x:t xml:space="preserve">688319</x:t>
        </x:is>
      </x:c>
      <x:c r="C1161" s="5" t="inlineStr">
        <x:is>
          <x:t xml:space="preserve">欧林生物</x:t>
        </x:is>
      </x:c>
      <x:c r="D1161" s="5" t="inlineStr">
        <x:is>
          <x:t xml:space="preserve">成都欧林生物科技股份有限公司</x:t>
        </x:is>
      </x:c>
      <x:c r="E1161" s="4" t="inlineStr">
        <x:is>
          <x:t xml:space="preserve">四川省</x:t>
        </x:is>
      </x:c>
      <x:c r="F1161" s="4" t="inlineStr">
        <x:is>
          <x:t xml:space="preserve">成都市</x:t>
        </x:is>
      </x:c>
      <x:c r="G1161" s="5" t="inlineStr">
        <x:is>
          <x:t xml:space="preserve">四川省-成都市</x:t>
        </x:is>
      </x:c>
      <x:c r="H1161" s="4" t="inlineStr">
        <x:is>
          <x:t xml:space="preserve">生物制品</x:t>
        </x:is>
      </x:c>
      <x:c r="I1161" s="4" t="inlineStr">
        <x:is>
          <x:t xml:space="preserve">2021-06-08</x:t>
        </x:is>
      </x:c>
      <x:c r="J1161" s="5" t="inlineStr">
        <x:is>
          <x:t xml:space="preserve">成都高新区天欣路99号</x:t>
        </x:is>
      </x:c>
      <x:c r="K1161" s="12" t="str">
        <x:f>LEFT("91510100698860749H",18)</x:f>
        <x:v>91510100698860749H</x:v>
      </x:c>
    </x:row>
    <x:row r="1162">
      <x:c r="A1162" s="2" t="n">
        <x:v>1161</x:v>
      </x:c>
      <x:c r="B1162" s="2" t="inlineStr">
        <x:is>
          <x:t xml:space="preserve">688506</x:t>
        </x:is>
      </x:c>
      <x:c r="C1162" s="3" t="inlineStr">
        <x:is>
          <x:t xml:space="preserve">百利天恒</x:t>
        </x:is>
      </x:c>
      <x:c r="D1162" s="3" t="inlineStr">
        <x:is>
          <x:t xml:space="preserve">四川百利天恒药业股份有限公司</x:t>
        </x:is>
      </x:c>
      <x:c r="E1162" s="2" t="inlineStr">
        <x:is>
          <x:t xml:space="preserve">四川省</x:t>
        </x:is>
      </x:c>
      <x:c r="F1162" s="2" t="inlineStr">
        <x:is>
          <x:t xml:space="preserve">成都市</x:t>
        </x:is>
      </x:c>
      <x:c r="G1162" s="3" t="inlineStr">
        <x:is>
          <x:t xml:space="preserve">四川省-成都市</x:t>
        </x:is>
      </x:c>
      <x:c r="H1162" s="2" t="inlineStr">
        <x:is>
          <x:t xml:space="preserve">生物制品</x:t>
        </x:is>
      </x:c>
      <x:c r="I1162" s="2" t="inlineStr">
        <x:is>
          <x:t xml:space="preserve">2023-01-06</x:t>
        </x:is>
      </x:c>
      <x:c r="J1162" s="3" t="inlineStr">
        <x:is>
          <x:t xml:space="preserve">成都市温江区成都海峡两岸科技产业园百利路161号一幢一号</x:t>
        </x:is>
      </x:c>
      <x:c r="K1162" s="12" t="str">
        <x:f>LEFT("91510100792179570A",18)</x:f>
        <x:v>91510100792179570A</x:v>
      </x:c>
    </x:row>
    <x:row r="1163">
      <x:c r="A1163" s="4" t="n">
        <x:v>1162</x:v>
      </x:c>
      <x:c r="B1163" s="4" t="inlineStr">
        <x:is>
          <x:t xml:space="preserve">688511</x:t>
        </x:is>
      </x:c>
      <x:c r="C1163" s="5" t="inlineStr">
        <x:is>
          <x:t xml:space="preserve">天微电子</x:t>
        </x:is>
      </x:c>
      <x:c r="D1163" s="5" t="inlineStr">
        <x:is>
          <x:t xml:space="preserve">四川天微电子股份有限公司</x:t>
        </x:is>
      </x:c>
      <x:c r="E1163" s="4" t="inlineStr">
        <x:is>
          <x:t xml:space="preserve">四川省</x:t>
        </x:is>
      </x:c>
      <x:c r="F1163" s="4" t="inlineStr">
        <x:is>
          <x:t xml:space="preserve">成都市</x:t>
        </x:is>
      </x:c>
      <x:c r="G1163" s="5" t="inlineStr">
        <x:is>
          <x:t xml:space="preserve">四川省-成都市</x:t>
        </x:is>
      </x:c>
      <x:c r="H1163" s="4" t="inlineStr">
        <x:is>
          <x:t xml:space="preserve">电子元件</x:t>
        </x:is>
      </x:c>
      <x:c r="I1163" s="4" t="inlineStr">
        <x:is>
          <x:t xml:space="preserve">2021-07-30</x:t>
        </x:is>
      </x:c>
      <x:c r="J1163" s="5" t="inlineStr">
        <x:is>
          <x:t xml:space="preserve">中国(四川)自由贸易试验区成都市双流区西南航空港经济开发区黄甲街道物联一路233号</x:t>
        </x:is>
      </x:c>
      <x:c r="K1163" s="12" t="str">
        <x:f>LEFT("91510100731596266C",18)</x:f>
        <x:v>91510100731596266C</x:v>
      </x:c>
    </x:row>
    <x:row r="1164">
      <x:c r="A1164" s="2" t="n">
        <x:v>1163</x:v>
      </x:c>
      <x:c r="B1164" s="2" t="inlineStr">
        <x:is>
          <x:t xml:space="preserve">688513</x:t>
        </x:is>
      </x:c>
      <x:c r="C1164" s="3" t="inlineStr">
        <x:is>
          <x:t xml:space="preserve">苑东生物</x:t>
        </x:is>
      </x:c>
      <x:c r="D1164" s="3" t="inlineStr">
        <x:is>
          <x:t xml:space="preserve">成都苑东生物制药股份有限公司</x:t>
        </x:is>
      </x:c>
      <x:c r="E1164" s="2" t="inlineStr">
        <x:is>
          <x:t xml:space="preserve">四川省</x:t>
        </x:is>
      </x:c>
      <x:c r="F1164" s="2" t="inlineStr">
        <x:is>
          <x:t xml:space="preserve">成都市</x:t>
        </x:is>
      </x:c>
      <x:c r="G1164" s="3" t="inlineStr">
        <x:is>
          <x:t xml:space="preserve">四川省-成都市</x:t>
        </x:is>
      </x:c>
      <x:c r="H1164" s="2" t="inlineStr">
        <x:is>
          <x:t xml:space="preserve">医药制造</x:t>
        </x:is>
      </x:c>
      <x:c r="I1164" s="2" t="inlineStr">
        <x:is>
          <x:t xml:space="preserve">2020-09-02</x:t>
        </x:is>
      </x:c>
      <x:c r="J1164" s="3" t="inlineStr">
        <x:is>
          <x:t xml:space="preserve">成都高新区西源大道8号</x:t>
        </x:is>
      </x:c>
      <x:c r="K1164" s="12" t="str">
        <x:f>LEFT("91510100689030428K",18)</x:f>
        <x:v>91510100689030428K</x:v>
      </x:c>
    </x:row>
    <x:row r="1165">
      <x:c r="A1165" s="4" t="n">
        <x:v>1164</x:v>
      </x:c>
      <x:c r="B1165" s="4" t="inlineStr">
        <x:is>
          <x:t xml:space="preserve">688528</x:t>
        </x:is>
      </x:c>
      <x:c r="C1165" s="5" t="inlineStr">
        <x:is>
          <x:t xml:space="preserve">秦川物联</x:t>
        </x:is>
      </x:c>
      <x:c r="D1165" s="5" t="inlineStr">
        <x:is>
          <x:t xml:space="preserve">成都秦川物联网科技股份有限公司</x:t>
        </x:is>
      </x:c>
      <x:c r="E1165" s="4" t="inlineStr">
        <x:is>
          <x:t xml:space="preserve">四川省</x:t>
        </x:is>
      </x:c>
      <x:c r="F1165" s="4" t="inlineStr">
        <x:is>
          <x:t xml:space="preserve">成都市</x:t>
        </x:is>
      </x:c>
      <x:c r="G1165" s="5" t="inlineStr">
        <x:is>
          <x:t xml:space="preserve">四川省-成都市</x:t>
        </x:is>
      </x:c>
      <x:c r="H1165" s="4" t="inlineStr">
        <x:is>
          <x:t xml:space="preserve">仪器仪表</x:t>
        </x:is>
      </x:c>
      <x:c r="I1165" s="4" t="inlineStr">
        <x:is>
          <x:t xml:space="preserve">2020-07-01</x:t>
        </x:is>
      </x:c>
      <x:c r="J1165" s="5" t="inlineStr">
        <x:is>
          <x:t xml:space="preserve">成都市龙泉驿区经开区南四路931号</x:t>
        </x:is>
      </x:c>
      <x:c r="K1165" s="12" t="str">
        <x:f>LEFT("91510112734799878F",18)</x:f>
        <x:v>91510112734799878F</x:v>
      </x:c>
    </x:row>
    <x:row r="1166">
      <x:c r="A1166" s="2" t="n">
        <x:v>1165</x:v>
      </x:c>
      <x:c r="B1166" s="2" t="inlineStr">
        <x:is>
          <x:t xml:space="preserve">688553</x:t>
        </x:is>
      </x:c>
      <x:c r="C1166" s="3" t="inlineStr">
        <x:is>
          <x:t xml:space="preserve">汇宇制药</x:t>
        </x:is>
      </x:c>
      <x:c r="D1166" s="3" t="inlineStr">
        <x:is>
          <x:t xml:space="preserve">四川汇宇制药股份有限公司</x:t>
        </x:is>
      </x:c>
      <x:c r="E1166" s="2" t="inlineStr">
        <x:is>
          <x:t xml:space="preserve">四川省</x:t>
        </x:is>
      </x:c>
      <x:c r="F1166" s="2" t="inlineStr">
        <x:is>
          <x:t xml:space="preserve">内江市</x:t>
        </x:is>
      </x:c>
      <x:c r="G1166" s="3" t="inlineStr">
        <x:is>
          <x:t xml:space="preserve">四川省-内江市</x:t>
        </x:is>
      </x:c>
      <x:c r="H1166" s="2" t="inlineStr">
        <x:is>
          <x:t xml:space="preserve">医药制造</x:t>
        </x:is>
      </x:c>
      <x:c r="I1166" s="2" t="inlineStr">
        <x:is>
          <x:t xml:space="preserve">2021-10-26</x:t>
        </x:is>
      </x:c>
      <x:c r="J1166" s="3" t="inlineStr">
        <x:is>
          <x:t xml:space="preserve">四川省内江市市中区汉阳路333号3幢</x:t>
        </x:is>
      </x:c>
      <x:c r="K1166" s="12" t="str">
        <x:f>LEFT("91511000563254776P",18)</x:f>
        <x:v>91511000563254776P</x:v>
      </x:c>
    </x:row>
    <x:row r="1167">
      <x:c r="A1167" s="4" t="n">
        <x:v>1166</x:v>
      </x:c>
      <x:c r="B1167" s="4" t="inlineStr">
        <x:is>
          <x:t xml:space="preserve">688629</x:t>
        </x:is>
      </x:c>
      <x:c r="C1167" s="5" t="inlineStr">
        <x:is>
          <x:t xml:space="preserve">华丰科技</x:t>
        </x:is>
      </x:c>
      <x:c r="D1167" s="5" t="inlineStr">
        <x:is>
          <x:t xml:space="preserve">四川华丰科技股份有限公司</x:t>
        </x:is>
      </x:c>
      <x:c r="E1167" s="4" t="inlineStr">
        <x:is>
          <x:t xml:space="preserve">四川省</x:t>
        </x:is>
      </x:c>
      <x:c r="F1167" s="4" t="inlineStr">
        <x:is>
          <x:t xml:space="preserve">绵阳市</x:t>
        </x:is>
      </x:c>
      <x:c r="G1167" s="5" t="inlineStr">
        <x:is>
          <x:t xml:space="preserve">四川省-绵阳市</x:t>
        </x:is>
      </x:c>
      <x:c r="H1167" s="4" t="inlineStr">
        <x:is>
          <x:t xml:space="preserve">电子元件</x:t>
        </x:is>
      </x:c>
      <x:c r="I1167" s="4" t="inlineStr">
        <x:is>
          <x:t xml:space="preserve">2023-06-27</x:t>
        </x:is>
      </x:c>
      <x:c r="J1167" s="5" t="inlineStr">
        <x:is>
          <x:t xml:space="preserve">四川省绵阳市经开区三江大道118号</x:t>
        </x:is>
      </x:c>
      <x:c r="K1167" s="12" t="str">
        <x:f>LEFT("91510703205401254W",18)</x:f>
        <x:v>91510703205401254W</x:v>
      </x:c>
    </x:row>
    <x:row r="1168">
      <x:c r="A1168" s="2" t="n">
        <x:v>1167</x:v>
      </x:c>
      <x:c r="B1168" s="2" t="inlineStr">
        <x:is>
          <x:t xml:space="preserve">688636</x:t>
        </x:is>
      </x:c>
      <x:c r="C1168" s="3" t="inlineStr">
        <x:is>
          <x:t xml:space="preserve">智明达</x:t>
        </x:is>
      </x:c>
      <x:c r="D1168" s="3" t="inlineStr">
        <x:is>
          <x:t xml:space="preserve">成都智明达电子股份有限公司</x:t>
        </x:is>
      </x:c>
      <x:c r="E1168" s="2" t="inlineStr">
        <x:is>
          <x:t xml:space="preserve">四川省</x:t>
        </x:is>
      </x:c>
      <x:c r="F1168" s="2" t="inlineStr">
        <x:is>
          <x:t xml:space="preserve">成都市</x:t>
        </x:is>
      </x:c>
      <x:c r="G1168" s="3" t="inlineStr">
        <x:is>
          <x:t xml:space="preserve">四川省-成都市</x:t>
        </x:is>
      </x:c>
      <x:c r="H1168" s="2" t="inlineStr">
        <x:is>
          <x:t xml:space="preserve">互联网服务</x:t>
        </x:is>
      </x:c>
      <x:c r="I1168" s="2" t="inlineStr">
        <x:is>
          <x:t xml:space="preserve">2021-04-08</x:t>
        </x:is>
      </x:c>
      <x:c r="J1168" s="3" t="inlineStr">
        <x:is>
          <x:t xml:space="preserve">成都市青羊区敬业路108号1栋11层1号</x:t>
        </x:is>
      </x:c>
      <x:c r="K1168" s="12" t="str">
        <x:f>LEFT("915101057377033177",18)</x:f>
        <x:v>915101057377033200</x:v>
      </x:c>
    </x:row>
    <x:row r="1169">
      <x:c r="A1169" s="4" t="n">
        <x:v>1168</x:v>
      </x:c>
      <x:c r="B1169" s="4" t="inlineStr">
        <x:is>
          <x:t xml:space="preserve">688696</x:t>
        </x:is>
      </x:c>
      <x:c r="C1169" s="5" t="inlineStr">
        <x:is>
          <x:t xml:space="preserve">极米科技</x:t>
        </x:is>
      </x:c>
      <x:c r="D1169" s="5" t="inlineStr">
        <x:is>
          <x:t xml:space="preserve">极米科技股份有限公司</x:t>
        </x:is>
      </x:c>
      <x:c r="E1169" s="4" t="inlineStr">
        <x:is>
          <x:t xml:space="preserve">四川省</x:t>
        </x:is>
      </x:c>
      <x:c r="F1169" s="4" t="inlineStr">
        <x:is>
          <x:t xml:space="preserve">成都市</x:t>
        </x:is>
      </x:c>
      <x:c r="G1169" s="5" t="inlineStr">
        <x:is>
          <x:t xml:space="preserve">四川省-成都市</x:t>
        </x:is>
      </x:c>
      <x:c r="H1169" s="4" t="inlineStr">
        <x:is>
          <x:t xml:space="preserve">家电行业</x:t>
        </x:is>
      </x:c>
      <x:c r="I1169" s="4" t="inlineStr">
        <x:is>
          <x:t xml:space="preserve">2021-03-03</x:t>
        </x:is>
      </x:c>
      <x:c r="J1169" s="5" t="inlineStr">
        <x:is>
          <x:t xml:space="preserve">中国(四川)自由贸易试验区成都高新区世纪城路1129号A区4栋</x:t>
        </x:is>
      </x:c>
      <x:c r="K1169" s="12" t="str">
        <x:f>LEFT("915101000833108553",18)</x:f>
        <x:v>915101000833108600</x:v>
      </x:c>
    </x:row>
    <x:row r="1170">
      <x:c r="A1170" s="2" t="n">
        <x:v>1169</x:v>
      </x:c>
      <x:c r="B1170" s="2" t="inlineStr">
        <x:is>
          <x:t xml:space="preserve">688708</x:t>
        </x:is>
      </x:c>
      <x:c r="C1170" s="3" t="inlineStr">
        <x:is>
          <x:t xml:space="preserve">佳驰科技</x:t>
        </x:is>
      </x:c>
      <x:c r="D1170" s="3" t="inlineStr">
        <x:is>
          <x:t xml:space="preserve">成都佳驰电子科技股份有限公司</x:t>
        </x:is>
      </x:c>
      <x:c r="E1170" s="2" t="inlineStr">
        <x:is>
          <x:t xml:space="preserve">四川省</x:t>
        </x:is>
      </x:c>
      <x:c r="F1170" s="2" t="inlineStr">
        <x:is>
          <x:t xml:space="preserve">成都市</x:t>
        </x:is>
      </x:c>
      <x:c r="G1170" s="3" t="inlineStr">
        <x:is>
          <x:t xml:space="preserve">四川省-成都市</x:t>
        </x:is>
      </x:c>
      <x:c r="H1170" s="2" t="inlineStr">
        <x:is>
          <x:t xml:space="preserve">非金属材料</x:t>
        </x:is>
      </x:c>
      <x:c r="I1170" s="2" t="inlineStr">
        <x:is>
          <x:t xml:space="preserve">2024-12-05</x:t>
        </x:is>
      </x:c>
      <x:c r="J1170" s="3" t="inlineStr">
        <x:is>
          <x:t xml:space="preserve">成都市郫都区成都现代工业港南片区新经济产业园文明街西段288号</x:t>
        </x:is>
      </x:c>
      <x:c r="K1170" s="12" t="str">
        <x:f>LEFT("91510105677170167Y",18)</x:f>
        <x:v>91510105677170167Y</x:v>
      </x:c>
    </x:row>
    <x:row r="1171">
      <x:c r="A1171" s="4" t="n">
        <x:v>1170</x:v>
      </x:c>
      <x:c r="B1171" s="4" t="inlineStr">
        <x:is>
          <x:t xml:space="preserve">688709</x:t>
        </x:is>
      </x:c>
      <x:c r="C1171" s="5" t="inlineStr">
        <x:is>
          <x:t xml:space="preserve">成都华微</x:t>
        </x:is>
      </x:c>
      <x:c r="D1171" s="5" t="inlineStr">
        <x:is>
          <x:t xml:space="preserve">成都华微电子科技股份有限公司</x:t>
        </x:is>
      </x:c>
      <x:c r="E1171" s="4" t="inlineStr">
        <x:is>
          <x:t xml:space="preserve">四川省</x:t>
        </x:is>
      </x:c>
      <x:c r="F1171" s="4" t="inlineStr">
        <x:is>
          <x:t xml:space="preserve">成都市</x:t>
        </x:is>
      </x:c>
      <x:c r="G1171" s="5" t="inlineStr">
        <x:is>
          <x:t xml:space="preserve">四川省-成都市</x:t>
        </x:is>
      </x:c>
      <x:c r="H1171" s="4" t="inlineStr">
        <x:is>
          <x:t xml:space="preserve">半导体</x:t>
        </x:is>
      </x:c>
      <x:c r="I1171" s="4" t="inlineStr">
        <x:is>
          <x:t xml:space="preserve">2024-02-07</x:t>
        </x:is>
      </x:c>
      <x:c r="J1171" s="5" t="inlineStr">
        <x:is>
          <x:t xml:space="preserve">中国(四川)自由贸易试验区成都高新区益州大道中段1800号1栋22-23层2201号、2301号</x:t>
        </x:is>
      </x:c>
      <x:c r="K1171" s="12" t="str">
        <x:f>LEFT("91510100720342949A",18)</x:f>
        <x:v>91510100720342949A</x:v>
      </x:c>
    </x:row>
    <x:row r="1172">
      <x:c r="A1172" s="2" t="n">
        <x:v>1171</x:v>
      </x:c>
      <x:c r="B1172" s="2" t="inlineStr">
        <x:is>
          <x:t xml:space="preserve">688737</x:t>
        </x:is>
      </x:c>
      <x:c r="C1172" s="3" t="inlineStr">
        <x:is>
          <x:t xml:space="preserve">中自科技</x:t>
        </x:is>
      </x:c>
      <x:c r="D1172" s="3" t="inlineStr">
        <x:is>
          <x:t xml:space="preserve">中自科技股份有限公司</x:t>
        </x:is>
      </x:c>
      <x:c r="E1172" s="2" t="inlineStr">
        <x:is>
          <x:t xml:space="preserve">四川省</x:t>
        </x:is>
      </x:c>
      <x:c r="F1172" s="2" t="inlineStr">
        <x:is>
          <x:t xml:space="preserve">成都市</x:t>
        </x:is>
      </x:c>
      <x:c r="G1172" s="3" t="inlineStr">
        <x:is>
          <x:t xml:space="preserve">四川省-成都市</x:t>
        </x:is>
      </x:c>
      <x:c r="H1172" s="2" t="inlineStr">
        <x:is>
          <x:t xml:space="preserve">化工行业</x:t>
        </x:is>
      </x:c>
      <x:c r="I1172" s="2" t="inlineStr">
        <x:is>
          <x:t xml:space="preserve">2021-10-22</x:t>
        </x:is>
      </x:c>
      <x:c r="J1172" s="3" t="inlineStr">
        <x:is>
          <x:t xml:space="preserve">成都市高新区古楠街88号</x:t>
        </x:is>
      </x:c>
      <x:c r="K1172" s="12" t="str">
        <x:f>LEFT("91510100777457894E",18)</x:f>
        <x:v>91510100777457894E</x:v>
      </x:c>
    </x:row>
    <x:row r="1173">
      <x:c r="A1173" s="4" t="n">
        <x:v>1172</x:v>
      </x:c>
      <x:c r="B1173" s="4" t="inlineStr">
        <x:is>
          <x:t xml:space="preserve">688776</x:t>
        </x:is>
      </x:c>
      <x:c r="C1173" s="5" t="inlineStr">
        <x:is>
          <x:t xml:space="preserve">国光电气</x:t>
        </x:is>
      </x:c>
      <x:c r="D1173" s="5" t="inlineStr">
        <x:is>
          <x:t xml:space="preserve">成都国光电气股份有限公司</x:t>
        </x:is>
      </x:c>
      <x:c r="E1173" s="4" t="inlineStr">
        <x:is>
          <x:t xml:space="preserve">四川省</x:t>
        </x:is>
      </x:c>
      <x:c r="F1173" s="4" t="inlineStr">
        <x:is>
          <x:t xml:space="preserve">成都市</x:t>
        </x:is>
      </x:c>
      <x:c r="G1173" s="5" t="inlineStr">
        <x:is>
          <x:t xml:space="preserve">四川省-成都市</x:t>
        </x:is>
      </x:c>
      <x:c r="H1173" s="4" t="inlineStr">
        <x:is>
          <x:t xml:space="preserve">电子元件</x:t>
        </x:is>
      </x:c>
      <x:c r="I1173" s="4" t="inlineStr">
        <x:is>
          <x:t xml:space="preserve">2021-08-31</x:t>
        </x:is>
      </x:c>
      <x:c r="J1173" s="5" t="inlineStr">
        <x:is>
          <x:t xml:space="preserve">成都经济技术开发区(龙泉驿区)星光西路117号</x:t>
        </x:is>
      </x:c>
      <x:c r="K1173" s="12" t="str">
        <x:f>LEFT("915101002019741198",18)</x:f>
        <x:v>915101002019741200</x:v>
      </x:c>
    </x:row>
    <x:row r="1174">
      <x:c r="A1174" s="2" t="n">
        <x:v>1173</x:v>
      </x:c>
      <x:c r="B1174" s="2" t="inlineStr">
        <x:is>
          <x:t xml:space="preserve">--</x:t>
        </x:is>
      </x:c>
      <x:c r="C1174" s="3" t="inlineStr">
        <x:is>
          <x:t xml:space="preserve">--</x:t>
        </x:is>
      </x:c>
      <x:c r="D1174" s="3" t="inlineStr">
        <x:is>
          <x:t xml:space="preserve">九号有限公司</x:t>
        </x:is>
      </x:c>
      <x:c r="E1174" s="2" t="inlineStr">
        <x:is>
          <x:t xml:space="preserve">境外</x:t>
        </x:is>
      </x:c>
      <x:c r="F1174" s="2" t="inlineStr">
        <x:is>
          <x:t xml:space="preserve"/>
        </x:is>
      </x:c>
      <x:c r="G1174" s="3" t="inlineStr">
        <x:is>
          <x:t xml:space="preserve">境外</x:t>
        </x:is>
      </x:c>
      <x:c r="H1174" s="2" t="inlineStr">
        <x:is>
          <x:t xml:space="preserve">交运设备</x:t>
        </x:is>
      </x:c>
      <x:c r="I1174" s="2" t="inlineStr">
        <x:is>
          <x:t xml:space="preserve">2020-10-29</x:t>
        </x:is>
      </x:c>
      <x:c r="J1174" s="3" t="inlineStr">
        <x:is>
          <x:t xml:space="preserve">Maples Corporate Services Limited at PO Box 309, Ugland House, Grand Cayman, KY1-1104,Cayman Islands</x:t>
        </x:is>
      </x:c>
      <x:c r="K1174" s="12"/>
    </x:row>
    <x:row r="1175">
      <x:c r="A1175" s="4" t="n">
        <x:v>1174</x:v>
      </x:c>
      <x:c r="B1175" s="4" t="inlineStr">
        <x:is>
          <x:t xml:space="preserve">688235</x:t>
        </x:is>
      </x:c>
      <x:c r="C1175" s="5" t="inlineStr">
        <x:is>
          <x:t xml:space="preserve">百济神州</x:t>
        </x:is>
      </x:c>
      <x:c r="D1175" s="5" t="inlineStr">
        <x:is>
          <x:t xml:space="preserve">百济神州有限公司</x:t>
        </x:is>
      </x:c>
      <x:c r="E1175" s="4" t="inlineStr">
        <x:is>
          <x:t xml:space="preserve">境外</x:t>
        </x:is>
      </x:c>
      <x:c r="F1175" s="4" t="inlineStr">
        <x:is>
          <x:t xml:space="preserve"/>
        </x:is>
      </x:c>
      <x:c r="G1175" s="5" t="inlineStr">
        <x:is>
          <x:t xml:space="preserve">境外</x:t>
        </x:is>
      </x:c>
      <x:c r="H1175" s="4" t="inlineStr">
        <x:is>
          <x:t xml:space="preserve">生物制品</x:t>
        </x:is>
      </x:c>
      <x:c r="I1175" s="4" t="inlineStr">
        <x:is>
          <x:t xml:space="preserve">2021-12-15</x:t>
        </x:is>
      </x:c>
      <x:c r="J1175" s="5" t="inlineStr">
        <x:is>
          <x:t xml:space="preserve">c/o BeOne Medicines I GmbH, Aeschengraben 27, 4051 Basel, Switzerland</x:t>
        </x:is>
      </x:c>
      <x:c r="K1175" s="12"/>
    </x:row>
    <x:row r="1176">
      <x:c r="A1176" s="2" t="n">
        <x:v>1175</x:v>
      </x:c>
      <x:c r="B1176" s="2" t="inlineStr">
        <x:is>
          <x:t xml:space="preserve">688396</x:t>
        </x:is>
      </x:c>
      <x:c r="C1176" s="3" t="inlineStr">
        <x:is>
          <x:t xml:space="preserve">华润微</x:t>
        </x:is>
      </x:c>
      <x:c r="D1176" s="3" t="inlineStr">
        <x:is>
          <x:t xml:space="preserve">华润微电子有限公司</x:t>
        </x:is>
      </x:c>
      <x:c r="E1176" s="2" t="inlineStr">
        <x:is>
          <x:t xml:space="preserve">境外</x:t>
        </x:is>
      </x:c>
      <x:c r="F1176" s="2" t="inlineStr">
        <x:is>
          <x:t xml:space="preserve"/>
        </x:is>
      </x:c>
      <x:c r="G1176" s="3" t="inlineStr">
        <x:is>
          <x:t xml:space="preserve">境外</x:t>
        </x:is>
      </x:c>
      <x:c r="H1176" s="2" t="inlineStr">
        <x:is>
          <x:t xml:space="preserve">半导体</x:t>
        </x:is>
      </x:c>
      <x:c r="I1176" s="2" t="inlineStr">
        <x:is>
          <x:t xml:space="preserve">2020-02-27</x:t>
        </x:is>
      </x:c>
      <x:c r="J1176" s="3" t="inlineStr">
        <x:is>
          <x:t xml:space="preserve">Conyers Trust Company (Cayman) Limited, Cricket Square, Hutchins Drive, PO Box 2681, Grand Cayman, Cayman Islands</x:t>
        </x:is>
      </x:c>
      <x:c r="K1176" s="12"/>
    </x:row>
    <x:row r="1177">
      <x:c r="A1177" s="4" t="n">
        <x:v>1176</x:v>
      </x:c>
      <x:c r="B1177" s="4" t="inlineStr">
        <x:is>
          <x:t xml:space="preserve">688428</x:t>
        </x:is>
      </x:c>
      <x:c r="C1177" s="5" t="inlineStr">
        <x:is>
          <x:t xml:space="preserve">诺诚健华</x:t>
        </x:is>
      </x:c>
      <x:c r="D1177" s="5" t="inlineStr">
        <x:is>
          <x:t xml:space="preserve">诺诚健华医药有限公司</x:t>
        </x:is>
      </x:c>
      <x:c r="E1177" s="4" t="inlineStr">
        <x:is>
          <x:t xml:space="preserve">境外</x:t>
        </x:is>
      </x:c>
      <x:c r="F1177" s="4" t="inlineStr">
        <x:is>
          <x:t xml:space="preserve"/>
        </x:is>
      </x:c>
      <x:c r="G1177" s="5" t="inlineStr">
        <x:is>
          <x:t xml:space="preserve">境外</x:t>
        </x:is>
      </x:c>
      <x:c r="H1177" s="4" t="inlineStr">
        <x:is>
          <x:t xml:space="preserve">生物制品</x:t>
        </x:is>
      </x:c>
      <x:c r="I1177" s="4" t="inlineStr">
        <x:is>
          <x:t xml:space="preserve">2022-09-21</x:t>
        </x:is>
      </x:c>
      <x:c r="J1177" s="5" t="inlineStr">
        <x:is>
          <x:t xml:space="preserve">89 Nexus Way, Camana Bay, Grand Cayman, Cayman Islands</x:t>
        </x:is>
      </x:c>
      <x:c r="K1177" s="12"/>
    </x:row>
    <x:row r="1178">
      <x:c r="A1178" s="2" t="n">
        <x:v>1177</x:v>
      </x:c>
      <x:c r="B1178" s="2" t="inlineStr">
        <x:is>
          <x:t xml:space="preserve">688728</x:t>
        </x:is>
      </x:c>
      <x:c r="C1178" s="3" t="inlineStr">
        <x:is>
          <x:t xml:space="preserve">格科微</x:t>
        </x:is>
      </x:c>
      <x:c r="D1178" s="3" t="inlineStr">
        <x:is>
          <x:t xml:space="preserve">格科微有限公司</x:t>
        </x:is>
      </x:c>
      <x:c r="E1178" s="2" t="inlineStr">
        <x:is>
          <x:t xml:space="preserve">境外</x:t>
        </x:is>
      </x:c>
      <x:c r="F1178" s="2" t="inlineStr">
        <x:is>
          <x:t xml:space="preserve"/>
        </x:is>
      </x:c>
      <x:c r="G1178" s="3" t="inlineStr">
        <x:is>
          <x:t xml:space="preserve">境外</x:t>
        </x:is>
      </x:c>
      <x:c r="H1178" s="2" t="inlineStr">
        <x:is>
          <x:t xml:space="preserve">半导体</x:t>
        </x:is>
      </x:c>
      <x:c r="I1178" s="2" t="inlineStr">
        <x:is>
          <x:t xml:space="preserve">2021-08-18</x:t>
        </x:is>
      </x:c>
      <x:c r="J1178" s="3" t="inlineStr">
        <x:is>
          <x:t xml:space="preserve">4th Floor, Harbour Place;103 South Church Street; P.O. Box 10240;Grand Cayman KY1-1002; Cayman Islands</x:t>
        </x:is>
      </x:c>
      <x:c r="K1178" s="12"/>
    </x:row>
    <x:row r="1179">
      <x:c r="A1179" s="4" t="n">
        <x:v>1178</x:v>
      </x:c>
      <x:c r="B1179" s="4" t="inlineStr">
        <x:is>
          <x:t xml:space="preserve">688981</x:t>
        </x:is>
      </x:c>
      <x:c r="C1179" s="5" t="inlineStr">
        <x:is>
          <x:t xml:space="preserve">中芯国际</x:t>
        </x:is>
      </x:c>
      <x:c r="D1179" s="5" t="inlineStr">
        <x:is>
          <x:t xml:space="preserve">中芯国际集成电路制造有限公司</x:t>
        </x:is>
      </x:c>
      <x:c r="E1179" s="4" t="inlineStr">
        <x:is>
          <x:t xml:space="preserve">境外</x:t>
        </x:is>
      </x:c>
      <x:c r="F1179" s="4" t="inlineStr">
        <x:is>
          <x:t xml:space="preserve"/>
        </x:is>
      </x:c>
      <x:c r="G1179" s="5" t="inlineStr">
        <x:is>
          <x:t xml:space="preserve">境外</x:t>
        </x:is>
      </x:c>
      <x:c r="H1179" s="4" t="inlineStr">
        <x:is>
          <x:t xml:space="preserve">半导体</x:t>
        </x:is>
      </x:c>
      <x:c r="I1179" s="4" t="inlineStr">
        <x:is>
          <x:t xml:space="preserve">2020-07-16</x:t>
        </x:is>
      </x:c>
      <x:c r="J1179" s="5" t="inlineStr">
        <x:is>
          <x:t xml:space="preserve">Cricket Square, Hutchins Drive, P.O.Box 2681, Grand Cayman, Cayman Islands</x:t>
        </x:is>
      </x:c>
      <x:c r="K1179" s="12"/>
    </x:row>
    <x:row r="1180">
      <x:c r="A1180" s="2" t="n">
        <x:v>1179</x:v>
      </x:c>
      <x:c r="B1180" s="2" t="inlineStr">
        <x:is>
          <x:t xml:space="preserve">000537</x:t>
        </x:is>
      </x:c>
      <x:c r="C1180" s="3" t="inlineStr">
        <x:is>
          <x:t xml:space="preserve">绿发电力</x:t>
        </x:is>
      </x:c>
      <x:c r="D1180" s="3" t="inlineStr">
        <x:is>
          <x:t xml:space="preserve">天津绿发电力集团股份有限公司</x:t>
        </x:is>
      </x:c>
      <x:c r="E1180" s="2" t="inlineStr">
        <x:is>
          <x:t xml:space="preserve">天津市</x:t>
        </x:is>
      </x:c>
      <x:c r="F1180" s="2" t="inlineStr">
        <x:is>
          <x:t xml:space="preserve">天津市</x:t>
        </x:is>
      </x:c>
      <x:c r="G1180" s="3" t="inlineStr">
        <x:is>
          <x:t xml:space="preserve">天津市-天津市</x:t>
        </x:is>
      </x:c>
      <x:c r="H1180" s="2" t="inlineStr">
        <x:is>
          <x:t xml:space="preserve">电力行业</x:t>
        </x:is>
      </x:c>
      <x:c r="I1180" s="2" t="inlineStr">
        <x:is>
          <x:t xml:space="preserve">1993-12-10</x:t>
        </x:is>
      </x:c>
      <x:c r="J1180" s="3" t="inlineStr">
        <x:is>
          <x:t xml:space="preserve">天津经济技术开发区新城西路52号6号楼202-4单元</x:t>
        </x:is>
      </x:c>
      <x:c r="K1180" s="12" t="str">
        <x:f>LEFT("9112000010310067X6",18)</x:f>
        <x:v>9112000010310067X6</x:v>
      </x:c>
    </x:row>
    <x:row r="1181">
      <x:c r="A1181" s="4" t="n">
        <x:v>1180</x:v>
      </x:c>
      <x:c r="B1181" s="4" t="inlineStr">
        <x:is>
          <x:t xml:space="preserve">000652</x:t>
        </x:is>
      </x:c>
      <x:c r="C1181" s="5" t="inlineStr">
        <x:is>
          <x:t xml:space="preserve">泰达股份</x:t>
        </x:is>
      </x:c>
      <x:c r="D1181" s="5" t="inlineStr">
        <x:is>
          <x:t xml:space="preserve">天津泰达资源循环集团股份有限公司</x:t>
        </x:is>
      </x:c>
      <x:c r="E1181" s="4" t="inlineStr">
        <x:is>
          <x:t xml:space="preserve">天津市</x:t>
        </x:is>
      </x:c>
      <x:c r="F1181" s="4" t="inlineStr">
        <x:is>
          <x:t xml:space="preserve">天津市</x:t>
        </x:is>
      </x:c>
      <x:c r="G1181" s="5" t="inlineStr">
        <x:is>
          <x:t xml:space="preserve">天津市-天津市</x:t>
        </x:is>
      </x:c>
      <x:c r="H1181" s="4" t="inlineStr">
        <x:is>
          <x:t xml:space="preserve">综合行业</x:t>
        </x:is>
      </x:c>
      <x:c r="I1181" s="4" t="inlineStr">
        <x:is>
          <x:t xml:space="preserve">1996-11-28</x:t>
        </x:is>
      </x:c>
      <x:c r="J1181" s="5" t="inlineStr">
        <x:is>
          <x:t xml:space="preserve">天津开发区第三大街16号</x:t>
        </x:is>
      </x:c>
      <x:c r="K1181" s="12" t="str">
        <x:f>LEFT("91120000103069967Y",18)</x:f>
        <x:v>91120000103069967Y</x:v>
      </x:c>
    </x:row>
    <x:row r="1182">
      <x:c r="A1182" s="2" t="n">
        <x:v>1181</x:v>
      </x:c>
      <x:c r="B1182" s="2" t="inlineStr">
        <x:is>
          <x:t xml:space="preserve">000695</x:t>
        </x:is>
      </x:c>
      <x:c r="C1182" s="3" t="inlineStr">
        <x:is>
          <x:t xml:space="preserve">滨海能源</x:t>
        </x:is>
      </x:c>
      <x:c r="D1182" s="3" t="inlineStr">
        <x:is>
          <x:t xml:space="preserve">天津滨海能源发展股份有限公司</x:t>
        </x:is>
      </x:c>
      <x:c r="E1182" s="2" t="inlineStr">
        <x:is>
          <x:t xml:space="preserve">天津市</x:t>
        </x:is>
      </x:c>
      <x:c r="F1182" s="2" t="inlineStr">
        <x:is>
          <x:t xml:space="preserve">天津市</x:t>
        </x:is>
      </x:c>
      <x:c r="G1182" s="3" t="inlineStr">
        <x:is>
          <x:t xml:space="preserve">天津市-天津市</x:t>
        </x:is>
      </x:c>
      <x:c r="H1182" s="2" t="inlineStr">
        <x:is>
          <x:t xml:space="preserve">电池</x:t>
        </x:is>
      </x:c>
      <x:c r="I1182" s="2" t="inlineStr">
        <x:is>
          <x:t xml:space="preserve">1997-02-18</x:t>
        </x:is>
      </x:c>
      <x:c r="J1182" s="3" t="inlineStr">
        <x:is>
          <x:t xml:space="preserve">天津开发区第十一大街27号</x:t>
        </x:is>
      </x:c>
      <x:c r="K1182" s="12" t="str">
        <x:f>LEFT("91120000103064074F",18)</x:f>
        <x:v>91120000103064074F</x:v>
      </x:c>
    </x:row>
    <x:row r="1183">
      <x:c r="A1183" s="4" t="n">
        <x:v>1182</x:v>
      </x:c>
      <x:c r="B1183" s="4" t="inlineStr">
        <x:is>
          <x:t xml:space="preserve">000897</x:t>
        </x:is>
      </x:c>
      <x:c r="C1183" s="5" t="inlineStr">
        <x:is>
          <x:t xml:space="preserve">津滨发展</x:t>
        </x:is>
      </x:c>
      <x:c r="D1183" s="5" t="inlineStr">
        <x:is>
          <x:t xml:space="preserve">天津津滨发展股份有限公司</x:t>
        </x:is>
      </x:c>
      <x:c r="E1183" s="4" t="inlineStr">
        <x:is>
          <x:t xml:space="preserve">天津市</x:t>
        </x:is>
      </x:c>
      <x:c r="F1183" s="4" t="inlineStr">
        <x:is>
          <x:t xml:space="preserve">天津市</x:t>
        </x:is>
      </x:c>
      <x:c r="G1183" s="5" t="inlineStr">
        <x:is>
          <x:t xml:space="preserve">天津市-天津市</x:t>
        </x:is>
      </x:c>
      <x:c r="H1183" s="4" t="inlineStr">
        <x:is>
          <x:t xml:space="preserve">房地产</x:t>
        </x:is>
      </x:c>
      <x:c r="I1183" s="4" t="inlineStr">
        <x:is>
          <x:t xml:space="preserve">1999-04-22</x:t>
        </x:is>
      </x:c>
      <x:c r="J1183" s="5" t="inlineStr">
        <x:is>
          <x:t xml:space="preserve">天津开发区明园路2号B2别墅5号</x:t>
        </x:is>
      </x:c>
      <x:c r="K1183" s="12" t="str">
        <x:f>LEFT("91120000712830811X",18)</x:f>
        <x:v>91120000712830811X</x:v>
      </x:c>
    </x:row>
    <x:row r="1184">
      <x:c r="A1184" s="2" t="n">
        <x:v>1183</x:v>
      </x:c>
      <x:c r="B1184" s="2" t="inlineStr">
        <x:is>
          <x:t xml:space="preserve">000927</x:t>
        </x:is>
      </x:c>
      <x:c r="C1184" s="3" t="inlineStr">
        <x:is>
          <x:t xml:space="preserve">中国铁物</x:t>
        </x:is>
      </x:c>
      <x:c r="D1184" s="3" t="inlineStr">
        <x:is>
          <x:t xml:space="preserve">中国铁路物资股份有限公司</x:t>
        </x:is>
      </x:c>
      <x:c r="E1184" s="2" t="inlineStr">
        <x:is>
          <x:t xml:space="preserve">天津市</x:t>
        </x:is>
      </x:c>
      <x:c r="F1184" s="2" t="inlineStr">
        <x:is>
          <x:t xml:space="preserve">天津市</x:t>
        </x:is>
      </x:c>
      <x:c r="G1184" s="3" t="inlineStr">
        <x:is>
          <x:t xml:space="preserve">天津市-天津市</x:t>
        </x:is>
      </x:c>
      <x:c r="H1184" s="2" t="inlineStr">
        <x:is>
          <x:t xml:space="preserve">交运物流</x:t>
        </x:is>
      </x:c>
      <x:c r="I1184" s="2" t="inlineStr">
        <x:is>
          <x:t xml:space="preserve">1999-07-27</x:t>
        </x:is>
      </x:c>
      <x:c r="J1184" s="3" t="inlineStr">
        <x:is>
          <x:t xml:space="preserve">天津市南开区长江道与南开三马路交口融汇广场2-1-4101</x:t>
        </x:is>
      </x:c>
      <x:c r="K1184" s="12" t="str">
        <x:f>LEFT("91120000103071899G",18)</x:f>
        <x:v>91120000103071899G</x:v>
      </x:c>
    </x:row>
    <x:row r="1185">
      <x:c r="A1185" s="4" t="n">
        <x:v>1184</x:v>
      </x:c>
      <x:c r="B1185" s="4" t="inlineStr">
        <x:is>
          <x:t xml:space="preserve">000965</x:t>
        </x:is>
      </x:c>
      <x:c r="C1185" s="5" t="inlineStr">
        <x:is>
          <x:t xml:space="preserve">天保基建</x:t>
        </x:is>
      </x:c>
      <x:c r="D1185" s="5" t="inlineStr">
        <x:is>
          <x:t xml:space="preserve">天津天保基建股份有限公司</x:t>
        </x:is>
      </x:c>
      <x:c r="E1185" s="4" t="inlineStr">
        <x:is>
          <x:t xml:space="preserve">天津市</x:t>
        </x:is>
      </x:c>
      <x:c r="F1185" s="4" t="inlineStr">
        <x:is>
          <x:t xml:space="preserve">天津市</x:t>
        </x:is>
      </x:c>
      <x:c r="G1185" s="5" t="inlineStr">
        <x:is>
          <x:t xml:space="preserve">天津市-天津市</x:t>
        </x:is>
      </x:c>
      <x:c r="H1185" s="4" t="inlineStr">
        <x:is>
          <x:t xml:space="preserve">房地产</x:t>
        </x:is>
      </x:c>
      <x:c r="I1185" s="4" t="inlineStr">
        <x:is>
          <x:t xml:space="preserve">2000-04-06</x:t>
        </x:is>
      </x:c>
      <x:c r="J1185" s="5" t="inlineStr">
        <x:is>
          <x:t xml:space="preserve">中国天津市天津空港经济区西五道35号汇津广场一号楼</x:t>
        </x:is>
      </x:c>
      <x:c r="K1185" s="12" t="str">
        <x:f>LEFT("91120000700597012E",18)</x:f>
        <x:v>91120000700597012E</x:v>
      </x:c>
    </x:row>
    <x:row r="1186">
      <x:c r="A1186" s="2" t="n">
        <x:v>1185</x:v>
      </x:c>
      <x:c r="B1186" s="2" t="inlineStr">
        <x:is>
          <x:t xml:space="preserve">001206</x:t>
        </x:is>
      </x:c>
      <x:c r="C1186" s="3" t="inlineStr">
        <x:is>
          <x:t xml:space="preserve">依依股份</x:t>
        </x:is>
      </x:c>
      <x:c r="D1186" s="3" t="inlineStr">
        <x:is>
          <x:t xml:space="preserve">天津市依依卫生用品股份有限公司</x:t>
        </x:is>
      </x:c>
      <x:c r="E1186" s="2" t="inlineStr">
        <x:is>
          <x:t xml:space="preserve">天津市</x:t>
        </x:is>
      </x:c>
      <x:c r="F1186" s="2" t="inlineStr">
        <x:is>
          <x:t xml:space="preserve">天津市</x:t>
        </x:is>
      </x:c>
      <x:c r="G1186" s="3" t="inlineStr">
        <x:is>
          <x:t xml:space="preserve">天津市-天津市</x:t>
        </x:is>
      </x:c>
      <x:c r="H1186" s="2" t="inlineStr">
        <x:is>
          <x:t xml:space="preserve">美容护理</x:t>
        </x:is>
      </x:c>
      <x:c r="I1186" s="2" t="inlineStr">
        <x:is>
          <x:t xml:space="preserve">2021-05-18</x:t>
        </x:is>
      </x:c>
      <x:c r="J1186" s="3" t="inlineStr">
        <x:is>
          <x:t xml:space="preserve">天津市西青区张家窝镇工业区</x:t>
        </x:is>
      </x:c>
      <x:c r="K1186" s="12" t="str">
        <x:f>LEFT("91120111103789059M",18)</x:f>
        <x:v>91120111103789059M</x:v>
      </x:c>
    </x:row>
    <x:row r="1187">
      <x:c r="A1187" s="4" t="n">
        <x:v>1186</x:v>
      </x:c>
      <x:c r="B1187" s="4" t="inlineStr">
        <x:is>
          <x:t xml:space="preserve">001965</x:t>
        </x:is>
      </x:c>
      <x:c r="C1187" s="5" t="inlineStr">
        <x:is>
          <x:t xml:space="preserve">招商公路</x:t>
        </x:is>
      </x:c>
      <x:c r="D1187" s="5" t="inlineStr">
        <x:is>
          <x:t xml:space="preserve">招商局公路网络科技控股股份有限公司</x:t>
        </x:is>
      </x:c>
      <x:c r="E1187" s="4" t="inlineStr">
        <x:is>
          <x:t xml:space="preserve">天津市</x:t>
        </x:is>
      </x:c>
      <x:c r="F1187" s="4" t="inlineStr">
        <x:is>
          <x:t xml:space="preserve">天津市</x:t>
        </x:is>
      </x:c>
      <x:c r="G1187" s="5" t="inlineStr">
        <x:is>
          <x:t xml:space="preserve">天津市-天津市</x:t>
        </x:is>
      </x:c>
      <x:c r="H1187" s="4" t="inlineStr">
        <x:is>
          <x:t xml:space="preserve">高速公路</x:t>
        </x:is>
      </x:c>
      <x:c r="I1187" s="4" t="inlineStr">
        <x:is>
          <x:t xml:space="preserve">2017-12-25</x:t>
        </x:is>
      </x:c>
      <x:c r="J1187" s="5" t="inlineStr">
        <x:is>
          <x:t xml:space="preserve">天津自贸试验区(东疆保税港区)鄂尔多斯路599号东疆商务中心A3楼910</x:t>
        </x:is>
      </x:c>
      <x:c r="K1187" s="12" t="str">
        <x:f>LEFT("91110000101717000C",18)</x:f>
        <x:v>91110000101717000C</x:v>
      </x:c>
    </x:row>
    <x:row r="1188">
      <x:c r="A1188" s="2" t="n">
        <x:v>1187</x:v>
      </x:c>
      <x:c r="B1188" s="2" t="inlineStr">
        <x:is>
          <x:t xml:space="preserve">002129</x:t>
        </x:is>
      </x:c>
      <x:c r="C1188" s="3" t="inlineStr">
        <x:is>
          <x:t xml:space="preserve">TCL中环</x:t>
        </x:is>
      </x:c>
      <x:c r="D1188" s="3" t="inlineStr">
        <x:is>
          <x:t xml:space="preserve">TCL中环新能源科技股份有限公司</x:t>
        </x:is>
      </x:c>
      <x:c r="E1188" s="2" t="inlineStr">
        <x:is>
          <x:t xml:space="preserve">天津市</x:t>
        </x:is>
      </x:c>
      <x:c r="F1188" s="2" t="inlineStr">
        <x:is>
          <x:t xml:space="preserve">天津市</x:t>
        </x:is>
      </x:c>
      <x:c r="G1188" s="3" t="inlineStr">
        <x:is>
          <x:t xml:space="preserve">天津市-天津市</x:t>
        </x:is>
      </x:c>
      <x:c r="H1188" s="2" t="inlineStr">
        <x:is>
          <x:t xml:space="preserve">光伏设备</x:t>
        </x:is>
      </x:c>
      <x:c r="I1188" s="2" t="inlineStr">
        <x:is>
          <x:t xml:space="preserve">2007-04-20</x:t>
        </x:is>
      </x:c>
      <x:c r="J1188" s="3" t="inlineStr">
        <x:is>
          <x:t xml:space="preserve">天津新技术产业园区华苑产业区(环外)海泰东路12号</x:t>
        </x:is>
      </x:c>
      <x:c r="K1188" s="12" t="str">
        <x:f>LEFT("911200001034137808",18)</x:f>
        <x:v>911200001034137900</x:v>
      </x:c>
    </x:row>
    <x:row r="1189">
      <x:c r="A1189" s="4" t="n">
        <x:v>1188</x:v>
      </x:c>
      <x:c r="B1189" s="4" t="inlineStr">
        <x:is>
          <x:t xml:space="preserve">002134</x:t>
        </x:is>
      </x:c>
      <x:c r="C1189" s="5" t="inlineStr">
        <x:is>
          <x:t xml:space="preserve">天津普林</x:t>
        </x:is>
      </x:c>
      <x:c r="D1189" s="5" t="inlineStr">
        <x:is>
          <x:t xml:space="preserve">天津普林电路股份有限公司</x:t>
        </x:is>
      </x:c>
      <x:c r="E1189" s="4" t="inlineStr">
        <x:is>
          <x:t xml:space="preserve">天津市</x:t>
        </x:is>
      </x:c>
      <x:c r="F1189" s="4" t="inlineStr">
        <x:is>
          <x:t xml:space="preserve">天津市</x:t>
        </x:is>
      </x:c>
      <x:c r="G1189" s="5" t="inlineStr">
        <x:is>
          <x:t xml:space="preserve">天津市-天津市</x:t>
        </x:is>
      </x:c>
      <x:c r="H1189" s="4" t="inlineStr">
        <x:is>
          <x:t xml:space="preserve">电子元件</x:t>
        </x:is>
      </x:c>
      <x:c r="I1189" s="4" t="inlineStr">
        <x:is>
          <x:t xml:space="preserve">2007-05-16</x:t>
        </x:is>
      </x:c>
      <x:c r="J1189" s="5" t="inlineStr">
        <x:is>
          <x:t xml:space="preserve">天津自贸试验区(空港经济区)航海路53号</x:t>
        </x:is>
      </x:c>
      <x:c r="K1189" s="12" t="str">
        <x:f>LEFT("91120116600552474E",18)</x:f>
        <x:v>91120116600552474E</x:v>
      </x:c>
    </x:row>
    <x:row r="1190">
      <x:c r="A1190" s="2" t="n">
        <x:v>1189</x:v>
      </x:c>
      <x:c r="B1190" s="2" t="inlineStr">
        <x:is>
          <x:t xml:space="preserve">002337</x:t>
        </x:is>
      </x:c>
      <x:c r="C1190" s="3" t="inlineStr">
        <x:is>
          <x:t xml:space="preserve">赛象科技</x:t>
        </x:is>
      </x:c>
      <x:c r="D1190" s="3" t="inlineStr">
        <x:is>
          <x:t xml:space="preserve">天津赛象科技股份有限公司</x:t>
        </x:is>
      </x:c>
      <x:c r="E1190" s="2" t="inlineStr">
        <x:is>
          <x:t xml:space="preserve">天津市</x:t>
        </x:is>
      </x:c>
      <x:c r="F1190" s="2" t="inlineStr">
        <x:is>
          <x:t xml:space="preserve">天津市</x:t>
        </x:is>
      </x:c>
      <x:c r="G1190" s="3" t="inlineStr">
        <x:is>
          <x:t xml:space="preserve">天津市-天津市</x:t>
        </x:is>
      </x:c>
      <x:c r="H1190" s="2" t="inlineStr">
        <x:is>
          <x:t xml:space="preserve">专用设备</x:t>
        </x:is>
      </x:c>
      <x:c r="I1190" s="2" t="inlineStr">
        <x:is>
          <x:t xml:space="preserve">2010-01-15</x:t>
        </x:is>
      </x:c>
      <x:c r="J1190" s="3" t="inlineStr">
        <x:is>
          <x:t xml:space="preserve">天津市华苑新技术产业园区(环外)海泰发展四道9号</x:t>
        </x:is>
      </x:c>
      <x:c r="K1190" s="12" t="str">
        <x:f>LEFT("91120000238994906G",18)</x:f>
        <x:v>91120000238994906G</x:v>
      </x:c>
    </x:row>
    <x:row r="1191">
      <x:c r="A1191" s="4" t="n">
        <x:v>1190</x:v>
      </x:c>
      <x:c r="B1191" s="4" t="inlineStr">
        <x:is>
          <x:t xml:space="preserve">002393</x:t>
        </x:is>
      </x:c>
      <x:c r="C1191" s="5" t="inlineStr">
        <x:is>
          <x:t xml:space="preserve">力生制药</x:t>
        </x:is>
      </x:c>
      <x:c r="D1191" s="5" t="inlineStr">
        <x:is>
          <x:t xml:space="preserve">天津力生制药股份有限公司</x:t>
        </x:is>
      </x:c>
      <x:c r="E1191" s="4" t="inlineStr">
        <x:is>
          <x:t xml:space="preserve">天津市</x:t>
        </x:is>
      </x:c>
      <x:c r="F1191" s="4" t="inlineStr">
        <x:is>
          <x:t xml:space="preserve">天津市</x:t>
        </x:is>
      </x:c>
      <x:c r="G1191" s="5" t="inlineStr">
        <x:is>
          <x:t xml:space="preserve">天津市-天津市</x:t>
        </x:is>
      </x:c>
      <x:c r="H1191" s="4" t="inlineStr">
        <x:is>
          <x:t xml:space="preserve">医药制造</x:t>
        </x:is>
      </x:c>
      <x:c r="I1191" s="4" t="inlineStr">
        <x:is>
          <x:t xml:space="preserve">2010-04-23</x:t>
        </x:is>
      </x:c>
      <x:c r="J1191" s="5" t="inlineStr">
        <x:is>
          <x:t xml:space="preserve">天津市西青经济技术开发区赛达北一道16号</x:t>
        </x:is>
      </x:c>
      <x:c r="K1191" s="12" t="str">
        <x:f>LEFT("91120000103069502J",18)</x:f>
        <x:v>91120000103069502J</x:v>
      </x:c>
    </x:row>
    <x:row r="1192">
      <x:c r="A1192" s="2" t="n">
        <x:v>1191</x:v>
      </x:c>
      <x:c r="B1192" s="2" t="inlineStr">
        <x:is>
          <x:t xml:space="preserve">002432</x:t>
        </x:is>
      </x:c>
      <x:c r="C1192" s="3" t="inlineStr">
        <x:is>
          <x:t xml:space="preserve">九安医疗</x:t>
        </x:is>
      </x:c>
      <x:c r="D1192" s="3" t="inlineStr">
        <x:is>
          <x:t xml:space="preserve">天津九安医疗电子股份有限公司</x:t>
        </x:is>
      </x:c>
      <x:c r="E1192" s="2" t="inlineStr">
        <x:is>
          <x:t xml:space="preserve">天津市</x:t>
        </x:is>
      </x:c>
      <x:c r="F1192" s="2" t="inlineStr">
        <x:is>
          <x:t xml:space="preserve">天津市</x:t>
        </x:is>
      </x:c>
      <x:c r="G1192" s="3" t="inlineStr">
        <x:is>
          <x:t xml:space="preserve">天津市-天津市</x:t>
        </x:is>
      </x:c>
      <x:c r="H1192" s="2" t="inlineStr">
        <x:is>
          <x:t xml:space="preserve">医疗器械</x:t>
        </x:is>
      </x:c>
      <x:c r="I1192" s="2" t="inlineStr">
        <x:is>
          <x:t xml:space="preserve">2010-06-10</x:t>
        </x:is>
      </x:c>
      <x:c r="J1192" s="3" t="inlineStr">
        <x:is>
          <x:t xml:space="preserve">天津市南开区南开工业园雅安道金平路3号</x:t>
        </x:is>
      </x:c>
      <x:c r="K1192" s="12" t="str">
        <x:f>LEFT("911200006008904220",18)</x:f>
        <x:v>911200006008904200</x:v>
      </x:c>
    </x:row>
    <x:row r="1193">
      <x:c r="A1193" s="4" t="n">
        <x:v>1192</x:v>
      </x:c>
      <x:c r="B1193" s="4" t="inlineStr">
        <x:is>
          <x:t xml:space="preserve">002510</x:t>
        </x:is>
      </x:c>
      <x:c r="C1193" s="5" t="inlineStr">
        <x:is>
          <x:t xml:space="preserve">天汽模</x:t>
        </x:is>
      </x:c>
      <x:c r="D1193" s="5" t="inlineStr">
        <x:is>
          <x:t xml:space="preserve">天津汽车模具股份有限公司</x:t>
        </x:is>
      </x:c>
      <x:c r="E1193" s="4" t="inlineStr">
        <x:is>
          <x:t xml:space="preserve">天津市</x:t>
        </x:is>
      </x:c>
      <x:c r="F1193" s="4" t="inlineStr">
        <x:is>
          <x:t xml:space="preserve">天津市</x:t>
        </x:is>
      </x:c>
      <x:c r="G1193" s="5" t="inlineStr">
        <x:is>
          <x:t xml:space="preserve">天津市-天津市</x:t>
        </x:is>
      </x:c>
      <x:c r="H1193" s="4" t="inlineStr">
        <x:is>
          <x:t xml:space="preserve">汽车行业</x:t>
        </x:is>
      </x:c>
      <x:c r="I1193" s="4" t="inlineStr">
        <x:is>
          <x:t xml:space="preserve">2010-11-25</x:t>
        </x:is>
      </x:c>
      <x:c r="J1193" s="5" t="inlineStr">
        <x:is>
          <x:t xml:space="preserve">天津自贸试验区(空港经济区)航天路77号</x:t>
        </x:is>
      </x:c>
      <x:c r="K1193" s="12" t="str">
        <x:f>LEFT("911200001030705897",18)</x:f>
        <x:v>911200001030705900</x:v>
      </x:c>
    </x:row>
    <x:row r="1194">
      <x:c r="A1194" s="2" t="n">
        <x:v>1193</x:v>
      </x:c>
      <x:c r="B1194" s="2" t="inlineStr">
        <x:is>
          <x:t xml:space="preserve">002820</x:t>
        </x:is>
      </x:c>
      <x:c r="C1194" s="3" t="inlineStr">
        <x:is>
          <x:t xml:space="preserve">桂发祥</x:t>
        </x:is>
      </x:c>
      <x:c r="D1194" s="3" t="inlineStr">
        <x:is>
          <x:t xml:space="preserve">天津桂发祥十八街麻花食品股份有限公司</x:t>
        </x:is>
      </x:c>
      <x:c r="E1194" s="2" t="inlineStr">
        <x:is>
          <x:t xml:space="preserve">天津市</x:t>
        </x:is>
      </x:c>
      <x:c r="F1194" s="2" t="inlineStr">
        <x:is>
          <x:t xml:space="preserve">天津市</x:t>
        </x:is>
      </x:c>
      <x:c r="G1194" s="3" t="inlineStr">
        <x:is>
          <x:t xml:space="preserve">天津市-天津市</x:t>
        </x:is>
      </x:c>
      <x:c r="H1194" s="2" t="inlineStr">
        <x:is>
          <x:t xml:space="preserve">食品饮料</x:t>
        </x:is>
      </x:c>
      <x:c r="I1194" s="2" t="inlineStr">
        <x:is>
          <x:t xml:space="preserve">2016-11-18</x:t>
        </x:is>
      </x:c>
      <x:c r="J1194" s="3" t="inlineStr">
        <x:is>
          <x:t xml:space="preserve">天津市河西区洞庭路32号</x:t>
        </x:is>
      </x:c>
      <x:c r="K1194" s="12" t="str">
        <x:f>LEFT("91120103103368983M",18)</x:f>
        <x:v>91120103103368983M</x:v>
      </x:c>
    </x:row>
    <x:row r="1195">
      <x:c r="A1195" s="4" t="n">
        <x:v>1194</x:v>
      </x:c>
      <x:c r="B1195" s="4" t="inlineStr">
        <x:is>
          <x:t xml:space="preserve">002821</x:t>
        </x:is>
      </x:c>
      <x:c r="C1195" s="5" t="inlineStr">
        <x:is>
          <x:t xml:space="preserve">凯莱英</x:t>
        </x:is>
      </x:c>
      <x:c r="D1195" s="5" t="inlineStr">
        <x:is>
          <x:t xml:space="preserve">凯莱英医药集团(天津)股份有限公司</x:t>
        </x:is>
      </x:c>
      <x:c r="E1195" s="4" t="inlineStr">
        <x:is>
          <x:t xml:space="preserve">天津市</x:t>
        </x:is>
      </x:c>
      <x:c r="F1195" s="4" t="inlineStr">
        <x:is>
          <x:t xml:space="preserve">天津市</x:t>
        </x:is>
      </x:c>
      <x:c r="G1195" s="5" t="inlineStr">
        <x:is>
          <x:t xml:space="preserve">天津市-天津市</x:t>
        </x:is>
      </x:c>
      <x:c r="H1195" s="4" t="inlineStr">
        <x:is>
          <x:t xml:space="preserve">医疗行业</x:t>
        </x:is>
      </x:c>
      <x:c r="I1195" s="4" t="inlineStr">
        <x:is>
          <x:t xml:space="preserve">2016-11-18</x:t>
        </x:is>
      </x:c>
      <x:c r="J1195" s="5" t="inlineStr">
        <x:is>
          <x:t xml:space="preserve">天津经济技术开发区洞庭三街6号</x:t>
        </x:is>
      </x:c>
      <x:c r="K1195" s="12" t="str">
        <x:f>LEFT("91120116700570514A",18)</x:f>
        <x:v>91120116700570514A</x:v>
      </x:c>
    </x:row>
    <x:row r="1196">
      <x:c r="A1196" s="2" t="n">
        <x:v>1195</x:v>
      </x:c>
      <x:c r="B1196" s="2" t="inlineStr">
        <x:is>
          <x:t xml:space="preserve">002887</x:t>
        </x:is>
      </x:c>
      <x:c r="C1196" s="3" t="inlineStr">
        <x:is>
          <x:t xml:space="preserve">绿茵生态</x:t>
        </x:is>
      </x:c>
      <x:c r="D1196" s="3" t="inlineStr">
        <x:is>
          <x:t xml:space="preserve">天津绿茵景观生态建设股份有限公司</x:t>
        </x:is>
      </x:c>
      <x:c r="E1196" s="2" t="inlineStr">
        <x:is>
          <x:t xml:space="preserve">天津市</x:t>
        </x:is>
      </x:c>
      <x:c r="F1196" s="2" t="inlineStr">
        <x:is>
          <x:t xml:space="preserve">天津市</x:t>
        </x:is>
      </x:c>
      <x:c r="G1196" s="3" t="inlineStr">
        <x:is>
          <x:t xml:space="preserve">天津市-天津市</x:t>
        </x:is>
      </x:c>
      <x:c r="H1196" s="2" t="inlineStr">
        <x:is>
          <x:t xml:space="preserve">环保行业</x:t>
        </x:is>
      </x:c>
      <x:c r="I1196" s="2" t="inlineStr">
        <x:is>
          <x:t xml:space="preserve">2017-08-01</x:t>
        </x:is>
      </x:c>
      <x:c r="J1196" s="3" t="inlineStr">
        <x:is>
          <x:t xml:space="preserve">天津市滨海高新区华苑产业区开华道20号南开科技大厦主楼1508</x:t>
        </x:is>
      </x:c>
      <x:c r="K1196" s="12" t="str">
        <x:f>LEFT("91120000712806184T",18)</x:f>
        <x:v>91120000712806184T</x:v>
      </x:c>
    </x:row>
    <x:row r="1197">
      <x:c r="A1197" s="4" t="n">
        <x:v>1196</x:v>
      </x:c>
      <x:c r="B1197" s="4" t="inlineStr">
        <x:is>
          <x:t xml:space="preserve">300026</x:t>
        </x:is>
      </x:c>
      <x:c r="C1197" s="5" t="inlineStr">
        <x:is>
          <x:t xml:space="preserve">红日药业</x:t>
        </x:is>
      </x:c>
      <x:c r="D1197" s="5" t="inlineStr">
        <x:is>
          <x:t xml:space="preserve">天津红日药业股份有限公司</x:t>
        </x:is>
      </x:c>
      <x:c r="E1197" s="4" t="inlineStr">
        <x:is>
          <x:t xml:space="preserve">天津市</x:t>
        </x:is>
      </x:c>
      <x:c r="F1197" s="4" t="inlineStr">
        <x:is>
          <x:t xml:space="preserve">天津市</x:t>
        </x:is>
      </x:c>
      <x:c r="G1197" s="5" t="inlineStr">
        <x:is>
          <x:t xml:space="preserve">天津市-天津市</x:t>
        </x:is>
      </x:c>
      <x:c r="H1197" s="4" t="inlineStr">
        <x:is>
          <x:t xml:space="preserve">中药</x:t>
        </x:is>
      </x:c>
      <x:c r="I1197" s="4" t="inlineStr">
        <x:is>
          <x:t xml:space="preserve">2009-10-30</x:t>
        </x:is>
      </x:c>
      <x:c r="J1197" s="5" t="inlineStr">
        <x:is>
          <x:t xml:space="preserve">天津新技术产业园区武清开发区泉发路西</x:t>
        </x:is>
      </x:c>
      <x:c r="K1197" s="12" t="str">
        <x:f>LEFT("9112000010409702XT",18)</x:f>
        <x:v>9112000010409702XT</x:v>
      </x:c>
    </x:row>
    <x:row r="1198">
      <x:c r="A1198" s="2" t="n">
        <x:v>1197</x:v>
      </x:c>
      <x:c r="B1198" s="2" t="inlineStr">
        <x:is>
          <x:t xml:space="preserve">300119</x:t>
        </x:is>
      </x:c>
      <x:c r="C1198" s="3" t="inlineStr">
        <x:is>
          <x:t xml:space="preserve">瑞普生物</x:t>
        </x:is>
      </x:c>
      <x:c r="D1198" s="3" t="inlineStr">
        <x:is>
          <x:t xml:space="preserve">瑞普生物股份有限公司</x:t>
        </x:is>
      </x:c>
      <x:c r="E1198" s="2" t="inlineStr">
        <x:is>
          <x:t xml:space="preserve">天津市</x:t>
        </x:is>
      </x:c>
      <x:c r="F1198" s="2" t="inlineStr">
        <x:is>
          <x:t xml:space="preserve">天津市</x:t>
        </x:is>
      </x:c>
      <x:c r="G1198" s="3" t="inlineStr">
        <x:is>
          <x:t xml:space="preserve">天津市-天津市</x:t>
        </x:is>
      </x:c>
      <x:c r="H1198" s="2" t="inlineStr">
        <x:is>
          <x:t xml:space="preserve">农药兽药</x:t>
        </x:is>
      </x:c>
      <x:c r="I1198" s="2" t="inlineStr">
        <x:is>
          <x:t xml:space="preserve">2010-09-17</x:t>
        </x:is>
      </x:c>
      <x:c r="J1198" s="3" t="inlineStr">
        <x:is>
          <x:t xml:space="preserve">天津自贸试验区(空港经济区)东九道1号</x:t>
        </x:is>
      </x:c>
      <x:c r="K1198" s="12" t="str">
        <x:f>LEFT("91120116730357968N",18)</x:f>
        <x:v>91120116730357968N</x:v>
      </x:c>
    </x:row>
    <x:row r="1199">
      <x:c r="A1199" s="4" t="n">
        <x:v>1198</x:v>
      </x:c>
      <x:c r="B1199" s="4" t="inlineStr">
        <x:is>
          <x:t xml:space="preserve">300120</x:t>
        </x:is>
      </x:c>
      <x:c r="C1199" s="5" t="inlineStr">
        <x:is>
          <x:t xml:space="preserve">经纬辉开</x:t>
        </x:is>
      </x:c>
      <x:c r="D1199" s="5" t="inlineStr">
        <x:is>
          <x:t xml:space="preserve">天津经纬辉开光电股份有限公司</x:t>
        </x:is>
      </x:c>
      <x:c r="E1199" s="4" t="inlineStr">
        <x:is>
          <x:t xml:space="preserve">天津市</x:t>
        </x:is>
      </x:c>
      <x:c r="F1199" s="4" t="inlineStr">
        <x:is>
          <x:t xml:space="preserve">天津市</x:t>
        </x:is>
      </x:c>
      <x:c r="G1199" s="5" t="inlineStr">
        <x:is>
          <x:t xml:space="preserve">天津市-天津市</x:t>
        </x:is>
      </x:c>
      <x:c r="H1199" s="4" t="inlineStr">
        <x:is>
          <x:t xml:space="preserve">光学光电子</x:t>
        </x:is>
      </x:c>
      <x:c r="I1199" s="4" t="inlineStr">
        <x:is>
          <x:t xml:space="preserve">2010-09-17</x:t>
        </x:is>
      </x:c>
      <x:c r="J1199" s="5" t="inlineStr">
        <x:is>
          <x:t xml:space="preserve">天津市津南经济开发区(双港)旺港路12号</x:t>
        </x:is>
      </x:c>
      <x:c r="K1199" s="12" t="str">
        <x:f>LEFT("91120112712847285B",18)</x:f>
        <x:v>91120112712847285B</x:v>
      </x:c>
    </x:row>
    <x:row r="1200">
      <x:c r="A1200" s="2" t="n">
        <x:v>1199</x:v>
      </x:c>
      <x:c r="B1200" s="2" t="inlineStr">
        <x:is>
          <x:t xml:space="preserve">300195</x:t>
        </x:is>
      </x:c>
      <x:c r="C1200" s="3" t="inlineStr">
        <x:is>
          <x:t xml:space="preserve">长荣股份</x:t>
        </x:is>
      </x:c>
      <x:c r="D1200" s="3" t="inlineStr">
        <x:is>
          <x:t xml:space="preserve">天津长荣科技集团股份有限公司</x:t>
        </x:is>
      </x:c>
      <x:c r="E1200" s="2" t="inlineStr">
        <x:is>
          <x:t xml:space="preserve">天津市</x:t>
        </x:is>
      </x:c>
      <x:c r="F1200" s="2" t="inlineStr">
        <x:is>
          <x:t xml:space="preserve">天津市</x:t>
        </x:is>
      </x:c>
      <x:c r="G1200" s="3" t="inlineStr">
        <x:is>
          <x:t xml:space="preserve">天津市-天津市</x:t>
        </x:is>
      </x:c>
      <x:c r="H1200" s="2" t="inlineStr">
        <x:is>
          <x:t xml:space="preserve">专用设备</x:t>
        </x:is>
      </x:c>
      <x:c r="I1200" s="2" t="inlineStr">
        <x:is>
          <x:t xml:space="preserve">2011-03-29</x:t>
        </x:is>
      </x:c>
      <x:c r="J1200" s="3" t="inlineStr">
        <x:is>
          <x:t xml:space="preserve">天津新技术产业园区北辰科技工业园</x:t>
        </x:is>
      </x:c>
      <x:c r="K1200" s="12" t="str">
        <x:f>LEFT("911200006008912734",18)</x:f>
        <x:v>911200006008912800</x:v>
      </x:c>
    </x:row>
    <x:row r="1201">
      <x:c r="A1201" s="4" t="n">
        <x:v>1200</x:v>
      </x:c>
      <x:c r="B1201" s="4" t="inlineStr">
        <x:is>
          <x:t xml:space="preserve">300334</x:t>
        </x:is>
      </x:c>
      <x:c r="C1201" s="5" t="inlineStr">
        <x:is>
          <x:t xml:space="preserve">津膜科技</x:t>
        </x:is>
      </x:c>
      <x:c r="D1201" s="5" t="inlineStr">
        <x:is>
          <x:t xml:space="preserve">天津膜天膜科技集团股份有限公司</x:t>
        </x:is>
      </x:c>
      <x:c r="E1201" s="4" t="inlineStr">
        <x:is>
          <x:t xml:space="preserve">天津市</x:t>
        </x:is>
      </x:c>
      <x:c r="F1201" s="4" t="inlineStr">
        <x:is>
          <x:t xml:space="preserve">天津市</x:t>
        </x:is>
      </x:c>
      <x:c r="G1201" s="5" t="inlineStr">
        <x:is>
          <x:t xml:space="preserve">天津市-天津市</x:t>
        </x:is>
      </x:c>
      <x:c r="H1201" s="4" t="inlineStr">
        <x:is>
          <x:t xml:space="preserve">环保工程</x:t>
        </x:is>
      </x:c>
      <x:c r="I1201" s="4" t="inlineStr">
        <x:is>
          <x:t xml:space="preserve">2012-07-05</x:t>
        </x:is>
      </x:c>
      <x:c r="J1201" s="5" t="inlineStr">
        <x:is>
          <x:t xml:space="preserve">天津经济技术开发区第11大街60号</x:t>
        </x:is>
      </x:c>
      <x:c r="K1201" s="12" t="str">
        <x:f>LEFT("91120116749118895P",18)</x:f>
        <x:v>91120116749118895P</x:v>
      </x:c>
    </x:row>
    <x:row r="1202">
      <x:c r="A1202" s="2" t="n">
        <x:v>1201</x:v>
      </x:c>
      <x:c r="B1202" s="2" t="inlineStr">
        <x:is>
          <x:t xml:space="preserve">300375</x:t>
        </x:is>
      </x:c>
      <x:c r="C1202" s="3" t="inlineStr">
        <x:is>
          <x:t xml:space="preserve">鹏翎股份</x:t>
        </x:is>
      </x:c>
      <x:c r="D1202" s="3" t="inlineStr">
        <x:is>
          <x:t xml:space="preserve">天津鹏翎集团股份有限公司</x:t>
        </x:is>
      </x:c>
      <x:c r="E1202" s="2" t="inlineStr">
        <x:is>
          <x:t xml:space="preserve">天津市</x:t>
        </x:is>
      </x:c>
      <x:c r="F1202" s="2" t="inlineStr">
        <x:is>
          <x:t xml:space="preserve">天津市</x:t>
        </x:is>
      </x:c>
      <x:c r="G1202" s="3" t="inlineStr">
        <x:is>
          <x:t xml:space="preserve">天津市-天津市</x:t>
        </x:is>
      </x:c>
      <x:c r="H1202" s="2" t="inlineStr">
        <x:is>
          <x:t xml:space="preserve">汽车行业</x:t>
        </x:is>
      </x:c>
      <x:c r="I1202" s="2" t="inlineStr">
        <x:is>
          <x:t xml:space="preserve">2014-01-27</x:t>
        </x:is>
      </x:c>
      <x:c r="J1202" s="3" t="inlineStr">
        <x:is>
          <x:t xml:space="preserve">天津市滨海新区中塘工业区葛万公路1703号</x:t>
        </x:is>
      </x:c>
      <x:c r="K1202" s="12" t="str">
        <x:f>LEFT("91120000103690171M",18)</x:f>
        <x:v>91120000103690171M</x:v>
      </x:c>
    </x:row>
    <x:row r="1203">
      <x:c r="A1203" s="4" t="n">
        <x:v>1202</x:v>
      </x:c>
      <x:c r="B1203" s="4" t="inlineStr">
        <x:is>
          <x:t xml:space="preserve">300407</x:t>
        </x:is>
      </x:c>
      <x:c r="C1203" s="5" t="inlineStr">
        <x:is>
          <x:t xml:space="preserve">凯发电气</x:t>
        </x:is>
      </x:c>
      <x:c r="D1203" s="5" t="inlineStr">
        <x:is>
          <x:t xml:space="preserve">天津凯发电气股份有限公司</x:t>
        </x:is>
      </x:c>
      <x:c r="E1203" s="4" t="inlineStr">
        <x:is>
          <x:t xml:space="preserve">天津市</x:t>
        </x:is>
      </x:c>
      <x:c r="F1203" s="4" t="inlineStr">
        <x:is>
          <x:t xml:space="preserve">天津市</x:t>
        </x:is>
      </x:c>
      <x:c r="G1203" s="5" t="inlineStr">
        <x:is>
          <x:t xml:space="preserve">天津市-天津市</x:t>
        </x:is>
      </x:c>
      <x:c r="H1203" s="4" t="inlineStr">
        <x:is>
          <x:t xml:space="preserve">电网设备</x:t>
        </x:is>
      </x:c>
      <x:c r="I1203" s="4" t="inlineStr">
        <x:is>
          <x:t xml:space="preserve">2014-12-03</x:t>
        </x:is>
      </x:c>
      <x:c r="J1203" s="5" t="inlineStr">
        <x:is>
          <x:t xml:space="preserve">天津新产业园区华苑产业区物华道8号</x:t>
        </x:is>
      </x:c>
      <x:c r="K1203" s="12" t="str">
        <x:f>LEFT("91120000718267900Y",18)</x:f>
        <x:v>91120000718267900Y</x:v>
      </x:c>
    </x:row>
    <x:row r="1204">
      <x:c r="A1204" s="2" t="n">
        <x:v>1203</x:v>
      </x:c>
      <x:c r="B1204" s="2" t="inlineStr">
        <x:is>
          <x:t xml:space="preserve">300596</x:t>
        </x:is>
      </x:c>
      <x:c r="C1204" s="3" t="inlineStr">
        <x:is>
          <x:t xml:space="preserve">利安隆</x:t>
        </x:is>
      </x:c>
      <x:c r="D1204" s="3" t="inlineStr">
        <x:is>
          <x:t xml:space="preserve">天津利安隆新材料股份有限公司</x:t>
        </x:is>
      </x:c>
      <x:c r="E1204" s="2" t="inlineStr">
        <x:is>
          <x:t xml:space="preserve">天津市</x:t>
        </x:is>
      </x:c>
      <x:c r="F1204" s="2" t="inlineStr">
        <x:is>
          <x:t xml:space="preserve">天津市</x:t>
        </x:is>
      </x:c>
      <x:c r="G1204" s="3" t="inlineStr">
        <x:is>
          <x:t xml:space="preserve">天津市-天津市</x:t>
        </x:is>
      </x:c>
      <x:c r="H1204" s="2" t="inlineStr">
        <x:is>
          <x:t xml:space="preserve">塑料制品</x:t>
        </x:is>
      </x:c>
      <x:c r="I1204" s="2" t="inlineStr">
        <x:is>
          <x:t xml:space="preserve">2017-01-19</x:t>
        </x:is>
      </x:c>
      <x:c r="J1204" s="3" t="inlineStr">
        <x:is>
          <x:t xml:space="preserve">天津经济技术开发区汉沽现代产业区黄山路6号</x:t>
        </x:is>
      </x:c>
      <x:c r="K1204" s="12" t="str">
        <x:f>LEFT("911201167522185471",18)</x:f>
        <x:v>911201167522185500</x:v>
      </x:c>
    </x:row>
    <x:row r="1205">
      <x:c r="A1205" s="4" t="n">
        <x:v>1204</x:v>
      </x:c>
      <x:c r="B1205" s="4" t="inlineStr">
        <x:is>
          <x:t xml:space="preserve">300823</x:t>
        </x:is>
      </x:c>
      <x:c r="C1205" s="5" t="inlineStr">
        <x:is>
          <x:t xml:space="preserve">建科智能</x:t>
        </x:is>
      </x:c>
      <x:c r="D1205" s="5" t="inlineStr">
        <x:is>
          <x:t xml:space="preserve">建科智能装备制造(天津)股份有限公司</x:t>
        </x:is>
      </x:c>
      <x:c r="E1205" s="4" t="inlineStr">
        <x:is>
          <x:t xml:space="preserve">天津市</x:t>
        </x:is>
      </x:c>
      <x:c r="F1205" s="4" t="inlineStr">
        <x:is>
          <x:t xml:space="preserve">天津市</x:t>
        </x:is>
      </x:c>
      <x:c r="G1205" s="5" t="inlineStr">
        <x:is>
          <x:t xml:space="preserve">天津市-天津市</x:t>
        </x:is>
      </x:c>
      <x:c r="H1205" s="4" t="inlineStr">
        <x:is>
          <x:t xml:space="preserve">专用设备</x:t>
        </x:is>
      </x:c>
      <x:c r="I1205" s="4" t="inlineStr">
        <x:is>
          <x:t xml:space="preserve">2020-03-19</x:t>
        </x:is>
      </x:c>
      <x:c r="J1205" s="5" t="inlineStr">
        <x:is>
          <x:t xml:space="preserve">天津市北辰区陆路港物流装备产业园陆港五纬路7号</x:t>
        </x:is>
      </x:c>
      <x:c r="K1205" s="12" t="str">
        <x:f>LEFT("911200007384661066",18)</x:f>
        <x:v>911200007384661100</x:v>
      </x:c>
    </x:row>
    <x:row r="1206">
      <x:c r="A1206" s="2" t="n">
        <x:v>1205</x:v>
      </x:c>
      <x:c r="B1206" s="2" t="inlineStr">
        <x:is>
          <x:t xml:space="preserve">300828</x:t>
        </x:is>
      </x:c>
      <x:c r="C1206" s="3" t="inlineStr">
        <x:is>
          <x:t xml:space="preserve">锐新科技</x:t>
        </x:is>
      </x:c>
      <x:c r="D1206" s="3" t="inlineStr">
        <x:is>
          <x:t xml:space="preserve">天津锐新昌科技股份有限公司</x:t>
        </x:is>
      </x:c>
      <x:c r="E1206" s="2" t="inlineStr">
        <x:is>
          <x:t xml:space="preserve">天津市</x:t>
        </x:is>
      </x:c>
      <x:c r="F1206" s="2" t="inlineStr">
        <x:is>
          <x:t xml:space="preserve">天津市</x:t>
        </x:is>
      </x:c>
      <x:c r="G1206" s="3" t="inlineStr">
        <x:is>
          <x:t xml:space="preserve">天津市-天津市</x:t>
        </x:is>
      </x:c>
      <x:c r="H1206" s="2" t="inlineStr">
        <x:is>
          <x:t xml:space="preserve">有色金属</x:t>
        </x:is>
      </x:c>
      <x:c r="I1206" s="2" t="inlineStr">
        <x:is>
          <x:t xml:space="preserve">2020-04-21</x:t>
        </x:is>
      </x:c>
      <x:c r="J1206" s="3" t="inlineStr">
        <x:is>
          <x:t xml:space="preserve">天津新技术产业园区华苑产业区(环外)海泰北道5号</x:t>
        </x:is>
      </x:c>
      <x:c r="K1206" s="12" t="str">
        <x:f>LEFT("911200007676306733",18)</x:f>
        <x:v>911200007676306700</x:v>
      </x:c>
    </x:row>
    <x:row r="1207">
      <x:c r="A1207" s="4" t="n">
        <x:v>1206</x:v>
      </x:c>
      <x:c r="B1207" s="4" t="inlineStr">
        <x:is>
          <x:t xml:space="preserve">300875</x:t>
        </x:is>
      </x:c>
      <x:c r="C1207" s="5" t="inlineStr">
        <x:is>
          <x:t xml:space="preserve">捷强装备</x:t>
        </x:is>
      </x:c>
      <x:c r="D1207" s="5" t="inlineStr">
        <x:is>
          <x:t xml:space="preserve">天津捷强动力装备股份有限公司</x:t>
        </x:is>
      </x:c>
      <x:c r="E1207" s="4" t="inlineStr">
        <x:is>
          <x:t xml:space="preserve">天津市</x:t>
        </x:is>
      </x:c>
      <x:c r="F1207" s="4" t="inlineStr">
        <x:is>
          <x:t xml:space="preserve">天津市</x:t>
        </x:is>
      </x:c>
      <x:c r="G1207" s="5" t="inlineStr">
        <x:is>
          <x:t xml:space="preserve">天津市-天津市</x:t>
        </x:is>
      </x:c>
      <x:c r="H1207" s="4" t="inlineStr">
        <x:is>
          <x:t xml:space="preserve">专用设备</x:t>
        </x:is>
      </x:c>
      <x:c r="I1207" s="4" t="inlineStr">
        <x:is>
          <x:t xml:space="preserve">2020-08-24</x:t>
        </x:is>
      </x:c>
      <x:c r="J1207" s="5" t="inlineStr">
        <x:is>
          <x:t xml:space="preserve">天津市北辰区滨湖路3号</x:t>
        </x:is>
      </x:c>
      <x:c r="K1207" s="12" t="str">
        <x:f>LEFT("911201167803339648",18)</x:f>
        <x:v>911201167803339600</x:v>
      </x:c>
    </x:row>
    <x:row r="1208">
      <x:c r="A1208" s="2" t="n">
        <x:v>1207</x:v>
      </x:c>
      <x:c r="B1208" s="2" t="inlineStr">
        <x:is>
          <x:t xml:space="preserve">300988</x:t>
        </x:is>
      </x:c>
      <x:c r="C1208" s="3" t="inlineStr">
        <x:is>
          <x:t xml:space="preserve">津荣天宇</x:t>
        </x:is>
      </x:c>
      <x:c r="D1208" s="3" t="inlineStr">
        <x:is>
          <x:t xml:space="preserve">天津津荣天宇精密机械股份有限公司</x:t>
        </x:is>
      </x:c>
      <x:c r="E1208" s="2" t="inlineStr">
        <x:is>
          <x:t xml:space="preserve">天津市</x:t>
        </x:is>
      </x:c>
      <x:c r="F1208" s="2" t="inlineStr">
        <x:is>
          <x:t xml:space="preserve">天津市</x:t>
        </x:is>
      </x:c>
      <x:c r="G1208" s="3" t="inlineStr">
        <x:is>
          <x:t xml:space="preserve">天津市-天津市</x:t>
        </x:is>
      </x:c>
      <x:c r="H1208" s="2" t="inlineStr">
        <x:is>
          <x:t xml:space="preserve">通用设备</x:t>
        </x:is>
      </x:c>
      <x:c r="I1208" s="2" t="inlineStr">
        <x:is>
          <x:t xml:space="preserve">2021-05-12</x:t>
        </x:is>
      </x:c>
      <x:c r="J1208" s="3" t="inlineStr">
        <x:is>
          <x:t xml:space="preserve">天津市华苑产业区(环外)海泰创新四路3号</x:t>
        </x:is>
      </x:c>
      <x:c r="K1208" s="12" t="str">
        <x:f>LEFT("911201167612909705",18)</x:f>
        <x:v>911201167612909700</x:v>
      </x:c>
    </x:row>
    <x:row r="1209">
      <x:c r="A1209" s="4" t="n">
        <x:v>1208</x:v>
      </x:c>
      <x:c r="B1209" s="4" t="inlineStr">
        <x:is>
          <x:t xml:space="preserve">301102</x:t>
        </x:is>
      </x:c>
      <x:c r="C1209" s="5" t="inlineStr">
        <x:is>
          <x:t xml:space="preserve">兆讯传媒</x:t>
        </x:is>
      </x:c>
      <x:c r="D1209" s="5" t="inlineStr">
        <x:is>
          <x:t xml:space="preserve">兆讯传媒广告股份有限公司</x:t>
        </x:is>
      </x:c>
      <x:c r="E1209" s="4" t="inlineStr">
        <x:is>
          <x:t xml:space="preserve">天津市</x:t>
        </x:is>
      </x:c>
      <x:c r="F1209" s="4" t="inlineStr">
        <x:is>
          <x:t xml:space="preserve">天津市</x:t>
        </x:is>
      </x:c>
      <x:c r="G1209" s="5" t="inlineStr">
        <x:is>
          <x:t xml:space="preserve">天津市-天津市</x:t>
        </x:is>
      </x:c>
      <x:c r="H1209" s="4" t="inlineStr">
        <x:is>
          <x:t xml:space="preserve">文化传媒</x:t>
        </x:is>
      </x:c>
      <x:c r="I1209" s="4" t="inlineStr">
        <x:is>
          <x:t xml:space="preserve">2022-03-28</x:t>
        </x:is>
      </x:c>
      <x:c r="J1209" s="5" t="inlineStr">
        <x:is>
          <x:t xml:space="preserve">天津空港经济区中心大道华盈大厦1036</x:t>
        </x:is>
      </x:c>
      <x:c r="K1209" s="12" t="str">
        <x:f>LEFT("911201186670532667",18)</x:f>
        <x:v>911201186670532600</x:v>
      </x:c>
    </x:row>
    <x:row r="1210">
      <x:c r="A1210" s="2" t="n">
        <x:v>1209</x:v>
      </x:c>
      <x:c r="B1210" s="2" t="inlineStr">
        <x:is>
          <x:t xml:space="preserve">301487</x:t>
        </x:is>
      </x:c>
      <x:c r="C1210" s="3" t="inlineStr">
        <x:is>
          <x:t xml:space="preserve">盟固利</x:t>
        </x:is>
      </x:c>
      <x:c r="D1210" s="3" t="inlineStr">
        <x:is>
          <x:t xml:space="preserve">天津国安盟固利新材料科技股份有限公司</x:t>
        </x:is>
      </x:c>
      <x:c r="E1210" s="2" t="inlineStr">
        <x:is>
          <x:t xml:space="preserve">天津市</x:t>
        </x:is>
      </x:c>
      <x:c r="F1210" s="2" t="inlineStr">
        <x:is>
          <x:t xml:space="preserve">天津市</x:t>
        </x:is>
      </x:c>
      <x:c r="G1210" s="3" t="inlineStr">
        <x:is>
          <x:t xml:space="preserve">天津市-天津市</x:t>
        </x:is>
      </x:c>
      <x:c r="H1210" s="2" t="inlineStr">
        <x:is>
          <x:t xml:space="preserve">电池</x:t>
        </x:is>
      </x:c>
      <x:c r="I1210" s="2" t="inlineStr">
        <x:is>
          <x:t xml:space="preserve">2023-08-09</x:t>
        </x:is>
      </x:c>
      <x:c r="J1210" s="3" t="inlineStr">
        <x:is>
          <x:t xml:space="preserve">天津市宝坻区九园工业园9号路</x:t>
        </x:is>
      </x:c>
      <x:c r="K1210" s="12" t="str">
        <x:f>LEFT("91120224697408654F",18)</x:f>
        <x:v>91120224697408654F</x:v>
      </x:c>
    </x:row>
    <x:row r="1211">
      <x:c r="A1211" s="4" t="n">
        <x:v>1210</x:v>
      </x:c>
      <x:c r="B1211" s="4" t="inlineStr">
        <x:is>
          <x:t xml:space="preserve">600082</x:t>
        </x:is>
      </x:c>
      <x:c r="C1211" s="5" t="inlineStr">
        <x:is>
          <x:t xml:space="preserve">海泰发展</x:t>
        </x:is>
      </x:c>
      <x:c r="D1211" s="5" t="inlineStr">
        <x:is>
          <x:t xml:space="preserve">天津海泰科技发展股份有限公司</x:t>
        </x:is>
      </x:c>
      <x:c r="E1211" s="4" t="inlineStr">
        <x:is>
          <x:t xml:space="preserve">天津市</x:t>
        </x:is>
      </x:c>
      <x:c r="F1211" s="4" t="inlineStr">
        <x:is>
          <x:t xml:space="preserve">天津市</x:t>
        </x:is>
      </x:c>
      <x:c r="G1211" s="5" t="inlineStr">
        <x:is>
          <x:t xml:space="preserve">天津市-天津市</x:t>
        </x:is>
      </x:c>
      <x:c r="H1211" s="4" t="inlineStr">
        <x:is>
          <x:t xml:space="preserve">房地产</x:t>
        </x:is>
      </x:c>
      <x:c r="I1211" s="4" t="inlineStr">
        <x:is>
          <x:t xml:space="preserve">1997-06-20</x:t>
        </x:is>
      </x:c>
      <x:c r="J1211" s="5" t="inlineStr">
        <x:is>
          <x:t xml:space="preserve">天津新技术产业园区华苑产业区</x:t>
        </x:is>
      </x:c>
      <x:c r="K1211" s="12" t="str">
        <x:f>LEFT("91120000732820119B",18)</x:f>
        <x:v>91120000732820119B</x:v>
      </x:c>
    </x:row>
    <x:row r="1212">
      <x:c r="A1212" s="2" t="n">
        <x:v>1211</x:v>
      </x:c>
      <x:c r="B1212" s="2" t="inlineStr">
        <x:is>
          <x:t xml:space="preserve">600158</x:t>
        </x:is>
      </x:c>
      <x:c r="C1212" s="3" t="inlineStr">
        <x:is>
          <x:t xml:space="preserve">中体产业</x:t>
        </x:is>
      </x:c>
      <x:c r="D1212" s="3" t="inlineStr">
        <x:is>
          <x:t xml:space="preserve">中体产业集团股份有限公司</x:t>
        </x:is>
      </x:c>
      <x:c r="E1212" s="2" t="inlineStr">
        <x:is>
          <x:t xml:space="preserve">天津市</x:t>
        </x:is>
      </x:c>
      <x:c r="F1212" s="2" t="inlineStr">
        <x:is>
          <x:t xml:space="preserve">天津市</x:t>
        </x:is>
      </x:c>
      <x:c r="G1212" s="3" t="inlineStr">
        <x:is>
          <x:t xml:space="preserve">天津市-天津市</x:t>
        </x:is>
      </x:c>
      <x:c r="H1212" s="2" t="inlineStr">
        <x:is>
          <x:t xml:space="preserve">文化传媒</x:t>
        </x:is>
      </x:c>
      <x:c r="I1212" s="2" t="inlineStr">
        <x:is>
          <x:t xml:space="preserve">1998-03-27</x:t>
        </x:is>
      </x:c>
      <x:c r="J1212" s="3" t="inlineStr">
        <x:is>
          <x:t xml:space="preserve">天津新技术产业园区武清开发区三号路</x:t>
        </x:is>
      </x:c>
      <x:c r="K1212" s="12" t="str">
        <x:f>LEFT("91120000710921568D",18)</x:f>
        <x:v>91120000710921568D</x:v>
      </x:c>
    </x:row>
    <x:row r="1213">
      <x:c r="A1213" s="4" t="n">
        <x:v>1212</x:v>
      </x:c>
      <x:c r="B1213" s="4" t="inlineStr">
        <x:is>
          <x:t xml:space="preserve">600322</x:t>
        </x:is>
      </x:c>
      <x:c r="C1213" s="5" t="inlineStr">
        <x:is>
          <x:t xml:space="preserve">津投城开</x:t>
        </x:is>
      </x:c>
      <x:c r="D1213" s="5" t="inlineStr">
        <x:is>
          <x:t xml:space="preserve">天津津投城市开发股份有限公司</x:t>
        </x:is>
      </x:c>
      <x:c r="E1213" s="4" t="inlineStr">
        <x:is>
          <x:t xml:space="preserve">天津市</x:t>
        </x:is>
      </x:c>
      <x:c r="F1213" s="4" t="inlineStr">
        <x:is>
          <x:t xml:space="preserve">天津市</x:t>
        </x:is>
      </x:c>
      <x:c r="G1213" s="5" t="inlineStr">
        <x:is>
          <x:t xml:space="preserve">天津市-天津市</x:t>
        </x:is>
      </x:c>
      <x:c r="H1213" s="4" t="inlineStr">
        <x:is>
          <x:t xml:space="preserve">房地产服务</x:t>
        </x:is>
      </x:c>
      <x:c r="I1213" s="4" t="inlineStr">
        <x:is>
          <x:t xml:space="preserve">2001-09-10</x:t>
        </x:is>
      </x:c>
      <x:c r="J1213" s="5" t="inlineStr">
        <x:is>
          <x:t xml:space="preserve">天津市和平区常德道80号</x:t>
        </x:is>
      </x:c>
      <x:c r="K1213" s="12" t="str">
        <x:f>LEFT("91120000103064779N",18)</x:f>
        <x:v>91120000103064779N</x:v>
      </x:c>
    </x:row>
    <x:row r="1214">
      <x:c r="A1214" s="2" t="n">
        <x:v>1213</x:v>
      </x:c>
      <x:c r="B1214" s="2" t="inlineStr">
        <x:is>
          <x:t xml:space="preserve">600329</x:t>
        </x:is>
      </x:c>
      <x:c r="C1214" s="3" t="inlineStr">
        <x:is>
          <x:t xml:space="preserve">达仁堂</x:t>
        </x:is>
      </x:c>
      <x:c r="D1214" s="3" t="inlineStr">
        <x:is>
          <x:t xml:space="preserve">津药达仁堂集团股份有限公司</x:t>
        </x:is>
      </x:c>
      <x:c r="E1214" s="2" t="inlineStr">
        <x:is>
          <x:t xml:space="preserve">天津市</x:t>
        </x:is>
      </x:c>
      <x:c r="F1214" s="2" t="inlineStr">
        <x:is>
          <x:t xml:space="preserve">天津市</x:t>
        </x:is>
      </x:c>
      <x:c r="G1214" s="3" t="inlineStr">
        <x:is>
          <x:t xml:space="preserve">天津市-天津市</x:t>
        </x:is>
      </x:c>
      <x:c r="H1214" s="2" t="inlineStr">
        <x:is>
          <x:t xml:space="preserve">中药</x:t>
        </x:is>
      </x:c>
      <x:c r="I1214" s="2" t="inlineStr">
        <x:is>
          <x:t xml:space="preserve">2001-06-06</x:t>
        </x:is>
      </x:c>
      <x:c r="J1214" s="3" t="inlineStr">
        <x:is>
          <x:t xml:space="preserve">天津市南开区白堤路17号</x:t>
        </x:is>
      </x:c>
      <x:c r="K1214" s="12" t="str">
        <x:f>LEFT("91120000103100784F",18)</x:f>
        <x:v>91120000103100784F</x:v>
      </x:c>
    </x:row>
    <x:row r="1215">
      <x:c r="A1215" s="4" t="n">
        <x:v>1214</x:v>
      </x:c>
      <x:c r="B1215" s="4" t="inlineStr">
        <x:is>
          <x:t xml:space="preserve">600335</x:t>
        </x:is>
      </x:c>
      <x:c r="C1215" s="5" t="inlineStr">
        <x:is>
          <x:t xml:space="preserve">国机汽车</x:t>
        </x:is>
      </x:c>
      <x:c r="D1215" s="5" t="inlineStr">
        <x:is>
          <x:t xml:space="preserve">国机汽车股份有限公司</x:t>
        </x:is>
      </x:c>
      <x:c r="E1215" s="4" t="inlineStr">
        <x:is>
          <x:t xml:space="preserve">天津市</x:t>
        </x:is>
      </x:c>
      <x:c r="F1215" s="4" t="inlineStr">
        <x:is>
          <x:t xml:space="preserve">天津市</x:t>
        </x:is>
      </x:c>
      <x:c r="G1215" s="5" t="inlineStr">
        <x:is>
          <x:t xml:space="preserve">天津市-天津市</x:t>
        </x:is>
      </x:c>
      <x:c r="H1215" s="4" t="inlineStr">
        <x:is>
          <x:t xml:space="preserve">汽车服务</x:t>
        </x:is>
      </x:c>
      <x:c r="I1215" s="4" t="inlineStr">
        <x:is>
          <x:t xml:space="preserve">2001-03-05</x:t>
        </x:is>
      </x:c>
      <x:c r="J1215" s="5" t="inlineStr">
        <x:is>
          <x:t xml:space="preserve">天津市滨海高新区华苑产业区榕苑路2号2-1605</x:t>
        </x:is>
      </x:c>
      <x:c r="K1215" s="12" t="str">
        <x:f>LEFT("91120000712875155R",18)</x:f>
        <x:v>91120000712875155R</x:v>
      </x:c>
    </x:row>
    <x:row r="1216">
      <x:c r="A1216" s="2" t="n">
        <x:v>1215</x:v>
      </x:c>
      <x:c r="B1216" s="2" t="inlineStr">
        <x:is>
          <x:t xml:space="preserve">600468</x:t>
        </x:is>
      </x:c>
      <x:c r="C1216" s="3" t="inlineStr">
        <x:is>
          <x:t xml:space="preserve">百利电气</x:t>
        </x:is>
      </x:c>
      <x:c r="D1216" s="3" t="inlineStr">
        <x:is>
          <x:t xml:space="preserve">天津百利特精电气股份有限公司</x:t>
        </x:is>
      </x:c>
      <x:c r="E1216" s="2" t="inlineStr">
        <x:is>
          <x:t xml:space="preserve">天津市</x:t>
        </x:is>
      </x:c>
      <x:c r="F1216" s="2" t="inlineStr">
        <x:is>
          <x:t xml:space="preserve">天津市</x:t>
        </x:is>
      </x:c>
      <x:c r="G1216" s="3" t="inlineStr">
        <x:is>
          <x:t xml:space="preserve">天津市-天津市</x:t>
        </x:is>
      </x:c>
      <x:c r="H1216" s="2" t="inlineStr">
        <x:is>
          <x:t xml:space="preserve">输配电气</x:t>
        </x:is>
      </x:c>
      <x:c r="I1216" s="2" t="inlineStr">
        <x:is>
          <x:t xml:space="preserve">2001-06-15</x:t>
        </x:is>
      </x:c>
      <x:c r="J1216" s="3" t="inlineStr">
        <x:is>
          <x:t xml:space="preserve">天津市西青经济开发区民和道12号</x:t>
        </x:is>
      </x:c>
      <x:c r="K1216" s="12" t="str">
        <x:f>LEFT("91120000718218623R",18)</x:f>
        <x:v>91120000718218623R</x:v>
      </x:c>
    </x:row>
    <x:row r="1217">
      <x:c r="A1217" s="4" t="n">
        <x:v>1216</x:v>
      </x:c>
      <x:c r="B1217" s="4" t="inlineStr">
        <x:is>
          <x:t xml:space="preserve">600488</x:t>
        </x:is>
      </x:c>
      <x:c r="C1217" s="5" t="inlineStr">
        <x:is>
          <x:t xml:space="preserve">津药药业</x:t>
        </x:is>
      </x:c>
      <x:c r="D1217" s="5" t="inlineStr">
        <x:is>
          <x:t xml:space="preserve">津药药业股份有限公司</x:t>
        </x:is>
      </x:c>
      <x:c r="E1217" s="4" t="inlineStr">
        <x:is>
          <x:t xml:space="preserve">天津市</x:t>
        </x:is>
      </x:c>
      <x:c r="F1217" s="4" t="inlineStr">
        <x:is>
          <x:t xml:space="preserve">天津市</x:t>
        </x:is>
      </x:c>
      <x:c r="G1217" s="5" t="inlineStr">
        <x:is>
          <x:t xml:space="preserve">天津市-天津市</x:t>
        </x:is>
      </x:c>
      <x:c r="H1217" s="4" t="inlineStr">
        <x:is>
          <x:t xml:space="preserve">医药制造</x:t>
        </x:is>
      </x:c>
      <x:c r="I1217" s="4" t="inlineStr">
        <x:is>
          <x:t xml:space="preserve">2001-06-18</x:t>
        </x:is>
      </x:c>
      <x:c r="J1217" s="5" t="inlineStr">
        <x:is>
          <x:t xml:space="preserve">天津开发区西区新业九街19号</x:t>
        </x:is>
      </x:c>
      <x:c r="K1217" s="12" t="str">
        <x:f>LEFT("9112000071824811X4",18)</x:f>
        <x:v>9112000071824811X4</x:v>
      </x:c>
    </x:row>
    <x:row r="1218">
      <x:c r="A1218" s="2" t="n">
        <x:v>1217</x:v>
      </x:c>
      <x:c r="B1218" s="2" t="inlineStr">
        <x:is>
          <x:t xml:space="preserve">600535</x:t>
        </x:is>
      </x:c>
      <x:c r="C1218" s="3" t="inlineStr">
        <x:is>
          <x:t xml:space="preserve">天士力</x:t>
        </x:is>
      </x:c>
      <x:c r="D1218" s="3" t="inlineStr">
        <x:is>
          <x:t xml:space="preserve">天士力医药集团股份有限公司</x:t>
        </x:is>
      </x:c>
      <x:c r="E1218" s="2" t="inlineStr">
        <x:is>
          <x:t xml:space="preserve">天津市</x:t>
        </x:is>
      </x:c>
      <x:c r="F1218" s="2" t="inlineStr">
        <x:is>
          <x:t xml:space="preserve">天津市</x:t>
        </x:is>
      </x:c>
      <x:c r="G1218" s="3" t="inlineStr">
        <x:is>
          <x:t xml:space="preserve">天津市-天津市</x:t>
        </x:is>
      </x:c>
      <x:c r="H1218" s="2" t="inlineStr">
        <x:is>
          <x:t xml:space="preserve">中药</x:t>
        </x:is>
      </x:c>
      <x:c r="I1218" s="2" t="inlineStr">
        <x:is>
          <x:t xml:space="preserve">2002-08-23</x:t>
        </x:is>
      </x:c>
      <x:c r="J1218" s="3" t="inlineStr">
        <x:is>
          <x:t xml:space="preserve">天津市北辰区普济河东道2号(天士力现代中药城)</x:t>
        </x:is>
      </x:c>
      <x:c r="K1218" s="12" t="str">
        <x:f>LEFT("9112000023944464XD",18)</x:f>
        <x:v>9112000023944464XD</x:v>
      </x:c>
    </x:row>
    <x:row r="1219">
      <x:c r="A1219" s="4" t="n">
        <x:v>1218</x:v>
      </x:c>
      <x:c r="B1219" s="4" t="inlineStr">
        <x:is>
          <x:t xml:space="preserve">600583</x:t>
        </x:is>
      </x:c>
      <x:c r="C1219" s="5" t="inlineStr">
        <x:is>
          <x:t xml:space="preserve">海油工程</x:t>
        </x:is>
      </x:c>
      <x:c r="D1219" s="5" t="inlineStr">
        <x:is>
          <x:t xml:space="preserve">海洋石油工程股份有限公司</x:t>
        </x:is>
      </x:c>
      <x:c r="E1219" s="4" t="inlineStr">
        <x:is>
          <x:t xml:space="preserve">天津市</x:t>
        </x:is>
      </x:c>
      <x:c r="F1219" s="4" t="inlineStr">
        <x:is>
          <x:t xml:space="preserve">天津市</x:t>
        </x:is>
      </x:c>
      <x:c r="G1219" s="5" t="inlineStr">
        <x:is>
          <x:t xml:space="preserve">天津市-天津市</x:t>
        </x:is>
      </x:c>
      <x:c r="H1219" s="4" t="inlineStr">
        <x:is>
          <x:t xml:space="preserve">采掘行业</x:t>
        </x:is>
      </x:c>
      <x:c r="I1219" s="4" t="inlineStr">
        <x:is>
          <x:t xml:space="preserve">2002-02-05</x:t>
        </x:is>
      </x:c>
      <x:c r="J1219" s="5" t="inlineStr">
        <x:is>
          <x:t xml:space="preserve">天津自贸试验区(空港经济区)西二道82号丽港大厦裙房二层202-F105室</x:t>
        </x:is>
      </x:c>
      <x:c r="K1219" s="12" t="str">
        <x:f>LEFT("91120116722950227Y",18)</x:f>
        <x:v>91120116722950227Y</x:v>
      </x:c>
    </x:row>
    <x:row r="1220">
      <x:c r="A1220" s="2" t="n">
        <x:v>1219</x:v>
      </x:c>
      <x:c r="B1220" s="2" t="inlineStr">
        <x:is>
          <x:t xml:space="preserve">600645</x:t>
        </x:is>
      </x:c>
      <x:c r="C1220" s="3" t="inlineStr">
        <x:is>
          <x:t xml:space="preserve">中源协和</x:t>
        </x:is>
      </x:c>
      <x:c r="D1220" s="3" t="inlineStr">
        <x:is>
          <x:t xml:space="preserve">中源协和细胞基因工程股份有限公司</x:t>
        </x:is>
      </x:c>
      <x:c r="E1220" s="2" t="inlineStr">
        <x:is>
          <x:t xml:space="preserve">天津市</x:t>
        </x:is>
      </x:c>
      <x:c r="F1220" s="2" t="inlineStr">
        <x:is>
          <x:t xml:space="preserve">天津市</x:t>
        </x:is>
      </x:c>
      <x:c r="G1220" s="3" t="inlineStr">
        <x:is>
          <x:t xml:space="preserve">天津市-天津市</x:t>
        </x:is>
      </x:c>
      <x:c r="H1220" s="2" t="inlineStr">
        <x:is>
          <x:t xml:space="preserve">生物制品</x:t>
        </x:is>
      </x:c>
      <x:c r="I1220" s="2" t="inlineStr">
        <x:is>
          <x:t xml:space="preserve">1993-05-04</x:t>
        </x:is>
      </x:c>
      <x:c r="J1220" s="3" t="inlineStr">
        <x:is>
          <x:t xml:space="preserve">天津市滨海高新区华苑产业区梅苑路12号【A】座二层房屋</x:t>
        </x:is>
      </x:c>
      <x:c r="K1220" s="12" t="str">
        <x:f>LEFT("9112000013270080XR",18)</x:f>
        <x:v>9112000013270080XR</x:v>
      </x:c>
    </x:row>
    <x:row r="1221">
      <x:c r="A1221" s="4" t="n">
        <x:v>1220</x:v>
      </x:c>
      <x:c r="B1221" s="4" t="inlineStr">
        <x:is>
          <x:t xml:space="preserve">600717</x:t>
        </x:is>
      </x:c>
      <x:c r="C1221" s="5" t="inlineStr">
        <x:is>
          <x:t xml:space="preserve">天津港</x:t>
        </x:is>
      </x:c>
      <x:c r="D1221" s="5" t="inlineStr">
        <x:is>
          <x:t xml:space="preserve">天津港股份有限公司</x:t>
        </x:is>
      </x:c>
      <x:c r="E1221" s="4" t="inlineStr">
        <x:is>
          <x:t xml:space="preserve">天津市</x:t>
        </x:is>
      </x:c>
      <x:c r="F1221" s="4" t="inlineStr">
        <x:is>
          <x:t xml:space="preserve">天津市</x:t>
        </x:is>
      </x:c>
      <x:c r="G1221" s="5" t="inlineStr">
        <x:is>
          <x:t xml:space="preserve">天津市-天津市</x:t>
        </x:is>
      </x:c>
      <x:c r="H1221" s="4" t="inlineStr">
        <x:is>
          <x:t xml:space="preserve">港口水运</x:t>
        </x:is>
      </x:c>
      <x:c r="I1221" s="4" t="inlineStr">
        <x:is>
          <x:t xml:space="preserve">1996-06-14</x:t>
        </x:is>
      </x:c>
      <x:c r="J1221" s="5" t="inlineStr">
        <x:is>
          <x:t xml:space="preserve">天津自贸区(天津港保税区)通达广场1号A区</x:t>
        </x:is>
      </x:c>
      <x:c r="K1221" s="12" t="str">
        <x:f>LEFT("911200001030643818",18)</x:f>
        <x:v>911200001030643800</x:v>
      </x:c>
    </x:row>
    <x:row r="1222">
      <x:c r="A1222" s="2" t="n">
        <x:v>1221</x:v>
      </x:c>
      <x:c r="B1222" s="2" t="inlineStr">
        <x:is>
          <x:t xml:space="preserve">600751</x:t>
        </x:is>
      </x:c>
      <x:c r="C1222" s="3" t="inlineStr">
        <x:is>
          <x:t xml:space="preserve">海航科技</x:t>
        </x:is>
      </x:c>
      <x:c r="D1222" s="3" t="inlineStr">
        <x:is>
          <x:t xml:space="preserve">海航科技股份有限公司</x:t>
        </x:is>
      </x:c>
      <x:c r="E1222" s="2" t="inlineStr">
        <x:is>
          <x:t xml:space="preserve">天津市</x:t>
        </x:is>
      </x:c>
      <x:c r="F1222" s="2" t="inlineStr">
        <x:is>
          <x:t xml:space="preserve">天津市</x:t>
        </x:is>
      </x:c>
      <x:c r="G1222" s="3" t="inlineStr">
        <x:is>
          <x:t xml:space="preserve">天津市-天津市</x:t>
        </x:is>
      </x:c>
      <x:c r="H1222" s="2" t="inlineStr">
        <x:is>
          <x:t xml:space="preserve">航运港口</x:t>
        </x:is>
      </x:c>
      <x:c r="I1222" s="2" t="inlineStr">
        <x:is>
          <x:t xml:space="preserve">1996-09-09</x:t>
        </x:is>
      </x:c>
      <x:c r="J1222" s="3" t="inlineStr">
        <x:is>
          <x:t xml:space="preserve">天津自贸区(空港经济区)中心大道华盈大厦803</x:t>
        </x:is>
      </x:c>
      <x:c r="K1222" s="12" t="str">
        <x:f>LEFT("911201181030621752",18)</x:f>
        <x:v>911201181030621700</x:v>
      </x:c>
    </x:row>
    <x:row r="1223">
      <x:c r="A1223" s="4" t="n">
        <x:v>1222</x:v>
      </x:c>
      <x:c r="B1223" s="4" t="inlineStr">
        <x:is>
          <x:t xml:space="preserve">600787</x:t>
        </x:is>
      </x:c>
      <x:c r="C1223" s="5" t="inlineStr">
        <x:is>
          <x:t xml:space="preserve">中储股份</x:t>
        </x:is>
      </x:c>
      <x:c r="D1223" s="5" t="inlineStr">
        <x:is>
          <x:t xml:space="preserve">中储发展股份有限公司</x:t>
        </x:is>
      </x:c>
      <x:c r="E1223" s="4" t="inlineStr">
        <x:is>
          <x:t xml:space="preserve">天津市</x:t>
        </x:is>
      </x:c>
      <x:c r="F1223" s="4" t="inlineStr">
        <x:is>
          <x:t xml:space="preserve">天津市</x:t>
        </x:is>
      </x:c>
      <x:c r="G1223" s="5" t="inlineStr">
        <x:is>
          <x:t xml:space="preserve">天津市-天津市</x:t>
        </x:is>
      </x:c>
      <x:c r="H1223" s="4" t="inlineStr">
        <x:is>
          <x:t xml:space="preserve">交运物流</x:t>
        </x:is>
      </x:c>
      <x:c r="I1223" s="4" t="inlineStr">
        <x:is>
          <x:t xml:space="preserve">1997-01-21</x:t>
        </x:is>
      </x:c>
      <x:c r="J1223" s="5" t="inlineStr">
        <x:is>
          <x:t xml:space="preserve">中国天津市北辰区陆港四经支路1号</x:t>
        </x:is>
      </x:c>
      <x:c r="K1223" s="12" t="str">
        <x:f>LEFT("91120000103070984E",18)</x:f>
        <x:v>91120000103070984E</x:v>
      </x:c>
    </x:row>
    <x:row r="1224">
      <x:c r="A1224" s="2" t="n">
        <x:v>1223</x:v>
      </x:c>
      <x:c r="B1224" s="2" t="inlineStr">
        <x:is>
          <x:t xml:space="preserve">600800</x:t>
        </x:is>
      </x:c>
      <x:c r="C1224" s="3" t="inlineStr">
        <x:is>
          <x:t xml:space="preserve">渤海化学</x:t>
        </x:is>
      </x:c>
      <x:c r="D1224" s="3" t="inlineStr">
        <x:is>
          <x:t xml:space="preserve">天津渤海化学股份有限公司</x:t>
        </x:is>
      </x:c>
      <x:c r="E1224" s="2" t="inlineStr">
        <x:is>
          <x:t xml:space="preserve">天津市</x:t>
        </x:is>
      </x:c>
      <x:c r="F1224" s="2" t="inlineStr">
        <x:is>
          <x:t xml:space="preserve">天津市</x:t>
        </x:is>
      </x:c>
      <x:c r="G1224" s="3" t="inlineStr">
        <x:is>
          <x:t xml:space="preserve">天津市-天津市</x:t>
        </x:is>
      </x:c>
      <x:c r="H1224" s="2" t="inlineStr">
        <x:is>
          <x:t xml:space="preserve">化工行业</x:t>
        </x:is>
      </x:c>
      <x:c r="I1224" s="2" t="inlineStr">
        <x:is>
          <x:t xml:space="preserve">1993-12-06</x:t>
        </x:is>
      </x:c>
      <x:c r="J1224" s="3" t="inlineStr">
        <x:is>
          <x:t xml:space="preserve">天津市滨海新区临港经济区渤海十三路189号</x:t>
        </x:is>
      </x:c>
      <x:c r="K1224" s="12" t="str">
        <x:f>LEFT("911200001030663879",18)</x:f>
        <x:v>911200001030664000</x:v>
      </x:c>
    </x:row>
    <x:row r="1225">
      <x:c r="A1225" s="4" t="n">
        <x:v>1224</x:v>
      </x:c>
      <x:c r="B1225" s="4" t="inlineStr">
        <x:is>
          <x:t xml:space="preserve">600821</x:t>
        </x:is>
      </x:c>
      <x:c r="C1225" s="5" t="inlineStr">
        <x:is>
          <x:t xml:space="preserve">金开新能</x:t>
        </x:is>
      </x:c>
      <x:c r="D1225" s="5" t="inlineStr">
        <x:is>
          <x:t xml:space="preserve">金开新能源股份有限公司</x:t>
        </x:is>
      </x:c>
      <x:c r="E1225" s="4" t="inlineStr">
        <x:is>
          <x:t xml:space="preserve">天津市</x:t>
        </x:is>
      </x:c>
      <x:c r="F1225" s="4" t="inlineStr">
        <x:is>
          <x:t xml:space="preserve">天津市</x:t>
        </x:is>
      </x:c>
      <x:c r="G1225" s="5" t="inlineStr">
        <x:is>
          <x:t xml:space="preserve">天津市-天津市</x:t>
        </x:is>
      </x:c>
      <x:c r="H1225" s="4" t="inlineStr">
        <x:is>
          <x:t xml:space="preserve">电力行业</x:t>
        </x:is>
      </x:c>
      <x:c r="I1225" s="4" t="inlineStr">
        <x:is>
          <x:t xml:space="preserve">1994-01-28</x:t>
        </x:is>
      </x:c>
      <x:c r="J1225" s="5" t="inlineStr">
        <x:is>
          <x:t xml:space="preserve">天津市和平区贵州路四号龙通大厦411室</x:t>
        </x:is>
      </x:c>
      <x:c r="K1225" s="12" t="str">
        <x:f>LEFT("91120000103069983L",18)</x:f>
        <x:v>91120000103069983L</x:v>
      </x:c>
    </x:row>
    <x:row r="1226">
      <x:c r="A1226" s="2" t="n">
        <x:v>1225</x:v>
      </x:c>
      <x:c r="B1226" s="2" t="inlineStr">
        <x:is>
          <x:t xml:space="preserve">600874</x:t>
        </x:is>
      </x:c>
      <x:c r="C1226" s="3" t="inlineStr">
        <x:is>
          <x:t xml:space="preserve">创业环保</x:t>
        </x:is>
      </x:c>
      <x:c r="D1226" s="3" t="inlineStr">
        <x:is>
          <x:t xml:space="preserve">天津创业环保集团股份有限公司</x:t>
        </x:is>
      </x:c>
      <x:c r="E1226" s="2" t="inlineStr">
        <x:is>
          <x:t xml:space="preserve">天津市</x:t>
        </x:is>
      </x:c>
      <x:c r="F1226" s="2" t="inlineStr">
        <x:is>
          <x:t xml:space="preserve">天津市</x:t>
        </x:is>
      </x:c>
      <x:c r="G1226" s="3" t="inlineStr">
        <x:is>
          <x:t xml:space="preserve">天津市-天津市</x:t>
        </x:is>
      </x:c>
      <x:c r="H1226" s="2" t="inlineStr">
        <x:is>
          <x:t xml:space="preserve">环保行业</x:t>
        </x:is>
      </x:c>
      <x:c r="I1226" s="2" t="inlineStr">
        <x:is>
          <x:t xml:space="preserve">1995-06-30</x:t>
        </x:is>
      </x:c>
      <x:c r="J1226" s="3" t="inlineStr">
        <x:is>
          <x:t xml:space="preserve">天津市南开区卫津南路76号创业环保大厦12层</x:t>
        </x:is>
      </x:c>
      <x:c r="K1226" s="12" t="str">
        <x:f>LEFT("91120000103065501J",18)</x:f>
        <x:v>91120000103065501J</x:v>
      </x:c>
    </x:row>
    <x:row r="1227">
      <x:c r="A1227" s="4" t="n">
        <x:v>1226</x:v>
      </x:c>
      <x:c r="B1227" s="4" t="inlineStr">
        <x:is>
          <x:t xml:space="preserve">601360</x:t>
        </x:is>
      </x:c>
      <x:c r="C1227" s="5" t="inlineStr">
        <x:is>
          <x:t xml:space="preserve">三六零</x:t>
        </x:is>
      </x:c>
      <x:c r="D1227" s="5" t="inlineStr">
        <x:is>
          <x:t xml:space="preserve">三六零安全科技股份有限公司</x:t>
        </x:is>
      </x:c>
      <x:c r="E1227" s="4" t="inlineStr">
        <x:is>
          <x:t xml:space="preserve">天津市</x:t>
        </x:is>
      </x:c>
      <x:c r="F1227" s="4" t="inlineStr">
        <x:is>
          <x:t xml:space="preserve">天津市</x:t>
        </x:is>
      </x:c>
      <x:c r="G1227" s="5" t="inlineStr">
        <x:is>
          <x:t xml:space="preserve">天津市-天津市</x:t>
        </x:is>
      </x:c>
      <x:c r="H1227" s="4" t="inlineStr">
        <x:is>
          <x:t xml:space="preserve">软件服务</x:t>
        </x:is>
      </x:c>
      <x:c r="I1227" s="4" t="inlineStr">
        <x:is>
          <x:t xml:space="preserve">2012-01-16</x:t>
        </x:is>
      </x:c>
      <x:c r="J1227" s="5" t="inlineStr">
        <x:is>
          <x:t xml:space="preserve">天津市滨海高新区华苑产业区(环外)海泰大道20号生产楼A栋2层360室</x:t>
        </x:is>
      </x:c>
      <x:c r="K1227" s="12" t="str">
        <x:f>LEFT("91120116MA06TG6453",18)</x:f>
        <x:v>91120116MA06TG6453</x:v>
      </x:c>
    </x:row>
    <x:row r="1228">
      <x:c r="A1228" s="2" t="n">
        <x:v>1227</x:v>
      </x:c>
      <x:c r="B1228" s="2" t="inlineStr">
        <x:is>
          <x:t xml:space="preserve">601686</x:t>
        </x:is>
      </x:c>
      <x:c r="C1228" s="3" t="inlineStr">
        <x:is>
          <x:t xml:space="preserve">友发集团</x:t>
        </x:is>
      </x:c>
      <x:c r="D1228" s="3" t="inlineStr">
        <x:is>
          <x:t xml:space="preserve">天津友发钢管集团股份有限公司</x:t>
        </x:is>
      </x:c>
      <x:c r="E1228" s="2" t="inlineStr">
        <x:is>
          <x:t xml:space="preserve">天津市</x:t>
        </x:is>
      </x:c>
      <x:c r="F1228" s="2" t="inlineStr">
        <x:is>
          <x:t xml:space="preserve">天津市</x:t>
        </x:is>
      </x:c>
      <x:c r="G1228" s="3" t="inlineStr">
        <x:is>
          <x:t xml:space="preserve">天津市-天津市</x:t>
        </x:is>
      </x:c>
      <x:c r="H1228" s="2" t="inlineStr">
        <x:is>
          <x:t xml:space="preserve">钢铁行业</x:t>
        </x:is>
      </x:c>
      <x:c r="I1228" s="2" t="inlineStr">
        <x:is>
          <x:t xml:space="preserve">2020-12-04</x:t>
        </x:is>
      </x:c>
      <x:c r="J1228" s="3" t="inlineStr">
        <x:is>
          <x:t xml:space="preserve">天津市静海区大邱庄镇百亿元工业区</x:t>
        </x:is>
      </x:c>
      <x:c r="K1228" s="12" t="str">
        <x:f>LEFT("91120000586440256D",18)</x:f>
        <x:v>91120000586440256D</x:v>
      </x:c>
    </x:row>
    <x:row r="1229">
      <x:c r="A1229" s="4" t="n">
        <x:v>1228</x:v>
      </x:c>
      <x:c r="B1229" s="4" t="inlineStr">
        <x:is>
          <x:t xml:space="preserve">601808</x:t>
        </x:is>
      </x:c>
      <x:c r="C1229" s="5" t="inlineStr">
        <x:is>
          <x:t xml:space="preserve">中海油服</x:t>
        </x:is>
      </x:c>
      <x:c r="D1229" s="5" t="inlineStr">
        <x:is>
          <x:t xml:space="preserve">中海油田服务股份有限公司</x:t>
        </x:is>
      </x:c>
      <x:c r="E1229" s="4" t="inlineStr">
        <x:is>
          <x:t xml:space="preserve">天津市</x:t>
        </x:is>
      </x:c>
      <x:c r="F1229" s="4" t="inlineStr">
        <x:is>
          <x:t xml:space="preserve">天津市</x:t>
        </x:is>
      </x:c>
      <x:c r="G1229" s="5" t="inlineStr">
        <x:is>
          <x:t xml:space="preserve">天津市-天津市</x:t>
        </x:is>
      </x:c>
      <x:c r="H1229" s="4" t="inlineStr">
        <x:is>
          <x:t xml:space="preserve">采掘行业</x:t>
        </x:is>
      </x:c>
      <x:c r="I1229" s="4" t="inlineStr">
        <x:is>
          <x:t xml:space="preserve">2007-09-28</x:t>
        </x:is>
      </x:c>
      <x:c r="J1229" s="5" t="inlineStr">
        <x:is>
          <x:t xml:space="preserve">天津滨海高新区塘沽海洋科技园海川路1581号</x:t>
        </x:is>
      </x:c>
      <x:c r="K1229" s="12" t="str">
        <x:f>LEFT("9112011671092921XD",18)</x:f>
        <x:v>9112011671092921XD</x:v>
      </x:c>
    </x:row>
    <x:row r="1230">
      <x:c r="A1230" s="2" t="n">
        <x:v>1229</x:v>
      </x:c>
      <x:c r="B1230" s="2" t="inlineStr">
        <x:is>
          <x:t xml:space="preserve">601919</x:t>
        </x:is>
      </x:c>
      <x:c r="C1230" s="3" t="inlineStr">
        <x:is>
          <x:t xml:space="preserve">中远海控</x:t>
        </x:is>
      </x:c>
      <x:c r="D1230" s="3" t="inlineStr">
        <x:is>
          <x:t xml:space="preserve">中远海运控股股份有限公司</x:t>
        </x:is>
      </x:c>
      <x:c r="E1230" s="2" t="inlineStr">
        <x:is>
          <x:t xml:space="preserve">天津市</x:t>
        </x:is>
      </x:c>
      <x:c r="F1230" s="2" t="inlineStr">
        <x:is>
          <x:t xml:space="preserve">天津市</x:t>
        </x:is>
      </x:c>
      <x:c r="G1230" s="3" t="inlineStr">
        <x:is>
          <x:t xml:space="preserve">天津市-天津市</x:t>
        </x:is>
      </x:c>
      <x:c r="H1230" s="2" t="inlineStr">
        <x:is>
          <x:t xml:space="preserve">港口水运</x:t>
        </x:is>
      </x:c>
      <x:c r="I1230" s="2" t="inlineStr">
        <x:is>
          <x:t xml:space="preserve">2007-06-26</x:t>
        </x:is>
      </x:c>
      <x:c r="J1230" s="3" t="inlineStr">
        <x:is>
          <x:t xml:space="preserve">天津自贸试验区(空港经济区)中心大道与东七道交口远航商务中心12号楼二层</x:t>
        </x:is>
      </x:c>
      <x:c r="K1230" s="12" t="str">
        <x:f>LEFT("91120118MA0603879K",18)</x:f>
        <x:v>91120118MA0603879K</x:v>
      </x:c>
    </x:row>
    <x:row r="1231">
      <x:c r="A1231" s="4" t="n">
        <x:v>1230</x:v>
      </x:c>
      <x:c r="B1231" s="4" t="inlineStr">
        <x:is>
          <x:t xml:space="preserve">603019</x:t>
        </x:is>
      </x:c>
      <x:c r="C1231" s="5" t="inlineStr">
        <x:is>
          <x:t xml:space="preserve">中科曙光</x:t>
        </x:is>
      </x:c>
      <x:c r="D1231" s="5" t="inlineStr">
        <x:is>
          <x:t xml:space="preserve">曙光信息产业股份有限公司</x:t>
        </x:is>
      </x:c>
      <x:c r="E1231" s="4" t="inlineStr">
        <x:is>
          <x:t xml:space="preserve">天津市</x:t>
        </x:is>
      </x:c>
      <x:c r="F1231" s="4" t="inlineStr">
        <x:is>
          <x:t xml:space="preserve">天津市</x:t>
        </x:is>
      </x:c>
      <x:c r="G1231" s="5" t="inlineStr">
        <x:is>
          <x:t xml:space="preserve">天津市-天津市</x:t>
        </x:is>
      </x:c>
      <x:c r="H1231" s="4" t="inlineStr">
        <x:is>
          <x:t xml:space="preserve">计算机设备</x:t>
        </x:is>
      </x:c>
      <x:c r="I1231" s="4" t="inlineStr">
        <x:is>
          <x:t xml:space="preserve">2014-11-06</x:t>
        </x:is>
      </x:c>
      <x:c r="J1231" s="5" t="inlineStr">
        <x:is>
          <x:t xml:space="preserve">天津市华苑产业区(环外)海泰华科大街15号1-3层</x:t>
        </x:is>
      </x:c>
      <x:c r="K1231" s="12" t="str">
        <x:f>LEFT("91120000783342508F",18)</x:f>
        <x:v>91120000783342508F</x:v>
      </x:c>
    </x:row>
    <x:row r="1232">
      <x:c r="A1232" s="2" t="n">
        <x:v>1231</x:v>
      </x:c>
      <x:c r="B1232" s="2" t="inlineStr">
        <x:is>
          <x:t xml:space="preserve">603061</x:t>
        </x:is>
      </x:c>
      <x:c r="C1232" s="3" t="inlineStr">
        <x:is>
          <x:t xml:space="preserve">金海通</x:t>
        </x:is>
      </x:c>
      <x:c r="D1232" s="3" t="inlineStr">
        <x:is>
          <x:t xml:space="preserve">天津金海通半导体设备股份有限公司</x:t>
        </x:is>
      </x:c>
      <x:c r="E1232" s="2" t="inlineStr">
        <x:is>
          <x:t xml:space="preserve">天津市</x:t>
        </x:is>
      </x:c>
      <x:c r="F1232" s="2" t="inlineStr">
        <x:is>
          <x:t xml:space="preserve">天津市</x:t>
        </x:is>
      </x:c>
      <x:c r="G1232" s="3" t="inlineStr">
        <x:is>
          <x:t xml:space="preserve">天津市-天津市</x:t>
        </x:is>
      </x:c>
      <x:c r="H1232" s="2" t="inlineStr">
        <x:is>
          <x:t xml:space="preserve">半导体</x:t>
        </x:is>
      </x:c>
      <x:c r="I1232" s="2" t="inlineStr">
        <x:is>
          <x:t xml:space="preserve">2023-03-03</x:t>
        </x:is>
      </x:c>
      <x:c r="J1232" s="3" t="inlineStr">
        <x:is>
          <x:t xml:space="preserve">天津华苑产业区物华道8号A106</x:t>
        </x:is>
      </x:c>
      <x:c r="K1232" s="12" t="str">
        <x:f>LEFT("911201160587336021",18)</x:f>
        <x:v>911201160587336100</x:v>
      </x:c>
    </x:row>
    <x:row r="1233">
      <x:c r="A1233" s="4" t="n">
        <x:v>1232</x:v>
      </x:c>
      <x:c r="B1233" s="4" t="inlineStr">
        <x:is>
          <x:t xml:space="preserve">603096</x:t>
        </x:is>
      </x:c>
      <x:c r="C1233" s="5" t="inlineStr">
        <x:is>
          <x:t xml:space="preserve">新经典</x:t>
        </x:is>
      </x:c>
      <x:c r="D1233" s="5" t="inlineStr">
        <x:is>
          <x:t xml:space="preserve">新经典文化股份有限公司</x:t>
        </x:is>
      </x:c>
      <x:c r="E1233" s="4" t="inlineStr">
        <x:is>
          <x:t xml:space="preserve">天津市</x:t>
        </x:is>
      </x:c>
      <x:c r="F1233" s="4" t="inlineStr">
        <x:is>
          <x:t xml:space="preserve">天津市</x:t>
        </x:is>
      </x:c>
      <x:c r="G1233" s="5" t="inlineStr">
        <x:is>
          <x:t xml:space="preserve">天津市-天津市</x:t>
        </x:is>
      </x:c>
      <x:c r="H1233" s="4" t="inlineStr">
        <x:is>
          <x:t xml:space="preserve">文化传媒</x:t>
        </x:is>
      </x:c>
      <x:c r="I1233" s="4" t="inlineStr">
        <x:is>
          <x:t xml:space="preserve">2017-04-25</x:t>
        </x:is>
      </x:c>
      <x:c r="J1233" s="5" t="inlineStr">
        <x:is>
          <x:t xml:space="preserve">天津生态城动漫东路355号创研大厦330室</x:t>
        </x:is>
      </x:c>
      <x:c r="K1233" s="12" t="str">
        <x:f>LEFT("91120116690694096J",18)</x:f>
        <x:v>91120116690694096J</x:v>
      </x:c>
    </x:row>
    <x:row r="1234">
      <x:c r="A1234" s="2" t="n">
        <x:v>1233</x:v>
      </x:c>
      <x:c r="B1234" s="2" t="inlineStr">
        <x:is>
          <x:t xml:space="preserve">603106</x:t>
        </x:is>
      </x:c>
      <x:c r="C1234" s="3" t="inlineStr">
        <x:is>
          <x:t xml:space="preserve">恒银科技</x:t>
        </x:is>
      </x:c>
      <x:c r="D1234" s="3" t="inlineStr">
        <x:is>
          <x:t xml:space="preserve">恒银金融科技股份有限公司</x:t>
        </x:is>
      </x:c>
      <x:c r="E1234" s="2" t="inlineStr">
        <x:is>
          <x:t xml:space="preserve">天津市</x:t>
        </x:is>
      </x:c>
      <x:c r="F1234" s="2" t="inlineStr">
        <x:is>
          <x:t xml:space="preserve">天津市</x:t>
        </x:is>
      </x:c>
      <x:c r="G1234" s="3" t="inlineStr">
        <x:is>
          <x:t xml:space="preserve">天津市-天津市</x:t>
        </x:is>
      </x:c>
      <x:c r="H1234" s="2" t="inlineStr">
        <x:is>
          <x:t xml:space="preserve">计算机设备</x:t>
        </x:is>
      </x:c>
      <x:c r="I1234" s="2" t="inlineStr">
        <x:is>
          <x:t xml:space="preserve">2017-09-20</x:t>
        </x:is>
      </x:c>
      <x:c r="J1234" s="3" t="inlineStr">
        <x:is>
          <x:t xml:space="preserve">天津自贸试验区(空港经济区)西八道30号</x:t>
        </x:is>
      </x:c>
      <x:c r="K1234" s="12" t="str">
        <x:f>LEFT("91120118762158867F",18)</x:f>
        <x:v>91120118762158867F</x:v>
      </x:c>
    </x:row>
    <x:row r="1235">
      <x:c r="A1235" s="4" t="n">
        <x:v>1234</x:v>
      </x:c>
      <x:c r="B1235" s="4" t="inlineStr">
        <x:is>
          <x:t xml:space="preserve">603126</x:t>
        </x:is>
      </x:c>
      <x:c r="C1235" s="5" t="inlineStr">
        <x:is>
          <x:t xml:space="preserve">中材节能</x:t>
        </x:is>
      </x:c>
      <x:c r="D1235" s="5" t="inlineStr">
        <x:is>
          <x:t xml:space="preserve">中材节能股份有限公司</x:t>
        </x:is>
      </x:c>
      <x:c r="E1235" s="4" t="inlineStr">
        <x:is>
          <x:t xml:space="preserve">天津市</x:t>
        </x:is>
      </x:c>
      <x:c r="F1235" s="4" t="inlineStr">
        <x:is>
          <x:t xml:space="preserve">天津市</x:t>
        </x:is>
      </x:c>
      <x:c r="G1235" s="5" t="inlineStr">
        <x:is>
          <x:t xml:space="preserve">天津市-天津市</x:t>
        </x:is>
      </x:c>
      <x:c r="H1235" s="4" t="inlineStr">
        <x:is>
          <x:t xml:space="preserve">环保工程</x:t>
        </x:is>
      </x:c>
      <x:c r="I1235" s="4" t="inlineStr">
        <x:is>
          <x:t xml:space="preserve">2014-07-31</x:t>
        </x:is>
      </x:c>
      <x:c r="J1235" s="5" t="inlineStr">
        <x:is>
          <x:t xml:space="preserve">天津市北辰区高峰路与天宁道交口中材节能大厦</x:t>
        </x:is>
      </x:c>
      <x:c r="K1235" s="12" t="str">
        <x:f>LEFT("91120000700492827M",18)</x:f>
        <x:v>91120000700492827M</x:v>
      </x:c>
    </x:row>
    <x:row r="1236">
      <x:c r="A1236" s="2" t="n">
        <x:v>1235</x:v>
      </x:c>
      <x:c r="B1236" s="2" t="inlineStr">
        <x:is>
          <x:t xml:space="preserve">603135</x:t>
        </x:is>
      </x:c>
      <x:c r="C1236" s="3" t="inlineStr">
        <x:is>
          <x:t xml:space="preserve">中重科技</x:t>
        </x:is>
      </x:c>
      <x:c r="D1236" s="3" t="inlineStr">
        <x:is>
          <x:t xml:space="preserve">中重科技(天津)股份有限公司</x:t>
        </x:is>
      </x:c>
      <x:c r="E1236" s="2" t="inlineStr">
        <x:is>
          <x:t xml:space="preserve">天津市</x:t>
        </x:is>
      </x:c>
      <x:c r="F1236" s="2" t="inlineStr">
        <x:is>
          <x:t xml:space="preserve">天津市</x:t>
        </x:is>
      </x:c>
      <x:c r="G1236" s="3" t="inlineStr">
        <x:is>
          <x:t xml:space="preserve">天津市-天津市</x:t>
        </x:is>
      </x:c>
      <x:c r="H1236" s="2" t="inlineStr">
        <x:is>
          <x:t xml:space="preserve">专用设备</x:t>
        </x:is>
      </x:c>
      <x:c r="I1236" s="2" t="inlineStr">
        <x:is>
          <x:t xml:space="preserve">2023-04-10</x:t>
        </x:is>
      </x:c>
      <x:c r="J1236" s="3" t="inlineStr">
        <x:is>
          <x:t xml:space="preserve">天津市北辰区科技园区环外发展区高新大道65号</x:t>
        </x:is>
      </x:c>
      <x:c r="K1236" s="12" t="str">
        <x:f>LEFT("91120113727536666U",18)</x:f>
        <x:v>91120113727536666U</x:v>
      </x:c>
    </x:row>
    <x:row r="1237">
      <x:c r="A1237" s="4" t="n">
        <x:v>1236</x:v>
      </x:c>
      <x:c r="B1237" s="4" t="inlineStr">
        <x:is>
          <x:t xml:space="preserve">603529</x:t>
        </x:is>
      </x:c>
      <x:c r="C1237" s="5" t="inlineStr">
        <x:is>
          <x:t xml:space="preserve">爱玛科技</x:t>
        </x:is>
      </x:c>
      <x:c r="D1237" s="5" t="inlineStr">
        <x:is>
          <x:t xml:space="preserve">爱玛科技集团股份有限公司</x:t>
        </x:is>
      </x:c>
      <x:c r="E1237" s="4" t="inlineStr">
        <x:is>
          <x:t xml:space="preserve">天津市</x:t>
        </x:is>
      </x:c>
      <x:c r="F1237" s="4" t="inlineStr">
        <x:is>
          <x:t xml:space="preserve">天津市</x:t>
        </x:is>
      </x:c>
      <x:c r="G1237" s="5" t="inlineStr">
        <x:is>
          <x:t xml:space="preserve">天津市-天津市</x:t>
        </x:is>
      </x:c>
      <x:c r="H1237" s="4" t="inlineStr">
        <x:is>
          <x:t xml:space="preserve">交运设备</x:t>
        </x:is>
      </x:c>
      <x:c r="I1237" s="4" t="inlineStr">
        <x:is>
          <x:t xml:space="preserve">2021-06-15</x:t>
        </x:is>
      </x:c>
      <x:c r="J1237" s="5" t="inlineStr">
        <x:is>
          <x:t xml:space="preserve">天津市静海经济开发区南区爱玛路5号</x:t>
        </x:is>
      </x:c>
      <x:c r="K1237" s="12" t="str">
        <x:f>LEFT("9112000071821557X4",18)</x:f>
        <x:v>9112000071821557X4</x:v>
      </x:c>
    </x:row>
    <x:row r="1238">
      <x:c r="A1238" s="2" t="n">
        <x:v>1237</x:v>
      </x:c>
      <x:c r="B1238" s="2" t="inlineStr">
        <x:is>
          <x:t xml:space="preserve">603712</x:t>
        </x:is>
      </x:c>
      <x:c r="C1238" s="3" t="inlineStr">
        <x:is>
          <x:t xml:space="preserve">七一二</x:t>
        </x:is>
      </x:c>
      <x:c r="D1238" s="3" t="inlineStr">
        <x:is>
          <x:t xml:space="preserve">天津七一二通信广播股份有限公司</x:t>
        </x:is>
      </x:c>
      <x:c r="E1238" s="2" t="inlineStr">
        <x:is>
          <x:t xml:space="preserve">天津市</x:t>
        </x:is>
      </x:c>
      <x:c r="F1238" s="2" t="inlineStr">
        <x:is>
          <x:t xml:space="preserve">天津市</x:t>
        </x:is>
      </x:c>
      <x:c r="G1238" s="3" t="inlineStr">
        <x:is>
          <x:t xml:space="preserve">天津市-天津市</x:t>
        </x:is>
      </x:c>
      <x:c r="H1238" s="2" t="inlineStr">
        <x:is>
          <x:t xml:space="preserve">通讯行业</x:t>
        </x:is>
      </x:c>
      <x:c r="I1238" s="2" t="inlineStr">
        <x:is>
          <x:t xml:space="preserve">2018-02-26</x:t>
        </x:is>
      </x:c>
      <x:c r="J1238" s="3" t="inlineStr">
        <x:is>
          <x:t xml:space="preserve">天津开发区西区北大街141号</x:t>
        </x:is>
      </x:c>
      <x:c r="K1238" s="12" t="str">
        <x:f>LEFT("91120116767613953K",18)</x:f>
        <x:v>91120116767613953K</x:v>
      </x:c>
    </x:row>
    <x:row r="1239">
      <x:c r="A1239" s="4" t="n">
        <x:v>1238</x:v>
      </x:c>
      <x:c r="B1239" s="4" t="inlineStr">
        <x:is>
          <x:t xml:space="preserve">603727</x:t>
        </x:is>
      </x:c>
      <x:c r="C1239" s="5" t="inlineStr">
        <x:is>
          <x:t xml:space="preserve">博迈科</x:t>
        </x:is>
      </x:c>
      <x:c r="D1239" s="5" t="inlineStr">
        <x:is>
          <x:t xml:space="preserve">博迈科海洋工程股份有限公司</x:t>
        </x:is>
      </x:c>
      <x:c r="E1239" s="4" t="inlineStr">
        <x:is>
          <x:t xml:space="preserve">天津市</x:t>
        </x:is>
      </x:c>
      <x:c r="F1239" s="4" t="inlineStr">
        <x:is>
          <x:t xml:space="preserve">天津市</x:t>
        </x:is>
      </x:c>
      <x:c r="G1239" s="5" t="inlineStr">
        <x:is>
          <x:t xml:space="preserve">天津市-天津市</x:t>
        </x:is>
      </x:c>
      <x:c r="H1239" s="4" t="inlineStr">
        <x:is>
          <x:t xml:space="preserve">采掘行业</x:t>
        </x:is>
      </x:c>
      <x:c r="I1239" s="4" t="inlineStr">
        <x:is>
          <x:t xml:space="preserve">2016-11-22</x:t>
        </x:is>
      </x:c>
      <x:c r="J1239" s="5" t="inlineStr">
        <x:is>
          <x:t xml:space="preserve">天津经济技术开发区第四大街14号</x:t>
        </x:is>
      </x:c>
      <x:c r="K1239" s="12" t="str">
        <x:f>LEFT("91120116239661863L",18)</x:f>
        <x:v>91120116239661863L</x:v>
      </x:c>
    </x:row>
    <x:row r="1240">
      <x:c r="A1240" s="2" t="n">
        <x:v>1239</x:v>
      </x:c>
      <x:c r="B1240" s="2" t="inlineStr">
        <x:is>
          <x:t xml:space="preserve">603969</x:t>
        </x:is>
      </x:c>
      <x:c r="C1240" s="3" t="inlineStr">
        <x:is>
          <x:t xml:space="preserve">银龙股份</x:t>
        </x:is>
      </x:c>
      <x:c r="D1240" s="3" t="inlineStr">
        <x:is>
          <x:t xml:space="preserve">天津银龙集团股份有限公司</x:t>
        </x:is>
      </x:c>
      <x:c r="E1240" s="2" t="inlineStr">
        <x:is>
          <x:t xml:space="preserve">天津市</x:t>
        </x:is>
      </x:c>
      <x:c r="F1240" s="2" t="inlineStr">
        <x:is>
          <x:t xml:space="preserve">天津市</x:t>
        </x:is>
      </x:c>
      <x:c r="G1240" s="3" t="inlineStr">
        <x:is>
          <x:t xml:space="preserve">天津市-天津市</x:t>
        </x:is>
      </x:c>
      <x:c r="H1240" s="2" t="inlineStr">
        <x:is>
          <x:t xml:space="preserve">通用设备</x:t>
        </x:is>
      </x:c>
      <x:c r="I1240" s="2" t="inlineStr">
        <x:is>
          <x:t xml:space="preserve">2015-02-27</x:t>
        </x:is>
      </x:c>
      <x:c r="J1240" s="3" t="inlineStr">
        <x:is>
          <x:t xml:space="preserve">北辰区双源工业区双江道62号</x:t>
        </x:is>
      </x:c>
      <x:c r="K1240" s="12" t="str">
        <x:f>LEFT("91120000700440939D",18)</x:f>
        <x:v>91120000700440939D</x:v>
      </x:c>
    </x:row>
    <x:row r="1241">
      <x:c r="A1241" s="4" t="n">
        <x:v>1240</x:v>
      </x:c>
      <x:c r="B1241" s="4" t="inlineStr">
        <x:is>
          <x:t xml:space="preserve">688041</x:t>
        </x:is>
      </x:c>
      <x:c r="C1241" s="5" t="inlineStr">
        <x:is>
          <x:t xml:space="preserve">海光信息</x:t>
        </x:is>
      </x:c>
      <x:c r="D1241" s="5" t="inlineStr">
        <x:is>
          <x:t xml:space="preserve">海光信息技术股份有限公司</x:t>
        </x:is>
      </x:c>
      <x:c r="E1241" s="4" t="inlineStr">
        <x:is>
          <x:t xml:space="preserve">天津市</x:t>
        </x:is>
      </x:c>
      <x:c r="F1241" s="4" t="inlineStr">
        <x:is>
          <x:t xml:space="preserve">天津市</x:t>
        </x:is>
      </x:c>
      <x:c r="G1241" s="5" t="inlineStr">
        <x:is>
          <x:t xml:space="preserve">天津市-天津市</x:t>
        </x:is>
      </x:c>
      <x:c r="H1241" s="4" t="inlineStr">
        <x:is>
          <x:t xml:space="preserve">半导体</x:t>
        </x:is>
      </x:c>
      <x:c r="I1241" s="4" t="inlineStr">
        <x:is>
          <x:t xml:space="preserve">2022-08-12</x:t>
        </x:is>
      </x:c>
      <x:c r="J1241" s="5" t="inlineStr">
        <x:is>
          <x:t xml:space="preserve">天津华苑产业区海泰西路18号北2-204工业孵化-3-8</x:t>
        </x:is>
      </x:c>
      <x:c r="K1241" s="12" t="str">
        <x:f>LEFT("911201163004788158",18)</x:f>
        <x:v>911201163004788100</x:v>
      </x:c>
    </x:row>
    <x:row r="1242">
      <x:c r="A1242" s="2" t="n">
        <x:v>1241</x:v>
      </x:c>
      <x:c r="B1242" s="2" t="inlineStr">
        <x:is>
          <x:t xml:space="preserve">688108</x:t>
        </x:is>
      </x:c>
      <x:c r="C1242" s="3" t="inlineStr">
        <x:is>
          <x:t xml:space="preserve">赛诺医疗</x:t>
        </x:is>
      </x:c>
      <x:c r="D1242" s="3" t="inlineStr">
        <x:is>
          <x:t xml:space="preserve">赛诺医疗科学技术股份有限公司</x:t>
        </x:is>
      </x:c>
      <x:c r="E1242" s="2" t="inlineStr">
        <x:is>
          <x:t xml:space="preserve">天津市</x:t>
        </x:is>
      </x:c>
      <x:c r="F1242" s="2" t="inlineStr">
        <x:is>
          <x:t xml:space="preserve">天津市</x:t>
        </x:is>
      </x:c>
      <x:c r="G1242" s="3" t="inlineStr">
        <x:is>
          <x:t xml:space="preserve">天津市-天津市</x:t>
        </x:is>
      </x:c>
      <x:c r="H1242" s="2" t="inlineStr">
        <x:is>
          <x:t xml:space="preserve">医疗器械</x:t>
        </x:is>
      </x:c>
      <x:c r="I1242" s="2" t="inlineStr">
        <x:is>
          <x:t xml:space="preserve">2019-10-30</x:t>
        </x:is>
      </x:c>
      <x:c r="J1242" s="3" t="inlineStr">
        <x:is>
          <x:t xml:space="preserve">天津开发区第四大街5号泰达生物医药研发大厦B区2层</x:t>
        </x:is>
      </x:c>
      <x:c r="K1242" s="12" t="str">
        <x:f>LEFT("91120116666113159A",18)</x:f>
        <x:v>91120116666113159A</x:v>
      </x:c>
    </x:row>
    <x:row r="1243">
      <x:c r="A1243" s="4" t="n">
        <x:v>1242</x:v>
      </x:c>
      <x:c r="B1243" s="4" t="inlineStr">
        <x:is>
          <x:t xml:space="preserve">688120</x:t>
        </x:is>
      </x:c>
      <x:c r="C1243" s="5" t="inlineStr">
        <x:is>
          <x:t xml:space="preserve">华海清科</x:t>
        </x:is>
      </x:c>
      <x:c r="D1243" s="5" t="inlineStr">
        <x:is>
          <x:t xml:space="preserve">华海清科股份有限公司</x:t>
        </x:is>
      </x:c>
      <x:c r="E1243" s="4" t="inlineStr">
        <x:is>
          <x:t xml:space="preserve">天津市</x:t>
        </x:is>
      </x:c>
      <x:c r="F1243" s="4" t="inlineStr">
        <x:is>
          <x:t xml:space="preserve">天津市</x:t>
        </x:is>
      </x:c>
      <x:c r="G1243" s="5" t="inlineStr">
        <x:is>
          <x:t xml:space="preserve">天津市-天津市</x:t>
        </x:is>
      </x:c>
      <x:c r="H1243" s="4" t="inlineStr">
        <x:is>
          <x:t xml:space="preserve">半导体</x:t>
        </x:is>
      </x:c>
      <x:c r="I1243" s="4" t="inlineStr">
        <x:is>
          <x:t xml:space="preserve">2022-06-08</x:t>
        </x:is>
      </x:c>
      <x:c r="J1243" s="5" t="inlineStr">
        <x:is>
          <x:t xml:space="preserve">天津市津南区咸水沽镇聚兴道11号</x:t>
        </x:is>
      </x:c>
      <x:c r="K1243" s="12" t="str">
        <x:f>LEFT("91120112064042488E",18)</x:f>
        <x:v>91120112064042488E</x:v>
      </x:c>
    </x:row>
    <x:row r="1244">
      <x:c r="A1244" s="2" t="n">
        <x:v>1243</x:v>
      </x:c>
      <x:c r="B1244" s="2" t="inlineStr">
        <x:is>
          <x:t xml:space="preserve">688153</x:t>
        </x:is>
      </x:c>
      <x:c r="C1244" s="3" t="inlineStr">
        <x:is>
          <x:t xml:space="preserve">唯捷创芯</x:t>
        </x:is>
      </x:c>
      <x:c r="D1244" s="3" t="inlineStr">
        <x:is>
          <x:t xml:space="preserve">唯捷创芯(天津)电子技术股份有限公司</x:t>
        </x:is>
      </x:c>
      <x:c r="E1244" s="2" t="inlineStr">
        <x:is>
          <x:t xml:space="preserve">天津市</x:t>
        </x:is>
      </x:c>
      <x:c r="F1244" s="2" t="inlineStr">
        <x:is>
          <x:t xml:space="preserve">天津市</x:t>
        </x:is>
      </x:c>
      <x:c r="G1244" s="3" t="inlineStr">
        <x:is>
          <x:t xml:space="preserve">天津市-天津市</x:t>
        </x:is>
      </x:c>
      <x:c r="H1244" s="2" t="inlineStr">
        <x:is>
          <x:t xml:space="preserve">半导体</x:t>
        </x:is>
      </x:c>
      <x:c r="I1244" s="2" t="inlineStr">
        <x:is>
          <x:t xml:space="preserve">2022-04-12</x:t>
        </x:is>
      </x:c>
      <x:c r="J1244" s="3" t="inlineStr">
        <x:is>
          <x:t xml:space="preserve">天津开发区信环西路19号2号楼2701-3室</x:t>
        </x:is>
      </x:c>
      <x:c r="K1244" s="12" t="str">
        <x:f>LEFT("9112011655651308XJ",18)</x:f>
        <x:v>9112011655651308XJ</x:v>
      </x:c>
    </x:row>
    <x:row r="1245">
      <x:c r="A1245" s="4" t="n">
        <x:v>1244</x:v>
      </x:c>
      <x:c r="B1245" s="4" t="inlineStr">
        <x:is>
          <x:t xml:space="preserve">688185</x:t>
        </x:is>
      </x:c>
      <x:c r="C1245" s="5" t="inlineStr">
        <x:is>
          <x:t xml:space="preserve">康希诺</x:t>
        </x:is>
      </x:c>
      <x:c r="D1245" s="5" t="inlineStr">
        <x:is>
          <x:t xml:space="preserve">康希诺生物股份公司</x:t>
        </x:is>
      </x:c>
      <x:c r="E1245" s="4" t="inlineStr">
        <x:is>
          <x:t xml:space="preserve">天津市</x:t>
        </x:is>
      </x:c>
      <x:c r="F1245" s="4" t="inlineStr">
        <x:is>
          <x:t xml:space="preserve">天津市</x:t>
        </x:is>
      </x:c>
      <x:c r="G1245" s="5" t="inlineStr">
        <x:is>
          <x:t xml:space="preserve">天津市-天津市</x:t>
        </x:is>
      </x:c>
      <x:c r="H1245" s="4" t="inlineStr">
        <x:is>
          <x:t xml:space="preserve">生物制品</x:t>
        </x:is>
      </x:c>
      <x:c r="I1245" s="4" t="inlineStr">
        <x:is>
          <x:t xml:space="preserve">2020-08-13</x:t>
        </x:is>
      </x:c>
      <x:c r="J1245" s="5" t="inlineStr">
        <x:is>
          <x:t xml:space="preserve">天津经济技术开发区西区南大街185号西区生物医药园四层401-420</x:t>
        </x:is>
      </x:c>
      <x:c r="K1245" s="12" t="str">
        <x:f>LEFT("91120116681888972M",18)</x:f>
        <x:v>91120116681888972M</x:v>
      </x:c>
    </x:row>
    <x:row r="1246">
      <x:c r="A1246" s="2" t="n">
        <x:v>1245</x:v>
      </x:c>
      <x:c r="B1246" s="2" t="inlineStr">
        <x:is>
          <x:t xml:space="preserve">688199</x:t>
        </x:is>
      </x:c>
      <x:c r="C1246" s="3" t="inlineStr">
        <x:is>
          <x:t xml:space="preserve">久日新材</x:t>
        </x:is>
      </x:c>
      <x:c r="D1246" s="3" t="inlineStr">
        <x:is>
          <x:t xml:space="preserve">天津久日新材料股份有限公司</x:t>
        </x:is>
      </x:c>
      <x:c r="E1246" s="2" t="inlineStr">
        <x:is>
          <x:t xml:space="preserve">天津市</x:t>
        </x:is>
      </x:c>
      <x:c r="F1246" s="2" t="inlineStr">
        <x:is>
          <x:t xml:space="preserve">天津市</x:t>
        </x:is>
      </x:c>
      <x:c r="G1246" s="3" t="inlineStr">
        <x:is>
          <x:t xml:space="preserve">天津市-天津市</x:t>
        </x:is>
      </x:c>
      <x:c r="H1246" s="2" t="inlineStr">
        <x:is>
          <x:t xml:space="preserve">化工行业</x:t>
        </x:is>
      </x:c>
      <x:c r="I1246" s="2" t="inlineStr">
        <x:is>
          <x:t xml:space="preserve">2019-11-05</x:t>
        </x:is>
      </x:c>
      <x:c r="J1246" s="3" t="inlineStr">
        <x:is>
          <x:t xml:space="preserve">天津市北辰区双辰中路22号</x:t>
        </x:is>
      </x:c>
      <x:c r="K1246" s="12" t="str">
        <x:f>LEFT("91120000700593433D",18)</x:f>
        <x:v>91120000700593433D</x:v>
      </x:c>
    </x:row>
    <x:row r="1247">
      <x:c r="A1247" s="4" t="n">
        <x:v>1246</x:v>
      </x:c>
      <x:c r="B1247" s="4" t="inlineStr">
        <x:is>
          <x:t xml:space="preserve">688420</x:t>
        </x:is>
      </x:c>
      <x:c r="C1247" s="5" t="inlineStr">
        <x:is>
          <x:t xml:space="preserve">美腾科技</x:t>
        </x:is>
      </x:c>
      <x:c r="D1247" s="5" t="inlineStr">
        <x:is>
          <x:t xml:space="preserve">天津美腾科技股份有限公司</x:t>
        </x:is>
      </x:c>
      <x:c r="E1247" s="4" t="inlineStr">
        <x:is>
          <x:t xml:space="preserve">天津市</x:t>
        </x:is>
      </x:c>
      <x:c r="F1247" s="4" t="inlineStr">
        <x:is>
          <x:t xml:space="preserve">天津市</x:t>
        </x:is>
      </x:c>
      <x:c r="G1247" s="5" t="inlineStr">
        <x:is>
          <x:t xml:space="preserve">天津市-天津市</x:t>
        </x:is>
      </x:c>
      <x:c r="H1247" s="4" t="inlineStr">
        <x:is>
          <x:t xml:space="preserve">专用设备</x:t>
        </x:is>
      </x:c>
      <x:c r="I1247" s="4" t="inlineStr">
        <x:is>
          <x:t xml:space="preserve">2022-12-09</x:t>
        </x:is>
      </x:c>
      <x:c r="J1247" s="5" t="inlineStr">
        <x:is>
          <x:t xml:space="preserve">天津市滨海新区中新生态城中滨大道以南生态建设公寓8号楼1层137房间</x:t>
        </x:is>
      </x:c>
      <x:c r="K1247" s="12" t="str">
        <x:f>LEFT("91120111328680900X",18)</x:f>
        <x:v>91120111328680900X</x:v>
      </x:c>
    </x:row>
    <x:row r="1248">
      <x:c r="A1248" s="2" t="n">
        <x:v>1247</x:v>
      </x:c>
      <x:c r="B1248" s="2" t="inlineStr">
        <x:is>
          <x:t xml:space="preserve">688818</x:t>
        </x:is>
      </x:c>
      <x:c r="C1248" s="3" t="inlineStr">
        <x:is>
          <x:t xml:space="preserve">电科蓝天</x:t>
        </x:is>
      </x:c>
      <x:c r="D1248" s="3" t="inlineStr">
        <x:is>
          <x:t xml:space="preserve">中电科蓝天科技股份有限公司</x:t>
        </x:is>
      </x:c>
      <x:c r="E1248" s="2" t="inlineStr">
        <x:is>
          <x:t xml:space="preserve">天津市</x:t>
        </x:is>
      </x:c>
      <x:c r="F1248" s="2" t="inlineStr">
        <x:is>
          <x:t xml:space="preserve">天津市</x:t>
        </x:is>
      </x:c>
      <x:c r="G1248" s="3" t="inlineStr">
        <x:is>
          <x:t xml:space="preserve">天津市-天津市</x:t>
        </x:is>
      </x:c>
      <x:c r="H1248" s="2" t="inlineStr">
        <x:is>
          <x:t xml:space="preserve">--</x:t>
        </x:is>
      </x:c>
      <x:c r="I1248" s="2" t="inlineStr">
        <x:is>
          <x:t xml:space="preserve">2026-02-10</x:t>
        </x:is>
      </x:c>
      <x:c r="J1248" s="3" t="inlineStr">
        <x:is>
          <x:t xml:space="preserve">天津市滨海高新技术产业开发区华科七路6号</x:t>
        </x:is>
      </x:c>
      <x:c r="K1248" s="12" t="str">
        <x:f>LEFT("91120116103434354W",18)</x:f>
        <x:v>91120116103434354W</x:v>
      </x:c>
    </x:row>
    <x:row r="1249">
      <x:c r="A1249" s="4" t="n">
        <x:v>1248</x:v>
      </x:c>
      <x:c r="B1249" s="4" t="inlineStr">
        <x:is>
          <x:t xml:space="preserve">000557</x:t>
        </x:is>
      </x:c>
      <x:c r="C1249" s="5" t="inlineStr">
        <x:is>
          <x:t xml:space="preserve">西部创业</x:t>
        </x:is>
      </x:c>
      <x:c r="D1249" s="5" t="inlineStr">
        <x:is>
          <x:t xml:space="preserve">宁夏西部创业实业股份有限公司</x:t>
        </x:is>
      </x:c>
      <x:c r="E1249" s="4" t="inlineStr">
        <x:is>
          <x:t xml:space="preserve">宁夏回族自治区</x:t>
        </x:is>
      </x:c>
      <x:c r="F1249" s="4" t="inlineStr">
        <x:is>
          <x:t xml:space="preserve">银川市</x:t>
        </x:is>
      </x:c>
      <x:c r="G1249" s="5" t="inlineStr">
        <x:is>
          <x:t xml:space="preserve">宁夏回族自治区-银川市</x:t>
        </x:is>
      </x:c>
      <x:c r="H1249" s="4" t="inlineStr">
        <x:is>
          <x:t xml:space="preserve">交运物流</x:t>
        </x:is>
      </x:c>
      <x:c r="I1249" s="4" t="inlineStr">
        <x:is>
          <x:t xml:space="preserve">1994-06-17</x:t>
        </x:is>
      </x:c>
      <x:c r="J1249" s="5" t="inlineStr">
        <x:is>
          <x:t xml:space="preserve">宁夏回族自治区银川市北京中路168号C座一楼</x:t>
        </x:is>
      </x:c>
      <x:c r="K1249" s="12" t="str">
        <x:f>LEFT("91641100624900808C",18)</x:f>
        <x:v>91641100624900808C</x:v>
      </x:c>
    </x:row>
    <x:row r="1250">
      <x:c r="A1250" s="2" t="n">
        <x:v>1249</x:v>
      </x:c>
      <x:c r="B1250" s="2" t="inlineStr">
        <x:is>
          <x:t xml:space="preserve">000595</x:t>
        </x:is>
      </x:c>
      <x:c r="C1250" s="3" t="inlineStr">
        <x:is>
          <x:t xml:space="preserve">*ST宝实</x:t>
        </x:is>
      </x:c>
      <x:c r="D1250" s="3" t="inlineStr">
        <x:is>
          <x:t xml:space="preserve">宁夏国运新能源股份有限公司</x:t>
        </x:is>
      </x:c>
      <x:c r="E1250" s="2" t="inlineStr">
        <x:is>
          <x:t xml:space="preserve">宁夏回族自治区</x:t>
        </x:is>
      </x:c>
      <x:c r="F1250" s="2" t="inlineStr">
        <x:is>
          <x:t xml:space="preserve">银川市</x:t>
        </x:is>
      </x:c>
      <x:c r="G1250" s="3" t="inlineStr">
        <x:is>
          <x:t xml:space="preserve">宁夏回族自治区-银川市</x:t>
        </x:is>
      </x:c>
      <x:c r="H1250" s="2" t="inlineStr">
        <x:is>
          <x:t xml:space="preserve">电力行业</x:t>
        </x:is>
      </x:c>
      <x:c r="I1250" s="2" t="inlineStr">
        <x:is>
          <x:t xml:space="preserve">1996-04-19</x:t>
        </x:is>
      </x:c>
      <x:c r="J1250" s="3" t="inlineStr">
        <x:is>
          <x:t xml:space="preserve">银川市西夏区六盘山西路388号</x:t>
        </x:is>
      </x:c>
      <x:c r="K1250" s="12" t="str">
        <x:f>LEFT("916400002277006421",18)</x:f>
        <x:v>916400002277006500</x:v>
      </x:c>
    </x:row>
    <x:row r="1251">
      <x:c r="A1251" s="4" t="n">
        <x:v>1250</x:v>
      </x:c>
      <x:c r="B1251" s="4" t="inlineStr">
        <x:is>
          <x:t xml:space="preserve">000635</x:t>
        </x:is>
      </x:c>
      <x:c r="C1251" s="5" t="inlineStr">
        <x:is>
          <x:t xml:space="preserve">英力特</x:t>
        </x:is>
      </x:c>
      <x:c r="D1251" s="5" t="inlineStr">
        <x:is>
          <x:t xml:space="preserve">宁夏英力特化工股份有限公司</x:t>
        </x:is>
      </x:c>
      <x:c r="E1251" s="4" t="inlineStr">
        <x:is>
          <x:t xml:space="preserve">宁夏回族自治区</x:t>
        </x:is>
      </x:c>
      <x:c r="F1251" s="4" t="inlineStr">
        <x:is>
          <x:t xml:space="preserve">石嘴山市</x:t>
        </x:is>
      </x:c>
      <x:c r="G1251" s="5" t="inlineStr">
        <x:is>
          <x:t xml:space="preserve">宁夏回族自治区-石嘴山市</x:t>
        </x:is>
      </x:c>
      <x:c r="H1251" s="4" t="inlineStr">
        <x:is>
          <x:t xml:space="preserve">化学原料</x:t>
        </x:is>
      </x:c>
      <x:c r="I1251" s="4" t="inlineStr">
        <x:is>
          <x:t xml:space="preserve">1996-11-20</x:t>
        </x:is>
      </x:c>
      <x:c r="J1251" s="5" t="inlineStr">
        <x:is>
          <x:t xml:space="preserve">宁夏石嘴山市惠农区钢电路</x:t>
        </x:is>
      </x:c>
      <x:c r="K1251" s="12" t="str">
        <x:f>LEFT("91640000227693163J",18)</x:f>
        <x:v>91640000227693163J</x:v>
      </x:c>
    </x:row>
    <x:row r="1252">
      <x:c r="A1252" s="2" t="n">
        <x:v>1251</x:v>
      </x:c>
      <x:c r="B1252" s="2" t="inlineStr">
        <x:is>
          <x:t xml:space="preserve">000815</x:t>
        </x:is>
      </x:c>
      <x:c r="C1252" s="3" t="inlineStr">
        <x:is>
          <x:t xml:space="preserve">美利云</x:t>
        </x:is>
      </x:c>
      <x:c r="D1252" s="3" t="inlineStr">
        <x:is>
          <x:t xml:space="preserve">中冶美利云产业投资股份有限公司</x:t>
        </x:is>
      </x:c>
      <x:c r="E1252" s="2" t="inlineStr">
        <x:is>
          <x:t xml:space="preserve">宁夏回族自治区</x:t>
        </x:is>
      </x:c>
      <x:c r="F1252" s="2" t="inlineStr">
        <x:is>
          <x:t xml:space="preserve">中卫市</x:t>
        </x:is>
      </x:c>
      <x:c r="G1252" s="3" t="inlineStr">
        <x:is>
          <x:t xml:space="preserve">宁夏回族自治区-中卫市</x:t>
        </x:is>
      </x:c>
      <x:c r="H1252" s="2" t="inlineStr">
        <x:is>
          <x:t xml:space="preserve">通信服务</x:t>
        </x:is>
      </x:c>
      <x:c r="I1252" s="2" t="inlineStr">
        <x:is>
          <x:t xml:space="preserve">1998-06-09</x:t>
        </x:is>
      </x:c>
      <x:c r="J1252" s="3" t="inlineStr">
        <x:is>
          <x:t xml:space="preserve">宁夏回族自治区中卫市</x:t>
        </x:is>
      </x:c>
      <x:c r="K1252" s="12" t="str">
        <x:f>LEFT("916400002276950035",18)</x:f>
        <x:v>916400002276950000</x:v>
      </x:c>
    </x:row>
    <x:row r="1253">
      <x:c r="A1253" s="4" t="n">
        <x:v>1252</x:v>
      </x:c>
      <x:c r="B1253" s="4" t="inlineStr">
        <x:is>
          <x:t xml:space="preserve">000862</x:t>
        </x:is>
      </x:c>
      <x:c r="C1253" s="5" t="inlineStr">
        <x:is>
          <x:t xml:space="preserve">银星能源</x:t>
        </x:is>
      </x:c>
      <x:c r="D1253" s="5" t="inlineStr">
        <x:is>
          <x:t xml:space="preserve">宁夏银星能源股份有限公司</x:t>
        </x:is>
      </x:c>
      <x:c r="E1253" s="4" t="inlineStr">
        <x:is>
          <x:t xml:space="preserve">宁夏回族自治区</x:t>
        </x:is>
      </x:c>
      <x:c r="F1253" s="4" t="inlineStr">
        <x:is>
          <x:t xml:space="preserve">银川市</x:t>
        </x:is>
      </x:c>
      <x:c r="G1253" s="5" t="inlineStr">
        <x:is>
          <x:t xml:space="preserve">宁夏回族自治区-银川市</x:t>
        </x:is>
      </x:c>
      <x:c r="H1253" s="4" t="inlineStr">
        <x:is>
          <x:t xml:space="preserve">电力行业</x:t>
        </x:is>
      </x:c>
      <x:c r="I1253" s="4" t="inlineStr">
        <x:is>
          <x:t xml:space="preserve">1998-09-15</x:t>
        </x:is>
      </x:c>
      <x:c r="J1253" s="5" t="inlineStr">
        <x:is>
          <x:t xml:space="preserve">宁夏回族自治区银川市西夏区六盘山西路166号</x:t>
        </x:is>
      </x:c>
      <x:c r="K1253" s="12" t="str">
        <x:f>LEFT("91640000228281734A",18)</x:f>
        <x:v>91640000228281734A</x:v>
      </x:c>
    </x:row>
    <x:row r="1254">
      <x:c r="A1254" s="2" t="n">
        <x:v>1253</x:v>
      </x:c>
      <x:c r="B1254" s="2" t="inlineStr">
        <x:is>
          <x:t xml:space="preserve">000962</x:t>
        </x:is>
      </x:c>
      <x:c r="C1254" s="3" t="inlineStr">
        <x:is>
          <x:t xml:space="preserve">东方钽业</x:t>
        </x:is>
      </x:c>
      <x:c r="D1254" s="3" t="inlineStr">
        <x:is>
          <x:t xml:space="preserve">宁夏东方钽业股份有限公司</x:t>
        </x:is>
      </x:c>
      <x:c r="E1254" s="2" t="inlineStr">
        <x:is>
          <x:t xml:space="preserve">宁夏回族自治区</x:t>
        </x:is>
      </x:c>
      <x:c r="F1254" s="2" t="inlineStr">
        <x:is>
          <x:t xml:space="preserve">石嘴山市</x:t>
        </x:is>
      </x:c>
      <x:c r="G1254" s="3" t="inlineStr">
        <x:is>
          <x:t xml:space="preserve">宁夏回族自治区-石嘴山市</x:t>
        </x:is>
      </x:c>
      <x:c r="H1254" s="2" t="inlineStr">
        <x:is>
          <x:t xml:space="preserve">小金属</x:t>
        </x:is>
      </x:c>
      <x:c r="I1254" s="2" t="inlineStr">
        <x:is>
          <x:t xml:space="preserve">2000-01-20</x:t>
        </x:is>
      </x:c>
      <x:c r="J1254" s="3" t="inlineStr">
        <x:is>
          <x:t xml:space="preserve">宁夏回族自治区石嘴山市大武口区冶金路</x:t>
        </x:is>
      </x:c>
      <x:c r="K1254" s="12" t="str">
        <x:f>LEFT("916400007106545275",18)</x:f>
        <x:v>916400007106545300</x:v>
      </x:c>
    </x:row>
    <x:row r="1255">
      <x:c r="A1255" s="4" t="n">
        <x:v>1254</x:v>
      </x:c>
      <x:c r="B1255" s="4" t="inlineStr">
        <x:is>
          <x:t xml:space="preserve">002457</x:t>
        </x:is>
      </x:c>
      <x:c r="C1255" s="5" t="inlineStr">
        <x:is>
          <x:t xml:space="preserve">青龙管业</x:t>
        </x:is>
      </x:c>
      <x:c r="D1255" s="5" t="inlineStr">
        <x:is>
          <x:t xml:space="preserve">青龙管业集团股份有限公司</x:t>
        </x:is>
      </x:c>
      <x:c r="E1255" s="4" t="inlineStr">
        <x:is>
          <x:t xml:space="preserve">宁夏回族自治区</x:t>
        </x:is>
      </x:c>
      <x:c r="F1255" s="4" t="inlineStr">
        <x:is>
          <x:t xml:space="preserve">区青铜峡市</x:t>
        </x:is>
      </x:c>
      <x:c r="G1255" s="5" t="inlineStr">
        <x:is>
          <x:t xml:space="preserve">宁夏回族自治区-区青铜峡市</x:t>
        </x:is>
      </x:c>
      <x:c r="H1255" s="4" t="inlineStr">
        <x:is>
          <x:t xml:space="preserve">装修建材</x:t>
        </x:is>
      </x:c>
      <x:c r="I1255" s="4" t="inlineStr">
        <x:is>
          <x:t xml:space="preserve">2010-08-03</x:t>
        </x:is>
      </x:c>
      <x:c r="J1255" s="5" t="inlineStr">
        <x:is>
          <x:t xml:space="preserve">宁夏回族自治区青铜峡市河西</x:t>
        </x:is>
      </x:c>
      <x:c r="K1255" s="12" t="str">
        <x:f>LEFT("91640000710638367B",18)</x:f>
        <x:v>91640000710638367B</x:v>
      </x:c>
    </x:row>
    <x:row r="1256">
      <x:c r="A1256" s="2" t="n">
        <x:v>1255</x:v>
      </x:c>
      <x:c r="B1256" s="2" t="inlineStr">
        <x:is>
          <x:t xml:space="preserve">300904</x:t>
        </x:is>
      </x:c>
      <x:c r="C1256" s="3" t="inlineStr">
        <x:is>
          <x:t xml:space="preserve">威力传动</x:t>
        </x:is>
      </x:c>
      <x:c r="D1256" s="3" t="inlineStr">
        <x:is>
          <x:t xml:space="preserve">银川威力传动技术股份有限公司</x:t>
        </x:is>
      </x:c>
      <x:c r="E1256" s="2" t="inlineStr">
        <x:is>
          <x:t xml:space="preserve">宁夏回族自治区</x:t>
        </x:is>
      </x:c>
      <x:c r="F1256" s="2" t="inlineStr">
        <x:is>
          <x:t xml:space="preserve">银川市</x:t>
        </x:is>
      </x:c>
      <x:c r="G1256" s="3" t="inlineStr">
        <x:is>
          <x:t xml:space="preserve">宁夏回族自治区-银川市</x:t>
        </x:is>
      </x:c>
      <x:c r="H1256" s="2" t="inlineStr">
        <x:is>
          <x:t xml:space="preserve">风电设备</x:t>
        </x:is>
      </x:c>
      <x:c r="I1256" s="2" t="inlineStr">
        <x:is>
          <x:t xml:space="preserve">2023-08-09</x:t>
        </x:is>
      </x:c>
      <x:c r="J1256" s="3" t="inlineStr">
        <x:is>
          <x:t xml:space="preserve">宁夏银川市西夏区文萃南街600号</x:t>
        </x:is>
      </x:c>
      <x:c r="K1256" s="12" t="str">
        <x:f>LEFT("91641100750821094Q",18)</x:f>
        <x:v>91641100750821094Q</x:v>
      </x:c>
    </x:row>
    <x:row r="1257">
      <x:c r="A1257" s="4" t="n">
        <x:v>1256</x:v>
      </x:c>
      <x:c r="B1257" s="4" t="inlineStr">
        <x:is>
          <x:t xml:space="preserve">300967</x:t>
        </x:is>
      </x:c>
      <x:c r="C1257" s="5" t="inlineStr">
        <x:is>
          <x:t xml:space="preserve">晓鸣股份</x:t>
        </x:is>
      </x:c>
      <x:c r="D1257" s="5" t="inlineStr">
        <x:is>
          <x:t xml:space="preserve">宁夏晓鸣农牧股份有限公司</x:t>
        </x:is>
      </x:c>
      <x:c r="E1257" s="4" t="inlineStr">
        <x:is>
          <x:t xml:space="preserve">宁夏回族自治区</x:t>
        </x:is>
      </x:c>
      <x:c r="F1257" s="4" t="inlineStr">
        <x:is>
          <x:t xml:space="preserve">银川市</x:t>
        </x:is>
      </x:c>
      <x:c r="G1257" s="5" t="inlineStr">
        <x:is>
          <x:t xml:space="preserve">宁夏回族自治区-银川市</x:t>
        </x:is>
      </x:c>
      <x:c r="H1257" s="4" t="inlineStr">
        <x:is>
          <x:t xml:space="preserve">农牧饲渔</x:t>
        </x:is>
      </x:c>
      <x:c r="I1257" s="4" t="inlineStr">
        <x:is>
          <x:t xml:space="preserve">2021-04-13</x:t>
        </x:is>
      </x:c>
      <x:c r="J1257" s="5" t="inlineStr">
        <x:is>
          <x:t xml:space="preserve">永宁县黄羊滩沿山公路93公里处向西3公里处</x:t>
        </x:is>
      </x:c>
      <x:c r="K1257" s="12" t="str">
        <x:f>LEFT("91640000574864668D",18)</x:f>
        <x:v>91640000574864668D</x:v>
      </x:c>
    </x:row>
    <x:row r="1258">
      <x:c r="A1258" s="2" t="n">
        <x:v>1257</x:v>
      </x:c>
      <x:c r="B1258" s="2" t="inlineStr">
        <x:is>
          <x:t xml:space="preserve">600165</x:t>
        </x:is>
      </x:c>
      <x:c r="C1258" s="3" t="inlineStr">
        <x:is>
          <x:t xml:space="preserve">*ST宁科</x:t>
        </x:is>
      </x:c>
      <x:c r="D1258" s="3" t="inlineStr">
        <x:is>
          <x:t xml:space="preserve">宁夏中科生物科技股份有限公司</x:t>
        </x:is>
      </x:c>
      <x:c r="E1258" s="2" t="inlineStr">
        <x:is>
          <x:t xml:space="preserve">宁夏回族自治区</x:t>
        </x:is>
      </x:c>
      <x:c r="F1258" s="2" t="inlineStr">
        <x:is>
          <x:t xml:space="preserve">石嘴山市</x:t>
        </x:is>
      </x:c>
      <x:c r="G1258" s="3" t="inlineStr">
        <x:is>
          <x:t xml:space="preserve">宁夏回族自治区-石嘴山市</x:t>
        </x:is>
      </x:c>
      <x:c r="H1258" s="2" t="inlineStr">
        <x:is>
          <x:t xml:space="preserve">化学制品</x:t>
        </x:is>
      </x:c>
      <x:c r="I1258" s="2" t="inlineStr">
        <x:is>
          <x:t xml:space="preserve">1998-05-29</x:t>
        </x:is>
      </x:c>
      <x:c r="J1258" s="3" t="inlineStr">
        <x:is>
          <x:t xml:space="preserve">宁夏回族自治区石嘴山市惠农区河滨街</x:t>
        </x:is>
      </x:c>
      <x:c r="K1258" s="12" t="str">
        <x:f>LEFT("91640000227694836P",18)</x:f>
        <x:v>91640000227694836P</x:v>
      </x:c>
    </x:row>
    <x:row r="1259">
      <x:c r="A1259" s="4" t="n">
        <x:v>1258</x:v>
      </x:c>
      <x:c r="B1259" s="4" t="inlineStr">
        <x:is>
          <x:t xml:space="preserve">600449</x:t>
        </x:is>
      </x:c>
      <x:c r="C1259" s="5" t="inlineStr">
        <x:is>
          <x:t xml:space="preserve">宁夏建材</x:t>
        </x:is>
      </x:c>
      <x:c r="D1259" s="5" t="inlineStr">
        <x:is>
          <x:t xml:space="preserve">宁夏建材集团股份有限公司</x:t>
        </x:is>
      </x:c>
      <x:c r="E1259" s="4" t="inlineStr">
        <x:is>
          <x:t xml:space="preserve">宁夏回族自治区</x:t>
        </x:is>
      </x:c>
      <x:c r="F1259" s="4" t="inlineStr">
        <x:is>
          <x:t xml:space="preserve">银川市</x:t>
        </x:is>
      </x:c>
      <x:c r="G1259" s="5" t="inlineStr">
        <x:is>
          <x:t xml:space="preserve">宁夏回族自治区-银川市</x:t>
        </x:is>
      </x:c>
      <x:c r="H1259" s="4" t="inlineStr">
        <x:is>
          <x:t xml:space="preserve">水泥建材</x:t>
        </x:is>
      </x:c>
      <x:c r="I1259" s="4" t="inlineStr">
        <x:is>
          <x:t xml:space="preserve">2003-08-29</x:t>
        </x:is>
      </x:c>
      <x:c r="J1259" s="5" t="inlineStr">
        <x:is>
          <x:t xml:space="preserve">宁夏银川市西夏区新小线二公里处</x:t>
        </x:is>
      </x:c>
      <x:c r="K1259" s="12" t="str">
        <x:f>LEFT("916400007106597906",18)</x:f>
        <x:v>916400007106597900</x:v>
      </x:c>
    </x:row>
    <x:row r="1260">
      <x:c r="A1260" s="2" t="n">
        <x:v>1259</x:v>
      </x:c>
      <x:c r="B1260" s="2" t="inlineStr">
        <x:is>
          <x:t xml:space="preserve">600785</x:t>
        </x:is>
      </x:c>
      <x:c r="C1260" s="3" t="inlineStr">
        <x:is>
          <x:t xml:space="preserve">新华百货</x:t>
        </x:is>
      </x:c>
      <x:c r="D1260" s="3" t="inlineStr">
        <x:is>
          <x:t xml:space="preserve">银川新华百货商业集团股份有限公司</x:t>
        </x:is>
      </x:c>
      <x:c r="E1260" s="2" t="inlineStr">
        <x:is>
          <x:t xml:space="preserve">宁夏回族自治区</x:t>
        </x:is>
      </x:c>
      <x:c r="F1260" s="2" t="inlineStr">
        <x:is>
          <x:t xml:space="preserve">银川市</x:t>
        </x:is>
      </x:c>
      <x:c r="G1260" s="3" t="inlineStr">
        <x:is>
          <x:t xml:space="preserve">宁夏回族自治区-银川市</x:t>
        </x:is>
      </x:c>
      <x:c r="H1260" s="2" t="inlineStr">
        <x:is>
          <x:t xml:space="preserve">商业百货</x:t>
        </x:is>
      </x:c>
      <x:c r="I1260" s="2" t="inlineStr">
        <x:is>
          <x:t xml:space="preserve">1997-01-08</x:t>
        </x:is>
      </x:c>
      <x:c r="J1260" s="3" t="inlineStr">
        <x:is>
          <x:t xml:space="preserve">宁夏回族自治区银川市兴庆区新华东街97号</x:t>
        </x:is>
      </x:c>
      <x:c r="K1260" s="12" t="str">
        <x:f>LEFT("91640000227693286K",18)</x:f>
        <x:v>91640000227693286K</x:v>
      </x:c>
    </x:row>
    <x:row r="1261">
      <x:c r="A1261" s="4" t="n">
        <x:v>1260</x:v>
      </x:c>
      <x:c r="B1261" s="4" t="inlineStr">
        <x:is>
          <x:t xml:space="preserve">600989</x:t>
        </x:is>
      </x:c>
      <x:c r="C1261" s="5" t="inlineStr">
        <x:is>
          <x:t xml:space="preserve">宝丰能源</x:t>
        </x:is>
      </x:c>
      <x:c r="D1261" s="5" t="inlineStr">
        <x:is>
          <x:t xml:space="preserve">宁夏宝丰能源集团股份有限公司</x:t>
        </x:is>
      </x:c>
      <x:c r="E1261" s="4" t="inlineStr">
        <x:is>
          <x:t xml:space="preserve">宁夏回族自治区</x:t>
        </x:is>
      </x:c>
      <x:c r="F1261" s="4" t="inlineStr">
        <x:is>
          <x:t xml:space="preserve">银川市</x:t>
        </x:is>
      </x:c>
      <x:c r="G1261" s="5" t="inlineStr">
        <x:is>
          <x:t xml:space="preserve">宁夏回族自治区-银川市</x:t>
        </x:is>
      </x:c>
      <x:c r="H1261" s="4" t="inlineStr">
        <x:is>
          <x:t xml:space="preserve">化学原料</x:t>
        </x:is>
      </x:c>
      <x:c r="I1261" s="4" t="inlineStr">
        <x:is>
          <x:t xml:space="preserve">2019-05-16</x:t>
        </x:is>
      </x:c>
      <x:c r="J1261" s="5" t="inlineStr">
        <x:is>
          <x:t xml:space="preserve">宁夏银川市宁东能源化工基地宝丰循环经济工业园区</x:t>
        </x:is>
      </x:c>
      <x:c r="K1261" s="12" t="str">
        <x:f>LEFT("916400007749178406",18)</x:f>
        <x:v>916400007749178400</x:v>
      </x:c>
    </x:row>
    <x:row r="1262">
      <x:c r="A1262" s="2" t="n">
        <x:v>1261</x:v>
      </x:c>
      <x:c r="B1262" s="2" t="inlineStr">
        <x:is>
          <x:t xml:space="preserve">601619</x:t>
        </x:is>
      </x:c>
      <x:c r="C1262" s="3" t="inlineStr">
        <x:is>
          <x:t xml:space="preserve">嘉泽新能</x:t>
        </x:is>
      </x:c>
      <x:c r="D1262" s="3" t="inlineStr">
        <x:is>
          <x:t xml:space="preserve">嘉泽新能源股份有限公司</x:t>
        </x:is>
      </x:c>
      <x:c r="E1262" s="2" t="inlineStr">
        <x:is>
          <x:t xml:space="preserve">宁夏回族自治区</x:t>
        </x:is>
      </x:c>
      <x:c r="F1262" s="2" t="inlineStr">
        <x:is>
          <x:t xml:space="preserve">吴忠市</x:t>
        </x:is>
      </x:c>
      <x:c r="G1262" s="3" t="inlineStr">
        <x:is>
          <x:t xml:space="preserve">宁夏回族自治区-吴忠市</x:t>
        </x:is>
      </x:c>
      <x:c r="H1262" s="2" t="inlineStr">
        <x:is>
          <x:t xml:space="preserve">电力行业</x:t>
        </x:is>
      </x:c>
      <x:c r="I1262" s="2" t="inlineStr">
        <x:is>
          <x:t xml:space="preserve">2017-07-20</x:t>
        </x:is>
      </x:c>
      <x:c r="J1262" s="3" t="inlineStr">
        <x:is>
          <x:t xml:space="preserve">宁夏回族自治区红寺堡区大河乡垭隘子</x:t>
        </x:is>
      </x:c>
      <x:c r="K1262" s="12" t="str">
        <x:f>LEFT("91640000694347868H",18)</x:f>
        <x:v>91640000694347868H</x:v>
      </x:c>
    </x:row>
    <x:row r="1263">
      <x:c r="A1263" s="4" t="n">
        <x:v>1262</x:v>
      </x:c>
      <x:c r="B1263" s="4" t="inlineStr">
        <x:is>
          <x:t xml:space="preserve">000153</x:t>
        </x:is>
      </x:c>
      <x:c r="C1263" s="5" t="inlineStr">
        <x:is>
          <x:t xml:space="preserve">丰原药业</x:t>
        </x:is>
      </x:c>
      <x:c r="D1263" s="5" t="inlineStr">
        <x:is>
          <x:t xml:space="preserve">安徽丰原药业股份有限公司</x:t>
        </x:is>
      </x:c>
      <x:c r="E1263" s="4" t="inlineStr">
        <x:is>
          <x:t xml:space="preserve">安徽省</x:t>
        </x:is>
      </x:c>
      <x:c r="F1263" s="4" t="inlineStr">
        <x:is>
          <x:t xml:space="preserve">芜湖市</x:t>
        </x:is>
      </x:c>
      <x:c r="G1263" s="5" t="inlineStr">
        <x:is>
          <x:t xml:space="preserve">安徽省-芜湖市</x:t>
        </x:is>
      </x:c>
      <x:c r="H1263" s="4" t="inlineStr">
        <x:is>
          <x:t xml:space="preserve">医药制造</x:t>
        </x:is>
      </x:c>
      <x:c r="I1263" s="4" t="inlineStr">
        <x:is>
          <x:t xml:space="preserve">2000-09-20</x:t>
        </x:is>
      </x:c>
      <x:c r="J1263" s="5" t="inlineStr">
        <x:is>
          <x:t xml:space="preserve">安徽省芜湖市无为市通江大道188号</x:t>
        </x:is>
      </x:c>
      <x:c r="K1263" s="12" t="str">
        <x:f>LEFT("91340200153701860P",18)</x:f>
        <x:v>91340200153701860P</x:v>
      </x:c>
    </x:row>
    <x:row r="1264">
      <x:c r="A1264" s="2" t="n">
        <x:v>1263</x:v>
      </x:c>
      <x:c r="B1264" s="2" t="inlineStr">
        <x:is>
          <x:t xml:space="preserve">000417</x:t>
        </x:is>
      </x:c>
      <x:c r="C1264" s="3" t="inlineStr">
        <x:is>
          <x:t xml:space="preserve">合百集团</x:t>
        </x:is>
      </x:c>
      <x:c r="D1264" s="3" t="inlineStr">
        <x:is>
          <x:t xml:space="preserve">合肥百货大楼集团股份有限公司</x:t>
        </x:is>
      </x:c>
      <x:c r="E1264" s="2" t="inlineStr">
        <x:is>
          <x:t xml:space="preserve">安徽省</x:t>
        </x:is>
      </x:c>
      <x:c r="F1264" s="2" t="inlineStr">
        <x:is>
          <x:t xml:space="preserve">合肥市</x:t>
        </x:is>
      </x:c>
      <x:c r="G1264" s="3" t="inlineStr">
        <x:is>
          <x:t xml:space="preserve">安徽省-合肥市</x:t>
        </x:is>
      </x:c>
      <x:c r="H1264" s="2" t="inlineStr">
        <x:is>
          <x:t xml:space="preserve">商业百货</x:t>
        </x:is>
      </x:c>
      <x:c r="I1264" s="2" t="inlineStr">
        <x:is>
          <x:t xml:space="preserve">1996-08-12</x:t>
        </x:is>
      </x:c>
      <x:c r="J1264" s="3" t="inlineStr">
        <x:is>
          <x:t xml:space="preserve">安徽省合肥市长江中路150号</x:t>
        </x:is>
      </x:c>
      <x:c r="K1264" s="12" t="str">
        <x:f>LEFT("913400001490341376",18)</x:f>
        <x:v>913400001490341400</x:v>
      </x:c>
    </x:row>
    <x:row r="1265">
      <x:c r="A1265" s="4" t="n">
        <x:v>1264</x:v>
      </x:c>
      <x:c r="B1265" s="4" t="inlineStr">
        <x:is>
          <x:t xml:space="preserve">000521</x:t>
        </x:is>
      </x:c>
      <x:c r="C1265" s="5" t="inlineStr">
        <x:is>
          <x:t xml:space="preserve">长虹美菱</x:t>
        </x:is>
      </x:c>
      <x:c r="D1265" s="5" t="inlineStr">
        <x:is>
          <x:t xml:space="preserve">长虹美菱股份有限公司</x:t>
        </x:is>
      </x:c>
      <x:c r="E1265" s="4" t="inlineStr">
        <x:is>
          <x:t xml:space="preserve">安徽省</x:t>
        </x:is>
      </x:c>
      <x:c r="F1265" s="4" t="inlineStr">
        <x:is>
          <x:t xml:space="preserve">合肥市</x:t>
        </x:is>
      </x:c>
      <x:c r="G1265" s="5" t="inlineStr">
        <x:is>
          <x:t xml:space="preserve">安徽省-合肥市</x:t>
        </x:is>
      </x:c>
      <x:c r="H1265" s="4" t="inlineStr">
        <x:is>
          <x:t xml:space="preserve">家电行业</x:t>
        </x:is>
      </x:c>
      <x:c r="I1265" s="4" t="inlineStr">
        <x:is>
          <x:t xml:space="preserve">1993-10-18</x:t>
        </x:is>
      </x:c>
      <x:c r="J1265" s="5" t="inlineStr">
        <x:is>
          <x:t xml:space="preserve">合肥市经济技术开发区莲花路2163号</x:t>
        </x:is>
      </x:c>
      <x:c r="K1265" s="12" t="str">
        <x:f>LEFT("9134000014918555XK",18)</x:f>
        <x:v>9134000014918555XK</x:v>
      </x:c>
    </x:row>
    <x:row r="1266">
      <x:c r="A1266" s="2" t="n">
        <x:v>1265</x:v>
      </x:c>
      <x:c r="B1266" s="2" t="inlineStr">
        <x:is>
          <x:t xml:space="preserve">000543</x:t>
        </x:is>
      </x:c>
      <x:c r="C1266" s="3" t="inlineStr">
        <x:is>
          <x:t xml:space="preserve">皖能电力</x:t>
        </x:is>
      </x:c>
      <x:c r="D1266" s="3" t="inlineStr">
        <x:is>
          <x:t xml:space="preserve">安徽省皖能股份有限公司</x:t>
        </x:is>
      </x:c>
      <x:c r="E1266" s="2" t="inlineStr">
        <x:is>
          <x:t xml:space="preserve">安徽省</x:t>
        </x:is>
      </x:c>
      <x:c r="F1266" s="2" t="inlineStr">
        <x:is>
          <x:t xml:space="preserve">合肥市</x:t>
        </x:is>
      </x:c>
      <x:c r="G1266" s="3" t="inlineStr">
        <x:is>
          <x:t xml:space="preserve">安徽省-合肥市</x:t>
        </x:is>
      </x:c>
      <x:c r="H1266" s="2" t="inlineStr">
        <x:is>
          <x:t xml:space="preserve">电力行业</x:t>
        </x:is>
      </x:c>
      <x:c r="I1266" s="2" t="inlineStr">
        <x:is>
          <x:t xml:space="preserve">1993-12-20</x:t>
        </x:is>
      </x:c>
      <x:c r="J1266" s="3" t="inlineStr">
        <x:is>
          <x:t xml:space="preserve">合肥市马鞍山路76号能源大厦</x:t>
        </x:is>
      </x:c>
      <x:c r="K1266" s="12" t="str">
        <x:f>LEFT("913400001489495895",18)</x:f>
        <x:v>913400001489495900</x:v>
      </x:c>
    </x:row>
    <x:row r="1267">
      <x:c r="A1267" s="4" t="n">
        <x:v>1266</x:v>
      </x:c>
      <x:c r="B1267" s="4" t="inlineStr">
        <x:is>
          <x:t xml:space="preserve">000596</x:t>
        </x:is>
      </x:c>
      <x:c r="C1267" s="5" t="inlineStr">
        <x:is>
          <x:t xml:space="preserve">古井贡酒</x:t>
        </x:is>
      </x:c>
      <x:c r="D1267" s="5" t="inlineStr">
        <x:is>
          <x:t xml:space="preserve">安徽古井贡酒股份有限公司</x:t>
        </x:is>
      </x:c>
      <x:c r="E1267" s="4" t="inlineStr">
        <x:is>
          <x:t xml:space="preserve">安徽省</x:t>
        </x:is>
      </x:c>
      <x:c r="F1267" s="4" t="inlineStr">
        <x:is>
          <x:t xml:space="preserve">亳州市</x:t>
        </x:is>
      </x:c>
      <x:c r="G1267" s="5" t="inlineStr">
        <x:is>
          <x:t xml:space="preserve">安徽省-亳州市</x:t>
        </x:is>
      </x:c>
      <x:c r="H1267" s="4" t="inlineStr">
        <x:is>
          <x:t xml:space="preserve">酿酒行业</x:t>
        </x:is>
      </x:c>
      <x:c r="I1267" s="4" t="inlineStr">
        <x:is>
          <x:t xml:space="preserve">1996-09-27</x:t>
        </x:is>
      </x:c>
      <x:c r="J1267" s="5" t="inlineStr">
        <x:is>
          <x:t xml:space="preserve">安徽省亳州市古井镇</x:t>
        </x:is>
      </x:c>
      <x:c r="K1267" s="12" t="str">
        <x:f>LEFT("913400001519400083",18)</x:f>
        <x:v>913400001519400100</x:v>
      </x:c>
    </x:row>
    <x:row r="1268">
      <x:c r="A1268" s="2" t="n">
        <x:v>1267</x:v>
      </x:c>
      <x:c r="B1268" s="2" t="inlineStr">
        <x:is>
          <x:t xml:space="preserve">000619</x:t>
        </x:is>
      </x:c>
      <x:c r="C1268" s="3" t="inlineStr">
        <x:is>
          <x:t xml:space="preserve">海螺新材</x:t>
        </x:is>
      </x:c>
      <x:c r="D1268" s="3" t="inlineStr">
        <x:is>
          <x:t xml:space="preserve">海螺(安徽)节能环保新材料股份有限公司</x:t>
        </x:is>
      </x:c>
      <x:c r="E1268" s="2" t="inlineStr">
        <x:is>
          <x:t xml:space="preserve">安徽省</x:t>
        </x:is>
      </x:c>
      <x:c r="F1268" s="2" t="inlineStr">
        <x:is>
          <x:t xml:space="preserve">芜湖市</x:t>
        </x:is>
      </x:c>
      <x:c r="G1268" s="3" t="inlineStr">
        <x:is>
          <x:t xml:space="preserve">安徽省-芜湖市</x:t>
        </x:is>
      </x:c>
      <x:c r="H1268" s="2" t="inlineStr">
        <x:is>
          <x:t xml:space="preserve">装修建材</x:t>
        </x:is>
      </x:c>
      <x:c r="I1268" s="2" t="inlineStr">
        <x:is>
          <x:t xml:space="preserve">1996-10-23</x:t>
        </x:is>
      </x:c>
      <x:c r="J1268" s="3" t="inlineStr">
        <x:is>
          <x:t xml:space="preserve">安徽省芜湖市经济开发区港湾路38号</x:t>
        </x:is>
      </x:c>
      <x:c r="K1268" s="12" t="str">
        <x:f>LEFT("91340200719962016K",18)</x:f>
        <x:v>91340200719962016K</x:v>
      </x:c>
    </x:row>
    <x:row r="1269">
      <x:c r="A1269" s="4" t="n">
        <x:v>1268</x:v>
      </x:c>
      <x:c r="B1269" s="4" t="inlineStr">
        <x:is>
          <x:t xml:space="preserve">000630</x:t>
        </x:is>
      </x:c>
      <x:c r="C1269" s="5" t="inlineStr">
        <x:is>
          <x:t xml:space="preserve">铜陵有色</x:t>
        </x:is>
      </x:c>
      <x:c r="D1269" s="5" t="inlineStr">
        <x:is>
          <x:t xml:space="preserve">铜陵有色金属集团股份有限公司</x:t>
        </x:is>
      </x:c>
      <x:c r="E1269" s="4" t="inlineStr">
        <x:is>
          <x:t xml:space="preserve">安徽省</x:t>
        </x:is>
      </x:c>
      <x:c r="F1269" s="4" t="inlineStr">
        <x:is>
          <x:t xml:space="preserve">铜陵市</x:t>
        </x:is>
      </x:c>
      <x:c r="G1269" s="5" t="inlineStr">
        <x:is>
          <x:t xml:space="preserve">安徽省-铜陵市</x:t>
        </x:is>
      </x:c>
      <x:c r="H1269" s="4" t="inlineStr">
        <x:is>
          <x:t xml:space="preserve">有色金属</x:t>
        </x:is>
      </x:c>
      <x:c r="I1269" s="4" t="inlineStr">
        <x:is>
          <x:t xml:space="preserve">1996-11-20</x:t>
        </x:is>
      </x:c>
      <x:c r="J1269" s="5" t="inlineStr">
        <x:is>
          <x:t xml:space="preserve">安徽省铜陵市长江西路</x:t>
        </x:is>
      </x:c>
      <x:c r="K1269" s="12" t="str">
        <x:f>LEFT("913407001489736421",18)</x:f>
        <x:v>913407001489736400</x:v>
      </x:c>
    </x:row>
    <x:row r="1270">
      <x:c r="A1270" s="2" t="n">
        <x:v>1269</x:v>
      </x:c>
      <x:c r="B1270" s="2" t="inlineStr">
        <x:is>
          <x:t xml:space="preserve">000713</x:t>
        </x:is>
      </x:c>
      <x:c r="C1270" s="3" t="inlineStr">
        <x:is>
          <x:t xml:space="preserve">国投丰乐</x:t>
        </x:is>
      </x:c>
      <x:c r="D1270" s="3" t="inlineStr">
        <x:is>
          <x:t xml:space="preserve">国投丰乐种业股份有限公司</x:t>
        </x:is>
      </x:c>
      <x:c r="E1270" s="2" t="inlineStr">
        <x:is>
          <x:t xml:space="preserve">安徽省</x:t>
        </x:is>
      </x:c>
      <x:c r="F1270" s="2" t="inlineStr">
        <x:is>
          <x:t xml:space="preserve">合肥市</x:t>
        </x:is>
      </x:c>
      <x:c r="G1270" s="3" t="inlineStr">
        <x:is>
          <x:t xml:space="preserve">安徽省-合肥市</x:t>
        </x:is>
      </x:c>
      <x:c r="H1270" s="2" t="inlineStr">
        <x:is>
          <x:t xml:space="preserve">农牧饲渔</x:t>
        </x:is>
      </x:c>
      <x:c r="I1270" s="2" t="inlineStr">
        <x:is>
          <x:t xml:space="preserve">1997-04-22</x:t>
        </x:is>
      </x:c>
      <x:c r="J1270" s="3" t="inlineStr">
        <x:is>
          <x:t xml:space="preserve">中国(安徽)自由贸易试验区合肥市蜀山经济技术开发区长江西路6500号</x:t>
        </x:is>
      </x:c>
      <x:c r="K1270" s="12" t="str">
        <x:f>LEFT("91340100148974717B",18)</x:f>
        <x:v>91340100148974717B</x:v>
      </x:c>
    </x:row>
    <x:row r="1271">
      <x:c r="A1271" s="4" t="n">
        <x:v>1270</x:v>
      </x:c>
      <x:c r="B1271" s="4" t="inlineStr">
        <x:is>
          <x:t xml:space="preserve">000728</x:t>
        </x:is>
      </x:c>
      <x:c r="C1271" s="5" t="inlineStr">
        <x:is>
          <x:t xml:space="preserve">国元证券</x:t>
        </x:is>
      </x:c>
      <x:c r="D1271" s="5" t="inlineStr">
        <x:is>
          <x:t xml:space="preserve">国元证券股份有限公司</x:t>
        </x:is>
      </x:c>
      <x:c r="E1271" s="4" t="inlineStr">
        <x:is>
          <x:t xml:space="preserve">安徽省</x:t>
        </x:is>
      </x:c>
      <x:c r="F1271" s="4" t="inlineStr">
        <x:is>
          <x:t xml:space="preserve">合肥市</x:t>
        </x:is>
      </x:c>
      <x:c r="G1271" s="5" t="inlineStr">
        <x:is>
          <x:t xml:space="preserve">安徽省-合肥市</x:t>
        </x:is>
      </x:c>
      <x:c r="H1271" s="4" t="inlineStr">
        <x:is>
          <x:t xml:space="preserve">券商信托</x:t>
        </x:is>
      </x:c>
      <x:c r="I1271" s="4" t="inlineStr">
        <x:is>
          <x:t xml:space="preserve">1997-06-16</x:t>
        </x:is>
      </x:c>
      <x:c r="J1271" s="5" t="inlineStr">
        <x:is>
          <x:t xml:space="preserve">安徽省合肥市梅山路18号</x:t>
        </x:is>
      </x:c>
      <x:c r="K1271" s="12" t="str">
        <x:f>LEFT("91340000731686376P",18)</x:f>
        <x:v>91340000731686376P</x:v>
      </x:c>
    </x:row>
    <x:row r="1272">
      <x:c r="A1272" s="2" t="n">
        <x:v>1271</x:v>
      </x:c>
      <x:c r="B1272" s="2" t="inlineStr">
        <x:is>
          <x:t xml:space="preserve">000850</x:t>
        </x:is>
      </x:c>
      <x:c r="C1272" s="3" t="inlineStr">
        <x:is>
          <x:t xml:space="preserve">华茂股份</x:t>
        </x:is>
      </x:c>
      <x:c r="D1272" s="3" t="inlineStr">
        <x:is>
          <x:t xml:space="preserve">安徽华茂纺织股份有限公司</x:t>
        </x:is>
      </x:c>
      <x:c r="E1272" s="2" t="inlineStr">
        <x:is>
          <x:t xml:space="preserve">安徽省</x:t>
        </x:is>
      </x:c>
      <x:c r="F1272" s="2" t="inlineStr">
        <x:is>
          <x:t xml:space="preserve">安庆市</x:t>
        </x:is>
      </x:c>
      <x:c r="G1272" s="3" t="inlineStr">
        <x:is>
          <x:t xml:space="preserve">安徽省-安庆市</x:t>
        </x:is>
      </x:c>
      <x:c r="H1272" s="2" t="inlineStr">
        <x:is>
          <x:t xml:space="preserve">纺织服装</x:t>
        </x:is>
      </x:c>
      <x:c r="I1272" s="2" t="inlineStr">
        <x:is>
          <x:t xml:space="preserve">1998-10-07</x:t>
        </x:is>
      </x:c>
      <x:c r="J1272" s="3" t="inlineStr">
        <x:is>
          <x:t xml:space="preserve">安徽省安庆市纺织南路80号</x:t>
        </x:is>
      </x:c>
      <x:c r="K1272" s="12" t="str">
        <x:f>LEFT("91340800704937491X",18)</x:f>
        <x:v>91340800704937491X</x:v>
      </x:c>
    </x:row>
    <x:row r="1273">
      <x:c r="A1273" s="4" t="n">
        <x:v>1272</x:v>
      </x:c>
      <x:c r="B1273" s="4" t="inlineStr">
        <x:is>
          <x:t xml:space="preserve">000859</x:t>
        </x:is>
      </x:c>
      <x:c r="C1273" s="5" t="inlineStr">
        <x:is>
          <x:t xml:space="preserve">国风新材</x:t>
        </x:is>
      </x:c>
      <x:c r="D1273" s="5" t="inlineStr">
        <x:is>
          <x:t xml:space="preserve">安徽国风新材料股份有限公司</x:t>
        </x:is>
      </x:c>
      <x:c r="E1273" s="4" t="inlineStr">
        <x:is>
          <x:t xml:space="preserve">安徽省</x:t>
        </x:is>
      </x:c>
      <x:c r="F1273" s="4" t="inlineStr">
        <x:is>
          <x:t xml:space="preserve">合肥市</x:t>
        </x:is>
      </x:c>
      <x:c r="G1273" s="5" t="inlineStr">
        <x:is>
          <x:t xml:space="preserve">安徽省-合肥市</x:t>
        </x:is>
      </x:c>
      <x:c r="H1273" s="4" t="inlineStr">
        <x:is>
          <x:t xml:space="preserve">塑胶制品</x:t>
        </x:is>
      </x:c>
      <x:c r="I1273" s="4" t="inlineStr">
        <x:is>
          <x:t xml:space="preserve">1998-11-19</x:t>
        </x:is>
      </x:c>
      <x:c r="J1273" s="5" t="inlineStr">
        <x:is>
          <x:t xml:space="preserve">安徽省合肥市高新技术产业开发区铭传路1000号</x:t>
        </x:is>
      </x:c>
      <x:c r="K1273" s="12" t="str">
        <x:f>LEFT("91340100705045831J",18)</x:f>
        <x:v>91340100705045831J</x:v>
      </x:c>
    </x:row>
    <x:row r="1274">
      <x:c r="A1274" s="2" t="n">
        <x:v>1273</x:v>
      </x:c>
      <x:c r="B1274" s="2" t="inlineStr">
        <x:is>
          <x:t xml:space="preserve">000868</x:t>
        </x:is>
      </x:c>
      <x:c r="C1274" s="3" t="inlineStr">
        <x:is>
          <x:t xml:space="preserve">安凯客车</x:t>
        </x:is>
      </x:c>
      <x:c r="D1274" s="3" t="inlineStr">
        <x:is>
          <x:t xml:space="preserve">安徽安凯汽车股份有限公司</x:t>
        </x:is>
      </x:c>
      <x:c r="E1274" s="2" t="inlineStr">
        <x:is>
          <x:t xml:space="preserve">安徽省</x:t>
        </x:is>
      </x:c>
      <x:c r="F1274" s="2" t="inlineStr">
        <x:is>
          <x:t xml:space="preserve">合肥市</x:t>
        </x:is>
      </x:c>
      <x:c r="G1274" s="3" t="inlineStr">
        <x:is>
          <x:t xml:space="preserve">安徽省-合肥市</x:t>
        </x:is>
      </x:c>
      <x:c r="H1274" s="2" t="inlineStr">
        <x:is>
          <x:t xml:space="preserve">汽车整车</x:t>
        </x:is>
      </x:c>
      <x:c r="I1274" s="2" t="inlineStr">
        <x:is>
          <x:t xml:space="preserve">1997-07-25</x:t>
        </x:is>
      </x:c>
      <x:c r="J1274" s="3" t="inlineStr">
        <x:is>
          <x:t xml:space="preserve">安徽省合肥市包河区葛淝路1号</x:t>
        </x:is>
      </x:c>
      <x:c r="K1274" s="12" t="str">
        <x:f>LEFT("91340000148975314D",18)</x:f>
        <x:v>91340000148975314D</x:v>
      </x:c>
    </x:row>
    <x:row r="1275">
      <x:c r="A1275" s="4" t="n">
        <x:v>1274</x:v>
      </x:c>
      <x:c r="B1275" s="4" t="inlineStr">
        <x:is>
          <x:t xml:space="preserve">000887</x:t>
        </x:is>
      </x:c>
      <x:c r="C1275" s="5" t="inlineStr">
        <x:is>
          <x:t xml:space="preserve">中鼎股份</x:t>
        </x:is>
      </x:c>
      <x:c r="D1275" s="5" t="inlineStr">
        <x:is>
          <x:t xml:space="preserve">安徽中鼎密封件股份有限公司</x:t>
        </x:is>
      </x:c>
      <x:c r="E1275" s="4" t="inlineStr">
        <x:is>
          <x:t xml:space="preserve">安徽省</x:t>
        </x:is>
      </x:c>
      <x:c r="F1275" s="4" t="inlineStr">
        <x:is>
          <x:t xml:space="preserve">宣城市</x:t>
        </x:is>
      </x:c>
      <x:c r="G1275" s="5" t="inlineStr">
        <x:is>
          <x:t xml:space="preserve">安徽省-宣城市</x:t>
        </x:is>
      </x:c>
      <x:c r="H1275" s="4" t="inlineStr">
        <x:is>
          <x:t xml:space="preserve">汽车零部件</x:t>
        </x:is>
      </x:c>
      <x:c r="I1275" s="4" t="inlineStr">
        <x:is>
          <x:t xml:space="preserve">1998-12-03</x:t>
        </x:is>
      </x:c>
      <x:c r="J1275" s="5" t="inlineStr">
        <x:is>
          <x:t xml:space="preserve">安徽省宣城市宁国市宁国经济技术开发区中鼎工业园</x:t>
        </x:is>
      </x:c>
      <x:c r="K1275" s="12" t="str">
        <x:f>LEFT("91341800259222497F",18)</x:f>
        <x:v>91341800259222497F</x:v>
      </x:c>
    </x:row>
    <x:row r="1276">
      <x:c r="A1276" s="2" t="n">
        <x:v>1275</x:v>
      </x:c>
      <x:c r="B1276" s="2" t="inlineStr">
        <x:is>
          <x:t xml:space="preserve">000930</x:t>
        </x:is>
      </x:c>
      <x:c r="C1276" s="3" t="inlineStr">
        <x:is>
          <x:t xml:space="preserve">中粮科技</x:t>
        </x:is>
      </x:c>
      <x:c r="D1276" s="3" t="inlineStr">
        <x:is>
          <x:t xml:space="preserve">中粮生物科技股份有限公司</x:t>
        </x:is>
      </x:c>
      <x:c r="E1276" s="2" t="inlineStr">
        <x:is>
          <x:t xml:space="preserve">安徽省</x:t>
        </x:is>
      </x:c>
      <x:c r="F1276" s="2" t="inlineStr">
        <x:is>
          <x:t xml:space="preserve">蚌埠市</x:t>
        </x:is>
      </x:c>
      <x:c r="G1276" s="3" t="inlineStr">
        <x:is>
          <x:t xml:space="preserve">安徽省-蚌埠市</x:t>
        </x:is>
      </x:c>
      <x:c r="H1276" s="2" t="inlineStr">
        <x:is>
          <x:t xml:space="preserve">农牧饲渔</x:t>
        </x:is>
      </x:c>
      <x:c r="I1276" s="2" t="inlineStr">
        <x:is>
          <x:t xml:space="preserve">1999-07-12</x:t>
        </x:is>
      </x:c>
      <x:c r="J1276" s="3" t="inlineStr">
        <x:is>
          <x:t xml:space="preserve">安徽省蚌埠市开源大道99号</x:t>
        </x:is>
      </x:c>
      <x:c r="K1276" s="12" t="str">
        <x:f>LEFT("91340000711722608T",18)</x:f>
        <x:v>91340000711722608T</x:v>
      </x:c>
    </x:row>
    <x:row r="1277">
      <x:c r="A1277" s="4" t="n">
        <x:v>1276</x:v>
      </x:c>
      <x:c r="B1277" s="4" t="inlineStr">
        <x:is>
          <x:t xml:space="preserve">001217</x:t>
        </x:is>
      </x:c>
      <x:c r="C1277" s="5" t="inlineStr">
        <x:is>
          <x:t xml:space="preserve">华尔泰</x:t>
        </x:is>
      </x:c>
      <x:c r="D1277" s="5" t="inlineStr">
        <x:is>
          <x:t xml:space="preserve">安徽华尔泰化工股份有限公司</x:t>
        </x:is>
      </x:c>
      <x:c r="E1277" s="4" t="inlineStr">
        <x:is>
          <x:t xml:space="preserve">安徽省</x:t>
        </x:is>
      </x:c>
      <x:c r="F1277" s="4" t="inlineStr">
        <x:is>
          <x:t xml:space="preserve">池州市</x:t>
        </x:is>
      </x:c>
      <x:c r="G1277" s="5" t="inlineStr">
        <x:is>
          <x:t xml:space="preserve">安徽省-池州市</x:t>
        </x:is>
      </x:c>
      <x:c r="H1277" s="4" t="inlineStr">
        <x:is>
          <x:t xml:space="preserve">化学原料</x:t>
        </x:is>
      </x:c>
      <x:c r="I1277" s="4" t="inlineStr">
        <x:is>
          <x:t xml:space="preserve">2021-09-29</x:t>
        </x:is>
      </x:c>
      <x:c r="J1277" s="5" t="inlineStr">
        <x:is>
          <x:t xml:space="preserve">安徽省池州市东至县香隅镇</x:t>
        </x:is>
      </x:c>
      <x:c r="K1277" s="12" t="str">
        <x:f>LEFT("9134170072334689XH",18)</x:f>
        <x:v>9134170072334689XH</x:v>
      </x:c>
    </x:row>
    <x:row r="1278">
      <x:c r="A1278" s="2" t="n">
        <x:v>1277</x:v>
      </x:c>
      <x:c r="B1278" s="2" t="inlineStr">
        <x:is>
          <x:t xml:space="preserve">001226</x:t>
        </x:is>
      </x:c>
      <x:c r="C1278" s="3" t="inlineStr">
        <x:is>
          <x:t xml:space="preserve">拓山重工</x:t>
        </x:is>
      </x:c>
      <x:c r="D1278" s="3" t="inlineStr">
        <x:is>
          <x:t xml:space="preserve">安徽拓山重工股份有限公司</x:t>
        </x:is>
      </x:c>
      <x:c r="E1278" s="2" t="inlineStr">
        <x:is>
          <x:t xml:space="preserve">安徽省</x:t>
        </x:is>
      </x:c>
      <x:c r="F1278" s="2" t="inlineStr">
        <x:is>
          <x:t xml:space="preserve">宣城市</x:t>
        </x:is>
      </x:c>
      <x:c r="G1278" s="3" t="inlineStr">
        <x:is>
          <x:t xml:space="preserve">安徽省-宣城市</x:t>
        </x:is>
      </x:c>
      <x:c r="H1278" s="2" t="inlineStr">
        <x:is>
          <x:t xml:space="preserve">工程机械</x:t>
        </x:is>
      </x:c>
      <x:c r="I1278" s="2" t="inlineStr">
        <x:is>
          <x:t xml:space="preserve">2022-06-22</x:t>
        </x:is>
      </x:c>
      <x:c r="J1278" s="3" t="inlineStr">
        <x:is>
          <x:t xml:space="preserve">安徽省宣城市广德经济开发区桐汭大道</x:t>
        </x:is>
      </x:c>
      <x:c r="K1278" s="12" t="str">
        <x:f>LEFT("91341822575705511N",18)</x:f>
        <x:v>91341822575705511N</x:v>
      </x:c>
    </x:row>
    <x:row r="1279">
      <x:c r="A1279" s="4" t="n">
        <x:v>1278</x:v>
      </x:c>
      <x:c r="B1279" s="4" t="inlineStr">
        <x:is>
          <x:t xml:space="preserve">001230</x:t>
        </x:is>
      </x:c>
      <x:c r="C1279" s="5" t="inlineStr">
        <x:is>
          <x:t xml:space="preserve">劲旅环境</x:t>
        </x:is>
      </x:c>
      <x:c r="D1279" s="5" t="inlineStr">
        <x:is>
          <x:t xml:space="preserve">劲旅环境科技股份有限公司</x:t>
        </x:is>
      </x:c>
      <x:c r="E1279" s="4" t="inlineStr">
        <x:is>
          <x:t xml:space="preserve">安徽省</x:t>
        </x:is>
      </x:c>
      <x:c r="F1279" s="4" t="inlineStr">
        <x:is>
          <x:t xml:space="preserve">合肥市</x:t>
        </x:is>
      </x:c>
      <x:c r="G1279" s="5" t="inlineStr">
        <x:is>
          <x:t xml:space="preserve">安徽省-合肥市</x:t>
        </x:is>
      </x:c>
      <x:c r="H1279" s="4" t="inlineStr">
        <x:is>
          <x:t xml:space="preserve">环保行业</x:t>
        </x:is>
      </x:c>
      <x:c r="I1279" s="4" t="inlineStr">
        <x:is>
          <x:t xml:space="preserve">2022-07-15</x:t>
        </x:is>
      </x:c>
      <x:c r="J1279" s="5" t="inlineStr">
        <x:is>
          <x:t xml:space="preserve">安徽省合肥市新站区综合开发试验区工业园</x:t>
        </x:is>
      </x:c>
      <x:c r="K1279" s="12" t="str">
        <x:f>LEFT("91340100740874635H",18)</x:f>
        <x:v>91340100740874635H</x:v>
      </x:c>
    </x:row>
    <x:row r="1280">
      <x:c r="A1280" s="2" t="n">
        <x:v>1279</x:v>
      </x:c>
      <x:c r="B1280" s="2" t="inlineStr">
        <x:is>
          <x:t xml:space="preserve">001279</x:t>
        </x:is>
      </x:c>
      <x:c r="C1280" s="3" t="inlineStr">
        <x:is>
          <x:t xml:space="preserve">强邦新材</x:t>
        </x:is>
      </x:c>
      <x:c r="D1280" s="3" t="inlineStr">
        <x:is>
          <x:t xml:space="preserve">安徽强邦新材料股份有限公司</x:t>
        </x:is>
      </x:c>
      <x:c r="E1280" s="2" t="inlineStr">
        <x:is>
          <x:t xml:space="preserve">安徽省</x:t>
        </x:is>
      </x:c>
      <x:c r="F1280" s="2" t="inlineStr">
        <x:is>
          <x:t xml:space="preserve">宣城市</x:t>
        </x:is>
      </x:c>
      <x:c r="G1280" s="3" t="inlineStr">
        <x:is>
          <x:t xml:space="preserve">安徽省-宣城市</x:t>
        </x:is>
      </x:c>
      <x:c r="H1280" s="2" t="inlineStr">
        <x:is>
          <x:t xml:space="preserve">造纸印刷</x:t>
        </x:is>
      </x:c>
      <x:c r="I1280" s="2" t="inlineStr">
        <x:is>
          <x:t xml:space="preserve">2024-10-11</x:t>
        </x:is>
      </x:c>
      <x:c r="J1280" s="3" t="inlineStr">
        <x:is>
          <x:t xml:space="preserve">安徽省宣城市广德经济开发区鹏举路37号</x:t>
        </x:is>
      </x:c>
      <x:c r="K1280" s="12" t="str">
        <x:f>LEFT("91341822564961229X",18)</x:f>
        <x:v>91341822564961229X</x:v>
      </x:c>
    </x:row>
    <x:row r="1281">
      <x:c r="A1281" s="4" t="n">
        <x:v>1280</x:v>
      </x:c>
      <x:c r="B1281" s="4" t="inlineStr">
        <x:is>
          <x:t xml:space="preserve">001282</x:t>
        </x:is>
      </x:c>
      <x:c r="C1281" s="5" t="inlineStr">
        <x:is>
          <x:t xml:space="preserve">三联锻造</x:t>
        </x:is>
      </x:c>
      <x:c r="D1281" s="5" t="inlineStr">
        <x:is>
          <x:t xml:space="preserve">芜湖三联锻造股份有限公司</x:t>
        </x:is>
      </x:c>
      <x:c r="E1281" s="4" t="inlineStr">
        <x:is>
          <x:t xml:space="preserve">安徽省</x:t>
        </x:is>
      </x:c>
      <x:c r="F1281" s="4" t="inlineStr">
        <x:is>
          <x:t xml:space="preserve">芜湖市</x:t>
        </x:is>
      </x:c>
      <x:c r="G1281" s="5" t="inlineStr">
        <x:is>
          <x:t xml:space="preserve">安徽省-芜湖市</x:t>
        </x:is>
      </x:c>
      <x:c r="H1281" s="4" t="inlineStr">
        <x:is>
          <x:t xml:space="preserve">汽车零部件</x:t>
        </x:is>
      </x:c>
      <x:c r="I1281" s="4" t="inlineStr">
        <x:is>
          <x:t xml:space="preserve">2023-05-24</x:t>
        </x:is>
      </x:c>
      <x:c r="J1281" s="5" t="inlineStr">
        <x:is>
          <x:t xml:space="preserve">芜湖市高新技术产业开发区天井山路20号</x:t>
        </x:is>
      </x:c>
      <x:c r="K1281" s="12" t="str">
        <x:f>LEFT("91340200762794150A",18)</x:f>
        <x:v>91340200762794150A</x:v>
      </x:c>
    </x:row>
    <x:row r="1282">
      <x:c r="A1282" s="2" t="n">
        <x:v>1281</x:v>
      </x:c>
      <x:c r="B1282" s="2" t="inlineStr">
        <x:is>
          <x:t xml:space="preserve">001311</x:t>
        </x:is>
      </x:c>
      <x:c r="C1282" s="3" t="inlineStr">
        <x:is>
          <x:t xml:space="preserve">多利科技</x:t>
        </x:is>
      </x:c>
      <x:c r="D1282" s="3" t="inlineStr">
        <x:is>
          <x:t xml:space="preserve">滁州多利汽车科技股份有限公司</x:t>
        </x:is>
      </x:c>
      <x:c r="E1282" s="2" t="inlineStr">
        <x:is>
          <x:t xml:space="preserve">安徽省</x:t>
        </x:is>
      </x:c>
      <x:c r="F1282" s="2" t="inlineStr">
        <x:is>
          <x:t xml:space="preserve">马鞍山市</x:t>
        </x:is>
      </x:c>
      <x:c r="G1282" s="3" t="inlineStr">
        <x:is>
          <x:t xml:space="preserve">安徽省-马鞍山市</x:t>
        </x:is>
      </x:c>
      <x:c r="H1282" s="2" t="inlineStr">
        <x:is>
          <x:t xml:space="preserve">汽车零部件</x:t>
        </x:is>
      </x:c>
      <x:c r="I1282" s="2" t="inlineStr">
        <x:is>
          <x:t xml:space="preserve">2023-02-27</x:t>
        </x:is>
      </x:c>
      <x:c r="J1282" s="3" t="inlineStr">
        <x:is>
          <x:t xml:space="preserve">安徽省滁州市马鞍山东路109号</x:t>
        </x:is>
      </x:c>
      <x:c r="K1282" s="12" t="str">
        <x:f>LEFT("91341100556336108T",18)</x:f>
        <x:v>91341100556336108T</x:v>
      </x:c>
    </x:row>
    <x:row r="1283">
      <x:c r="A1283" s="4" t="n">
        <x:v>1282</x:v>
      </x:c>
      <x:c r="B1283" s="4" t="inlineStr">
        <x:is>
          <x:t xml:space="preserve">001387</x:t>
        </x:is>
      </x:c>
      <x:c r="C1283" s="5" t="inlineStr">
        <x:is>
          <x:t xml:space="preserve">雪祺电气</x:t>
        </x:is>
      </x:c>
      <x:c r="D1283" s="5" t="inlineStr">
        <x:is>
          <x:t xml:space="preserve">合肥雪祺电气股份有限公司</x:t>
        </x:is>
      </x:c>
      <x:c r="E1283" s="4" t="inlineStr">
        <x:is>
          <x:t xml:space="preserve">安徽省</x:t>
        </x:is>
      </x:c>
      <x:c r="F1283" s="4" t="inlineStr">
        <x:is>
          <x:t xml:space="preserve">合肥市</x:t>
        </x:is>
      </x:c>
      <x:c r="G1283" s="5" t="inlineStr">
        <x:is>
          <x:t xml:space="preserve">安徽省-合肥市</x:t>
        </x:is>
      </x:c>
      <x:c r="H1283" s="4" t="inlineStr">
        <x:is>
          <x:t xml:space="preserve">家电行业</x:t>
        </x:is>
      </x:c>
      <x:c r="I1283" s="4" t="inlineStr">
        <x:is>
          <x:t xml:space="preserve">2024-01-11</x:t>
        </x:is>
      </x:c>
      <x:c r="J1283" s="5" t="inlineStr">
        <x:is>
          <x:t xml:space="preserve">安徽省合肥市经济技术开发区青鸾路369号</x:t>
        </x:is>
      </x:c>
      <x:c r="K1283" s="12" t="str">
        <x:f>LEFT("91340100577093846F",18)</x:f>
        <x:v>91340100577093846F</x:v>
      </x:c>
    </x:row>
    <x:row r="1284">
      <x:c r="A1284" s="2" t="n">
        <x:v>1283</x:v>
      </x:c>
      <x:c r="B1284" s="2" t="inlineStr">
        <x:is>
          <x:t xml:space="preserve">001390</x:t>
        </x:is>
      </x:c>
      <x:c r="C1284" s="3" t="inlineStr">
        <x:is>
          <x:t xml:space="preserve">古麒绒材</x:t>
        </x:is>
      </x:c>
      <x:c r="D1284" s="3" t="inlineStr">
        <x:is>
          <x:t xml:space="preserve">安徽古麒绒材股份有限公司</x:t>
        </x:is>
      </x:c>
      <x:c r="E1284" s="2" t="inlineStr">
        <x:is>
          <x:t xml:space="preserve">安徽省</x:t>
        </x:is>
      </x:c>
      <x:c r="F1284" s="2" t="inlineStr">
        <x:is>
          <x:t xml:space="preserve">芜湖市</x:t>
        </x:is>
      </x:c>
      <x:c r="G1284" s="3" t="inlineStr">
        <x:is>
          <x:t xml:space="preserve">安徽省-芜湖市</x:t>
        </x:is>
      </x:c>
      <x:c r="H1284" s="2" t="inlineStr">
        <x:is>
          <x:t xml:space="preserve">--</x:t>
        </x:is>
      </x:c>
      <x:c r="I1284" s="2" t="inlineStr">
        <x:is>
          <x:t xml:space="preserve">2025-05-29</x:t>
        </x:is>
      </x:c>
      <x:c r="J1284" s="3" t="inlineStr">
        <x:is>
          <x:t xml:space="preserve">安徽省芜湖市南陵县经济开发区</x:t>
        </x:is>
      </x:c>
      <x:c r="K1284" s="12" t="str">
        <x:f>LEFT("913402007316823677",18)</x:f>
        <x:v>913402007316823700</x:v>
      </x:c>
    </x:row>
    <x:row r="1285">
      <x:c r="A1285" s="4" t="n">
        <x:v>1284</x:v>
      </x:c>
      <x:c r="B1285" s="4" t="inlineStr">
        <x:is>
          <x:t xml:space="preserve">002005</x:t>
        </x:is>
      </x:c>
      <x:c r="C1285" s="5" t="inlineStr">
        <x:is>
          <x:t xml:space="preserve">ST德豪</x:t>
        </x:is>
      </x:c>
      <x:c r="D1285" s="5" t="inlineStr">
        <x:is>
          <x:t xml:space="preserve">安徽德豪润达电气股份有限公司</x:t>
        </x:is>
      </x:c>
      <x:c r="E1285" s="4" t="inlineStr">
        <x:is>
          <x:t xml:space="preserve">安徽省</x:t>
        </x:is>
      </x:c>
      <x:c r="F1285" s="4" t="inlineStr">
        <x:is>
          <x:t xml:space="preserve">蚌埠市</x:t>
        </x:is>
      </x:c>
      <x:c r="G1285" s="5" t="inlineStr">
        <x:is>
          <x:t xml:space="preserve">安徽省-蚌埠市</x:t>
        </x:is>
      </x:c>
      <x:c r="H1285" s="4" t="inlineStr">
        <x:is>
          <x:t xml:space="preserve">家电行业</x:t>
        </x:is>
      </x:c>
      <x:c r="I1285" s="4" t="inlineStr">
        <x:is>
          <x:t xml:space="preserve">2004-06-25</x:t>
        </x:is>
      </x:c>
      <x:c r="J1285" s="5" t="inlineStr">
        <x:is>
          <x:t xml:space="preserve">安徽省蚌埠市燕南路1308号</x:t>
        </x:is>
      </x:c>
      <x:c r="K1285" s="12" t="str">
        <x:f>LEFT("9144040061759630XX",18)</x:f>
        <x:v>9144040061759630XX</x:v>
      </x:c>
    </x:row>
    <x:row r="1286">
      <x:c r="A1286" s="2" t="n">
        <x:v>1285</x:v>
      </x:c>
      <x:c r="B1286" s="2" t="inlineStr">
        <x:is>
          <x:t xml:space="preserve">002014</x:t>
        </x:is>
      </x:c>
      <x:c r="C1286" s="3" t="inlineStr">
        <x:is>
          <x:t xml:space="preserve">永新股份</x:t>
        </x:is>
      </x:c>
      <x:c r="D1286" s="3" t="inlineStr">
        <x:is>
          <x:t xml:space="preserve">黄山永新股份有限公司</x:t>
        </x:is>
      </x:c>
      <x:c r="E1286" s="2" t="inlineStr">
        <x:is>
          <x:t xml:space="preserve">安徽省</x:t>
        </x:is>
      </x:c>
      <x:c r="F1286" s="2" t="inlineStr">
        <x:is>
          <x:t xml:space="preserve">黄山市</x:t>
        </x:is>
      </x:c>
      <x:c r="G1286" s="3" t="inlineStr">
        <x:is>
          <x:t xml:space="preserve">安徽省-黄山市</x:t>
        </x:is>
      </x:c>
      <x:c r="H1286" s="2" t="inlineStr">
        <x:is>
          <x:t xml:space="preserve">包装材料</x:t>
        </x:is>
      </x:c>
      <x:c r="I1286" s="2" t="inlineStr">
        <x:is>
          <x:t xml:space="preserve">2004-07-08</x:t>
        </x:is>
      </x:c>
      <x:c r="J1286" s="3" t="inlineStr">
        <x:is>
          <x:t xml:space="preserve">安徽省黄山市徽州区徽州东路188号</x:t>
        </x:is>
      </x:c>
      <x:c r="K1286" s="12" t="str">
        <x:f>LEFT("91340000610487231T",18)</x:f>
        <x:v>91340000610487231T</x:v>
      </x:c>
    </x:row>
    <x:row r="1287">
      <x:c r="A1287" s="4" t="n">
        <x:v>1286</x:v>
      </x:c>
      <x:c r="B1287" s="4" t="inlineStr">
        <x:is>
          <x:t xml:space="preserve">002042</x:t>
        </x:is>
      </x:c>
      <x:c r="C1287" s="5" t="inlineStr">
        <x:is>
          <x:t xml:space="preserve">华孚时尚</x:t>
        </x:is>
      </x:c>
      <x:c r="D1287" s="5" t="inlineStr">
        <x:is>
          <x:t xml:space="preserve">华孚时尚股份有限公司</x:t>
        </x:is>
      </x:c>
      <x:c r="E1287" s="4" t="inlineStr">
        <x:is>
          <x:t xml:space="preserve">安徽省</x:t>
        </x:is>
      </x:c>
      <x:c r="F1287" s="4" t="inlineStr">
        <x:is>
          <x:t xml:space="preserve">淮北市</x:t>
        </x:is>
      </x:c>
      <x:c r="G1287" s="5" t="inlineStr">
        <x:is>
          <x:t xml:space="preserve">安徽省-淮北市</x:t>
        </x:is>
      </x:c>
      <x:c r="H1287" s="4" t="inlineStr">
        <x:is>
          <x:t xml:space="preserve">纺织服装</x:t>
        </x:is>
      </x:c>
      <x:c r="I1287" s="4" t="inlineStr">
        <x:is>
          <x:t xml:space="preserve">2005-04-27</x:t>
        </x:is>
      </x:c>
      <x:c r="J1287" s="5" t="inlineStr">
        <x:is>
          <x:t xml:space="preserve">安徽省淮北市经济开发区新区石山路6号</x:t>
        </x:is>
      </x:c>
      <x:c r="K1287" s="12" t="str">
        <x:f>LEFT("9134060072553187XK",18)</x:f>
        <x:v>9134060072553187XK</x:v>
      </x:c>
    </x:row>
    <x:row r="1288">
      <x:c r="A1288" s="2" t="n">
        <x:v>1287</x:v>
      </x:c>
      <x:c r="B1288" s="2" t="inlineStr">
        <x:is>
          <x:t xml:space="preserve">002057</x:t>
        </x:is>
      </x:c>
      <x:c r="C1288" s="3" t="inlineStr">
        <x:is>
          <x:t xml:space="preserve">中钢天源</x:t>
        </x:is>
      </x:c>
      <x:c r="D1288" s="3" t="inlineStr">
        <x:is>
          <x:t xml:space="preserve">中钢天源股份有限公司</x:t>
        </x:is>
      </x:c>
      <x:c r="E1288" s="2" t="inlineStr">
        <x:is>
          <x:t xml:space="preserve">安徽省</x:t>
        </x:is>
      </x:c>
      <x:c r="F1288" s="2" t="inlineStr">
        <x:is>
          <x:t xml:space="preserve">马鞍山市</x:t>
        </x:is>
      </x:c>
      <x:c r="G1288" s="3" t="inlineStr">
        <x:is>
          <x:t xml:space="preserve">安徽省-马鞍山市</x:t>
        </x:is>
      </x:c>
      <x:c r="H1288" s="2" t="inlineStr">
        <x:is>
          <x:t xml:space="preserve">非金属材料</x:t>
        </x:is>
      </x:c>
      <x:c r="I1288" s="2" t="inlineStr">
        <x:is>
          <x:t xml:space="preserve">2006-08-02</x:t>
        </x:is>
      </x:c>
      <x:c r="J1288" s="3" t="inlineStr">
        <x:is>
          <x:t xml:space="preserve">安徽省马鞍山市雨山区霍里山大道南段9号</x:t>
        </x:is>
      </x:c>
      <x:c r="K1288" s="12" t="str">
        <x:f>LEFT("91340000737315488L",18)</x:f>
        <x:v>91340000737315488L</x:v>
      </x:c>
    </x:row>
    <x:row r="1289">
      <x:c r="A1289" s="4" t="n">
        <x:v>1288</x:v>
      </x:c>
      <x:c r="B1289" s="4" t="inlineStr">
        <x:is>
          <x:t xml:space="preserve">002074</x:t>
        </x:is>
      </x:c>
      <x:c r="C1289" s="5" t="inlineStr">
        <x:is>
          <x:t xml:space="preserve">国轩高科</x:t>
        </x:is>
      </x:c>
      <x:c r="D1289" s="5" t="inlineStr">
        <x:is>
          <x:t xml:space="preserve">国轩高科股份有限公司</x:t>
        </x:is>
      </x:c>
      <x:c r="E1289" s="4" t="inlineStr">
        <x:is>
          <x:t xml:space="preserve">安徽省</x:t>
        </x:is>
      </x:c>
      <x:c r="F1289" s="4" t="inlineStr">
        <x:is>
          <x:t xml:space="preserve">合肥市</x:t>
        </x:is>
      </x:c>
      <x:c r="G1289" s="5" t="inlineStr">
        <x:is>
          <x:t xml:space="preserve">安徽省-合肥市</x:t>
        </x:is>
      </x:c>
      <x:c r="H1289" s="4" t="inlineStr">
        <x:is>
          <x:t xml:space="preserve">电池</x:t>
        </x:is>
      </x:c>
      <x:c r="I1289" s="4" t="inlineStr">
        <x:is>
          <x:t xml:space="preserve">2006-10-18</x:t>
        </x:is>
      </x:c>
      <x:c r="J1289" s="5" t="inlineStr">
        <x:is>
          <x:t xml:space="preserve">安徽省合肥市包河区花园大道566号</x:t>
        </x:is>
      </x:c>
      <x:c r="K1289" s="12" t="str">
        <x:f>LEFT("91320600138346792B",18)</x:f>
        <x:v>91320600138346792B</x:v>
      </x:c>
    </x:row>
    <x:row r="1290">
      <x:c r="A1290" s="2" t="n">
        <x:v>1289</x:v>
      </x:c>
      <x:c r="B1290" s="2" t="inlineStr">
        <x:is>
          <x:t xml:space="preserve">002136</x:t>
        </x:is>
      </x:c>
      <x:c r="C1290" s="3" t="inlineStr">
        <x:is>
          <x:t xml:space="preserve">安纳达</x:t>
        </x:is>
      </x:c>
      <x:c r="D1290" s="3" t="inlineStr">
        <x:is>
          <x:t xml:space="preserve">安徽安纳达钛业股份有限公司</x:t>
        </x:is>
      </x:c>
      <x:c r="E1290" s="2" t="inlineStr">
        <x:is>
          <x:t xml:space="preserve">安徽省</x:t>
        </x:is>
      </x:c>
      <x:c r="F1290" s="2" t="inlineStr">
        <x:is>
          <x:t xml:space="preserve">铜陵市</x:t>
        </x:is>
      </x:c>
      <x:c r="G1290" s="3" t="inlineStr">
        <x:is>
          <x:t xml:space="preserve">安徽省-铜陵市</x:t>
        </x:is>
      </x:c>
      <x:c r="H1290" s="2" t="inlineStr">
        <x:is>
          <x:t xml:space="preserve">化学原料</x:t>
        </x:is>
      </x:c>
      <x:c r="I1290" s="2" t="inlineStr">
        <x:is>
          <x:t xml:space="preserve">2007-05-30</x:t>
        </x:is>
      </x:c>
      <x:c r="J1290" s="3" t="inlineStr">
        <x:is>
          <x:t xml:space="preserve">安徽省铜陵市铜官大道南段1288号</x:t>
        </x:is>
      </x:c>
      <x:c r="K1290" s="12" t="str">
        <x:f>LEFT("91340700610436258Q",18)</x:f>
        <x:v>91340700610436258Q</x:v>
      </x:c>
    </x:row>
    <x:row r="1291">
      <x:c r="A1291" s="4" t="n">
        <x:v>1290</x:v>
      </x:c>
      <x:c r="B1291" s="4" t="inlineStr">
        <x:is>
          <x:t xml:space="preserve">002140</x:t>
        </x:is>
      </x:c>
      <x:c r="C1291" s="5" t="inlineStr">
        <x:is>
          <x:t xml:space="preserve">东华科技</x:t>
        </x:is>
      </x:c>
      <x:c r="D1291" s="5" t="inlineStr">
        <x:is>
          <x:t xml:space="preserve">东华工程科技股份有限公司</x:t>
        </x:is>
      </x:c>
      <x:c r="E1291" s="4" t="inlineStr">
        <x:is>
          <x:t xml:space="preserve">安徽省</x:t>
        </x:is>
      </x:c>
      <x:c r="F1291" s="4" t="inlineStr">
        <x:is>
          <x:t xml:space="preserve">合肥市</x:t>
        </x:is>
      </x:c>
      <x:c r="G1291" s="5" t="inlineStr">
        <x:is>
          <x:t xml:space="preserve">安徽省-合肥市</x:t>
        </x:is>
      </x:c>
      <x:c r="H1291" s="4" t="inlineStr">
        <x:is>
          <x:t xml:space="preserve">工程建设</x:t>
        </x:is>
      </x:c>
      <x:c r="I1291" s="4" t="inlineStr">
        <x:is>
          <x:t xml:space="preserve">2007-07-12</x:t>
        </x:is>
      </x:c>
      <x:c r="J1291" s="5" t="inlineStr">
        <x:is>
          <x:t xml:space="preserve">安徽省合肥市高新区天乐社区服务中心天湖路11-A号</x:t>
        </x:is>
      </x:c>
      <x:c r="K1291" s="12" t="str">
        <x:f>LEFT("91340000730032602U",18)</x:f>
        <x:v>91340000730032602U</x:v>
      </x:c>
    </x:row>
    <x:row r="1292">
      <x:c r="A1292" s="2" t="n">
        <x:v>1291</x:v>
      </x:c>
      <x:c r="B1292" s="2" t="inlineStr">
        <x:is>
          <x:t xml:space="preserve">002171</x:t>
        </x:is>
      </x:c>
      <x:c r="C1292" s="3" t="inlineStr">
        <x:is>
          <x:t xml:space="preserve">楚江新材</x:t>
        </x:is>
      </x:c>
      <x:c r="D1292" s="3" t="inlineStr">
        <x:is>
          <x:t xml:space="preserve">安徽楚江科技新材料股份有限公司</x:t>
        </x:is>
      </x:c>
      <x:c r="E1292" s="2" t="inlineStr">
        <x:is>
          <x:t xml:space="preserve">安徽省</x:t>
        </x:is>
      </x:c>
      <x:c r="F1292" s="2" t="inlineStr">
        <x:is>
          <x:t xml:space="preserve">芜湖市</x:t>
        </x:is>
      </x:c>
      <x:c r="G1292" s="3" t="inlineStr">
        <x:is>
          <x:t xml:space="preserve">安徽省-芜湖市</x:t>
        </x:is>
      </x:c>
      <x:c r="H1292" s="2" t="inlineStr">
        <x:is>
          <x:t xml:space="preserve">有色金属</x:t>
        </x:is>
      </x:c>
      <x:c r="I1292" s="2" t="inlineStr">
        <x:is>
          <x:t xml:space="preserve">2007-09-21</x:t>
        </x:is>
      </x:c>
      <x:c r="J1292" s="3" t="inlineStr">
        <x:is>
          <x:t xml:space="preserve">中国(安徽)自由贸易试验区芜湖片区九华北路8号</x:t>
        </x:is>
      </x:c>
      <x:c r="K1292" s="12" t="str">
        <x:f>LEFT("91340200743082289Q",18)</x:f>
        <x:v>91340200743082289Q</x:v>
      </x:c>
    </x:row>
    <x:row r="1293">
      <x:c r="A1293" s="4" t="n">
        <x:v>1292</x:v>
      </x:c>
      <x:c r="B1293" s="4" t="inlineStr">
        <x:is>
          <x:t xml:space="preserve">002208</x:t>
        </x:is>
      </x:c>
      <x:c r="C1293" s="5" t="inlineStr">
        <x:is>
          <x:t xml:space="preserve">合肥城建</x:t>
        </x:is>
      </x:c>
      <x:c r="D1293" s="5" t="inlineStr">
        <x:is>
          <x:t xml:space="preserve">合肥城建发展股份有限公司</x:t>
        </x:is>
      </x:c>
      <x:c r="E1293" s="4" t="inlineStr">
        <x:is>
          <x:t xml:space="preserve">安徽省</x:t>
        </x:is>
      </x:c>
      <x:c r="F1293" s="4" t="inlineStr">
        <x:is>
          <x:t xml:space="preserve">合肥市</x:t>
        </x:is>
      </x:c>
      <x:c r="G1293" s="5" t="inlineStr">
        <x:is>
          <x:t xml:space="preserve">安徽省-合肥市</x:t>
        </x:is>
      </x:c>
      <x:c r="H1293" s="4" t="inlineStr">
        <x:is>
          <x:t xml:space="preserve">房地产</x:t>
        </x:is>
      </x:c>
      <x:c r="I1293" s="4" t="inlineStr">
        <x:is>
          <x:t xml:space="preserve">2008-01-28</x:t>
        </x:is>
      </x:c>
      <x:c r="J1293" s="5" t="inlineStr">
        <x:is>
          <x:t xml:space="preserve">安徽省合肥市蜀山区潜山路100号琥珀五环城国际A座(琥珀五环城和颂阁1幢9-14层)</x:t>
        </x:is>
      </x:c>
      <x:c r="K1293" s="12" t="str">
        <x:f>LEFT("913401007139651607",18)</x:f>
        <x:v>913401007139651600</x:v>
      </x:c>
    </x:row>
    <x:row r="1294">
      <x:c r="A1294" s="2" t="n">
        <x:v>1293</x:v>
      </x:c>
      <x:c r="B1294" s="2" t="inlineStr">
        <x:is>
          <x:t xml:space="preserve">002226</x:t>
        </x:is>
      </x:c>
      <x:c r="C1294" s="3" t="inlineStr">
        <x:is>
          <x:t xml:space="preserve">江南化工</x:t>
        </x:is>
      </x:c>
      <x:c r="D1294" s="3" t="inlineStr">
        <x:is>
          <x:t xml:space="preserve">安徽江南化工股份有限公司</x:t>
        </x:is>
      </x:c>
      <x:c r="E1294" s="2" t="inlineStr">
        <x:is>
          <x:t xml:space="preserve">安徽省</x:t>
        </x:is>
      </x:c>
      <x:c r="F1294" s="2" t="inlineStr">
        <x:is>
          <x:t xml:space="preserve">徽省宁国市</x:t>
        </x:is>
      </x:c>
      <x:c r="G1294" s="3" t="inlineStr">
        <x:is>
          <x:t xml:space="preserve">安徽省-徽省宁国市</x:t>
        </x:is>
      </x:c>
      <x:c r="H1294" s="2" t="inlineStr">
        <x:is>
          <x:t xml:space="preserve">化工行业</x:t>
        </x:is>
      </x:c>
      <x:c r="I1294" s="2" t="inlineStr">
        <x:is>
          <x:t xml:space="preserve">2008-05-06</x:t>
        </x:is>
      </x:c>
      <x:c r="J1294" s="3" t="inlineStr">
        <x:is>
          <x:t xml:space="preserve">安徽省宁国市港口镇分界山</x:t>
        </x:is>
      </x:c>
      <x:c r="K1294" s="12" t="str">
        <x:f>LEFT("91341800153422677D",18)</x:f>
        <x:v>91341800153422677D</x:v>
      </x:c>
    </x:row>
    <x:row r="1295">
      <x:c r="A1295" s="4" t="n">
        <x:v>1294</x:v>
      </x:c>
      <x:c r="B1295" s="4" t="inlineStr">
        <x:is>
          <x:t xml:space="preserve">002230</x:t>
        </x:is>
      </x:c>
      <x:c r="C1295" s="5" t="inlineStr">
        <x:is>
          <x:t xml:space="preserve">科大讯飞</x:t>
        </x:is>
      </x:c>
      <x:c r="D1295" s="5" t="inlineStr">
        <x:is>
          <x:t xml:space="preserve">科大讯飞股份有限公司</x:t>
        </x:is>
      </x:c>
      <x:c r="E1295" s="4" t="inlineStr">
        <x:is>
          <x:t xml:space="preserve">安徽省</x:t>
        </x:is>
      </x:c>
      <x:c r="F1295" s="4" t="inlineStr">
        <x:is>
          <x:t xml:space="preserve">合肥市</x:t>
        </x:is>
      </x:c>
      <x:c r="G1295" s="5" t="inlineStr">
        <x:is>
          <x:t xml:space="preserve">安徽省-合肥市</x:t>
        </x:is>
      </x:c>
      <x:c r="H1295" s="4" t="inlineStr">
        <x:is>
          <x:t xml:space="preserve">软件服务</x:t>
        </x:is>
      </x:c>
      <x:c r="I1295" s="4" t="inlineStr">
        <x:is>
          <x:t xml:space="preserve">2008-05-12</x:t>
        </x:is>
      </x:c>
      <x:c r="J1295" s="5" t="inlineStr">
        <x:is>
          <x:t xml:space="preserve">合肥市高新开发区望江西路666号</x:t>
        </x:is>
      </x:c>
      <x:c r="K1295" s="12" t="str">
        <x:f>LEFT("91340000711771143J",18)</x:f>
        <x:v>91340000711771143J</x:v>
      </x:c>
    </x:row>
    <x:row r="1296">
      <x:c r="A1296" s="2" t="n">
        <x:v>1295</x:v>
      </x:c>
      <x:c r="B1296" s="2" t="inlineStr">
        <x:is>
          <x:t xml:space="preserve">002298</x:t>
        </x:is>
      </x:c>
      <x:c r="C1296" s="3" t="inlineStr">
        <x:is>
          <x:t xml:space="preserve">中电兴发</x:t>
        </x:is>
      </x:c>
      <x:c r="D1296" s="3" t="inlineStr">
        <x:is>
          <x:t xml:space="preserve">安徽中电鑫龙科技股份有限公司</x:t>
        </x:is>
      </x:c>
      <x:c r="E1296" s="2" t="inlineStr">
        <x:is>
          <x:t xml:space="preserve">安徽省</x:t>
        </x:is>
      </x:c>
      <x:c r="F1296" s="2" t="inlineStr">
        <x:is>
          <x:t xml:space="preserve">芜湖市</x:t>
        </x:is>
      </x:c>
      <x:c r="G1296" s="3" t="inlineStr">
        <x:is>
          <x:t xml:space="preserve">安徽省-芜湖市</x:t>
        </x:is>
      </x:c>
      <x:c r="H1296" s="2" t="inlineStr">
        <x:is>
          <x:t xml:space="preserve">电网设备</x:t>
        </x:is>
      </x:c>
      <x:c r="I1296" s="2" t="inlineStr">
        <x:is>
          <x:t xml:space="preserve">2009-09-29</x:t>
        </x:is>
      </x:c>
      <x:c r="J1296" s="3" t="inlineStr">
        <x:is>
          <x:t xml:space="preserve">中国(安徽)自由贸易试验区芜湖片区九华北路118号</x:t>
        </x:is>
      </x:c>
      <x:c r="K1296" s="12" t="str">
        <x:f>LEFT("91340200149661982L",18)</x:f>
        <x:v>91340200149661982L</x:v>
      </x:c>
    </x:row>
    <x:row r="1297">
      <x:c r="A1297" s="4" t="n">
        <x:v>1296</x:v>
      </x:c>
      <x:c r="B1297" s="4" t="inlineStr">
        <x:is>
          <x:t xml:space="preserve">002331</x:t>
        </x:is>
      </x:c>
      <x:c r="C1297" s="5" t="inlineStr">
        <x:is>
          <x:t xml:space="preserve">皖通科技</x:t>
        </x:is>
      </x:c>
      <x:c r="D1297" s="5" t="inlineStr">
        <x:is>
          <x:t xml:space="preserve">安徽皖通科技股份有限公司</x:t>
        </x:is>
      </x:c>
      <x:c r="E1297" s="4" t="inlineStr">
        <x:is>
          <x:t xml:space="preserve">安徽省</x:t>
        </x:is>
      </x:c>
      <x:c r="F1297" s="4" t="inlineStr">
        <x:is>
          <x:t xml:space="preserve">合肥市</x:t>
        </x:is>
      </x:c>
      <x:c r="G1297" s="5" t="inlineStr">
        <x:is>
          <x:t xml:space="preserve">安徽省-合肥市</x:t>
        </x:is>
      </x:c>
      <x:c r="H1297" s="4" t="inlineStr">
        <x:is>
          <x:t xml:space="preserve">互联网服务</x:t>
        </x:is>
      </x:c>
      <x:c r="I1297" s="4" t="inlineStr">
        <x:is>
          <x:t xml:space="preserve">2010-01-06</x:t>
        </x:is>
      </x:c>
      <x:c r="J1297" s="5" t="inlineStr">
        <x:is>
          <x:t xml:space="preserve">安徽省合肥市高新区皖水路589号</x:t>
        </x:is>
      </x:c>
      <x:c r="K1297" s="12" t="str">
        <x:f>LEFT("91340100711761244Q",18)</x:f>
        <x:v>91340100711761244Q</x:v>
      </x:c>
    </x:row>
    <x:row r="1298">
      <x:c r="A1298" s="2" t="n">
        <x:v>1297</x:v>
      </x:c>
      <x:c r="B1298" s="2" t="inlineStr">
        <x:is>
          <x:t xml:space="preserve">002347</x:t>
        </x:is>
      </x:c>
      <x:c r="C1298" s="3" t="inlineStr">
        <x:is>
          <x:t xml:space="preserve">泰尔股份</x:t>
        </x:is>
      </x:c>
      <x:c r="D1298" s="3" t="inlineStr">
        <x:is>
          <x:t xml:space="preserve">泰尔重工股份有限公司</x:t>
        </x:is>
      </x:c>
      <x:c r="E1298" s="2" t="inlineStr">
        <x:is>
          <x:t xml:space="preserve">安徽省</x:t>
        </x:is>
      </x:c>
      <x:c r="F1298" s="2" t="inlineStr">
        <x:is>
          <x:t xml:space="preserve">马鞍山市</x:t>
        </x:is>
      </x:c>
      <x:c r="G1298" s="3" t="inlineStr">
        <x:is>
          <x:t xml:space="preserve">安徽省-马鞍山市</x:t>
        </x:is>
      </x:c>
      <x:c r="H1298" s="2" t="inlineStr">
        <x:is>
          <x:t xml:space="preserve">机械行业</x:t>
        </x:is>
      </x:c>
      <x:c r="I1298" s="2" t="inlineStr">
        <x:is>
          <x:t xml:space="preserve">2010-01-28</x:t>
        </x:is>
      </x:c>
      <x:c r="J1298" s="3" t="inlineStr">
        <x:is>
          <x:t xml:space="preserve">安徽省马鞍山市经济技术开发区超山路669号</x:t>
        </x:is>
      </x:c>
      <x:c r="K1298" s="12" t="str">
        <x:f>LEFT("91340500733034312N",18)</x:f>
        <x:v>91340500733034312N</x:v>
      </x:c>
    </x:row>
    <x:row r="1299">
      <x:c r="A1299" s="4" t="n">
        <x:v>1298</x:v>
      </x:c>
      <x:c r="B1299" s="4" t="inlineStr">
        <x:is>
          <x:t xml:space="preserve">002361</x:t>
        </x:is>
      </x:c>
      <x:c r="C1299" s="5" t="inlineStr">
        <x:is>
          <x:t xml:space="preserve">神剑股份</x:t>
        </x:is>
      </x:c>
      <x:c r="D1299" s="5" t="inlineStr">
        <x:is>
          <x:t xml:space="preserve">安徽神剑新材料股份有限公司</x:t>
        </x:is>
      </x:c>
      <x:c r="E1299" s="4" t="inlineStr">
        <x:is>
          <x:t xml:space="preserve">安徽省</x:t>
        </x:is>
      </x:c>
      <x:c r="F1299" s="4" t="inlineStr">
        <x:is>
          <x:t xml:space="preserve">芜湖市</x:t>
        </x:is>
      </x:c>
      <x:c r="G1299" s="5" t="inlineStr">
        <x:is>
          <x:t xml:space="preserve">安徽省-芜湖市</x:t>
        </x:is>
      </x:c>
      <x:c r="H1299" s="4" t="inlineStr">
        <x:is>
          <x:t xml:space="preserve">塑料制品</x:t>
        </x:is>
      </x:c>
      <x:c r="I1299" s="4" t="inlineStr">
        <x:is>
          <x:t xml:space="preserve">2010-03-03</x:t>
        </x:is>
      </x:c>
      <x:c r="J1299" s="5" t="inlineStr">
        <x:is>
          <x:t xml:space="preserve">安徽省芜湖经济技术开发区桥北工业园</x:t>
        </x:is>
      </x:c>
      <x:c r="K1299" s="12" t="str">
        <x:f>LEFT("913402007373350320",18)</x:f>
        <x:v>913402007373350300</x:v>
      </x:c>
    </x:row>
    <x:row r="1300">
      <x:c r="A1300" s="2" t="n">
        <x:v>1299</x:v>
      </x:c>
      <x:c r="B1300" s="2" t="inlineStr">
        <x:is>
          <x:t xml:space="preserve">002538</x:t>
        </x:is>
      </x:c>
      <x:c r="C1300" s="3" t="inlineStr">
        <x:is>
          <x:t xml:space="preserve">司尔特</x:t>
        </x:is>
      </x:c>
      <x:c r="D1300" s="3" t="inlineStr">
        <x:is>
          <x:t xml:space="preserve">安徽省司尔特肥业股份有限公司</x:t>
        </x:is>
      </x:c>
      <x:c r="E1300" s="2" t="inlineStr">
        <x:is>
          <x:t xml:space="preserve">安徽省</x:t>
        </x:is>
      </x:c>
      <x:c r="F1300" s="2" t="inlineStr">
        <x:is>
          <x:t xml:space="preserve">宣城市</x:t>
        </x:is>
      </x:c>
      <x:c r="G1300" s="3" t="inlineStr">
        <x:is>
          <x:t xml:space="preserve">安徽省-宣城市</x:t>
        </x:is>
      </x:c>
      <x:c r="H1300" s="2" t="inlineStr">
        <x:is>
          <x:t xml:space="preserve">化肥行业</x:t>
        </x:is>
      </x:c>
      <x:c r="I1300" s="2" t="inlineStr">
        <x:is>
          <x:t xml:space="preserve">2011-01-18</x:t>
        </x:is>
      </x:c>
      <x:c r="J1300" s="3" t="inlineStr">
        <x:is>
          <x:t xml:space="preserve">安徽省宁国经济技术开发区</x:t>
        </x:is>
      </x:c>
      <x:c r="K1300" s="12" t="str">
        <x:f>LEFT("91341800153443187Q",18)</x:f>
        <x:v>91341800153443187Q</x:v>
      </x:c>
    </x:row>
    <x:row r="1301">
      <x:c r="A1301" s="4" t="n">
        <x:v>1300</x:v>
      </x:c>
      <x:c r="B1301" s="4" t="inlineStr">
        <x:is>
          <x:t xml:space="preserve">002541</x:t>
        </x:is>
      </x:c>
      <x:c r="C1301" s="5" t="inlineStr">
        <x:is>
          <x:t xml:space="preserve">鸿路钢构</x:t>
        </x:is>
      </x:c>
      <x:c r="D1301" s="5" t="inlineStr">
        <x:is>
          <x:t xml:space="preserve">安徽鸿路钢结构(集团)股份有限公司</x:t>
        </x:is>
      </x:c>
      <x:c r="E1301" s="4" t="inlineStr">
        <x:is>
          <x:t xml:space="preserve">安徽省</x:t>
        </x:is>
      </x:c>
      <x:c r="F1301" s="4" t="inlineStr">
        <x:is>
          <x:t xml:space="preserve">合肥市</x:t>
        </x:is>
      </x:c>
      <x:c r="G1301" s="5" t="inlineStr">
        <x:is>
          <x:t xml:space="preserve">安徽省-合肥市</x:t>
        </x:is>
      </x:c>
      <x:c r="H1301" s="4" t="inlineStr">
        <x:is>
          <x:t xml:space="preserve">水泥建材</x:t>
        </x:is>
      </x:c>
      <x:c r="I1301" s="4" t="inlineStr">
        <x:is>
          <x:t xml:space="preserve">2011-01-18</x:t>
        </x:is>
      </x:c>
      <x:c r="J1301" s="5" t="inlineStr">
        <x:is>
          <x:t xml:space="preserve">合肥市双凤工业区</x:t>
        </x:is>
      </x:c>
      <x:c r="K1301" s="12" t="str">
        <x:f>LEFT("91340100743065219J",18)</x:f>
        <x:v>91340100743065219J</x:v>
      </x:c>
    </x:row>
    <x:row r="1302">
      <x:c r="A1302" s="2" t="n">
        <x:v>1301</x:v>
      </x:c>
      <x:c r="B1302" s="2" t="inlineStr">
        <x:is>
          <x:t xml:space="preserve">002555</x:t>
        </x:is>
      </x:c>
      <x:c r="C1302" s="3" t="inlineStr">
        <x:is>
          <x:t xml:space="preserve">三七互娱</x:t>
        </x:is>
      </x:c>
      <x:c r="D1302" s="3" t="inlineStr">
        <x:is>
          <x:t xml:space="preserve">三七互娱网络科技集团股份有限公司</x:t>
        </x:is>
      </x:c>
      <x:c r="E1302" s="2" t="inlineStr">
        <x:is>
          <x:t xml:space="preserve">安徽省</x:t>
        </x:is>
      </x:c>
      <x:c r="F1302" s="2" t="inlineStr">
        <x:is>
          <x:t xml:space="preserve">芜湖市</x:t>
        </x:is>
      </x:c>
      <x:c r="G1302" s="3" t="inlineStr">
        <x:is>
          <x:t xml:space="preserve">安徽省-芜湖市</x:t>
        </x:is>
      </x:c>
      <x:c r="H1302" s="2" t="inlineStr">
        <x:is>
          <x:t xml:space="preserve">游戏</x:t>
        </x:is>
      </x:c>
      <x:c r="I1302" s="2" t="inlineStr">
        <x:is>
          <x:t xml:space="preserve">2011-03-02</x:t>
        </x:is>
      </x:c>
      <x:c r="J1302" s="3" t="inlineStr">
        <x:is>
          <x:t xml:space="preserve">安徽省芜湖市瑞祥路88号皖江财富广场B1座7层7001号</x:t>
        </x:is>
      </x:c>
      <x:c r="K1302" s="12" t="str">
        <x:f>LEFT("91340200713927789U",18)</x:f>
        <x:v>91340200713927789U</x:v>
      </x:c>
    </x:row>
    <x:row r="1303">
      <x:c r="A1303" s="4" t="n">
        <x:v>1302</x:v>
      </x:c>
      <x:c r="B1303" s="4" t="inlineStr">
        <x:is>
          <x:t xml:space="preserve">002556</x:t>
        </x:is>
      </x:c>
      <x:c r="C1303" s="5" t="inlineStr">
        <x:is>
          <x:t xml:space="preserve">辉隆股份</x:t>
        </x:is>
      </x:c>
      <x:c r="D1303" s="5" t="inlineStr">
        <x:is>
          <x:t xml:space="preserve">安徽辉隆农资集团股份有限公司</x:t>
        </x:is>
      </x:c>
      <x:c r="E1303" s="4" t="inlineStr">
        <x:is>
          <x:t xml:space="preserve">安徽省</x:t>
        </x:is>
      </x:c>
      <x:c r="F1303" s="4" t="inlineStr">
        <x:is>
          <x:t xml:space="preserve">合肥市</x:t>
        </x:is>
      </x:c>
      <x:c r="G1303" s="5" t="inlineStr">
        <x:is>
          <x:t xml:space="preserve">安徽省-合肥市</x:t>
        </x:is>
      </x:c>
      <x:c r="H1303" s="4" t="inlineStr">
        <x:is>
          <x:t xml:space="preserve">化肥行业</x:t>
        </x:is>
      </x:c>
      <x:c r="I1303" s="4" t="inlineStr">
        <x:is>
          <x:t xml:space="preserve">2011-03-02</x:t>
        </x:is>
      </x:c>
      <x:c r="J1303" s="5" t="inlineStr">
        <x:is>
          <x:t xml:space="preserve">安徽省合肥市庐江县庐城镇晨光路17号东方水岸写字楼</x:t>
        </x:is>
      </x:c>
      <x:c r="K1303" s="12" t="str">
        <x:f>LEFT("91340000148941720L",18)</x:f>
        <x:v>91340000148941720L</x:v>
      </x:c>
    </x:row>
    <x:row r="1304">
      <x:c r="A1304" s="2" t="n">
        <x:v>1303</x:v>
      </x:c>
      <x:c r="B1304" s="2" t="inlineStr">
        <x:is>
          <x:t xml:space="preserve">002557</x:t>
        </x:is>
      </x:c>
      <x:c r="C1304" s="3" t="inlineStr">
        <x:is>
          <x:t xml:space="preserve">洽洽食品</x:t>
        </x:is>
      </x:c>
      <x:c r="D1304" s="3" t="inlineStr">
        <x:is>
          <x:t xml:space="preserve">洽洽食品股份有限公司</x:t>
        </x:is>
      </x:c>
      <x:c r="E1304" s="2" t="inlineStr">
        <x:is>
          <x:t xml:space="preserve">安徽省</x:t>
        </x:is>
      </x:c>
      <x:c r="F1304" s="2" t="inlineStr">
        <x:is>
          <x:t xml:space="preserve">合肥市</x:t>
        </x:is>
      </x:c>
      <x:c r="G1304" s="3" t="inlineStr">
        <x:is>
          <x:t xml:space="preserve">安徽省-合肥市</x:t>
        </x:is>
      </x:c>
      <x:c r="H1304" s="2" t="inlineStr">
        <x:is>
          <x:t xml:space="preserve">食品饮料</x:t>
        </x:is>
      </x:c>
      <x:c r="I1304" s="2" t="inlineStr">
        <x:is>
          <x:t xml:space="preserve">2011-03-02</x:t>
        </x:is>
      </x:c>
      <x:c r="J1304" s="3" t="inlineStr">
        <x:is>
          <x:t xml:space="preserve">合肥市经济技术开发区莲花路</x:t>
        </x:is>
      </x:c>
      <x:c r="K1304" s="12" t="str">
        <x:f>LEFT("913400007300294381",18)</x:f>
        <x:v>913400007300294400</x:v>
      </x:c>
    </x:row>
    <x:row r="1305">
      <x:c r="A1305" s="4" t="n">
        <x:v>1304</x:v>
      </x:c>
      <x:c r="B1305" s="4" t="inlineStr">
        <x:is>
          <x:t xml:space="preserve">002571</x:t>
        </x:is>
      </x:c>
      <x:c r="C1305" s="5" t="inlineStr">
        <x:is>
          <x:t xml:space="preserve">德力股份</x:t>
        </x:is>
      </x:c>
      <x:c r="D1305" s="5" t="inlineStr">
        <x:is>
          <x:t xml:space="preserve">安徽德力日用玻璃股份有限公司</x:t>
        </x:is>
      </x:c>
      <x:c r="E1305" s="4" t="inlineStr">
        <x:is>
          <x:t xml:space="preserve">安徽省</x:t>
        </x:is>
      </x:c>
      <x:c r="F1305" s="4" t="inlineStr">
        <x:is>
          <x:t xml:space="preserve">滁州市</x:t>
        </x:is>
      </x:c>
      <x:c r="G1305" s="5" t="inlineStr">
        <x:is>
          <x:t xml:space="preserve">安徽省-滁州市</x:t>
        </x:is>
      </x:c>
      <x:c r="H1305" s="4" t="inlineStr">
        <x:is>
          <x:t xml:space="preserve">家用轻工</x:t>
        </x:is>
      </x:c>
      <x:c r="I1305" s="4" t="inlineStr">
        <x:is>
          <x:t xml:space="preserve">2011-04-12</x:t>
        </x:is>
      </x:c>
      <x:c r="J1305" s="5" t="inlineStr">
        <x:is>
          <x:t xml:space="preserve">安徽省滁州市凤阳县工业园</x:t>
        </x:is>
      </x:c>
      <x:c r="K1305" s="12" t="str">
        <x:f>LEFT("91341100743082836K",18)</x:f>
        <x:v>91341100743082836K</x:v>
      </x:c>
    </x:row>
    <x:row r="1306">
      <x:c r="A1306" s="2" t="n">
        <x:v>1305</x:v>
      </x:c>
      <x:c r="B1306" s="2" t="inlineStr">
        <x:is>
          <x:t xml:space="preserve">002597</x:t>
        </x:is>
      </x:c>
      <x:c r="C1306" s="3" t="inlineStr">
        <x:is>
          <x:t xml:space="preserve">金禾实业</x:t>
        </x:is>
      </x:c>
      <x:c r="D1306" s="3" t="inlineStr">
        <x:is>
          <x:t xml:space="preserve">安徽金禾实业股份有限公司</x:t>
        </x:is>
      </x:c>
      <x:c r="E1306" s="2" t="inlineStr">
        <x:is>
          <x:t xml:space="preserve">安徽省</x:t>
        </x:is>
      </x:c>
      <x:c r="F1306" s="2" t="inlineStr">
        <x:is>
          <x:t xml:space="preserve">滁州市</x:t>
        </x:is>
      </x:c>
      <x:c r="G1306" s="3" t="inlineStr">
        <x:is>
          <x:t xml:space="preserve">安徽省-滁州市</x:t>
        </x:is>
      </x:c>
      <x:c r="H1306" s="2" t="inlineStr">
        <x:is>
          <x:t xml:space="preserve">食品饮料</x:t>
        </x:is>
      </x:c>
      <x:c r="I1306" s="2" t="inlineStr">
        <x:is>
          <x:t xml:space="preserve">2011-07-07</x:t>
        </x:is>
      </x:c>
      <x:c r="J1306" s="3" t="inlineStr">
        <x:is>
          <x:t xml:space="preserve">安徽省滁州市来安县城东大街127号</x:t>
        </x:is>
      </x:c>
      <x:c r="K1306" s="12" t="str">
        <x:f>LEFT("91341100796433177T",18)</x:f>
        <x:v>91341100796433177T</x:v>
      </x:c>
    </x:row>
    <x:row r="1307">
      <x:c r="A1307" s="4" t="n">
        <x:v>1306</x:v>
      </x:c>
      <x:c r="B1307" s="4" t="inlineStr">
        <x:is>
          <x:t xml:space="preserve">002607</x:t>
        </x:is>
      </x:c>
      <x:c r="C1307" s="5" t="inlineStr">
        <x:is>
          <x:t xml:space="preserve">中公教育</x:t>
        </x:is>
      </x:c>
      <x:c r="D1307" s="5" t="inlineStr">
        <x:is>
          <x:t xml:space="preserve">中公教育科技股份有限公司</x:t>
        </x:is>
      </x:c>
      <x:c r="E1307" s="4" t="inlineStr">
        <x:is>
          <x:t xml:space="preserve">安徽省</x:t>
        </x:is>
      </x:c>
      <x:c r="F1307" s="4" t="inlineStr">
        <x:is>
          <x:t xml:space="preserve">芜湖市</x:t>
        </x:is>
      </x:c>
      <x:c r="G1307" s="5" t="inlineStr">
        <x:is>
          <x:t xml:space="preserve">安徽省-芜湖市</x:t>
        </x:is>
      </x:c>
      <x:c r="H1307" s="4" t="inlineStr">
        <x:is>
          <x:t xml:space="preserve">文教休闲</x:t>
        </x:is>
      </x:c>
      <x:c r="I1307" s="4" t="inlineStr">
        <x:is>
          <x:t xml:space="preserve">2011-08-10</x:t>
        </x:is>
      </x:c>
      <x:c r="J1307" s="5" t="inlineStr">
        <x:is>
          <x:t xml:space="preserve">安徽省芜湖市鸠江区弋江北路亚夏汽车城</x:t>
        </x:is>
      </x:c>
      <x:c r="K1307" s="12" t="str">
        <x:f>LEFT("91340200711040703A",18)</x:f>
        <x:v>91340200711040703A</x:v>
      </x:c>
    </x:row>
    <x:row r="1308">
      <x:c r="A1308" s="2" t="n">
        <x:v>1307</x:v>
      </x:c>
      <x:c r="B1308" s="2" t="inlineStr">
        <x:is>
          <x:t xml:space="preserve">002690</x:t>
        </x:is>
      </x:c>
      <x:c r="C1308" s="3" t="inlineStr">
        <x:is>
          <x:t xml:space="preserve">美亚光电</x:t>
        </x:is>
      </x:c>
      <x:c r="D1308" s="3" t="inlineStr">
        <x:is>
          <x:t xml:space="preserve">合肥美亚光电技术股份有限公司</x:t>
        </x:is>
      </x:c>
      <x:c r="E1308" s="2" t="inlineStr">
        <x:is>
          <x:t xml:space="preserve">安徽省</x:t>
        </x:is>
      </x:c>
      <x:c r="F1308" s="2" t="inlineStr">
        <x:is>
          <x:t xml:space="preserve">合肥市</x:t>
        </x:is>
      </x:c>
      <x:c r="G1308" s="3" t="inlineStr">
        <x:is>
          <x:t xml:space="preserve">安徽省-合肥市</x:t>
        </x:is>
      </x:c>
      <x:c r="H1308" s="2" t="inlineStr">
        <x:is>
          <x:t xml:space="preserve">专用设备</x:t>
        </x:is>
      </x:c>
      <x:c r="I1308" s="2" t="inlineStr">
        <x:is>
          <x:t xml:space="preserve">2012-07-31</x:t>
        </x:is>
      </x:c>
      <x:c r="J1308" s="3" t="inlineStr">
        <x:is>
          <x:t xml:space="preserve">合肥市高新区望江西路668号</x:t>
        </x:is>
      </x:c>
      <x:c r="K1308" s="12" t="str">
        <x:f>LEFT("913401007199129080",18)</x:f>
        <x:v>913401007199129100</x:v>
      </x:c>
    </x:row>
    <x:row r="1309">
      <x:c r="A1309" s="4" t="n">
        <x:v>1308</x:v>
      </x:c>
      <x:c r="B1309" s="4" t="inlineStr">
        <x:is>
          <x:t xml:space="preserve">002743</x:t>
        </x:is>
      </x:c>
      <x:c r="C1309" s="5" t="inlineStr">
        <x:is>
          <x:t xml:space="preserve">富煌钢构</x:t>
        </x:is>
      </x:c>
      <x:c r="D1309" s="5" t="inlineStr">
        <x:is>
          <x:t xml:space="preserve">安徽富煌钢构股份有限公司</x:t>
        </x:is>
      </x:c>
      <x:c r="E1309" s="4" t="inlineStr">
        <x:is>
          <x:t xml:space="preserve">安徽省</x:t>
        </x:is>
      </x:c>
      <x:c r="F1309" s="4" t="inlineStr">
        <x:is>
          <x:t xml:space="preserve">徽省巢湖市</x:t>
        </x:is>
      </x:c>
      <x:c r="G1309" s="5" t="inlineStr">
        <x:is>
          <x:t xml:space="preserve">安徽省-徽省巢湖市</x:t>
        </x:is>
      </x:c>
      <x:c r="H1309" s="4" t="inlineStr">
        <x:is>
          <x:t xml:space="preserve">水泥建材</x:t>
        </x:is>
      </x:c>
      <x:c r="I1309" s="4" t="inlineStr">
        <x:is>
          <x:t xml:space="preserve">2015-02-17</x:t>
        </x:is>
      </x:c>
      <x:c r="J1309" s="5" t="inlineStr">
        <x:is>
          <x:t xml:space="preserve">安徽省巢湖市黄麓镇富煌商业广场</x:t>
        </x:is>
      </x:c>
      <x:c r="K1309" s="12" t="str">
        <x:f>LEFT("91340100769033274W",18)</x:f>
        <x:v>91340100769033274W</x:v>
      </x:c>
    </x:row>
    <x:row r="1310">
      <x:c r="A1310" s="2" t="n">
        <x:v>1309</x:v>
      </x:c>
      <x:c r="B1310" s="2" t="inlineStr">
        <x:is>
          <x:t xml:space="preserve">002817</x:t>
        </x:is>
      </x:c>
      <x:c r="C1310" s="3" t="inlineStr">
        <x:is>
          <x:t xml:space="preserve">黄山胶囊</x:t>
        </x:is>
      </x:c>
      <x:c r="D1310" s="3" t="inlineStr">
        <x:is>
          <x:t xml:space="preserve">安徽黄山胶囊股份有限公司</x:t>
        </x:is>
      </x:c>
      <x:c r="E1310" s="2" t="inlineStr">
        <x:is>
          <x:t xml:space="preserve">安徽省</x:t>
        </x:is>
      </x:c>
      <x:c r="F1310" s="2" t="inlineStr">
        <x:is>
          <x:t xml:space="preserve">宣城市</x:t>
        </x:is>
      </x:c>
      <x:c r="G1310" s="3" t="inlineStr">
        <x:is>
          <x:t xml:space="preserve">安徽省-宣城市</x:t>
        </x:is>
      </x:c>
      <x:c r="H1310" s="2" t="inlineStr">
        <x:is>
          <x:t xml:space="preserve">医疗器械</x:t>
        </x:is>
      </x:c>
      <x:c r="I1310" s="2" t="inlineStr">
        <x:is>
          <x:t xml:space="preserve">2016-10-25</x:t>
        </x:is>
      </x:c>
      <x:c r="J1310" s="3" t="inlineStr">
        <x:is>
          <x:t xml:space="preserve">安徽省旌德县白地洪川</x:t>
        </x:is>
      </x:c>
      <x:c r="K1310" s="12" t="str">
        <x:f>LEFT("91341800153500065Q",18)</x:f>
        <x:v>91341800153500065Q</x:v>
      </x:c>
    </x:row>
    <x:row r="1311">
      <x:c r="A1311" s="4" t="n">
        <x:v>1310</x:v>
      </x:c>
      <x:c r="B1311" s="4" t="inlineStr">
        <x:is>
          <x:t xml:space="preserve">002969</x:t>
        </x:is>
      </x:c>
      <x:c r="C1311" s="5" t="inlineStr">
        <x:is>
          <x:t xml:space="preserve">嘉美包装</x:t>
        </x:is>
      </x:c>
      <x:c r="D1311" s="5" t="inlineStr">
        <x:is>
          <x:t xml:space="preserve">嘉美食品包装(滁州)股份有限公司</x:t>
        </x:is>
      </x:c>
      <x:c r="E1311" s="4" t="inlineStr">
        <x:is>
          <x:t xml:space="preserve">安徽省</x:t>
        </x:is>
      </x:c>
      <x:c r="F1311" s="4" t="inlineStr">
        <x:is>
          <x:t xml:space="preserve">滁州市</x:t>
        </x:is>
      </x:c>
      <x:c r="G1311" s="5" t="inlineStr">
        <x:is>
          <x:t xml:space="preserve">安徽省-滁州市</x:t>
        </x:is>
      </x:c>
      <x:c r="H1311" s="4" t="inlineStr">
        <x:is>
          <x:t xml:space="preserve">包装材料</x:t>
        </x:is>
      </x:c>
      <x:c r="I1311" s="4" t="inlineStr">
        <x:is>
          <x:t xml:space="preserve">2019-12-02</x:t>
        </x:is>
      </x:c>
      <x:c r="J1311" s="5" t="inlineStr">
        <x:is>
          <x:t xml:space="preserve">安徽省滁州市苏州北路258号</x:t>
        </x:is>
      </x:c>
      <x:c r="K1311" s="12" t="str">
        <x:f>LEFT("91341100568963053A",18)</x:f>
        <x:v>91341100568963053A</x:v>
      </x:c>
    </x:row>
    <x:row r="1312">
      <x:c r="A1312" s="2" t="n">
        <x:v>1311</x:v>
      </x:c>
      <x:c r="B1312" s="2" t="inlineStr">
        <x:is>
          <x:t xml:space="preserve">002983</x:t>
        </x:is>
      </x:c>
      <x:c r="C1312" s="3" t="inlineStr">
        <x:is>
          <x:t xml:space="preserve">芯瑞达</x:t>
        </x:is>
      </x:c>
      <x:c r="D1312" s="3" t="inlineStr">
        <x:is>
          <x:t xml:space="preserve">安徽芯瑞达科技股份有限公司</x:t>
        </x:is>
      </x:c>
      <x:c r="E1312" s="2" t="inlineStr">
        <x:is>
          <x:t xml:space="preserve">安徽省</x:t>
        </x:is>
      </x:c>
      <x:c r="F1312" s="2" t="inlineStr">
        <x:is>
          <x:t xml:space="preserve">合肥市</x:t>
        </x:is>
      </x:c>
      <x:c r="G1312" s="3" t="inlineStr">
        <x:is>
          <x:t xml:space="preserve">安徽省-合肥市</x:t>
        </x:is>
      </x:c>
      <x:c r="H1312" s="2" t="inlineStr">
        <x:is>
          <x:t xml:space="preserve">光学光电子</x:t>
        </x:is>
      </x:c>
      <x:c r="I1312" s="2" t="inlineStr">
        <x:is>
          <x:t xml:space="preserve">2020-04-28</x:t>
        </x:is>
      </x:c>
      <x:c r="J1312" s="3" t="inlineStr">
        <x:is>
          <x:t xml:space="preserve">安徽省合肥经济技术开发区方兴大道6988号芯瑞达科技园</x:t>
        </x:is>
      </x:c>
      <x:c r="K1312" s="12" t="str">
        <x:f>LEFT("91340100595739962H",18)</x:f>
        <x:v>91340100595739962H</x:v>
      </x:c>
    </x:row>
    <x:row r="1313">
      <x:c r="A1313" s="4" t="n">
        <x:v>1312</x:v>
      </x:c>
      <x:c r="B1313" s="4" t="inlineStr">
        <x:is>
          <x:t xml:space="preserve">002997</x:t>
        </x:is>
      </x:c>
      <x:c r="C1313" s="5" t="inlineStr">
        <x:is>
          <x:t xml:space="preserve">瑞鹄模具</x:t>
        </x:is>
      </x:c>
      <x:c r="D1313" s="5" t="inlineStr">
        <x:is>
          <x:t xml:space="preserve">瑞鹄汽车模具股份有限公司</x:t>
        </x:is>
      </x:c>
      <x:c r="E1313" s="4" t="inlineStr">
        <x:is>
          <x:t xml:space="preserve">安徽省</x:t>
        </x:is>
      </x:c>
      <x:c r="F1313" s="4" t="inlineStr">
        <x:is>
          <x:t xml:space="preserve">芜湖市</x:t>
        </x:is>
      </x:c>
      <x:c r="G1313" s="5" t="inlineStr">
        <x:is>
          <x:t xml:space="preserve">安徽省-芜湖市</x:t>
        </x:is>
      </x:c>
      <x:c r="H1313" s="4" t="inlineStr">
        <x:is>
          <x:t xml:space="preserve">汽车零部件</x:t>
        </x:is>
      </x:c>
      <x:c r="I1313" s="4" t="inlineStr">
        <x:is>
          <x:t xml:space="preserve">2020-09-03</x:t>
        </x:is>
      </x:c>
      <x:c r="J1313" s="5" t="inlineStr">
        <x:is>
          <x:t xml:space="preserve">中国(安徽)自由贸易试验区芜湖片区银湖北路22号</x:t>
        </x:is>
      </x:c>
      <x:c r="K1313" s="12" t="str">
        <x:f>LEFT("9134020073498415XP",18)</x:f>
        <x:v>9134020073498415XP</x:v>
      </x:c>
    </x:row>
    <x:row r="1314">
      <x:c r="A1314" s="2" t="n">
        <x:v>1313</x:v>
      </x:c>
      <x:c r="B1314" s="2" t="inlineStr">
        <x:is>
          <x:t xml:space="preserve">003020</x:t>
        </x:is>
      </x:c>
      <x:c r="C1314" s="3" t="inlineStr">
        <x:is>
          <x:t xml:space="preserve">立方制药</x:t>
        </x:is>
      </x:c>
      <x:c r="D1314" s="3" t="inlineStr">
        <x:is>
          <x:t xml:space="preserve">合肥立方制药股份有限公司</x:t>
        </x:is>
      </x:c>
      <x:c r="E1314" s="2" t="inlineStr">
        <x:is>
          <x:t xml:space="preserve">安徽省</x:t>
        </x:is>
      </x:c>
      <x:c r="F1314" s="2" t="inlineStr">
        <x:is>
          <x:t xml:space="preserve">合肥市</x:t>
        </x:is>
      </x:c>
      <x:c r="G1314" s="3" t="inlineStr">
        <x:is>
          <x:t xml:space="preserve">安徽省-合肥市</x:t>
        </x:is>
      </x:c>
      <x:c r="H1314" s="2" t="inlineStr">
        <x:is>
          <x:t xml:space="preserve">化学制药</x:t>
        </x:is>
      </x:c>
      <x:c r="I1314" s="2" t="inlineStr">
        <x:is>
          <x:t xml:space="preserve">2020-12-15</x:t>
        </x:is>
      </x:c>
      <x:c r="J1314" s="3" t="inlineStr">
        <x:is>
          <x:t xml:space="preserve">安徽省合肥市长江西路669号立方厂区</x:t>
        </x:is>
      </x:c>
      <x:c r="K1314" s="12" t="str">
        <x:f>LEFT("91340100740870052B",18)</x:f>
        <x:v>91340100740870052B</x:v>
      </x:c>
    </x:row>
    <x:row r="1315">
      <x:c r="A1315" s="4" t="n">
        <x:v>1314</x:v>
      </x:c>
      <x:c r="B1315" s="4" t="inlineStr">
        <x:is>
          <x:t xml:space="preserve">003027</x:t>
        </x:is>
      </x:c>
      <x:c r="C1315" s="5" t="inlineStr">
        <x:is>
          <x:t xml:space="preserve">同兴科技</x:t>
        </x:is>
      </x:c>
      <x:c r="D1315" s="5" t="inlineStr">
        <x:is>
          <x:t xml:space="preserve">同兴环保科技股份有限公司</x:t>
        </x:is>
      </x:c>
      <x:c r="E1315" s="4" t="inlineStr">
        <x:is>
          <x:t xml:space="preserve">安徽省</x:t>
        </x:is>
      </x:c>
      <x:c r="F1315" s="4" t="inlineStr">
        <x:is>
          <x:t xml:space="preserve">马鞍山市</x:t>
        </x:is>
      </x:c>
      <x:c r="G1315" s="5" t="inlineStr">
        <x:is>
          <x:t xml:space="preserve">安徽省-马鞍山市</x:t>
        </x:is>
      </x:c>
      <x:c r="H1315" s="4" t="inlineStr">
        <x:is>
          <x:t xml:space="preserve">环保工程</x:t>
        </x:is>
      </x:c>
      <x:c r="I1315" s="4" t="inlineStr">
        <x:is>
          <x:t xml:space="preserve">2020-12-18</x:t>
        </x:is>
      </x:c>
      <x:c r="J1315" s="5" t="inlineStr">
        <x:is>
          <x:t xml:space="preserve">安徽省马鞍山市含山县清溪镇工业园区</x:t>
        </x:is>
      </x:c>
      <x:c r="K1315" s="12" t="str">
        <x:f>LEFT("91340500790112129G",18)</x:f>
        <x:v>91340500790112129G</x:v>
      </x:c>
    </x:row>
    <x:row r="1316">
      <x:c r="A1316" s="2" t="n">
        <x:v>1315</x:v>
      </x:c>
      <x:c r="B1316" s="2" t="inlineStr">
        <x:is>
          <x:t xml:space="preserve">003038</x:t>
        </x:is>
      </x:c>
      <x:c r="C1316" s="3" t="inlineStr">
        <x:is>
          <x:t xml:space="preserve">鑫铂股份</x:t>
        </x:is>
      </x:c>
      <x:c r="D1316" s="3" t="inlineStr">
        <x:is>
          <x:t xml:space="preserve">安徽鑫铂铝业股份有限公司</x:t>
        </x:is>
      </x:c>
      <x:c r="E1316" s="2" t="inlineStr">
        <x:is>
          <x:t xml:space="preserve">安徽省</x:t>
        </x:is>
      </x:c>
      <x:c r="F1316" s="2" t="inlineStr">
        <x:is>
          <x:t xml:space="preserve">天长市</x:t>
        </x:is>
      </x:c>
      <x:c r="G1316" s="3" t="inlineStr">
        <x:is>
          <x:t xml:space="preserve">安徽省-天长市</x:t>
        </x:is>
      </x:c>
      <x:c r="H1316" s="2" t="inlineStr">
        <x:is>
          <x:t xml:space="preserve">有色金属</x:t>
        </x:is>
      </x:c>
      <x:c r="I1316" s="2" t="inlineStr">
        <x:is>
          <x:t xml:space="preserve">2021-02-10</x:t>
        </x:is>
      </x:c>
      <x:c r="J1316" s="3" t="inlineStr">
        <x:is>
          <x:t xml:space="preserve">天长市杨村镇杨村工业区</x:t>
        </x:is>
      </x:c>
      <x:c r="K1316" s="12" t="str">
        <x:f>LEFT("913411810772192383",18)</x:f>
        <x:v>913411810772192400</x:v>
      </x:c>
    </x:row>
    <x:row r="1317">
      <x:c r="A1317" s="4" t="n">
        <x:v>1316</x:v>
      </x:c>
      <x:c r="B1317" s="4" t="inlineStr">
        <x:is>
          <x:t xml:space="preserve">300009</x:t>
        </x:is>
      </x:c>
      <x:c r="C1317" s="5" t="inlineStr">
        <x:is>
          <x:t xml:space="preserve">安科生物</x:t>
        </x:is>
      </x:c>
      <x:c r="D1317" s="5" t="inlineStr">
        <x:is>
          <x:t xml:space="preserve">安徽安科生物工程(集团)股份有限公司</x:t>
        </x:is>
      </x:c>
      <x:c r="E1317" s="4" t="inlineStr">
        <x:is>
          <x:t xml:space="preserve">安徽省</x:t>
        </x:is>
      </x:c>
      <x:c r="F1317" s="4" t="inlineStr">
        <x:is>
          <x:t xml:space="preserve">合肥市</x:t>
        </x:is>
      </x:c>
      <x:c r="G1317" s="5" t="inlineStr">
        <x:is>
          <x:t xml:space="preserve">安徽省-合肥市</x:t>
        </x:is>
      </x:c>
      <x:c r="H1317" s="4" t="inlineStr">
        <x:is>
          <x:t xml:space="preserve">生物制品</x:t>
        </x:is>
      </x:c>
      <x:c r="I1317" s="4" t="inlineStr">
        <x:is>
          <x:t xml:space="preserve">2009-10-30</x:t>
        </x:is>
      </x:c>
      <x:c r="J1317" s="5" t="inlineStr">
        <x:is>
          <x:t xml:space="preserve">安徽省合肥市长江西路669号高新区海关路K-1</x:t>
        </x:is>
      </x:c>
      <x:c r="K1317" s="12" t="str">
        <x:f>LEFT("91340100149030777L",18)</x:f>
        <x:v>91340100149030777L</x:v>
      </x:c>
    </x:row>
    <x:row r="1318">
      <x:c r="A1318" s="2" t="n">
        <x:v>1317</x:v>
      </x:c>
      <x:c r="B1318" s="2" t="inlineStr">
        <x:is>
          <x:t xml:space="preserve">300087</x:t>
        </x:is>
      </x:c>
      <x:c r="C1318" s="3" t="inlineStr">
        <x:is>
          <x:t xml:space="preserve">荃银高科</x:t>
        </x:is>
      </x:c>
      <x:c r="D1318" s="3" t="inlineStr">
        <x:is>
          <x:t xml:space="preserve">安徽荃银高科种业股份有限公司</x:t>
        </x:is>
      </x:c>
      <x:c r="E1318" s="2" t="inlineStr">
        <x:is>
          <x:t xml:space="preserve">安徽省</x:t>
        </x:is>
      </x:c>
      <x:c r="F1318" s="2" t="inlineStr">
        <x:is>
          <x:t xml:space="preserve">合肥市</x:t>
        </x:is>
      </x:c>
      <x:c r="G1318" s="3" t="inlineStr">
        <x:is>
          <x:t xml:space="preserve">安徽省-合肥市</x:t>
        </x:is>
      </x:c>
      <x:c r="H1318" s="2" t="inlineStr">
        <x:is>
          <x:t xml:space="preserve">农牧饲渔</x:t>
        </x:is>
      </x:c>
      <x:c r="I1318" s="2" t="inlineStr">
        <x:is>
          <x:t xml:space="preserve">2010-05-26</x:t>
        </x:is>
      </x:c>
      <x:c r="J1318" s="3" t="inlineStr">
        <x:is>
          <x:t xml:space="preserve">安徽省合肥市高新区创新大道98号</x:t>
        </x:is>
      </x:c>
      <x:c r="K1318" s="12" t="str">
        <x:f>LEFT("91340100740872226E",18)</x:f>
        <x:v>91340100740872226E</x:v>
      </x:c>
    </x:row>
    <x:row r="1319">
      <x:c r="A1319" s="4" t="n">
        <x:v>1318</x:v>
      </x:c>
      <x:c r="B1319" s="4" t="inlineStr">
        <x:is>
          <x:t xml:space="preserve">300088</x:t>
        </x:is>
      </x:c>
      <x:c r="C1319" s="5" t="inlineStr">
        <x:is>
          <x:t xml:space="preserve">长信科技</x:t>
        </x:is>
      </x:c>
      <x:c r="D1319" s="5" t="inlineStr">
        <x:is>
          <x:t xml:space="preserve">芜湖长信科技股份有限公司</x:t>
        </x:is>
      </x:c>
      <x:c r="E1319" s="4" t="inlineStr">
        <x:is>
          <x:t xml:space="preserve">安徽省</x:t>
        </x:is>
      </x:c>
      <x:c r="F1319" s="4" t="inlineStr">
        <x:is>
          <x:t xml:space="preserve">芜湖市</x:t>
        </x:is>
      </x:c>
      <x:c r="G1319" s="5" t="inlineStr">
        <x:is>
          <x:t xml:space="preserve">安徽省-芜湖市</x:t>
        </x:is>
      </x:c>
      <x:c r="H1319" s="4" t="inlineStr">
        <x:is>
          <x:t xml:space="preserve">光学光电子</x:t>
        </x:is>
      </x:c>
      <x:c r="I1319" s="4" t="inlineStr">
        <x:is>
          <x:t xml:space="preserve">2010-05-26</x:t>
        </x:is>
      </x:c>
      <x:c r="J1319" s="5" t="inlineStr">
        <x:is>
          <x:t xml:space="preserve">中国(安徽)自由贸易试验区芜湖片区汽经二路以东</x:t>
        </x:is>
      </x:c>
      <x:c r="K1319" s="12" t="str">
        <x:f>LEFT("913400007199042708",18)</x:f>
        <x:v>913400007199042700</x:v>
      </x:c>
    </x:row>
    <x:row r="1320">
      <x:c r="A1320" s="2" t="n">
        <x:v>1319</x:v>
      </x:c>
      <x:c r="B1320" s="2" t="inlineStr">
        <x:is>
          <x:t xml:space="preserve">300134</x:t>
        </x:is>
      </x:c>
      <x:c r="C1320" s="3" t="inlineStr">
        <x:is>
          <x:t xml:space="preserve">大富科技</x:t>
        </x:is>
      </x:c>
      <x:c r="D1320" s="3" t="inlineStr">
        <x:is>
          <x:t xml:space="preserve">大富科技(安徽)股份有限公司</x:t>
        </x:is>
      </x:c>
      <x:c r="E1320" s="2" t="inlineStr">
        <x:is>
          <x:t xml:space="preserve">安徽省</x:t>
        </x:is>
      </x:c>
      <x:c r="F1320" s="2" t="inlineStr">
        <x:is>
          <x:t xml:space="preserve">蚌埠市</x:t>
        </x:is>
      </x:c>
      <x:c r="G1320" s="3" t="inlineStr">
        <x:is>
          <x:t xml:space="preserve">安徽省-蚌埠市</x:t>
        </x:is>
      </x:c>
      <x:c r="H1320" s="2" t="inlineStr">
        <x:is>
          <x:t xml:space="preserve">通讯行业</x:t>
        </x:is>
      </x:c>
      <x:c r="I1320" s="2" t="inlineStr">
        <x:is>
          <x:t xml:space="preserve">2010-10-26</x:t>
        </x:is>
      </x:c>
      <x:c r="J1320" s="3" t="inlineStr">
        <x:is>
          <x:t xml:space="preserve">安徽省蚌埠市燕南路17号国家金融孵化产业园4号楼</x:t>
        </x:is>
      </x:c>
      <x:c r="K1320" s="12" t="str">
        <x:f>LEFT("91440300727174466J",18)</x:f>
        <x:v>91440300727174466J</x:v>
      </x:c>
    </x:row>
    <x:row r="1321">
      <x:c r="A1321" s="4" t="n">
        <x:v>1320</x:v>
      </x:c>
      <x:c r="B1321" s="4" t="inlineStr">
        <x:is>
          <x:t xml:space="preserve">300218</x:t>
        </x:is>
      </x:c>
      <x:c r="C1321" s="5" t="inlineStr">
        <x:is>
          <x:t xml:space="preserve">安利股份</x:t>
        </x:is>
      </x:c>
      <x:c r="D1321" s="5" t="inlineStr">
        <x:is>
          <x:t xml:space="preserve">安徽安利材料科技股份有限公司</x:t>
        </x:is>
      </x:c>
      <x:c r="E1321" s="4" t="inlineStr">
        <x:is>
          <x:t xml:space="preserve">安徽省</x:t>
        </x:is>
      </x:c>
      <x:c r="F1321" s="4" t="inlineStr">
        <x:is>
          <x:t xml:space="preserve">合肥市</x:t>
        </x:is>
      </x:c>
      <x:c r="G1321" s="5" t="inlineStr">
        <x:is>
          <x:t xml:space="preserve">安徽省-合肥市</x:t>
        </x:is>
      </x:c>
      <x:c r="H1321" s="4" t="inlineStr">
        <x:is>
          <x:t xml:space="preserve">塑料制品</x:t>
        </x:is>
      </x:c>
      <x:c r="I1321" s="4" t="inlineStr">
        <x:is>
          <x:t xml:space="preserve">2011-05-18</x:t>
        </x:is>
      </x:c>
      <x:c r="J1321" s="5" t="inlineStr">
        <x:is>
          <x:t xml:space="preserve">安徽省合肥市经济技术开发区桃花工业园拓展区(繁华大道与创新大道交叉口)</x:t>
        </x:is>
      </x:c>
      <x:c r="K1321" s="12" t="str">
        <x:f>LEFT("91340000610307077M",18)</x:f>
        <x:v>91340000610307077M</x:v>
      </x:c>
    </x:row>
    <x:row r="1322">
      <x:c r="A1322" s="2" t="n">
        <x:v>1321</x:v>
      </x:c>
      <x:c r="B1322" s="2" t="inlineStr">
        <x:is>
          <x:t xml:space="preserve">300247</x:t>
        </x:is>
      </x:c>
      <x:c r="C1322" s="3" t="inlineStr">
        <x:is>
          <x:t xml:space="preserve">融捷健康</x:t>
        </x:is>
      </x:c>
      <x:c r="D1322" s="3" t="inlineStr">
        <x:is>
          <x:t xml:space="preserve">融捷健康科技股份有限公司</x:t>
        </x:is>
      </x:c>
      <x:c r="E1322" s="2" t="inlineStr">
        <x:is>
          <x:t xml:space="preserve">安徽省</x:t>
        </x:is>
      </x:c>
      <x:c r="F1322" s="2" t="inlineStr">
        <x:is>
          <x:t xml:space="preserve">合肥市</x:t>
        </x:is>
      </x:c>
      <x:c r="G1322" s="3" t="inlineStr">
        <x:is>
          <x:t xml:space="preserve">安徽省-合肥市</x:t>
        </x:is>
      </x:c>
      <x:c r="H1322" s="2" t="inlineStr">
        <x:is>
          <x:t xml:space="preserve">家电行业</x:t>
        </x:is>
      </x:c>
      <x:c r="I1322" s="2" t="inlineStr">
        <x:is>
          <x:t xml:space="preserve">2011-07-29</x:t>
        </x:is>
      </x:c>
      <x:c r="J1322" s="3" t="inlineStr">
        <x:is>
          <x:t xml:space="preserve">合肥市蜀山区合欢路34号</x:t>
        </x:is>
      </x:c>
      <x:c r="K1322" s="12" t="str">
        <x:f>LEFT("91340100610307675N",18)</x:f>
        <x:v>91340100610307675N</x:v>
      </x:c>
    </x:row>
    <x:row r="1323">
      <x:c r="A1323" s="4" t="n">
        <x:v>1322</x:v>
      </x:c>
      <x:c r="B1323" s="4" t="inlineStr">
        <x:is>
          <x:t xml:space="preserve">300274</x:t>
        </x:is>
      </x:c>
      <x:c r="C1323" s="5" t="inlineStr">
        <x:is>
          <x:t xml:space="preserve">阳光电源</x:t>
        </x:is>
      </x:c>
      <x:c r="D1323" s="5" t="inlineStr">
        <x:is>
          <x:t xml:space="preserve">阳光电源股份有限公司</x:t>
        </x:is>
      </x:c>
      <x:c r="E1323" s="4" t="inlineStr">
        <x:is>
          <x:t xml:space="preserve">安徽省</x:t>
        </x:is>
      </x:c>
      <x:c r="F1323" s="4" t="inlineStr">
        <x:is>
          <x:t xml:space="preserve">合肥市</x:t>
        </x:is>
      </x:c>
      <x:c r="G1323" s="5" t="inlineStr">
        <x:is>
          <x:t xml:space="preserve">安徽省-合肥市</x:t>
        </x:is>
      </x:c>
      <x:c r="H1323" s="4" t="inlineStr">
        <x:is>
          <x:t xml:space="preserve">光伏设备</x:t>
        </x:is>
      </x:c>
      <x:c r="I1323" s="4" t="inlineStr">
        <x:is>
          <x:t xml:space="preserve">2011-11-02</x:t>
        </x:is>
      </x:c>
      <x:c r="J1323" s="5" t="inlineStr">
        <x:is>
          <x:t xml:space="preserve">安徽省合肥市高新区习友路1699号</x:t>
        </x:is>
      </x:c>
      <x:c r="K1323" s="12" t="str">
        <x:f>LEFT("913401001492097421",18)</x:f>
        <x:v>913401001492097400</x:v>
      </x:c>
    </x:row>
    <x:row r="1324">
      <x:c r="A1324" s="2" t="n">
        <x:v>1323</x:v>
      </x:c>
      <x:c r="B1324" s="2" t="inlineStr">
        <x:is>
          <x:t xml:space="preserve">300344</x:t>
        </x:is>
      </x:c>
      <x:c r="C1324" s="3" t="inlineStr">
        <x:is>
          <x:t xml:space="preserve">*ST立方</x:t>
        </x:is>
      </x:c>
      <x:c r="D1324" s="3" t="inlineStr">
        <x:is>
          <x:t xml:space="preserve">立方数科股份有限公司</x:t>
        </x:is>
      </x:c>
      <x:c r="E1324" s="2" t="inlineStr">
        <x:is>
          <x:t xml:space="preserve">安徽省</x:t>
        </x:is>
      </x:c>
      <x:c r="F1324" s="2" t="inlineStr">
        <x:is>
          <x:t xml:space="preserve">六安市</x:t>
        </x:is>
      </x:c>
      <x:c r="G1324" s="3" t="inlineStr">
        <x:is>
          <x:t xml:space="preserve">安徽省-六安市</x:t>
        </x:is>
      </x:c>
      <x:c r="H1324" s="2" t="inlineStr">
        <x:is>
          <x:t xml:space="preserve">软件服务</x:t>
        </x:is>
      </x:c>
      <x:c r="I1324" s="2" t="inlineStr">
        <x:is>
          <x:t xml:space="preserve">2012-08-01</x:t>
        </x:is>
      </x:c>
      <x:c r="J1324" s="3" t="inlineStr">
        <x:is>
          <x:t xml:space="preserve">安徽省六安市经济技术开发区皋城东路与经二路交口</x:t>
        </x:is>
      </x:c>
      <x:c r="K1324" s="12" t="str">
        <x:f>LEFT("9111000070038501XJ",18)</x:f>
        <x:v>9111000070038501XJ</x:v>
      </x:c>
    </x:row>
    <x:row r="1325">
      <x:c r="A1325" s="4" t="n">
        <x:v>1324</x:v>
      </x:c>
      <x:c r="B1325" s="4" t="inlineStr">
        <x:is>
          <x:t xml:space="preserve">300388</x:t>
        </x:is>
      </x:c>
      <x:c r="C1325" s="5" t="inlineStr">
        <x:is>
          <x:t xml:space="preserve">节能国祯</x:t>
        </x:is>
      </x:c>
      <x:c r="D1325" s="5" t="inlineStr">
        <x:is>
          <x:t xml:space="preserve">中节能国祯环保科技股份有限公司</x:t>
        </x:is>
      </x:c>
      <x:c r="E1325" s="4" t="inlineStr">
        <x:is>
          <x:t xml:space="preserve">安徽省</x:t>
        </x:is>
      </x:c>
      <x:c r="F1325" s="4" t="inlineStr">
        <x:is>
          <x:t xml:space="preserve">合肥市</x:t>
        </x:is>
      </x:c>
      <x:c r="G1325" s="5" t="inlineStr">
        <x:is>
          <x:t xml:space="preserve">安徽省-合肥市</x:t>
        </x:is>
      </x:c>
      <x:c r="H1325" s="4" t="inlineStr">
        <x:is>
          <x:t xml:space="preserve">环保工程</x:t>
        </x:is>
      </x:c>
      <x:c r="I1325" s="4" t="inlineStr">
        <x:is>
          <x:t xml:space="preserve">2014-08-01</x:t>
        </x:is>
      </x:c>
      <x:c r="J1325" s="5" t="inlineStr">
        <x:is>
          <x:t xml:space="preserve">安徽省合肥市高新技术产业开发区科学大道91号</x:t>
        </x:is>
      </x:c>
      <x:c r="K1325" s="12" t="str">
        <x:f>LEFT("9134000071177511XW",18)</x:f>
        <x:v>9134000071177511XW</x:v>
      </x:c>
    </x:row>
    <x:row r="1326">
      <x:c r="A1326" s="2" t="n">
        <x:v>1325</x:v>
      </x:c>
      <x:c r="B1326" s="2" t="inlineStr">
        <x:is>
          <x:t xml:space="preserve">300452</x:t>
        </x:is>
      </x:c>
      <x:c r="C1326" s="3" t="inlineStr">
        <x:is>
          <x:t xml:space="preserve">山河药辅</x:t>
        </x:is>
      </x:c>
      <x:c r="D1326" s="3" t="inlineStr">
        <x:is>
          <x:t xml:space="preserve">安徽山河药用辅料股份有限公司</x:t>
        </x:is>
      </x:c>
      <x:c r="E1326" s="2" t="inlineStr">
        <x:is>
          <x:t xml:space="preserve">安徽省</x:t>
        </x:is>
      </x:c>
      <x:c r="F1326" s="2" t="inlineStr">
        <x:is>
          <x:t xml:space="preserve">淮南市</x:t>
        </x:is>
      </x:c>
      <x:c r="G1326" s="3" t="inlineStr">
        <x:is>
          <x:t xml:space="preserve">安徽省-淮南市</x:t>
        </x:is>
      </x:c>
      <x:c r="H1326" s="2" t="inlineStr">
        <x:is>
          <x:t xml:space="preserve">医药制造</x:t>
        </x:is>
      </x:c>
      <x:c r="I1326" s="2" t="inlineStr">
        <x:is>
          <x:t xml:space="preserve">2015-05-15</x:t>
        </x:is>
      </x:c>
      <x:c r="J1326" s="3" t="inlineStr">
        <x:is>
          <x:t xml:space="preserve">安徽省淮南市经济技术开发区河滨路2号</x:t>
        </x:is>
      </x:c>
      <x:c r="K1326" s="12" t="str">
        <x:f>LEFT("91340400728502193M",18)</x:f>
        <x:v>91340400728502193M</x:v>
      </x:c>
    </x:row>
    <x:row r="1327">
      <x:c r="A1327" s="4" t="n">
        <x:v>1326</x:v>
      </x:c>
      <x:c r="B1327" s="4" t="inlineStr">
        <x:is>
          <x:t xml:space="preserve">300475</x:t>
        </x:is>
      </x:c>
      <x:c r="C1327" s="5" t="inlineStr">
        <x:is>
          <x:t xml:space="preserve">香农芯创</x:t>
        </x:is>
      </x:c>
      <x:c r="D1327" s="5" t="inlineStr">
        <x:is>
          <x:t xml:space="preserve">香农芯创科技股份有限公司</x:t>
        </x:is>
      </x:c>
      <x:c r="E1327" s="4" t="inlineStr">
        <x:is>
          <x:t xml:space="preserve">安徽省</x:t>
        </x:is>
      </x:c>
      <x:c r="F1327" s="4" t="inlineStr">
        <x:is>
          <x:t xml:space="preserve">宣城市</x:t>
        </x:is>
      </x:c>
      <x:c r="G1327" s="5" t="inlineStr">
        <x:is>
          <x:t xml:space="preserve">安徽省-宣城市</x:t>
        </x:is>
      </x:c>
      <x:c r="H1327" s="4" t="inlineStr">
        <x:is>
          <x:t xml:space="preserve">电子元件</x:t>
        </x:is>
      </x:c>
      <x:c r="I1327" s="4" t="inlineStr">
        <x:is>
          <x:t xml:space="preserve">2015-06-10</x:t>
        </x:is>
      </x:c>
      <x:c r="J1327" s="5" t="inlineStr">
        <x:is>
          <x:t xml:space="preserve">安徽省宣城宁国经济技术开发区创业北路16号</x:t>
        </x:is>
      </x:c>
      <x:c r="K1327" s="12" t="str">
        <x:f>LEFT("91341800153442926M",18)</x:f>
        <x:v>91341800153442926M</x:v>
      </x:c>
    </x:row>
    <x:row r="1328">
      <x:c r="A1328" s="2" t="n">
        <x:v>1327</x:v>
      </x:c>
      <x:c r="B1328" s="2" t="inlineStr">
        <x:is>
          <x:t xml:space="preserve">300520</x:t>
        </x:is>
      </x:c>
      <x:c r="C1328" s="3" t="inlineStr">
        <x:is>
          <x:t xml:space="preserve">科大国创</x:t>
        </x:is>
      </x:c>
      <x:c r="D1328" s="3" t="inlineStr">
        <x:is>
          <x:t xml:space="preserve">科大国创软件股份有限公司</x:t>
        </x:is>
      </x:c>
      <x:c r="E1328" s="2" t="inlineStr">
        <x:is>
          <x:t xml:space="preserve">安徽省</x:t>
        </x:is>
      </x:c>
      <x:c r="F1328" s="2" t="inlineStr">
        <x:is>
          <x:t xml:space="preserve">合肥市</x:t>
        </x:is>
      </x:c>
      <x:c r="G1328" s="3" t="inlineStr">
        <x:is>
          <x:t xml:space="preserve">安徽省-合肥市</x:t>
        </x:is>
      </x:c>
      <x:c r="H1328" s="2" t="inlineStr">
        <x:is>
          <x:t xml:space="preserve">软件服务</x:t>
        </x:is>
      </x:c>
      <x:c r="I1328" s="2" t="inlineStr">
        <x:is>
          <x:t xml:space="preserve">2016-07-08</x:t>
        </x:is>
      </x:c>
      <x:c r="J1328" s="3" t="inlineStr">
        <x:is>
          <x:t xml:space="preserve">合肥市高新区文曲路355号</x:t>
        </x:is>
      </x:c>
      <x:c r="K1328" s="12" t="str">
        <x:f>LEFT("91340100723329328P",18)</x:f>
        <x:v>91340100723329328P</x:v>
      </x:c>
    </x:row>
    <x:row r="1329">
      <x:c r="A1329" s="4" t="n">
        <x:v>1328</x:v>
      </x:c>
      <x:c r="B1329" s="4" t="inlineStr">
        <x:is>
          <x:t xml:space="preserve">300577</x:t>
        </x:is>
      </x:c>
      <x:c r="C1329" s="5" t="inlineStr">
        <x:is>
          <x:t xml:space="preserve">开润股份</x:t>
        </x:is>
      </x:c>
      <x:c r="D1329" s="5" t="inlineStr">
        <x:is>
          <x:t xml:space="preserve">安徽开润股份有限公司</x:t>
        </x:is>
      </x:c>
      <x:c r="E1329" s="4" t="inlineStr">
        <x:is>
          <x:t xml:space="preserve">安徽省</x:t>
        </x:is>
      </x:c>
      <x:c r="F1329" s="4" t="inlineStr">
        <x:is>
          <x:t xml:space="preserve">滁州市</x:t>
        </x:is>
      </x:c>
      <x:c r="G1329" s="5" t="inlineStr">
        <x:is>
          <x:t xml:space="preserve">安徽省-滁州市</x:t>
        </x:is>
      </x:c>
      <x:c r="H1329" s="4" t="inlineStr">
        <x:is>
          <x:t xml:space="preserve">纺织服装</x:t>
        </x:is>
      </x:c>
      <x:c r="I1329" s="4" t="inlineStr">
        <x:is>
          <x:t xml:space="preserve">2016-12-21</x:t>
        </x:is>
      </x:c>
      <x:c r="J1329" s="5" t="inlineStr">
        <x:is>
          <x:t xml:space="preserve">安徽省滁州市同乐路1555号</x:t>
        </x:is>
      </x:c>
      <x:c r="K1329" s="12" t="str">
        <x:f>LEFT("91341100697359071M",18)</x:f>
        <x:v>91341100697359071M</x:v>
      </x:c>
    </x:row>
    <x:row r="1330">
      <x:c r="A1330" s="2" t="n">
        <x:v>1329</x:v>
      </x:c>
      <x:c r="B1330" s="2" t="inlineStr">
        <x:is>
          <x:t xml:space="preserve">300595</x:t>
        </x:is>
      </x:c>
      <x:c r="C1330" s="3" t="inlineStr">
        <x:is>
          <x:t xml:space="preserve">欧普康视</x:t>
        </x:is>
      </x:c>
      <x:c r="D1330" s="3" t="inlineStr">
        <x:is>
          <x:t xml:space="preserve">欧普康视科技股份有限公司</x:t>
        </x:is>
      </x:c>
      <x:c r="E1330" s="2" t="inlineStr">
        <x:is>
          <x:t xml:space="preserve">安徽省</x:t>
        </x:is>
      </x:c>
      <x:c r="F1330" s="2" t="inlineStr">
        <x:is>
          <x:t xml:space="preserve">合肥市</x:t>
        </x:is>
      </x:c>
      <x:c r="G1330" s="3" t="inlineStr">
        <x:is>
          <x:t xml:space="preserve">安徽省-合肥市</x:t>
        </x:is>
      </x:c>
      <x:c r="H1330" s="2" t="inlineStr">
        <x:is>
          <x:t xml:space="preserve">医疗器械</x:t>
        </x:is>
      </x:c>
      <x:c r="I1330" s="2" t="inlineStr">
        <x:is>
          <x:t xml:space="preserve">2017-01-17</x:t>
        </x:is>
      </x:c>
      <x:c r="J1330" s="3" t="inlineStr">
        <x:is>
          <x:t xml:space="preserve">合肥市高新区望江西路4899号</x:t>
        </x:is>
      </x:c>
      <x:c r="K1330" s="12" t="str">
        <x:f>LEFT("91340100723323559X",18)</x:f>
        <x:v>91340100723323559X</x:v>
      </x:c>
    </x:row>
    <x:row r="1331">
      <x:c r="A1331" s="4" t="n">
        <x:v>1330</x:v>
      </x:c>
      <x:c r="B1331" s="4" t="inlineStr">
        <x:is>
          <x:t xml:space="preserve">300692</x:t>
        </x:is>
      </x:c>
      <x:c r="C1331" s="5" t="inlineStr">
        <x:is>
          <x:t xml:space="preserve">中环环保</x:t>
        </x:is>
      </x:c>
      <x:c r="D1331" s="5" t="inlineStr">
        <x:is>
          <x:t xml:space="preserve">安徽中赋源创科技集团股份有限公司</x:t>
        </x:is>
      </x:c>
      <x:c r="E1331" s="4" t="inlineStr">
        <x:is>
          <x:t xml:space="preserve">安徽省</x:t>
        </x:is>
      </x:c>
      <x:c r="F1331" s="4" t="inlineStr">
        <x:is>
          <x:t xml:space="preserve">合肥市</x:t>
        </x:is>
      </x:c>
      <x:c r="G1331" s="5" t="inlineStr">
        <x:is>
          <x:t xml:space="preserve">安徽省-合肥市</x:t>
        </x:is>
      </x:c>
      <x:c r="H1331" s="4" t="inlineStr">
        <x:is>
          <x:t xml:space="preserve">环保工程</x:t>
        </x:is>
      </x:c>
      <x:c r="I1331" s="4" t="inlineStr">
        <x:is>
          <x:t xml:space="preserve">2017-08-21</x:t>
        </x:is>
      </x:c>
      <x:c r="J1331" s="5" t="inlineStr">
        <x:is>
          <x:t xml:space="preserve">安徽省合肥市阜阳北路948号中正国际广场一幢办1608室</x:t>
        </x:is>
      </x:c>
      <x:c r="K1331" s="12" t="str">
        <x:f>LEFT("91340100587237655P",18)</x:f>
        <x:v>91340100587237655P</x:v>
      </x:c>
    </x:row>
    <x:row r="1332">
      <x:c r="A1332" s="2" t="n">
        <x:v>1331</x:v>
      </x:c>
      <x:c r="B1332" s="2" t="inlineStr">
        <x:is>
          <x:t xml:space="preserve">300783</x:t>
        </x:is>
      </x:c>
      <x:c r="C1332" s="3" t="inlineStr">
        <x:is>
          <x:t xml:space="preserve">三只松鼠</x:t>
        </x:is>
      </x:c>
      <x:c r="D1332" s="3" t="inlineStr">
        <x:is>
          <x:t xml:space="preserve">三只松鼠股份有限公司</x:t>
        </x:is>
      </x:c>
      <x:c r="E1332" s="2" t="inlineStr">
        <x:is>
          <x:t xml:space="preserve">安徽省</x:t>
        </x:is>
      </x:c>
      <x:c r="F1332" s="2" t="inlineStr">
        <x:is>
          <x:t xml:space="preserve">芜湖市</x:t>
        </x:is>
      </x:c>
      <x:c r="G1332" s="3" t="inlineStr">
        <x:is>
          <x:t xml:space="preserve">安徽省-芜湖市</x:t>
        </x:is>
      </x:c>
      <x:c r="H1332" s="2" t="inlineStr">
        <x:is>
          <x:t xml:space="preserve">食品饮料</x:t>
        </x:is>
      </x:c>
      <x:c r="I1332" s="2" t="inlineStr">
        <x:is>
          <x:t xml:space="preserve">2019-07-12</x:t>
        </x:is>
      </x:c>
      <x:c r="J1332" s="3" t="inlineStr">
        <x:is>
          <x:t xml:space="preserve">安徽省芜湖市弋江区芜湖高新技术产业开发区久盛路8号</x:t>
        </x:is>
      </x:c>
      <x:c r="K1332" s="12" t="str">
        <x:f>LEFT("91340200591406087P",18)</x:f>
        <x:v>91340200591406087P</x:v>
      </x:c>
    </x:row>
    <x:row r="1333">
      <x:c r="A1333" s="4" t="n">
        <x:v>1332</x:v>
      </x:c>
      <x:c r="B1333" s="4" t="inlineStr">
        <x:is>
          <x:t xml:space="preserve">300815</x:t>
        </x:is>
      </x:c>
      <x:c r="C1333" s="5" t="inlineStr">
        <x:is>
          <x:t xml:space="preserve">玉禾田</x:t>
        </x:is>
      </x:c>
      <x:c r="D1333" s="5" t="inlineStr">
        <x:is>
          <x:t xml:space="preserve">玉禾田环境发展集团股份有限公司</x:t>
        </x:is>
      </x:c>
      <x:c r="E1333" s="4" t="inlineStr">
        <x:is>
          <x:t xml:space="preserve">安徽省</x:t>
        </x:is>
      </x:c>
      <x:c r="F1333" s="4" t="inlineStr">
        <x:is>
          <x:t xml:space="preserve">安庆市</x:t>
        </x:is>
      </x:c>
      <x:c r="G1333" s="5" t="inlineStr">
        <x:is>
          <x:t xml:space="preserve">安徽省-安庆市</x:t>
        </x:is>
      </x:c>
      <x:c r="H1333" s="4" t="inlineStr">
        <x:is>
          <x:t xml:space="preserve">环保行业</x:t>
        </x:is>
      </x:c>
      <x:c r="I1333" s="4" t="inlineStr">
        <x:is>
          <x:t xml:space="preserve">2020-01-23</x:t>
        </x:is>
      </x:c>
      <x:c r="J1333" s="5" t="inlineStr">
        <x:is>
          <x:t xml:space="preserve">安徽省安庆市岳西县天馨大道筑梦小镇电商产业园5号楼</x:t>
        </x:is>
      </x:c>
      <x:c r="K1333" s="12" t="str">
        <x:f>LEFT("91440300553876133C",18)</x:f>
        <x:v>91440300553876133C</x:v>
      </x:c>
    </x:row>
    <x:row r="1334">
      <x:c r="A1334" s="2" t="n">
        <x:v>1333</x:v>
      </x:c>
      <x:c r="B1334" s="2" t="inlineStr">
        <x:is>
          <x:t xml:space="preserve">300816</x:t>
        </x:is>
      </x:c>
      <x:c r="C1334" s="3" t="inlineStr">
        <x:is>
          <x:t xml:space="preserve">艾可蓝</x:t>
        </x:is>
      </x:c>
      <x:c r="D1334" s="3" t="inlineStr">
        <x:is>
          <x:t xml:space="preserve">安徽艾可蓝环保股份有限公司</x:t>
        </x:is>
      </x:c>
      <x:c r="E1334" s="2" t="inlineStr">
        <x:is>
          <x:t xml:space="preserve">安徽省</x:t>
        </x:is>
      </x:c>
      <x:c r="F1334" s="2" t="inlineStr">
        <x:is>
          <x:t xml:space="preserve">池州市</x:t>
        </x:is>
      </x:c>
      <x:c r="G1334" s="3" t="inlineStr">
        <x:is>
          <x:t xml:space="preserve">安徽省-池州市</x:t>
        </x:is>
      </x:c>
      <x:c r="H1334" s="2" t="inlineStr">
        <x:is>
          <x:t xml:space="preserve">汽车零部件</x:t>
        </x:is>
      </x:c>
      <x:c r="I1334" s="2" t="inlineStr">
        <x:is>
          <x:t xml:space="preserve">2020-02-10</x:t>
        </x:is>
      </x:c>
      <x:c r="J1334" s="3" t="inlineStr">
        <x:is>
          <x:t xml:space="preserve">安徽省池州市高新区玉镜路12号</x:t>
        </x:is>
      </x:c>
      <x:c r="K1334" s="12" t="str">
        <x:f>LEFT("913417006836379072",18)</x:f>
        <x:v>913417006836379100</x:v>
      </x:c>
    </x:row>
    <x:row r="1335">
      <x:c r="A1335" s="4" t="n">
        <x:v>1334</x:v>
      </x:c>
      <x:c r="B1335" s="4" t="inlineStr">
        <x:is>
          <x:t xml:space="preserve">300835</x:t>
        </x:is>
      </x:c>
      <x:c r="C1335" s="5" t="inlineStr">
        <x:is>
          <x:t xml:space="preserve">龙磁科技</x:t>
        </x:is>
      </x:c>
      <x:c r="D1335" s="5" t="inlineStr">
        <x:is>
          <x:t xml:space="preserve">安徽龙磁科技股份有限公司</x:t>
        </x:is>
      </x:c>
      <x:c r="E1335" s="4" t="inlineStr">
        <x:is>
          <x:t xml:space="preserve">安徽省</x:t>
        </x:is>
      </x:c>
      <x:c r="F1335" s="4" t="inlineStr">
        <x:is>
          <x:t xml:space="preserve">合肥市</x:t>
        </x:is>
      </x:c>
      <x:c r="G1335" s="5" t="inlineStr">
        <x:is>
          <x:t xml:space="preserve">安徽省-合肥市</x:t>
        </x:is>
      </x:c>
      <x:c r="H1335" s="4" t="inlineStr">
        <x:is>
          <x:t xml:space="preserve">小金属</x:t>
        </x:is>
      </x:c>
      <x:c r="I1335" s="4" t="inlineStr">
        <x:is>
          <x:t xml:space="preserve">2020-05-25</x:t>
        </x:is>
      </x:c>
      <x:c r="J1335" s="5" t="inlineStr">
        <x:is>
          <x:t xml:space="preserve">安徽省合肥市庐江县郭河镇工业区</x:t>
        </x:is>
      </x:c>
      <x:c r="K1335" s="12" t="str">
        <x:f>LEFT("91340100153671403J",18)</x:f>
        <x:v>91340100153671403J</x:v>
      </x:c>
    </x:row>
    <x:row r="1336">
      <x:c r="A1336" s="2" t="n">
        <x:v>1335</x:v>
      </x:c>
      <x:c r="B1336" s="2" t="inlineStr">
        <x:is>
          <x:t xml:space="preserve">300862</x:t>
        </x:is>
      </x:c>
      <x:c r="C1336" s="3" t="inlineStr">
        <x:is>
          <x:t xml:space="preserve">蓝盾光电</x:t>
        </x:is>
      </x:c>
      <x:c r="D1336" s="3" t="inlineStr">
        <x:is>
          <x:t xml:space="preserve">安徽蓝盾光电子股份有限公司</x:t>
        </x:is>
      </x:c>
      <x:c r="E1336" s="2" t="inlineStr">
        <x:is>
          <x:t xml:space="preserve">安徽省</x:t>
        </x:is>
      </x:c>
      <x:c r="F1336" s="2" t="inlineStr">
        <x:is>
          <x:t xml:space="preserve">铜陵市</x:t>
        </x:is>
      </x:c>
      <x:c r="G1336" s="3" t="inlineStr">
        <x:is>
          <x:t xml:space="preserve">安徽省-铜陵市</x:t>
        </x:is>
      </x:c>
      <x:c r="H1336" s="2" t="inlineStr">
        <x:is>
          <x:t xml:space="preserve">仪器仪表</x:t>
        </x:is>
      </x:c>
      <x:c r="I1336" s="2" t="inlineStr">
        <x:is>
          <x:t xml:space="preserve">2020-08-24</x:t>
        </x:is>
      </x:c>
      <x:c r="J1336" s="3" t="inlineStr">
        <x:is>
          <x:t xml:space="preserve">安徽省铜陵市石城路电子工业区</x:t>
        </x:is>
      </x:c>
      <x:c r="K1336" s="12" t="str">
        <x:f>LEFT("913407007349467004",18)</x:f>
        <x:v>913407007349467000</x:v>
      </x:c>
    </x:row>
    <x:row r="1337">
      <x:c r="A1337" s="4" t="n">
        <x:v>1336</x:v>
      </x:c>
      <x:c r="B1337" s="4" t="inlineStr">
        <x:is>
          <x:t xml:space="preserve">300877</x:t>
        </x:is>
      </x:c>
      <x:c r="C1337" s="5" t="inlineStr">
        <x:is>
          <x:t xml:space="preserve">金春股份</x:t>
        </x:is>
      </x:c>
      <x:c r="D1337" s="5" t="inlineStr">
        <x:is>
          <x:t xml:space="preserve">安徽金春无纺布股份有限公司</x:t>
        </x:is>
      </x:c>
      <x:c r="E1337" s="4" t="inlineStr">
        <x:is>
          <x:t xml:space="preserve">安徽省</x:t>
        </x:is>
      </x:c>
      <x:c r="F1337" s="4" t="inlineStr">
        <x:is>
          <x:t xml:space="preserve">滁州市</x:t>
        </x:is>
      </x:c>
      <x:c r="G1337" s="5" t="inlineStr">
        <x:is>
          <x:t xml:space="preserve">安徽省-滁州市</x:t>
        </x:is>
      </x:c>
      <x:c r="H1337" s="4" t="inlineStr">
        <x:is>
          <x:t xml:space="preserve">纺织服装</x:t>
        </x:is>
      </x:c>
      <x:c r="I1337" s="4" t="inlineStr">
        <x:is>
          <x:t xml:space="preserve">2020-08-24</x:t>
        </x:is>
      </x:c>
      <x:c r="J1337" s="5" t="inlineStr">
        <x:is>
          <x:t xml:space="preserve">安徽省滁州市南京北路218号</x:t>
        </x:is>
      </x:c>
      <x:c r="K1337" s="12" t="str">
        <x:f>LEFT("913411005785434311",18)</x:f>
        <x:v>913411005785434400</x:v>
      </x:c>
    </x:row>
    <x:row r="1338">
      <x:c r="A1338" s="2" t="n">
        <x:v>1337</x:v>
      </x:c>
      <x:c r="B1338" s="2" t="inlineStr">
        <x:is>
          <x:t xml:space="preserve">300883</x:t>
        </x:is>
      </x:c>
      <x:c r="C1338" s="3" t="inlineStr">
        <x:is>
          <x:t xml:space="preserve">龙利得</x:t>
        </x:is>
      </x:c>
      <x:c r="D1338" s="3" t="inlineStr">
        <x:is>
          <x:t xml:space="preserve">龙利得智能科技股份有限公司</x:t>
        </x:is>
      </x:c>
      <x:c r="E1338" s="2" t="inlineStr">
        <x:is>
          <x:t xml:space="preserve">安徽省</x:t>
        </x:is>
      </x:c>
      <x:c r="F1338" s="2" t="inlineStr">
        <x:is>
          <x:t xml:space="preserve">徽省明光市</x:t>
        </x:is>
      </x:c>
      <x:c r="G1338" s="3" t="inlineStr">
        <x:is>
          <x:t xml:space="preserve">安徽省-徽省明光市</x:t>
        </x:is>
      </x:c>
      <x:c r="H1338" s="2" t="inlineStr">
        <x:is>
          <x:t xml:space="preserve">造纸印刷</x:t>
        </x:is>
      </x:c>
      <x:c r="I1338" s="2" t="inlineStr">
        <x:is>
          <x:t xml:space="preserve">2020-09-10</x:t>
        </x:is>
      </x:c>
      <x:c r="J1338" s="3" t="inlineStr">
        <x:is>
          <x:t xml:space="preserve">安徽省明光市工业园区体育路150号</x:t>
        </x:is>
      </x:c>
      <x:c r="K1338" s="12" t="str">
        <x:f>LEFT("9134110055326425XA",18)</x:f>
        <x:v>9134110055326425XA</x:v>
      </x:c>
    </x:row>
    <x:row r="1339">
      <x:c r="A1339" s="4" t="n">
        <x:v>1338</x:v>
      </x:c>
      <x:c r="B1339" s="4" t="inlineStr">
        <x:is>
          <x:t xml:space="preserve">300886</x:t>
        </x:is>
      </x:c>
      <x:c r="C1339" s="5" t="inlineStr">
        <x:is>
          <x:t xml:space="preserve">华业香料</x:t>
        </x:is>
      </x:c>
      <x:c r="D1339" s="5" t="inlineStr">
        <x:is>
          <x:t xml:space="preserve">安徽华业香料股份有限公司</x:t>
        </x:is>
      </x:c>
      <x:c r="E1339" s="4" t="inlineStr">
        <x:is>
          <x:t xml:space="preserve">安徽省</x:t>
        </x:is>
      </x:c>
      <x:c r="F1339" s="4" t="inlineStr">
        <x:is>
          <x:t xml:space="preserve">安庆市</x:t>
        </x:is>
      </x:c>
      <x:c r="G1339" s="5" t="inlineStr">
        <x:is>
          <x:t xml:space="preserve">安徽省-安庆市</x:t>
        </x:is>
      </x:c>
      <x:c r="H1339" s="4" t="inlineStr">
        <x:is>
          <x:t xml:space="preserve">美容护理</x:t>
        </x:is>
      </x:c>
      <x:c r="I1339" s="4" t="inlineStr">
        <x:is>
          <x:t xml:space="preserve">2020-09-16</x:t>
        </x:is>
      </x:c>
      <x:c r="J1339" s="5" t="inlineStr">
        <x:is>
          <x:t xml:space="preserve">安徽省安庆市潜山市舒州大道42号</x:t>
        </x:is>
      </x:c>
      <x:c r="K1339" s="12" t="str">
        <x:f>LEFT("913408007408647014",18)</x:f>
        <x:v>913408007408647000</x:v>
      </x:c>
    </x:row>
    <x:row r="1340">
      <x:c r="A1340" s="2" t="n">
        <x:v>1339</x:v>
      </x:c>
      <x:c r="B1340" s="2" t="inlineStr">
        <x:is>
          <x:t xml:space="preserve">300929</x:t>
        </x:is>
      </x:c>
      <x:c r="C1340" s="3" t="inlineStr">
        <x:is>
          <x:t xml:space="preserve">华骐环保</x:t>
        </x:is>
      </x:c>
      <x:c r="D1340" s="3" t="inlineStr">
        <x:is>
          <x:t xml:space="preserve">安徽华骐环保科技股份有限公司</x:t>
        </x:is>
      </x:c>
      <x:c r="E1340" s="2" t="inlineStr">
        <x:is>
          <x:t xml:space="preserve">安徽省</x:t>
        </x:is>
      </x:c>
      <x:c r="F1340" s="2" t="inlineStr">
        <x:is>
          <x:t xml:space="preserve">马鞍山市</x:t>
        </x:is>
      </x:c>
      <x:c r="G1340" s="3" t="inlineStr">
        <x:is>
          <x:t xml:space="preserve">安徽省-马鞍山市</x:t>
        </x:is>
      </x:c>
      <x:c r="H1340" s="2" t="inlineStr">
        <x:is>
          <x:t xml:space="preserve">环保工程</x:t>
        </x:is>
      </x:c>
      <x:c r="I1340" s="2" t="inlineStr">
        <x:is>
          <x:t xml:space="preserve">2021-01-20</x:t>
        </x:is>
      </x:c>
      <x:c r="J1340" s="3" t="inlineStr">
        <x:is>
          <x:t xml:space="preserve">安徽省马鞍山经济技术开发区梅山路409号</x:t>
        </x:is>
      </x:c>
      <x:c r="K1340" s="12" t="str">
        <x:f>LEFT("91340500737346428N",18)</x:f>
        <x:v>91340500737346428N</x:v>
      </x:c>
    </x:row>
    <x:row r="1341">
      <x:c r="A1341" s="4" t="n">
        <x:v>1340</x:v>
      </x:c>
      <x:c r="B1341" s="4" t="inlineStr">
        <x:is>
          <x:t xml:space="preserve">300956</x:t>
        </x:is>
      </x:c>
      <x:c r="C1341" s="5" t="inlineStr">
        <x:is>
          <x:t xml:space="preserve">英力股份</x:t>
        </x:is>
      </x:c>
      <x:c r="D1341" s="5" t="inlineStr">
        <x:is>
          <x:t xml:space="preserve">安徽英力电子科技股份有限公司</x:t>
        </x:is>
      </x:c>
      <x:c r="E1341" s="4" t="inlineStr">
        <x:is>
          <x:t xml:space="preserve">安徽省</x:t>
        </x:is>
      </x:c>
      <x:c r="F1341" s="4" t="inlineStr">
        <x:is>
          <x:t xml:space="preserve">六安市</x:t>
        </x:is>
      </x:c>
      <x:c r="G1341" s="5" t="inlineStr">
        <x:is>
          <x:t xml:space="preserve">安徽省-六安市</x:t>
        </x:is>
      </x:c>
      <x:c r="H1341" s="4" t="inlineStr">
        <x:is>
          <x:t xml:space="preserve">消费电子</x:t>
        </x:is>
      </x:c>
      <x:c r="I1341" s="4" t="inlineStr">
        <x:is>
          <x:t xml:space="preserve">2021-03-26</x:t>
        </x:is>
      </x:c>
      <x:c r="J1341" s="5" t="inlineStr">
        <x:is>
          <x:t xml:space="preserve">安徽省六安市舒城县杭埠经济开发区</x:t>
        </x:is>
      </x:c>
      <x:c r="K1341" s="12" t="str">
        <x:f>LEFT("91341523336724686H",18)</x:f>
        <x:v>91341523336724686H</x:v>
      </x:c>
    </x:row>
    <x:row r="1342">
      <x:c r="A1342" s="2" t="n">
        <x:v>1341</x:v>
      </x:c>
      <x:c r="B1342" s="2" t="inlineStr">
        <x:is>
          <x:t xml:space="preserve">301049</x:t>
        </x:is>
      </x:c>
      <x:c r="C1342" s="3" t="inlineStr">
        <x:is>
          <x:t xml:space="preserve">超越科技</x:t>
        </x:is>
      </x:c>
      <x:c r="D1342" s="3" t="inlineStr">
        <x:is>
          <x:t xml:space="preserve">安徽超越环保科技股份有限公司</x:t>
        </x:is>
      </x:c>
      <x:c r="E1342" s="2" t="inlineStr">
        <x:is>
          <x:t xml:space="preserve">安徽省</x:t>
        </x:is>
      </x:c>
      <x:c r="F1342" s="2" t="inlineStr">
        <x:is>
          <x:t xml:space="preserve">滁州市</x:t>
        </x:is>
      </x:c>
      <x:c r="G1342" s="3" t="inlineStr">
        <x:is>
          <x:t xml:space="preserve">安徽省-滁州市</x:t>
        </x:is>
      </x:c>
      <x:c r="H1342" s="2" t="inlineStr">
        <x:is>
          <x:t xml:space="preserve">环保工程</x:t>
        </x:is>
      </x:c>
      <x:c r="I1342" s="2" t="inlineStr">
        <x:is>
          <x:t xml:space="preserve">2021-08-24</x:t>
        </x:is>
      </x:c>
      <x:c r="J1342" s="3" t="inlineStr">
        <x:is>
          <x:t xml:space="preserve">安徽省滁州市南谯区沙河镇油坊村</x:t>
        </x:is>
      </x:c>
      <x:c r="K1342" s="12" t="str">
        <x:f>LEFT("91341100692804631N",18)</x:f>
        <x:v>91341100692804631N</x:v>
      </x:c>
    </x:row>
    <x:row r="1343">
      <x:c r="A1343" s="4" t="n">
        <x:v>1342</x:v>
      </x:c>
      <x:c r="B1343" s="4" t="inlineStr">
        <x:is>
          <x:t xml:space="preserve">301108</x:t>
        </x:is>
      </x:c>
      <x:c r="C1343" s="5" t="inlineStr">
        <x:is>
          <x:t xml:space="preserve">洁雅股份</x:t>
        </x:is>
      </x:c>
      <x:c r="D1343" s="5" t="inlineStr">
        <x:is>
          <x:t xml:space="preserve">铜陵洁雅生物科技股份有限公司</x:t>
        </x:is>
      </x:c>
      <x:c r="E1343" s="4" t="inlineStr">
        <x:is>
          <x:t xml:space="preserve">安徽省</x:t>
        </x:is>
      </x:c>
      <x:c r="F1343" s="4" t="inlineStr">
        <x:is>
          <x:t xml:space="preserve">铜陵市</x:t>
        </x:is>
      </x:c>
      <x:c r="G1343" s="5" t="inlineStr">
        <x:is>
          <x:t xml:space="preserve">安徽省-铜陵市</x:t>
        </x:is>
      </x:c>
      <x:c r="H1343" s="4" t="inlineStr">
        <x:is>
          <x:t xml:space="preserve">美容护理</x:t>
        </x:is>
      </x:c>
      <x:c r="I1343" s="4" t="inlineStr">
        <x:is>
          <x:t xml:space="preserve">2021-12-03</x:t>
        </x:is>
      </x:c>
      <x:c r="J1343" s="5" t="inlineStr">
        <x:is>
          <x:t xml:space="preserve">安徽省铜陵市狮子山经济开发区地质大道528号</x:t>
        </x:is>
      </x:c>
      <x:c r="K1343" s="12" t="str">
        <x:f>LEFT("913407007139162382",18)</x:f>
        <x:v>913407007139162400</x:v>
      </x:c>
    </x:row>
    <x:row r="1344">
      <x:c r="A1344" s="2" t="n">
        <x:v>1343</x:v>
      </x:c>
      <x:c r="B1344" s="2" t="inlineStr">
        <x:is>
          <x:t xml:space="preserve">301129</x:t>
        </x:is>
      </x:c>
      <x:c r="C1344" s="3" t="inlineStr">
        <x:is>
          <x:t xml:space="preserve">瑞纳智能</x:t>
        </x:is>
      </x:c>
      <x:c r="D1344" s="3" t="inlineStr">
        <x:is>
          <x:t xml:space="preserve">瑞纳智能设备股份有限公司</x:t>
        </x:is>
      </x:c>
      <x:c r="E1344" s="2" t="inlineStr">
        <x:is>
          <x:t xml:space="preserve">安徽省</x:t>
        </x:is>
      </x:c>
      <x:c r="F1344" s="2" t="inlineStr">
        <x:is>
          <x:t xml:space="preserve">合肥市</x:t>
        </x:is>
      </x:c>
      <x:c r="G1344" s="3" t="inlineStr">
        <x:is>
          <x:t xml:space="preserve">安徽省-合肥市</x:t>
        </x:is>
      </x:c>
      <x:c r="H1344" s="2" t="inlineStr">
        <x:is>
          <x:t xml:space="preserve">仪器仪表</x:t>
        </x:is>
      </x:c>
      <x:c r="I1344" s="2" t="inlineStr">
        <x:is>
          <x:t xml:space="preserve">2021-11-02</x:t>
        </x:is>
      </x:c>
      <x:c r="J1344" s="3" t="inlineStr">
        <x:is>
          <x:t xml:space="preserve">安徽长丰双凤经济开发区凤霞路东039号</x:t>
        </x:is>
      </x:c>
      <x:c r="K1344" s="12" t="str">
        <x:f>LEFT("91340121674200463H",18)</x:f>
        <x:v>91340121674200463H</x:v>
      </x:c>
    </x:row>
    <x:row r="1345">
      <x:c r="A1345" s="4" t="n">
        <x:v>1344</x:v>
      </x:c>
      <x:c r="B1345" s="4" t="inlineStr">
        <x:is>
          <x:t xml:space="preserve">301167</x:t>
        </x:is>
      </x:c>
      <x:c r="C1345" s="5" t="inlineStr">
        <x:is>
          <x:t xml:space="preserve">建研设计</x:t>
        </x:is>
      </x:c>
      <x:c r="D1345" s="5" t="inlineStr">
        <x:is>
          <x:t xml:space="preserve">安徽省建筑设计研究总院股份有限公司</x:t>
        </x:is>
      </x:c>
      <x:c r="E1345" s="4" t="inlineStr">
        <x:is>
          <x:t xml:space="preserve">安徽省</x:t>
        </x:is>
      </x:c>
      <x:c r="F1345" s="4" t="inlineStr">
        <x:is>
          <x:t xml:space="preserve">合肥市</x:t>
        </x:is>
      </x:c>
      <x:c r="G1345" s="5" t="inlineStr">
        <x:is>
          <x:t xml:space="preserve">安徽省-合肥市</x:t>
        </x:is>
      </x:c>
      <x:c r="H1345" s="4" t="inlineStr">
        <x:is>
          <x:t xml:space="preserve">工程咨询服务</x:t>
        </x:is>
      </x:c>
      <x:c r="I1345" s="4" t="inlineStr">
        <x:is>
          <x:t xml:space="preserve">2021-12-06</x:t>
        </x:is>
      </x:c>
      <x:c r="J1345" s="5" t="inlineStr">
        <x:is>
          <x:t xml:space="preserve">合肥经济技术开发区繁华大道7699号</x:t>
        </x:is>
      </x:c>
      <x:c r="K1345" s="12" t="str">
        <x:f>LEFT("91340000485000016Q",18)</x:f>
        <x:v>91340000485000016Q</x:v>
      </x:c>
    </x:row>
    <x:row r="1346">
      <x:c r="A1346" s="2" t="n">
        <x:v>1345</x:v>
      </x:c>
      <x:c r="B1346" s="2" t="inlineStr">
        <x:is>
          <x:t xml:space="preserve">301217</x:t>
        </x:is>
      </x:c>
      <x:c r="C1346" s="3" t="inlineStr">
        <x:is>
          <x:t xml:space="preserve">铜冠铜箔</x:t>
        </x:is>
      </x:c>
      <x:c r="D1346" s="3" t="inlineStr">
        <x:is>
          <x:t xml:space="preserve">安徽铜冠铜箔集团股份有限公司</x:t>
        </x:is>
      </x:c>
      <x:c r="E1346" s="2" t="inlineStr">
        <x:is>
          <x:t xml:space="preserve">安徽省</x:t>
        </x:is>
      </x:c>
      <x:c r="F1346" s="2" t="inlineStr">
        <x:is>
          <x:t xml:space="preserve">池州市</x:t>
        </x:is>
      </x:c>
      <x:c r="G1346" s="3" t="inlineStr">
        <x:is>
          <x:t xml:space="preserve">安徽省-池州市</x:t>
        </x:is>
      </x:c>
      <x:c r="H1346" s="2" t="inlineStr">
        <x:is>
          <x:t xml:space="preserve">电子元件</x:t>
        </x:is>
      </x:c>
      <x:c r="I1346" s="2" t="inlineStr">
        <x:is>
          <x:t xml:space="preserve">2022-01-27</x:t>
        </x:is>
      </x:c>
      <x:c r="J1346" s="3" t="inlineStr">
        <x:is>
          <x:t xml:space="preserve">安徽省池州市经济技术开发区清溪大道189号</x:t>
        </x:is>
      </x:c>
      <x:c r="K1346" s="12" t="str">
        <x:f>LEFT("91341700MA2N8LN173",18)</x:f>
        <x:v>91341700MA2N8LN173</x:v>
      </x:c>
    </x:row>
    <x:row r="1347">
      <x:c r="A1347" s="4" t="n">
        <x:v>1346</x:v>
      </x:c>
      <x:c r="B1347" s="4" t="inlineStr">
        <x:is>
          <x:t xml:space="preserve">301234</x:t>
        </x:is>
      </x:c>
      <x:c r="C1347" s="5" t="inlineStr">
        <x:is>
          <x:t xml:space="preserve">五洲医疗</x:t>
        </x:is>
      </x:c>
      <x:c r="D1347" s="5" t="inlineStr">
        <x:is>
          <x:t xml:space="preserve">安徽宏宇五洲医疗器械股份有限公司</x:t>
        </x:is>
      </x:c>
      <x:c r="E1347" s="4" t="inlineStr">
        <x:is>
          <x:t xml:space="preserve">安徽省</x:t>
        </x:is>
      </x:c>
      <x:c r="F1347" s="4" t="inlineStr">
        <x:is>
          <x:t xml:space="preserve">安庆市</x:t>
        </x:is>
      </x:c>
      <x:c r="G1347" s="5" t="inlineStr">
        <x:is>
          <x:t xml:space="preserve">安徽省-安庆市</x:t>
        </x:is>
      </x:c>
      <x:c r="H1347" s="4" t="inlineStr">
        <x:is>
          <x:t xml:space="preserve">医疗器械</x:t>
        </x:is>
      </x:c>
      <x:c r="I1347" s="4" t="inlineStr">
        <x:is>
          <x:t xml:space="preserve">2022-07-05</x:t>
        </x:is>
      </x:c>
      <x:c r="J1347" s="5" t="inlineStr">
        <x:is>
          <x:t xml:space="preserve">安徽省安庆市太湖县经济开发区观音路2号</x:t>
        </x:is>
      </x:c>
      <x:c r="K1347" s="12" t="str">
        <x:f>LEFT("9134082557301408X9",18)</x:f>
        <x:v>9134082557301408X9</x:v>
      </x:c>
    </x:row>
    <x:row r="1348">
      <x:c r="A1348" s="2" t="n">
        <x:v>1347</x:v>
      </x:c>
      <x:c r="B1348" s="2" t="inlineStr">
        <x:is>
          <x:t xml:space="preserve">301297</x:t>
        </x:is>
      </x:c>
      <x:c r="C1348" s="3" t="inlineStr">
        <x:is>
          <x:t xml:space="preserve">富乐德</x:t>
        </x:is>
      </x:c>
      <x:c r="D1348" s="3" t="inlineStr">
        <x:is>
          <x:t xml:space="preserve">安徽富乐德科技发展股份有限公司</x:t>
        </x:is>
      </x:c>
      <x:c r="E1348" s="2" t="inlineStr">
        <x:is>
          <x:t xml:space="preserve">安徽省</x:t>
        </x:is>
      </x:c>
      <x:c r="F1348" s="2" t="inlineStr">
        <x:is>
          <x:t xml:space="preserve">铜陵市</x:t>
        </x:is>
      </x:c>
      <x:c r="G1348" s="3" t="inlineStr">
        <x:is>
          <x:t xml:space="preserve">安徽省-铜陵市</x:t>
        </x:is>
      </x:c>
      <x:c r="H1348" s="2" t="inlineStr">
        <x:is>
          <x:t xml:space="preserve">半导体</x:t>
        </x:is>
      </x:c>
      <x:c r="I1348" s="2" t="inlineStr">
        <x:is>
          <x:t xml:space="preserve">2022-12-30</x:t>
        </x:is>
      </x:c>
      <x:c r="J1348" s="3" t="inlineStr">
        <x:is>
          <x:t xml:space="preserve">安徽省铜陵金桥经济开发区</x:t>
        </x:is>
      </x:c>
      <x:c r="K1348" s="12" t="str">
        <x:f>LEFT("91340764MA2REF4759",18)</x:f>
        <x:v>91340764MA2REF4759</x:v>
      </x:c>
    </x:row>
    <x:row r="1349">
      <x:c r="A1349" s="4" t="n">
        <x:v>1348</x:v>
      </x:c>
      <x:c r="B1349" s="4" t="inlineStr">
        <x:is>
          <x:t xml:space="preserve">301321</x:t>
        </x:is>
      </x:c>
      <x:c r="C1349" s="5" t="inlineStr">
        <x:is>
          <x:t xml:space="preserve">翰博高新</x:t>
        </x:is>
      </x:c>
      <x:c r="D1349" s="5" t="inlineStr">
        <x:is>
          <x:t xml:space="preserve">翰博高新材料(合肥)股份有限公司</x:t>
        </x:is>
      </x:c>
      <x:c r="E1349" s="4" t="inlineStr">
        <x:is>
          <x:t xml:space="preserve">安徽省</x:t>
        </x:is>
      </x:c>
      <x:c r="F1349" s="4" t="inlineStr">
        <x:is>
          <x:t xml:space="preserve">合肥市</x:t>
        </x:is>
      </x:c>
      <x:c r="G1349" s="5" t="inlineStr">
        <x:is>
          <x:t xml:space="preserve">安徽省-合肥市</x:t>
        </x:is>
      </x:c>
      <x:c r="H1349" s="4" t="inlineStr">
        <x:is>
          <x:t xml:space="preserve">光学光电子</x:t>
        </x:is>
      </x:c>
      <x:c r="I1349" s="4" t="inlineStr">
        <x:is>
          <x:t xml:space="preserve">2022-08-18</x:t>
        </x:is>
      </x:c>
      <x:c r="J1349" s="5" t="inlineStr">
        <x:is>
          <x:t xml:space="preserve">合肥市新站区天水路2136号</x:t>
        </x:is>
      </x:c>
      <x:c r="K1349" s="12" t="str">
        <x:f>LEFT("913401006973722761",18)</x:f>
        <x:v>913401006973722800</x:v>
      </x:c>
    </x:row>
    <x:row r="1350">
      <x:c r="A1350" s="2" t="n">
        <x:v>1349</x:v>
      </x:c>
      <x:c r="B1350" s="2" t="inlineStr">
        <x:is>
          <x:t xml:space="preserve">301408</x:t>
        </x:is>
      </x:c>
      <x:c r="C1350" s="3" t="inlineStr">
        <x:is>
          <x:t xml:space="preserve">华人健康</x:t>
        </x:is>
      </x:c>
      <x:c r="D1350" s="3" t="inlineStr">
        <x:is>
          <x:t xml:space="preserve">安徽华人健康医药股份有限公司</x:t>
        </x:is>
      </x:c>
      <x:c r="E1350" s="2" t="inlineStr">
        <x:is>
          <x:t xml:space="preserve">安徽省</x:t>
        </x:is>
      </x:c>
      <x:c r="F1350" s="2" t="inlineStr">
        <x:is>
          <x:t xml:space="preserve">合肥市</x:t>
        </x:is>
      </x:c>
      <x:c r="G1350" s="3" t="inlineStr">
        <x:is>
          <x:t xml:space="preserve">安徽省-合肥市</x:t>
        </x:is>
      </x:c>
      <x:c r="H1350" s="2" t="inlineStr">
        <x:is>
          <x:t xml:space="preserve">医药商业</x:t>
        </x:is>
      </x:c>
      <x:c r="I1350" s="2" t="inlineStr">
        <x:is>
          <x:t xml:space="preserve">2023-03-01</x:t>
        </x:is>
      </x:c>
      <x:c r="J1350" s="3" t="inlineStr">
        <x:is>
          <x:t xml:space="preserve">安徽省合肥市河北路123号</x:t>
        </x:is>
      </x:c>
      <x:c r="K1350" s="12" t="str">
        <x:f>LEFT("91340100730002825G",18)</x:f>
        <x:v>91340100730002825G</x:v>
      </x:c>
    </x:row>
    <x:row r="1351">
      <x:c r="A1351" s="4" t="n">
        <x:v>1350</x:v>
      </x:c>
      <x:c r="B1351" s="4" t="inlineStr">
        <x:is>
          <x:t xml:space="preserve">301429</x:t>
        </x:is>
      </x:c>
      <x:c r="C1351" s="5" t="inlineStr">
        <x:is>
          <x:t xml:space="preserve">森泰股份</x:t>
        </x:is>
      </x:c>
      <x:c r="D1351" s="5" t="inlineStr">
        <x:is>
          <x:t xml:space="preserve">安徽森泰木塑集团股份有限公司</x:t>
        </x:is>
      </x:c>
      <x:c r="E1351" s="4" t="inlineStr">
        <x:is>
          <x:t xml:space="preserve">安徽省</x:t>
        </x:is>
      </x:c>
      <x:c r="F1351" s="4" t="inlineStr">
        <x:is>
          <x:t xml:space="preserve">宣城市</x:t>
        </x:is>
      </x:c>
      <x:c r="G1351" s="5" t="inlineStr">
        <x:is>
          <x:t xml:space="preserve">安徽省-宣城市</x:t>
        </x:is>
      </x:c>
      <x:c r="H1351" s="4" t="inlineStr">
        <x:is>
          <x:t xml:space="preserve">装修建材</x:t>
        </x:is>
      </x:c>
      <x:c r="I1351" s="4" t="inlineStr">
        <x:is>
          <x:t xml:space="preserve">2023-04-17</x:t>
        </x:is>
      </x:c>
      <x:c r="J1351" s="5" t="inlineStr">
        <x:is>
          <x:t xml:space="preserve">安徽省宣城市广德经济开发区国华路</x:t>
        </x:is>
      </x:c>
      <x:c r="K1351" s="12" t="str">
        <x:f>LEFT("91341822796423104J",18)</x:f>
        <x:v>91341822796423104J</x:v>
      </x:c>
    </x:row>
    <x:row r="1352">
      <x:c r="A1352" s="2" t="n">
        <x:v>1351</x:v>
      </x:c>
      <x:c r="B1352" s="2" t="inlineStr">
        <x:is>
          <x:t xml:space="preserve">301501</x:t>
        </x:is>
      </x:c>
      <x:c r="C1352" s="3" t="inlineStr">
        <x:is>
          <x:t xml:space="preserve">恒鑫生活</x:t>
        </x:is>
      </x:c>
      <x:c r="D1352" s="3" t="inlineStr">
        <x:is>
          <x:t xml:space="preserve">合肥恒鑫生活科技股份有限公司</x:t>
        </x:is>
      </x:c>
      <x:c r="E1352" s="2" t="inlineStr">
        <x:is>
          <x:t xml:space="preserve">安徽省</x:t>
        </x:is>
      </x:c>
      <x:c r="F1352" s="2" t="inlineStr">
        <x:is>
          <x:t xml:space="preserve">合肥市</x:t>
        </x:is>
      </x:c>
      <x:c r="G1352" s="3" t="inlineStr">
        <x:is>
          <x:t xml:space="preserve">安徽省-合肥市</x:t>
        </x:is>
      </x:c>
      <x:c r="H1352" s="2" t="inlineStr">
        <x:is>
          <x:t xml:space="preserve">--</x:t>
        </x:is>
      </x:c>
      <x:c r="I1352" s="2" t="inlineStr">
        <x:is>
          <x:t xml:space="preserve">2025-03-19</x:t>
        </x:is>
      </x:c>
      <x:c r="J1352" s="3" t="inlineStr">
        <x:is>
          <x:t xml:space="preserve">安徽长丰双凤经济开发区双凤路36号</x:t>
        </x:is>
      </x:c>
      <x:c r="K1352" s="12" t="str">
        <x:f>LEFT("91340121149174092B",18)</x:f>
        <x:v>91340121149174092B</x:v>
      </x:c>
    </x:row>
    <x:row r="1353">
      <x:c r="A1353" s="4" t="n">
        <x:v>1352</x:v>
      </x:c>
      <x:c r="B1353" s="4" t="inlineStr">
        <x:is>
          <x:t xml:space="preserve">301519</x:t>
        </x:is>
      </x:c>
      <x:c r="C1353" s="5" t="inlineStr">
        <x:is>
          <x:t xml:space="preserve">舜禹股份</x:t>
        </x:is>
      </x:c>
      <x:c r="D1353" s="5" t="inlineStr">
        <x:is>
          <x:t xml:space="preserve">安徽舜禹水务股份有限公司</x:t>
        </x:is>
      </x:c>
      <x:c r="E1353" s="4" t="inlineStr">
        <x:is>
          <x:t xml:space="preserve">安徽省</x:t>
        </x:is>
      </x:c>
      <x:c r="F1353" s="4" t="inlineStr">
        <x:is>
          <x:t xml:space="preserve">合肥市</x:t>
        </x:is>
      </x:c>
      <x:c r="G1353" s="5" t="inlineStr">
        <x:is>
          <x:t xml:space="preserve">安徽省-合肥市</x:t>
        </x:is>
      </x:c>
      <x:c r="H1353" s="4" t="inlineStr">
        <x:is>
          <x:t xml:space="preserve">专用设备</x:t>
        </x:is>
      </x:c>
      <x:c r="I1353" s="4" t="inlineStr">
        <x:is>
          <x:t xml:space="preserve">2023-07-27</x:t>
        </x:is>
      </x:c>
      <x:c r="J1353" s="5" t="inlineStr">
        <x:is>
          <x:t xml:space="preserve">安徽省合肥市长丰县双凤经济开发区淮南北路8号</x:t>
        </x:is>
      </x:c>
      <x:c r="K1353" s="12" t="str">
        <x:f>LEFT("91340121581547345D",18)</x:f>
        <x:v>91340121581547345D</x:v>
      </x:c>
    </x:row>
    <x:row r="1354">
      <x:c r="A1354" s="2" t="n">
        <x:v>1353</x:v>
      </x:c>
      <x:c r="B1354" s="2" t="inlineStr">
        <x:is>
          <x:t xml:space="preserve">301520</x:t>
        </x:is>
      </x:c>
      <x:c r="C1354" s="3" t="inlineStr">
        <x:is>
          <x:t xml:space="preserve">万邦医药</x:t>
        </x:is>
      </x:c>
      <x:c r="D1354" s="3" t="inlineStr">
        <x:is>
          <x:t xml:space="preserve">安徽万邦医药科技股份有限公司</x:t>
        </x:is>
      </x:c>
      <x:c r="E1354" s="2" t="inlineStr">
        <x:is>
          <x:t xml:space="preserve">安徽省</x:t>
        </x:is>
      </x:c>
      <x:c r="F1354" s="2" t="inlineStr">
        <x:is>
          <x:t xml:space="preserve">合肥市</x:t>
        </x:is>
      </x:c>
      <x:c r="G1354" s="3" t="inlineStr">
        <x:is>
          <x:t xml:space="preserve">安徽省-合肥市</x:t>
        </x:is>
      </x:c>
      <x:c r="H1354" s="2" t="inlineStr">
        <x:is>
          <x:t xml:space="preserve">医疗服务</x:t>
        </x:is>
      </x:c>
      <x:c r="I1354" s="2" t="inlineStr">
        <x:is>
          <x:t xml:space="preserve">2023-09-25</x:t>
        </x:is>
      </x:c>
      <x:c r="J1354" s="3" t="inlineStr">
        <x:is>
          <x:t xml:space="preserve">安徽省合肥市高新区火龙地路299号</x:t>
        </x:is>
      </x:c>
      <x:c r="K1354" s="12" t="str">
        <x:f>LEFT("91340100784936148J",18)</x:f>
        <x:v>91340100784936148J</x:v>
      </x:c>
    </x:row>
    <x:row r="1355">
      <x:c r="A1355" s="4" t="n">
        <x:v>1354</x:v>
      </x:c>
      <x:c r="B1355" s="4" t="inlineStr">
        <x:is>
          <x:t xml:space="preserve">301529</x:t>
        </x:is>
      </x:c>
      <x:c r="C1355" s="5" t="inlineStr">
        <x:is>
          <x:t xml:space="preserve">福赛科技</x:t>
        </x:is>
      </x:c>
      <x:c r="D1355" s="5" t="inlineStr">
        <x:is>
          <x:t xml:space="preserve">芜湖福赛科技股份有限公司</x:t>
        </x:is>
      </x:c>
      <x:c r="E1355" s="4" t="inlineStr">
        <x:is>
          <x:t xml:space="preserve">安徽省</x:t>
        </x:is>
      </x:c>
      <x:c r="F1355" s="4" t="inlineStr">
        <x:is>
          <x:t xml:space="preserve">芜湖市</x:t>
        </x:is>
      </x:c>
      <x:c r="G1355" s="5" t="inlineStr">
        <x:is>
          <x:t xml:space="preserve">安徽省-芜湖市</x:t>
        </x:is>
      </x:c>
      <x:c r="H1355" s="4" t="inlineStr">
        <x:is>
          <x:t xml:space="preserve">汽车零部件</x:t>
        </x:is>
      </x:c>
      <x:c r="I1355" s="4" t="inlineStr">
        <x:is>
          <x:t xml:space="preserve">2023-09-11</x:t>
        </x:is>
      </x:c>
      <x:c r="J1355" s="5" t="inlineStr">
        <x:is>
          <x:t xml:space="preserve">芜湖市鸠江经济开发区灵鸢路2号</x:t>
        </x:is>
      </x:c>
      <x:c r="K1355" s="12" t="str">
        <x:f>LEFT("91340207793599980B",18)</x:f>
        <x:v>91340207793599980B</x:v>
      </x:c>
    </x:row>
    <x:row r="1356">
      <x:c r="A1356" s="2" t="n">
        <x:v>1355</x:v>
      </x:c>
      <x:c r="B1356" s="2" t="inlineStr">
        <x:is>
          <x:t xml:space="preserve">301581</x:t>
        </x:is>
      </x:c>
      <x:c r="C1356" s="3" t="inlineStr">
        <x:is>
          <x:t xml:space="preserve">黄山谷捷</x:t>
        </x:is>
      </x:c>
      <x:c r="D1356" s="3" t="inlineStr">
        <x:is>
          <x:t xml:space="preserve">黄山谷捷股份有限公司</x:t>
        </x:is>
      </x:c>
      <x:c r="E1356" s="2" t="inlineStr">
        <x:is>
          <x:t xml:space="preserve">安徽省</x:t>
        </x:is>
      </x:c>
      <x:c r="F1356" s="2" t="inlineStr">
        <x:is>
          <x:t xml:space="preserve">黄山市</x:t>
        </x:is>
      </x:c>
      <x:c r="G1356" s="3" t="inlineStr">
        <x:is>
          <x:t xml:space="preserve">安徽省-黄山市</x:t>
        </x:is>
      </x:c>
      <x:c r="H1356" s="2" t="inlineStr">
        <x:is>
          <x:t xml:space="preserve">汽车零部件</x:t>
        </x:is>
      </x:c>
      <x:c r="I1356" s="2" t="inlineStr">
        <x:is>
          <x:t xml:space="preserve">2025-01-03</x:t>
        </x:is>
      </x:c>
      <x:c r="J1356" s="3" t="inlineStr">
        <x:is>
          <x:t xml:space="preserve">安徽省黄山市徽州区城北工业园文峰西路10号</x:t>
        </x:is>
      </x:c>
      <x:c r="K1356" s="12" t="str">
        <x:f>LEFT("913410045986552970",18)</x:f>
        <x:v>913410045986553000</x:v>
      </x:c>
    </x:row>
    <x:row r="1357">
      <x:c r="A1357" s="4" t="n">
        <x:v>1356</x:v>
      </x:c>
      <x:c r="B1357" s="4" t="inlineStr">
        <x:is>
          <x:t xml:space="preserve">301586</x:t>
        </x:is>
      </x:c>
      <x:c r="C1357" s="5" t="inlineStr">
        <x:is>
          <x:t xml:space="preserve">佳力奇</x:t>
        </x:is>
      </x:c>
      <x:c r="D1357" s="5" t="inlineStr">
        <x:is>
          <x:t xml:space="preserve">安徽佳力奇先进复合材料科技股份公司</x:t>
        </x:is>
      </x:c>
      <x:c r="E1357" s="4" t="inlineStr">
        <x:is>
          <x:t xml:space="preserve">安徽省</x:t>
        </x:is>
      </x:c>
      <x:c r="F1357" s="4" t="inlineStr">
        <x:is>
          <x:t xml:space="preserve">宿州市</x:t>
        </x:is>
      </x:c>
      <x:c r="G1357" s="5" t="inlineStr">
        <x:is>
          <x:t xml:space="preserve">安徽省-宿州市</x:t>
        </x:is>
      </x:c>
      <x:c r="H1357" s="4" t="inlineStr">
        <x:is>
          <x:t xml:space="preserve">航天航空</x:t>
        </x:is>
      </x:c>
      <x:c r="I1357" s="4" t="inlineStr">
        <x:is>
          <x:t xml:space="preserve">2024-08-28</x:t>
        </x:is>
      </x:c>
      <x:c r="J1357" s="5" t="inlineStr">
        <x:is>
          <x:t xml:space="preserve">安徽省宿州市高新技术产业园区朝阳路169号</x:t>
        </x:is>
      </x:c>
      <x:c r="K1357" s="12" t="str">
        <x:f>LEFT("913413007117898966",18)</x:f>
        <x:v>913413007117899000</x:v>
      </x:c>
    </x:row>
    <x:row r="1358">
      <x:c r="A1358" s="2" t="n">
        <x:v>1357</x:v>
      </x:c>
      <x:c r="B1358" s="2" t="inlineStr">
        <x:is>
          <x:t xml:space="preserve">600012</x:t>
        </x:is>
      </x:c>
      <x:c r="C1358" s="3" t="inlineStr">
        <x:is>
          <x:t xml:space="preserve">皖通高速</x:t>
        </x:is>
      </x:c>
      <x:c r="D1358" s="3" t="inlineStr">
        <x:is>
          <x:t xml:space="preserve">安徽皖通高速公路股份有限公司</x:t>
        </x:is>
      </x:c>
      <x:c r="E1358" s="2" t="inlineStr">
        <x:is>
          <x:t xml:space="preserve">安徽省</x:t>
        </x:is>
      </x:c>
      <x:c r="F1358" s="2" t="inlineStr">
        <x:is>
          <x:t xml:space="preserve">合肥市</x:t>
        </x:is>
      </x:c>
      <x:c r="G1358" s="3" t="inlineStr">
        <x:is>
          <x:t xml:space="preserve">安徽省-合肥市</x:t>
        </x:is>
      </x:c>
      <x:c r="H1358" s="2" t="inlineStr">
        <x:is>
          <x:t xml:space="preserve">高速公路</x:t>
        </x:is>
      </x:c>
      <x:c r="I1358" s="2" t="inlineStr">
        <x:is>
          <x:t xml:space="preserve">2003-01-07</x:t>
        </x:is>
      </x:c>
      <x:c r="J1358" s="3" t="inlineStr">
        <x:is>
          <x:t xml:space="preserve">安徽省合肥市望江西路520号</x:t>
        </x:is>
      </x:c>
      <x:c r="K1358" s="12" t="str">
        <x:f>LEFT("91340000148973087E",18)</x:f>
        <x:v>91340000148973087E</x:v>
      </x:c>
    </x:row>
    <x:row r="1359">
      <x:c r="A1359" s="4" t="n">
        <x:v>1358</x:v>
      </x:c>
      <x:c r="B1359" s="4" t="inlineStr">
        <x:is>
          <x:t xml:space="preserve">600054</x:t>
        </x:is>
      </x:c>
      <x:c r="C1359" s="5" t="inlineStr">
        <x:is>
          <x:t xml:space="preserve">黄山旅游</x:t>
        </x:is>
      </x:c>
      <x:c r="D1359" s="5" t="inlineStr">
        <x:is>
          <x:t xml:space="preserve">黄山旅游发展股份有限公司</x:t>
        </x:is>
      </x:c>
      <x:c r="E1359" s="4" t="inlineStr">
        <x:is>
          <x:t xml:space="preserve">安徽省</x:t>
        </x:is>
      </x:c>
      <x:c r="F1359" s="4" t="inlineStr">
        <x:is>
          <x:t xml:space="preserve">黄山市</x:t>
        </x:is>
      </x:c>
      <x:c r="G1359" s="5" t="inlineStr">
        <x:is>
          <x:t xml:space="preserve">安徽省-黄山市</x:t>
        </x:is>
      </x:c>
      <x:c r="H1359" s="4" t="inlineStr">
        <x:is>
          <x:t xml:space="preserve">旅游酒店</x:t>
        </x:is>
      </x:c>
      <x:c r="I1359" s="4" t="inlineStr">
        <x:is>
          <x:t xml:space="preserve">1997-05-06</x:t>
        </x:is>
      </x:c>
      <x:c r="J1359" s="5" t="inlineStr">
        <x:is>
          <x:t xml:space="preserve">安徽省黄山市屯溪区天都大道5号(天都国际饭店D座16-18楼)</x:t>
        </x:is>
      </x:c>
      <x:c r="K1359" s="12" t="str">
        <x:f>LEFT("91341000610487768C",18)</x:f>
        <x:v>91341000610487768C</x:v>
      </x:c>
    </x:row>
    <x:row r="1360">
      <x:c r="A1360" s="2" t="n">
        <x:v>1359</x:v>
      </x:c>
      <x:c r="B1360" s="2" t="inlineStr">
        <x:is>
          <x:t xml:space="preserve">600063</x:t>
        </x:is>
      </x:c>
      <x:c r="C1360" s="3" t="inlineStr">
        <x:is>
          <x:t xml:space="preserve">皖维高新</x:t>
        </x:is>
      </x:c>
      <x:c r="D1360" s="3" t="inlineStr">
        <x:is>
          <x:t xml:space="preserve">安徽皖维高新材料股份有限公司</x:t>
        </x:is>
      </x:c>
      <x:c r="E1360" s="2" t="inlineStr">
        <x:is>
          <x:t xml:space="preserve">安徽省</x:t>
        </x:is>
      </x:c>
      <x:c r="F1360" s="2" t="inlineStr">
        <x:is>
          <x:t xml:space="preserve">合肥市</x:t>
        </x:is>
      </x:c>
      <x:c r="G1360" s="3" t="inlineStr">
        <x:is>
          <x:t xml:space="preserve">安徽省-合肥市</x:t>
        </x:is>
      </x:c>
      <x:c r="H1360" s="2" t="inlineStr">
        <x:is>
          <x:t xml:space="preserve">化纤行业</x:t>
        </x:is>
      </x:c>
      <x:c r="I1360" s="2" t="inlineStr">
        <x:is>
          <x:t xml:space="preserve">1997-05-28</x:t>
        </x:is>
      </x:c>
      <x:c r="J1360" s="3" t="inlineStr">
        <x:is>
          <x:t xml:space="preserve">安徽省合肥市巢湖市皖维路56号</x:t>
        </x:is>
      </x:c>
      <x:c r="K1360" s="12" t="str">
        <x:f>LEFT("91340100153584043T",18)</x:f>
        <x:v>91340100153584043T</x:v>
      </x:c>
    </x:row>
    <x:row r="1361">
      <x:c r="A1361" s="4" t="n">
        <x:v>1360</x:v>
      </x:c>
      <x:c r="B1361" s="4" t="inlineStr">
        <x:is>
          <x:t xml:space="preserve">600199</x:t>
        </x:is>
      </x:c>
      <x:c r="C1361" s="5" t="inlineStr">
        <x:is>
          <x:t xml:space="preserve">金种子酒</x:t>
        </x:is>
      </x:c>
      <x:c r="D1361" s="5" t="inlineStr">
        <x:is>
          <x:t xml:space="preserve">安徽金种子酒业股份有限公司</x:t>
        </x:is>
      </x:c>
      <x:c r="E1361" s="4" t="inlineStr">
        <x:is>
          <x:t xml:space="preserve">安徽省</x:t>
        </x:is>
      </x:c>
      <x:c r="F1361" s="4" t="inlineStr">
        <x:is>
          <x:t xml:space="preserve">阜阳市</x:t>
        </x:is>
      </x:c>
      <x:c r="G1361" s="5" t="inlineStr">
        <x:is>
          <x:t xml:space="preserve">安徽省-阜阳市</x:t>
        </x:is>
      </x:c>
      <x:c r="H1361" s="4" t="inlineStr">
        <x:is>
          <x:t xml:space="preserve">酿酒行业</x:t>
        </x:is>
      </x:c>
      <x:c r="I1361" s="4" t="inlineStr">
        <x:is>
          <x:t xml:space="preserve">1998-08-12</x:t>
        </x:is>
      </x:c>
      <x:c r="J1361" s="5" t="inlineStr">
        <x:is>
          <x:t xml:space="preserve">安徽省阜阳市颍州区河滨路302号</x:t>
        </x:is>
      </x:c>
      <x:c r="K1361" s="12" t="str">
        <x:f>LEFT("913412007050444417",18)</x:f>
        <x:v>913412007050444400</x:v>
      </x:c>
    </x:row>
    <x:row r="1362">
      <x:c r="A1362" s="2" t="n">
        <x:v>1361</x:v>
      </x:c>
      <x:c r="B1362" s="2" t="inlineStr">
        <x:is>
          <x:t xml:space="preserve">600218</x:t>
        </x:is>
      </x:c>
      <x:c r="C1362" s="3" t="inlineStr">
        <x:is>
          <x:t xml:space="preserve">全柴动力</x:t>
        </x:is>
      </x:c>
      <x:c r="D1362" s="3" t="inlineStr">
        <x:is>
          <x:t xml:space="preserve">安徽全柴动力股份有限公司</x:t>
        </x:is>
      </x:c>
      <x:c r="E1362" s="2" t="inlineStr">
        <x:is>
          <x:t xml:space="preserve">安徽省</x:t>
        </x:is>
      </x:c>
      <x:c r="F1362" s="2" t="inlineStr">
        <x:is>
          <x:t xml:space="preserve">滁州市</x:t>
        </x:is>
      </x:c>
      <x:c r="G1362" s="3" t="inlineStr">
        <x:is>
          <x:t xml:space="preserve">安徽省-滁州市</x:t>
        </x:is>
      </x:c>
      <x:c r="H1362" s="2" t="inlineStr">
        <x:is>
          <x:t xml:space="preserve">汽车零部件</x:t>
        </x:is>
      </x:c>
      <x:c r="I1362" s="2" t="inlineStr">
        <x:is>
          <x:t xml:space="preserve">1998-12-03</x:t>
        </x:is>
      </x:c>
      <x:c r="J1362" s="3" t="inlineStr">
        <x:is>
          <x:t xml:space="preserve">安徽省全椒县襄河镇吴敬梓路788号</x:t>
        </x:is>
      </x:c>
      <x:c r="K1362" s="12" t="str">
        <x:f>LEFT("91341100704965812G",18)</x:f>
        <x:v>91341100704965812G</x:v>
      </x:c>
    </x:row>
    <x:row r="1363">
      <x:c r="A1363" s="4" t="n">
        <x:v>1362</x:v>
      </x:c>
      <x:c r="B1363" s="4" t="inlineStr">
        <x:is>
          <x:t xml:space="preserve">600237</x:t>
        </x:is>
      </x:c>
      <x:c r="C1363" s="5" t="inlineStr">
        <x:is>
          <x:t xml:space="preserve">铜峰电子</x:t>
        </x:is>
      </x:c>
      <x:c r="D1363" s="5" t="inlineStr">
        <x:is>
          <x:t xml:space="preserve">安徽铜峰电子股份有限公司</x:t>
        </x:is>
      </x:c>
      <x:c r="E1363" s="4" t="inlineStr">
        <x:is>
          <x:t xml:space="preserve">安徽省</x:t>
        </x:is>
      </x:c>
      <x:c r="F1363" s="4" t="inlineStr">
        <x:is>
          <x:t xml:space="preserve">铜陵市</x:t>
        </x:is>
      </x:c>
      <x:c r="G1363" s="5" t="inlineStr">
        <x:is>
          <x:t xml:space="preserve">安徽省-铜陵市</x:t>
        </x:is>
      </x:c>
      <x:c r="H1363" s="4" t="inlineStr">
        <x:is>
          <x:t xml:space="preserve">电子元件</x:t>
        </x:is>
      </x:c>
      <x:c r="I1363" s="4" t="inlineStr">
        <x:is>
          <x:t xml:space="preserve">2000-06-09</x:t>
        </x:is>
      </x:c>
      <x:c r="J1363" s="5" t="inlineStr">
        <x:is>
          <x:t xml:space="preserve">安徽省铜陵市经济技术开发区翠湖三路西段399号</x:t>
        </x:is>
      </x:c>
      <x:c r="K1363" s="12" t="str">
        <x:f>LEFT("9134070014897301XF",18)</x:f>
        <x:v>9134070014897301XF</x:v>
      </x:c>
    </x:row>
    <x:row r="1364">
      <x:c r="A1364" s="2" t="n">
        <x:v>1363</x:v>
      </x:c>
      <x:c r="B1364" s="2" t="inlineStr">
        <x:is>
          <x:t xml:space="preserve">600255</x:t>
        </x:is>
      </x:c>
      <x:c r="C1364" s="3" t="inlineStr">
        <x:is>
          <x:t xml:space="preserve">鑫科材料</x:t>
        </x:is>
      </x:c>
      <x:c r="D1364" s="3" t="inlineStr">
        <x:is>
          <x:t xml:space="preserve">安徽鑫科新材料股份有限公司</x:t>
        </x:is>
      </x:c>
      <x:c r="E1364" s="2" t="inlineStr">
        <x:is>
          <x:t xml:space="preserve">安徽省</x:t>
        </x:is>
      </x:c>
      <x:c r="F1364" s="2" t="inlineStr">
        <x:is>
          <x:t xml:space="preserve">芜湖市</x:t>
        </x:is>
      </x:c>
      <x:c r="G1364" s="3" t="inlineStr">
        <x:is>
          <x:t xml:space="preserve">安徽省-芜湖市</x:t>
        </x:is>
      </x:c>
      <x:c r="H1364" s="2" t="inlineStr">
        <x:is>
          <x:t xml:space="preserve">有色金属</x:t>
        </x:is>
      </x:c>
      <x:c r="I1364" s="2" t="inlineStr">
        <x:is>
          <x:t xml:space="preserve">2000-11-22</x:t>
        </x:is>
      </x:c>
      <x:c r="J1364" s="3" t="inlineStr">
        <x:is>
          <x:t xml:space="preserve">中国(安徽)自由贸易试验区芜湖片区凤鸣湖南路21号铜带车间</x:t>
        </x:is>
      </x:c>
      <x:c r="K1364" s="12" t="str">
        <x:f>LEFT("913402007110417498",18)</x:f>
        <x:v>913402007110417500</x:v>
      </x:c>
    </x:row>
    <x:row r="1365">
      <x:c r="A1365" s="4" t="n">
        <x:v>1364</x:v>
      </x:c>
      <x:c r="B1365" s="4" t="inlineStr">
        <x:is>
          <x:t xml:space="preserve">600318</x:t>
        </x:is>
      </x:c>
      <x:c r="C1365" s="5" t="inlineStr">
        <x:is>
          <x:t xml:space="preserve">新力金融</x:t>
        </x:is>
      </x:c>
      <x:c r="D1365" s="5" t="inlineStr">
        <x:is>
          <x:t xml:space="preserve">安徽新力金融股份有限公司</x:t>
        </x:is>
      </x:c>
      <x:c r="E1365" s="4" t="inlineStr">
        <x:is>
          <x:t xml:space="preserve">安徽省</x:t>
        </x:is>
      </x:c>
      <x:c r="F1365" s="4" t="inlineStr">
        <x:is>
          <x:t xml:space="preserve">合肥市</x:t>
        </x:is>
      </x:c>
      <x:c r="G1365" s="5" t="inlineStr">
        <x:is>
          <x:t xml:space="preserve">安徽省-合肥市</x:t>
        </x:is>
      </x:c>
      <x:c r="H1365" s="4" t="inlineStr">
        <x:is>
          <x:t xml:space="preserve">多元金融</x:t>
        </x:is>
      </x:c>
      <x:c r="I1365" s="4" t="inlineStr">
        <x:is>
          <x:t xml:space="preserve">2000-12-08</x:t>
        </x:is>
      </x:c>
      <x:c r="J1365" s="5" t="inlineStr">
        <x:is>
          <x:t xml:space="preserve">安徽省合肥市高新区红枫路与西二环辅路交口西南角永合大厦</x:t>
        </x:is>
      </x:c>
      <x:c r="K1365" s="12" t="str">
        <x:f>LEFT("91340000705022576T",18)</x:f>
        <x:v>91340000705022576T</x:v>
      </x:c>
    </x:row>
    <x:row r="1366">
      <x:c r="A1366" s="2" t="n">
        <x:v>1365</x:v>
      </x:c>
      <x:c r="B1366" s="2" t="inlineStr">
        <x:is>
          <x:t xml:space="preserve">600375</x:t>
        </x:is>
      </x:c>
      <x:c r="C1366" s="3" t="inlineStr">
        <x:is>
          <x:t xml:space="preserve">汉马科技</x:t>
        </x:is>
      </x:c>
      <x:c r="D1366" s="3" t="inlineStr">
        <x:is>
          <x:t xml:space="preserve">汉马科技集团股份有限公司</x:t>
        </x:is>
      </x:c>
      <x:c r="E1366" s="2" t="inlineStr">
        <x:is>
          <x:t xml:space="preserve">安徽省</x:t>
        </x:is>
      </x:c>
      <x:c r="F1366" s="2" t="inlineStr">
        <x:is>
          <x:t xml:space="preserve">马鞍山市</x:t>
        </x:is>
      </x:c>
      <x:c r="G1366" s="3" t="inlineStr">
        <x:is>
          <x:t xml:space="preserve">安徽省-马鞍山市</x:t>
        </x:is>
      </x:c>
      <x:c r="H1366" s="2" t="inlineStr">
        <x:is>
          <x:t xml:space="preserve">汽车整车</x:t>
        </x:is>
      </x:c>
      <x:c r="I1366" s="2" t="inlineStr">
        <x:is>
          <x:t xml:space="preserve">2003-04-01</x:t>
        </x:is>
      </x:c>
      <x:c r="J1366" s="3" t="inlineStr">
        <x:is>
          <x:t xml:space="preserve">安徽省马鞍山经济技术开发区梅山路1000号</x:t>
        </x:is>
      </x:c>
      <x:c r="K1366" s="12" t="str">
        <x:f>LEFT("913405007139577931",18)</x:f>
        <x:v>913405007139578000</x:v>
      </x:c>
    </x:row>
    <x:row r="1367">
      <x:c r="A1367" s="4" t="n">
        <x:v>1366</x:v>
      </x:c>
      <x:c r="B1367" s="4" t="inlineStr">
        <x:is>
          <x:t xml:space="preserve">600418</x:t>
        </x:is>
      </x:c>
      <x:c r="C1367" s="5" t="inlineStr">
        <x:is>
          <x:t xml:space="preserve">江淮汽车</x:t>
        </x:is>
      </x:c>
      <x:c r="D1367" s="5" t="inlineStr">
        <x:is>
          <x:t xml:space="preserve">安徽江淮汽车集团股份有限公司</x:t>
        </x:is>
      </x:c>
      <x:c r="E1367" s="4" t="inlineStr">
        <x:is>
          <x:t xml:space="preserve">安徽省</x:t>
        </x:is>
      </x:c>
      <x:c r="F1367" s="4" t="inlineStr">
        <x:is>
          <x:t xml:space="preserve">合肥市</x:t>
        </x:is>
      </x:c>
      <x:c r="G1367" s="5" t="inlineStr">
        <x:is>
          <x:t xml:space="preserve">安徽省-合肥市</x:t>
        </x:is>
      </x:c>
      <x:c r="H1367" s="4" t="inlineStr">
        <x:is>
          <x:t xml:space="preserve">汽车整车</x:t>
        </x:is>
      </x:c>
      <x:c r="I1367" s="4" t="inlineStr">
        <x:is>
          <x:t xml:space="preserve">2001-08-24</x:t>
        </x:is>
      </x:c>
      <x:c r="J1367" s="5" t="inlineStr">
        <x:is>
          <x:t xml:space="preserve">安徽省合肥市东流路176号</x:t>
        </x:is>
      </x:c>
      <x:c r="K1367" s="12" t="str">
        <x:f>LEFT("913400007117750489",18)</x:f>
        <x:v>913400007117750500</x:v>
      </x:c>
    </x:row>
    <x:row r="1368">
      <x:c r="A1368" s="2" t="n">
        <x:v>1367</x:v>
      </x:c>
      <x:c r="B1368" s="2" t="inlineStr">
        <x:is>
          <x:t xml:space="preserve">600444</x:t>
        </x:is>
      </x:c>
      <x:c r="C1368" s="3" t="inlineStr">
        <x:is>
          <x:t xml:space="preserve">国机通用</x:t>
        </x:is>
      </x:c>
      <x:c r="D1368" s="3" t="inlineStr">
        <x:is>
          <x:t xml:space="preserve">国机通用机械科技股份有限公司</x:t>
        </x:is>
      </x:c>
      <x:c r="E1368" s="2" t="inlineStr">
        <x:is>
          <x:t xml:space="preserve">安徽省</x:t>
        </x:is>
      </x:c>
      <x:c r="F1368" s="2" t="inlineStr">
        <x:is>
          <x:t xml:space="preserve">合肥市</x:t>
        </x:is>
      </x:c>
      <x:c r="G1368" s="3" t="inlineStr">
        <x:is>
          <x:t xml:space="preserve">安徽省-合肥市</x:t>
        </x:is>
      </x:c>
      <x:c r="H1368" s="2" t="inlineStr">
        <x:is>
          <x:t xml:space="preserve">专用设备</x:t>
        </x:is>
      </x:c>
      <x:c r="I1368" s="2" t="inlineStr">
        <x:is>
          <x:t xml:space="preserve">2004-02-19</x:t>
        </x:is>
      </x:c>
      <x:c r="J1368" s="3" t="inlineStr">
        <x:is>
          <x:t xml:space="preserve">安徽省合肥市经济技术开发区蓬莱路616号</x:t>
        </x:is>
      </x:c>
      <x:c r="K1368" s="12" t="str">
        <x:f>LEFT("91340100610300772G",18)</x:f>
        <x:v>91340100610300772G</x:v>
      </x:c>
    </x:row>
    <x:row r="1369">
      <x:c r="A1369" s="4" t="n">
        <x:v>1368</x:v>
      </x:c>
      <x:c r="B1369" s="4" t="inlineStr">
        <x:is>
          <x:t xml:space="preserve">600470</x:t>
        </x:is>
      </x:c>
      <x:c r="C1369" s="5" t="inlineStr">
        <x:is>
          <x:t xml:space="preserve">六国化工</x:t>
        </x:is>
      </x:c>
      <x:c r="D1369" s="5" t="inlineStr">
        <x:is>
          <x:t xml:space="preserve">安徽六国化工股份有限公司</x:t>
        </x:is>
      </x:c>
      <x:c r="E1369" s="4" t="inlineStr">
        <x:is>
          <x:t xml:space="preserve">安徽省</x:t>
        </x:is>
      </x:c>
      <x:c r="F1369" s="4" t="inlineStr">
        <x:is>
          <x:t xml:space="preserve">铜陵市</x:t>
        </x:is>
      </x:c>
      <x:c r="G1369" s="5" t="inlineStr">
        <x:is>
          <x:t xml:space="preserve">安徽省-铜陵市</x:t>
        </x:is>
      </x:c>
      <x:c r="H1369" s="4" t="inlineStr">
        <x:is>
          <x:t xml:space="preserve">化肥行业</x:t>
        </x:is>
      </x:c>
      <x:c r="I1369" s="4" t="inlineStr">
        <x:is>
          <x:t xml:space="preserve">2004-03-05</x:t>
        </x:is>
      </x:c>
      <x:c r="J1369" s="5" t="inlineStr">
        <x:is>
          <x:t xml:space="preserve">安徽省铜陵市铜港路</x:t>
        </x:is>
      </x:c>
      <x:c r="K1369" s="12" t="str">
        <x:f>LEFT("91340700726323933H",18)</x:f>
        <x:v>91340700726323933H</x:v>
      </x:c>
    </x:row>
    <x:row r="1370">
      <x:c r="A1370" s="2" t="n">
        <x:v>1369</x:v>
      </x:c>
      <x:c r="B1370" s="2" t="inlineStr">
        <x:is>
          <x:t xml:space="preserve">600496</x:t>
        </x:is>
      </x:c>
      <x:c r="C1370" s="3" t="inlineStr">
        <x:is>
          <x:t xml:space="preserve">精工钢构</x:t>
        </x:is>
      </x:c>
      <x:c r="D1370" s="3" t="inlineStr">
        <x:is>
          <x:t xml:space="preserve">长江精工钢结构(集团)股份有限公司</x:t>
        </x:is>
      </x:c>
      <x:c r="E1370" s="2" t="inlineStr">
        <x:is>
          <x:t xml:space="preserve">安徽省</x:t>
        </x:is>
      </x:c>
      <x:c r="F1370" s="2" t="inlineStr">
        <x:is>
          <x:t xml:space="preserve">六安市</x:t>
        </x:is>
      </x:c>
      <x:c r="G1370" s="3" t="inlineStr">
        <x:is>
          <x:t xml:space="preserve">安徽省-六安市</x:t>
        </x:is>
      </x:c>
      <x:c r="H1370" s="2" t="inlineStr">
        <x:is>
          <x:t xml:space="preserve">水泥建材</x:t>
        </x:is>
      </x:c>
      <x:c r="I1370" s="2" t="inlineStr">
        <x:is>
          <x:t xml:space="preserve">2002-06-05</x:t>
        </x:is>
      </x:c>
      <x:c r="J1370" s="3" t="inlineStr">
        <x:is>
          <x:t xml:space="preserve">安徽省六安市经济技术开发区长江精工工业园</x:t>
        </x:is>
      </x:c>
      <x:c r="K1370" s="12" t="str">
        <x:f>LEFT("91340000711774045Q",18)</x:f>
        <x:v>91340000711774045Q</x:v>
      </x:c>
    </x:row>
    <x:row r="1371">
      <x:c r="A1371" s="4" t="n">
        <x:v>1370</x:v>
      </x:c>
      <x:c r="B1371" s="4" t="inlineStr">
        <x:is>
          <x:t xml:space="preserve">600502</x:t>
        </x:is>
      </x:c>
      <x:c r="C1371" s="5" t="inlineStr">
        <x:is>
          <x:t xml:space="preserve">安徽建工</x:t>
        </x:is>
      </x:c>
      <x:c r="D1371" s="5" t="inlineStr">
        <x:is>
          <x:t xml:space="preserve">安徽建工集团股份有限公司</x:t>
        </x:is>
      </x:c>
      <x:c r="E1371" s="4" t="inlineStr">
        <x:is>
          <x:t xml:space="preserve">安徽省</x:t>
        </x:is>
      </x:c>
      <x:c r="F1371" s="4" t="inlineStr">
        <x:is>
          <x:t xml:space="preserve">蚌埠市</x:t>
        </x:is>
      </x:c>
      <x:c r="G1371" s="5" t="inlineStr">
        <x:is>
          <x:t xml:space="preserve">安徽省-蚌埠市</x:t>
        </x:is>
      </x:c>
      <x:c r="H1371" s="4" t="inlineStr">
        <x:is>
          <x:t xml:space="preserve">工程建设</x:t>
        </x:is>
      </x:c>
      <x:c r="I1371" s="4" t="inlineStr">
        <x:is>
          <x:t xml:space="preserve">2003-04-15</x:t>
        </x:is>
      </x:c>
      <x:c r="J1371" s="5" t="inlineStr">
        <x:is>
          <x:t xml:space="preserve">安徽省蚌埠市东海大道5183号</x:t>
        </x:is>
      </x:c>
      <x:c r="K1371" s="12" t="str">
        <x:f>LEFT("91340300711790416H",18)</x:f>
        <x:v>91340300711790416H</x:v>
      </x:c>
    </x:row>
    <x:row r="1372">
      <x:c r="A1372" s="2" t="n">
        <x:v>1371</x:v>
      </x:c>
      <x:c r="B1372" s="2" t="inlineStr">
        <x:is>
          <x:t xml:space="preserve">600520</x:t>
        </x:is>
      </x:c>
      <x:c r="C1372" s="3" t="inlineStr">
        <x:is>
          <x:t xml:space="preserve">三佳科技</x:t>
        </x:is>
      </x:c>
      <x:c r="D1372" s="3" t="inlineStr">
        <x:is>
          <x:t xml:space="preserve">产投三佳(安徽)科技股份有限公司</x:t>
        </x:is>
      </x:c>
      <x:c r="E1372" s="2" t="inlineStr">
        <x:is>
          <x:t xml:space="preserve">安徽省</x:t>
        </x:is>
      </x:c>
      <x:c r="F1372" s="2" t="inlineStr">
        <x:is>
          <x:t xml:space="preserve">铜陵市</x:t>
        </x:is>
      </x:c>
      <x:c r="G1372" s="3" t="inlineStr">
        <x:is>
          <x:t xml:space="preserve">安徽省-铜陵市</x:t>
        </x:is>
      </x:c>
      <x:c r="H1372" s="2" t="inlineStr">
        <x:is>
          <x:t xml:space="preserve">专用设备</x:t>
        </x:is>
      </x:c>
      <x:c r="I1372" s="2" t="inlineStr">
        <x:is>
          <x:t xml:space="preserve">2002-01-08</x:t>
        </x:is>
      </x:c>
      <x:c r="J1372" s="3" t="inlineStr">
        <x:is>
          <x:t xml:space="preserve">安徽省铜陵经济技术开发区</x:t>
        </x:is>
      </x:c>
      <x:c r="K1372" s="12" t="str">
        <x:f>LEFT("91340700719911235R",18)</x:f>
        <x:v>91340700719911235R</x:v>
      </x:c>
    </x:row>
    <x:row r="1373">
      <x:c r="A1373" s="4" t="n">
        <x:v>1372</x:v>
      </x:c>
      <x:c r="B1373" s="4" t="inlineStr">
        <x:is>
          <x:t xml:space="preserve">600551</x:t>
        </x:is>
      </x:c>
      <x:c r="C1373" s="5" t="inlineStr">
        <x:is>
          <x:t xml:space="preserve">时代出版</x:t>
        </x:is>
      </x:c>
      <x:c r="D1373" s="5" t="inlineStr">
        <x:is>
          <x:t xml:space="preserve">时代出版传媒股份有限公司</x:t>
        </x:is>
      </x:c>
      <x:c r="E1373" s="4" t="inlineStr">
        <x:is>
          <x:t xml:space="preserve">安徽省</x:t>
        </x:is>
      </x:c>
      <x:c r="F1373" s="4" t="inlineStr">
        <x:is>
          <x:t xml:space="preserve">合肥市</x:t>
        </x:is>
      </x:c>
      <x:c r="G1373" s="5" t="inlineStr">
        <x:is>
          <x:t xml:space="preserve">安徽省-合肥市</x:t>
        </x:is>
      </x:c>
      <x:c r="H1373" s="4" t="inlineStr">
        <x:is>
          <x:t xml:space="preserve">文化传媒</x:t>
        </x:is>
      </x:c>
      <x:c r="I1373" s="4" t="inlineStr">
        <x:is>
          <x:t xml:space="preserve">2002-09-05</x:t>
        </x:is>
      </x:c>
      <x:c r="J1373" s="5" t="inlineStr">
        <x:is>
          <x:t xml:space="preserve">安徽省合肥市长江西路669号</x:t>
        </x:is>
      </x:c>
      <x:c r="K1373" s="12" t="str">
        <x:f>LEFT("91340000711774870R",18)</x:f>
        <x:v>91340000711774870R</x:v>
      </x:c>
    </x:row>
    <x:row r="1374">
      <x:c r="A1374" s="2" t="n">
        <x:v>1373</x:v>
      </x:c>
      <x:c r="B1374" s="2" t="inlineStr">
        <x:is>
          <x:t xml:space="preserve">600552</x:t>
        </x:is>
      </x:c>
      <x:c r="C1374" s="3" t="inlineStr">
        <x:is>
          <x:t xml:space="preserve">凯盛科技</x:t>
        </x:is>
      </x:c>
      <x:c r="D1374" s="3" t="inlineStr">
        <x:is>
          <x:t xml:space="preserve">凯盛科技股份有限公司</x:t>
        </x:is>
      </x:c>
      <x:c r="E1374" s="2" t="inlineStr">
        <x:is>
          <x:t xml:space="preserve">安徽省</x:t>
        </x:is>
      </x:c>
      <x:c r="F1374" s="2" t="inlineStr">
        <x:is>
          <x:t xml:space="preserve">蚌埠市</x:t>
        </x:is>
      </x:c>
      <x:c r="G1374" s="3" t="inlineStr">
        <x:is>
          <x:t xml:space="preserve">安徽省-蚌埠市</x:t>
        </x:is>
      </x:c>
      <x:c r="H1374" s="2" t="inlineStr">
        <x:is>
          <x:t xml:space="preserve">光学光电子</x:t>
        </x:is>
      </x:c>
      <x:c r="I1374" s="2" t="inlineStr">
        <x:is>
          <x:t xml:space="preserve">2002-11-08</x:t>
        </x:is>
      </x:c>
      <x:c r="J1374" s="3" t="inlineStr">
        <x:is>
          <x:t xml:space="preserve">安徽省蚌埠市黄山大道8009号</x:t>
        </x:is>
      </x:c>
      <x:c r="K1374" s="12" t="str">
        <x:f>LEFT("913403007199576633",18)</x:f>
        <x:v>913403007199576600</x:v>
      </x:c>
    </x:row>
    <x:row r="1375">
      <x:c r="A1375" s="4" t="n">
        <x:v>1374</x:v>
      </x:c>
      <x:c r="B1375" s="4" t="inlineStr">
        <x:is>
          <x:t xml:space="preserve">600567</x:t>
        </x:is>
      </x:c>
      <x:c r="C1375" s="5" t="inlineStr">
        <x:is>
          <x:t xml:space="preserve">山鹰国际</x:t>
        </x:is>
      </x:c>
      <x:c r="D1375" s="5" t="inlineStr">
        <x:is>
          <x:t xml:space="preserve">山鹰国际控股股份公司</x:t>
        </x:is>
      </x:c>
      <x:c r="E1375" s="4" t="inlineStr">
        <x:is>
          <x:t xml:space="preserve">安徽省</x:t>
        </x:is>
      </x:c>
      <x:c r="F1375" s="4" t="inlineStr">
        <x:is>
          <x:t xml:space="preserve">马鞍山市</x:t>
        </x:is>
      </x:c>
      <x:c r="G1375" s="5" t="inlineStr">
        <x:is>
          <x:t xml:space="preserve">安徽省-马鞍山市</x:t>
        </x:is>
      </x:c>
      <x:c r="H1375" s="4" t="inlineStr">
        <x:is>
          <x:t xml:space="preserve">造纸印刷</x:t>
        </x:is>
      </x:c>
      <x:c r="I1375" s="4" t="inlineStr">
        <x:is>
          <x:t xml:space="preserve">2001-12-18</x:t>
        </x:is>
      </x:c>
      <x:c r="J1375" s="5" t="inlineStr">
        <x:is>
          <x:t xml:space="preserve">安徽省马鞍山市勤俭路3号</x:t>
        </x:is>
      </x:c>
      <x:c r="K1375" s="12" t="str">
        <x:f>LEFT("91340500150523317H",18)</x:f>
        <x:v>91340500150523317H</x:v>
      </x:c>
    </x:row>
    <x:row r="1376">
      <x:c r="A1376" s="2" t="n">
        <x:v>1375</x:v>
      </x:c>
      <x:c r="B1376" s="2" t="inlineStr">
        <x:is>
          <x:t xml:space="preserve">600575</x:t>
        </x:is>
      </x:c>
      <x:c r="C1376" s="3" t="inlineStr">
        <x:is>
          <x:t xml:space="preserve">淮河能源</x:t>
        </x:is>
      </x:c>
      <x:c r="D1376" s="3" t="inlineStr">
        <x:is>
          <x:t xml:space="preserve">淮河能源(集团)股份有限公司</x:t>
        </x:is>
      </x:c>
      <x:c r="E1376" s="2" t="inlineStr">
        <x:is>
          <x:t xml:space="preserve">安徽省</x:t>
        </x:is>
      </x:c>
      <x:c r="F1376" s="2" t="inlineStr">
        <x:is>
          <x:t xml:space="preserve">芜湖市</x:t>
        </x:is>
      </x:c>
      <x:c r="G1376" s="3" t="inlineStr">
        <x:is>
          <x:t xml:space="preserve">安徽省-芜湖市</x:t>
        </x:is>
      </x:c>
      <x:c r="H1376" s="2" t="inlineStr">
        <x:is>
          <x:t xml:space="preserve">电力行业</x:t>
        </x:is>
      </x:c>
      <x:c r="I1376" s="2" t="inlineStr">
        <x:is>
          <x:t xml:space="preserve">2003-03-28</x:t>
        </x:is>
      </x:c>
      <x:c r="J1376" s="3" t="inlineStr">
        <x:is>
          <x:t xml:space="preserve">安徽省芜湖市经济技术开发区内</x:t>
        </x:is>
      </x:c>
      <x:c r="K1376" s="12" t="str">
        <x:f>LEFT("91340200725539548K",18)</x:f>
        <x:v>91340200725539548K</x:v>
      </x:c>
    </x:row>
    <x:row r="1377">
      <x:c r="A1377" s="4" t="n">
        <x:v>1376</x:v>
      </x:c>
      <x:c r="B1377" s="4" t="inlineStr">
        <x:is>
          <x:t xml:space="preserve">600577</x:t>
        </x:is>
      </x:c>
      <x:c r="C1377" s="5" t="inlineStr">
        <x:is>
          <x:t xml:space="preserve">精达股份</x:t>
        </x:is>
      </x:c>
      <x:c r="D1377" s="5" t="inlineStr">
        <x:is>
          <x:t xml:space="preserve">铜陵精达特种电磁线股份有限公司</x:t>
        </x:is>
      </x:c>
      <x:c r="E1377" s="4" t="inlineStr">
        <x:is>
          <x:t xml:space="preserve">安徽省</x:t>
        </x:is>
      </x:c>
      <x:c r="F1377" s="4" t="inlineStr">
        <x:is>
          <x:t xml:space="preserve">铜陵市</x:t>
        </x:is>
      </x:c>
      <x:c r="G1377" s="5" t="inlineStr">
        <x:is>
          <x:t xml:space="preserve">安徽省-铜陵市</x:t>
        </x:is>
      </x:c>
      <x:c r="H1377" s="4" t="inlineStr">
        <x:is>
          <x:t xml:space="preserve">电网设备</x:t>
        </x:is>
      </x:c>
      <x:c r="I1377" s="4" t="inlineStr">
        <x:is>
          <x:t xml:space="preserve">2002-09-11</x:t>
        </x:is>
      </x:c>
      <x:c r="J1377" s="5" t="inlineStr">
        <x:is>
          <x:t xml:space="preserve">安徽省铜陵市经济技术开发区黄山大道北段988号</x:t>
        </x:is>
      </x:c>
      <x:c r="K1377" s="12" t="str">
        <x:f>LEFT("9134070071997253XT",18)</x:f>
        <x:v>9134070071997253XT</x:v>
      </x:c>
    </x:row>
    <x:row r="1378">
      <x:c r="A1378" s="2" t="n">
        <x:v>1377</x:v>
      </x:c>
      <x:c r="B1378" s="2" t="inlineStr">
        <x:is>
          <x:t xml:space="preserve">600585</x:t>
        </x:is>
      </x:c>
      <x:c r="C1378" s="3" t="inlineStr">
        <x:is>
          <x:t xml:space="preserve">海螺水泥</x:t>
        </x:is>
      </x:c>
      <x:c r="D1378" s="3" t="inlineStr">
        <x:is>
          <x:t xml:space="preserve">安徽海螺水泥股份有限公司</x:t>
        </x:is>
      </x:c>
      <x:c r="E1378" s="2" t="inlineStr">
        <x:is>
          <x:t xml:space="preserve">安徽省</x:t>
        </x:is>
      </x:c>
      <x:c r="F1378" s="2" t="inlineStr">
        <x:is>
          <x:t xml:space="preserve">芜湖市</x:t>
        </x:is>
      </x:c>
      <x:c r="G1378" s="3" t="inlineStr">
        <x:is>
          <x:t xml:space="preserve">安徽省-芜湖市</x:t>
        </x:is>
      </x:c>
      <x:c r="H1378" s="2" t="inlineStr">
        <x:is>
          <x:t xml:space="preserve">水泥建材</x:t>
        </x:is>
      </x:c>
      <x:c r="I1378" s="2" t="inlineStr">
        <x:is>
          <x:t xml:space="preserve">2002-02-07</x:t>
        </x:is>
      </x:c>
      <x:c r="J1378" s="3" t="inlineStr">
        <x:is>
          <x:t xml:space="preserve">中国安徽省芜湖市文化路39号</x:t>
        </x:is>
      </x:c>
      <x:c r="K1378" s="12" t="str">
        <x:f>LEFT("9134020014949036XY",18)</x:f>
        <x:v>9134020014949036XY</x:v>
      </x:c>
    </x:row>
    <x:row r="1379">
      <x:c r="A1379" s="4" t="n">
        <x:v>1378</x:v>
      </x:c>
      <x:c r="B1379" s="4" t="inlineStr">
        <x:is>
          <x:t xml:space="preserve">600761</x:t>
        </x:is>
      </x:c>
      <x:c r="C1379" s="5" t="inlineStr">
        <x:is>
          <x:t xml:space="preserve">安徽合力</x:t>
        </x:is>
      </x:c>
      <x:c r="D1379" s="5" t="inlineStr">
        <x:is>
          <x:t xml:space="preserve">安徽合力股份有限公司</x:t>
        </x:is>
      </x:c>
      <x:c r="E1379" s="4" t="inlineStr">
        <x:is>
          <x:t xml:space="preserve">安徽省</x:t>
        </x:is>
      </x:c>
      <x:c r="F1379" s="4" t="inlineStr">
        <x:is>
          <x:t xml:space="preserve">合肥市</x:t>
        </x:is>
      </x:c>
      <x:c r="G1379" s="5" t="inlineStr">
        <x:is>
          <x:t xml:space="preserve">安徽省-合肥市</x:t>
        </x:is>
      </x:c>
      <x:c r="H1379" s="4" t="inlineStr">
        <x:is>
          <x:t xml:space="preserve">工程机械</x:t>
        </x:is>
      </x:c>
      <x:c r="I1379" s="4" t="inlineStr">
        <x:is>
          <x:t xml:space="preserve">1996-10-09</x:t>
        </x:is>
      </x:c>
      <x:c r="J1379" s="5" t="inlineStr">
        <x:is>
          <x:t xml:space="preserve">合肥市方兴大道668号</x:t>
        </x:is>
      </x:c>
      <x:c r="K1379" s="12" t="str">
        <x:f>LEFT("91340000148950117P",18)</x:f>
        <x:v>91340000148950117P</x:v>
      </x:c>
    </x:row>
    <x:row r="1380">
      <x:c r="A1380" s="2" t="n">
        <x:v>1379</x:v>
      </x:c>
      <x:c r="B1380" s="2" t="inlineStr">
        <x:is>
          <x:t xml:space="preserve">600808</x:t>
        </x:is>
      </x:c>
      <x:c r="C1380" s="3" t="inlineStr">
        <x:is>
          <x:t xml:space="preserve">马钢股份</x:t>
        </x:is>
      </x:c>
      <x:c r="D1380" s="3" t="inlineStr">
        <x:is>
          <x:t xml:space="preserve">马鞍山钢铁股份有限公司</x:t>
        </x:is>
      </x:c>
      <x:c r="E1380" s="2" t="inlineStr">
        <x:is>
          <x:t xml:space="preserve">安徽省</x:t>
        </x:is>
      </x:c>
      <x:c r="F1380" s="2" t="inlineStr">
        <x:is>
          <x:t xml:space="preserve">马鞍山市</x:t>
        </x:is>
      </x:c>
      <x:c r="G1380" s="3" t="inlineStr">
        <x:is>
          <x:t xml:space="preserve">安徽省-马鞍山市</x:t>
        </x:is>
      </x:c>
      <x:c r="H1380" s="2" t="inlineStr">
        <x:is>
          <x:t xml:space="preserve">钢铁行业</x:t>
        </x:is>
      </x:c>
      <x:c r="I1380" s="2" t="inlineStr">
        <x:is>
          <x:t xml:space="preserve">1994-01-06</x:t>
        </x:is>
      </x:c>
      <x:c r="J1380" s="3" t="inlineStr">
        <x:is>
          <x:t xml:space="preserve">中国安徽省马鞍山市九华西路8号</x:t>
        </x:is>
      </x:c>
      <x:c r="K1380" s="12" t="str">
        <x:f>LEFT("91340000610400837Y",18)</x:f>
        <x:v>91340000610400837Y</x:v>
      </x:c>
    </x:row>
    <x:row r="1381">
      <x:c r="A1381" s="4" t="n">
        <x:v>1380</x:v>
      </x:c>
      <x:c r="B1381" s="4" t="inlineStr">
        <x:is>
          <x:t xml:space="preserve">600909</x:t>
        </x:is>
      </x:c>
      <x:c r="C1381" s="5" t="inlineStr">
        <x:is>
          <x:t xml:space="preserve">华安证券</x:t>
        </x:is>
      </x:c>
      <x:c r="D1381" s="5" t="inlineStr">
        <x:is>
          <x:t xml:space="preserve">华安证券股份有限公司</x:t>
        </x:is>
      </x:c>
      <x:c r="E1381" s="4" t="inlineStr">
        <x:is>
          <x:t xml:space="preserve">安徽省</x:t>
        </x:is>
      </x:c>
      <x:c r="F1381" s="4" t="inlineStr">
        <x:is>
          <x:t xml:space="preserve">合肥市</x:t>
        </x:is>
      </x:c>
      <x:c r="G1381" s="5" t="inlineStr">
        <x:is>
          <x:t xml:space="preserve">安徽省-合肥市</x:t>
        </x:is>
      </x:c>
      <x:c r="H1381" s="4" t="inlineStr">
        <x:is>
          <x:t xml:space="preserve">券商信托</x:t>
        </x:is>
      </x:c>
      <x:c r="I1381" s="4" t="inlineStr">
        <x:is>
          <x:t xml:space="preserve">2016-12-06</x:t>
        </x:is>
      </x:c>
      <x:c r="J1381" s="5" t="inlineStr">
        <x:is>
          <x:t xml:space="preserve">安徽省合肥市滨湖新区紫云路1018号</x:t>
        </x:is>
      </x:c>
      <x:c r="K1381" s="12" t="str">
        <x:f>LEFT("91340000704920454F",18)</x:f>
        <x:v>91340000704920454F</x:v>
      </x:c>
    </x:row>
    <x:row r="1382">
      <x:c r="A1382" s="2" t="n">
        <x:v>1381</x:v>
      </x:c>
      <x:c r="B1382" s="2" t="inlineStr">
        <x:is>
          <x:t xml:space="preserve">600935</x:t>
        </x:is>
      </x:c>
      <x:c r="C1382" s="3" t="inlineStr">
        <x:is>
          <x:t xml:space="preserve">华塑股份</x:t>
        </x:is>
      </x:c>
      <x:c r="D1382" s="3" t="inlineStr">
        <x:is>
          <x:t xml:space="preserve">安徽华塑股份有限公司</x:t>
        </x:is>
      </x:c>
      <x:c r="E1382" s="2" t="inlineStr">
        <x:is>
          <x:t xml:space="preserve">安徽省</x:t>
        </x:is>
      </x:c>
      <x:c r="F1382" s="2" t="inlineStr">
        <x:is>
          <x:t xml:space="preserve">滁州市</x:t>
        </x:is>
      </x:c>
      <x:c r="G1382" s="3" t="inlineStr">
        <x:is>
          <x:t xml:space="preserve">安徽省-滁州市</x:t>
        </x:is>
      </x:c>
      <x:c r="H1382" s="2" t="inlineStr">
        <x:is>
          <x:t xml:space="preserve">化学原料</x:t>
        </x:is>
      </x:c>
      <x:c r="I1382" s="2" t="inlineStr">
        <x:is>
          <x:t xml:space="preserve">2021-11-26</x:t>
        </x:is>
      </x:c>
      <x:c r="J1382" s="3" t="inlineStr">
        <x:is>
          <x:t xml:space="preserve">安徽省滁州市定远县炉桥镇</x:t>
        </x:is>
      </x:c>
      <x:c r="K1382" s="12" t="str">
        <x:f>LEFT("91341100686874334U",18)</x:f>
        <x:v>91341100686874334U</x:v>
      </x:c>
    </x:row>
    <x:row r="1383">
      <x:c r="A1383" s="4" t="n">
        <x:v>1382</x:v>
      </x:c>
      <x:c r="B1383" s="4" t="inlineStr">
        <x:is>
          <x:t xml:space="preserve">600971</x:t>
        </x:is>
      </x:c>
      <x:c r="C1383" s="5" t="inlineStr">
        <x:is>
          <x:t xml:space="preserve">恒源煤电</x:t>
        </x:is>
      </x:c>
      <x:c r="D1383" s="5" t="inlineStr">
        <x:is>
          <x:t xml:space="preserve">安徽恒源煤电股份有限公司</x:t>
        </x:is>
      </x:c>
      <x:c r="E1383" s="4" t="inlineStr">
        <x:is>
          <x:t xml:space="preserve">安徽省</x:t>
        </x:is>
      </x:c>
      <x:c r="F1383" s="4" t="inlineStr">
        <x:is>
          <x:t xml:space="preserve">淮北市</x:t>
        </x:is>
      </x:c>
      <x:c r="G1383" s="5" t="inlineStr">
        <x:is>
          <x:t xml:space="preserve">安徽省-淮北市</x:t>
        </x:is>
      </x:c>
      <x:c r="H1383" s="4" t="inlineStr">
        <x:is>
          <x:t xml:space="preserve">煤炭采选</x:t>
        </x:is>
      </x:c>
      <x:c r="I1383" s="4" t="inlineStr">
        <x:is>
          <x:t xml:space="preserve">2004-08-17</x:t>
        </x:is>
      </x:c>
      <x:c r="J1383" s="5" t="inlineStr">
        <x:is>
          <x:t xml:space="preserve">安徽省淮北市濉溪县刘桥镇</x:t>
        </x:is>
      </x:c>
      <x:c r="K1383" s="12" t="str">
        <x:f>LEFT("91340600726325699J",18)</x:f>
        <x:v>91340600726325699J</x:v>
      </x:c>
    </x:row>
    <x:row r="1384">
      <x:c r="A1384" s="2" t="n">
        <x:v>1383</x:v>
      </x:c>
      <x:c r="B1384" s="2" t="inlineStr">
        <x:is>
          <x:t xml:space="preserve">600983</x:t>
        </x:is>
      </x:c>
      <x:c r="C1384" s="3" t="inlineStr">
        <x:is>
          <x:t xml:space="preserve">惠而浦</x:t>
        </x:is>
      </x:c>
      <x:c r="D1384" s="3" t="inlineStr">
        <x:is>
          <x:t xml:space="preserve">惠而浦(中国)股份有限公司</x:t>
        </x:is>
      </x:c>
      <x:c r="E1384" s="2" t="inlineStr">
        <x:is>
          <x:t xml:space="preserve">安徽省</x:t>
        </x:is>
      </x:c>
      <x:c r="F1384" s="2" t="inlineStr">
        <x:is>
          <x:t xml:space="preserve">合肥市</x:t>
        </x:is>
      </x:c>
      <x:c r="G1384" s="3" t="inlineStr">
        <x:is>
          <x:t xml:space="preserve">安徽省-合肥市</x:t>
        </x:is>
      </x:c>
      <x:c r="H1384" s="2" t="inlineStr">
        <x:is>
          <x:t xml:space="preserve">家电行业</x:t>
        </x:is>
      </x:c>
      <x:c r="I1384" s="2" t="inlineStr">
        <x:is>
          <x:t xml:space="preserve">2004-07-27</x:t>
        </x:is>
      </x:c>
      <x:c r="J1384" s="3" t="inlineStr">
        <x:is>
          <x:t xml:space="preserve">合肥高新技术产业开发区习友路4477号</x:t>
        </x:is>
      </x:c>
      <x:c r="K1384" s="12" t="str">
        <x:f>LEFT("91340100610307130N",18)</x:f>
        <x:v>91340100610307130N</x:v>
      </x:c>
    </x:row>
    <x:row r="1385">
      <x:c r="A1385" s="4" t="n">
        <x:v>1384</x:v>
      </x:c>
      <x:c r="B1385" s="4" t="inlineStr">
        <x:is>
          <x:t xml:space="preserve">600985</x:t>
        </x:is>
      </x:c>
      <x:c r="C1385" s="5" t="inlineStr">
        <x:is>
          <x:t xml:space="preserve">淮北矿业</x:t>
        </x:is>
      </x:c>
      <x:c r="D1385" s="5" t="inlineStr">
        <x:is>
          <x:t xml:space="preserve">淮北矿业控股股份有限公司</x:t>
        </x:is>
      </x:c>
      <x:c r="E1385" s="4" t="inlineStr">
        <x:is>
          <x:t xml:space="preserve">安徽省</x:t>
        </x:is>
      </x:c>
      <x:c r="F1385" s="4" t="inlineStr">
        <x:is>
          <x:t xml:space="preserve">淮北市</x:t>
        </x:is>
      </x:c>
      <x:c r="G1385" s="5" t="inlineStr">
        <x:is>
          <x:t xml:space="preserve">安徽省-淮北市</x:t>
        </x:is>
      </x:c>
      <x:c r="H1385" s="4" t="inlineStr">
        <x:is>
          <x:t xml:space="preserve">煤炭采选</x:t>
        </x:is>
      </x:c>
      <x:c r="I1385" s="4" t="inlineStr">
        <x:is>
          <x:t xml:space="preserve">2004-04-28</x:t>
        </x:is>
      </x:c>
      <x:c r="J1385" s="5" t="inlineStr">
        <x:is>
          <x:t xml:space="preserve">安徽省淮北市人民中路276号</x:t>
        </x:is>
      </x:c>
      <x:c r="K1385" s="12" t="str">
        <x:f>LEFT("91340600711775718W",18)</x:f>
        <x:v>91340600711775718W</x:v>
      </x:c>
    </x:row>
    <x:row r="1386">
      <x:c r="A1386" s="2" t="n">
        <x:v>1385</x:v>
      </x:c>
      <x:c r="B1386" s="2" t="inlineStr">
        <x:is>
          <x:t xml:space="preserve">600990</x:t>
        </x:is>
      </x:c>
      <x:c r="C1386" s="3" t="inlineStr">
        <x:is>
          <x:t xml:space="preserve">四创电子</x:t>
        </x:is>
      </x:c>
      <x:c r="D1386" s="3" t="inlineStr">
        <x:is>
          <x:t xml:space="preserve">四创电子股份有限公司</x:t>
        </x:is>
      </x:c>
      <x:c r="E1386" s="2" t="inlineStr">
        <x:is>
          <x:t xml:space="preserve">安徽省</x:t>
        </x:is>
      </x:c>
      <x:c r="F1386" s="2" t="inlineStr">
        <x:is>
          <x:t xml:space="preserve">合肥市</x:t>
        </x:is>
      </x:c>
      <x:c r="G1386" s="3" t="inlineStr">
        <x:is>
          <x:t xml:space="preserve">安徽省-合肥市</x:t>
        </x:is>
      </x:c>
      <x:c r="H1386" s="2" t="inlineStr">
        <x:is>
          <x:t xml:space="preserve">通信设备</x:t>
        </x:is>
      </x:c>
      <x:c r="I1386" s="2" t="inlineStr">
        <x:is>
          <x:t xml:space="preserve">2004-05-10</x:t>
        </x:is>
      </x:c>
      <x:c r="J1386" s="3" t="inlineStr">
        <x:is>
          <x:t xml:space="preserve">安徽省合肥高新技术产业开发区</x:t>
        </x:is>
      </x:c>
      <x:c r="K1386" s="12" t="str">
        <x:f>LEFT("91340000719986552R",18)</x:f>
        <x:v>91340000719986552R</x:v>
      </x:c>
    </x:row>
    <x:row r="1387">
      <x:c r="A1387" s="4" t="n">
        <x:v>1386</x:v>
      </x:c>
      <x:c r="B1387" s="4" t="inlineStr">
        <x:is>
          <x:t xml:space="preserve">601606</x:t>
        </x:is>
      </x:c>
      <x:c r="C1387" s="5" t="inlineStr">
        <x:is>
          <x:t xml:space="preserve">长城军工</x:t>
        </x:is>
      </x:c>
      <x:c r="D1387" s="5" t="inlineStr">
        <x:is>
          <x:t xml:space="preserve">安徽长城军工股份有限公司</x:t>
        </x:is>
      </x:c>
      <x:c r="E1387" s="4" t="inlineStr">
        <x:is>
          <x:t xml:space="preserve">安徽省</x:t>
        </x:is>
      </x:c>
      <x:c r="F1387" s="4" t="inlineStr">
        <x:is>
          <x:t xml:space="preserve">合肥市</x:t>
        </x:is>
      </x:c>
      <x:c r="G1387" s="5" t="inlineStr">
        <x:is>
          <x:t xml:space="preserve">安徽省-合肥市</x:t>
        </x:is>
      </x:c>
      <x:c r="H1387" s="4" t="inlineStr">
        <x:is>
          <x:t xml:space="preserve">专用设备</x:t>
        </x:is>
      </x:c>
      <x:c r="I1387" s="4" t="inlineStr">
        <x:is>
          <x:t xml:space="preserve">2018-08-06</x:t>
        </x:is>
      </x:c>
      <x:c r="J1387" s="5" t="inlineStr">
        <x:is>
          <x:t xml:space="preserve">安徽省合肥市经济技术开发区合掌路99号</x:t>
        </x:is>
      </x:c>
      <x:c r="K1387" s="12" t="str">
        <x:f>LEFT("9134000070503581XA",18)</x:f>
        <x:v>9134000070503581XA</x:v>
      </x:c>
    </x:row>
    <x:row r="1388">
      <x:c r="A1388" s="2" t="n">
        <x:v>1387</x:v>
      </x:c>
      <x:c r="B1388" s="2" t="inlineStr">
        <x:is>
          <x:t xml:space="preserve">601801</x:t>
        </x:is>
      </x:c>
      <x:c r="C1388" s="3" t="inlineStr">
        <x:is>
          <x:t xml:space="preserve">皖新传媒</x:t>
        </x:is>
      </x:c>
      <x:c r="D1388" s="3" t="inlineStr">
        <x:is>
          <x:t xml:space="preserve">安徽新华传媒股份有限公司</x:t>
        </x:is>
      </x:c>
      <x:c r="E1388" s="2" t="inlineStr">
        <x:is>
          <x:t xml:space="preserve">安徽省</x:t>
        </x:is>
      </x:c>
      <x:c r="F1388" s="2" t="inlineStr">
        <x:is>
          <x:t xml:space="preserve">合肥市</x:t>
        </x:is>
      </x:c>
      <x:c r="G1388" s="3" t="inlineStr">
        <x:is>
          <x:t xml:space="preserve">安徽省-合肥市</x:t>
        </x:is>
      </x:c>
      <x:c r="H1388" s="2" t="inlineStr">
        <x:is>
          <x:t xml:space="preserve">文化传媒</x:t>
        </x:is>
      </x:c>
      <x:c r="I1388" s="2" t="inlineStr">
        <x:is>
          <x:t xml:space="preserve">2010-01-18</x:t>
        </x:is>
      </x:c>
      <x:c r="J1388" s="3" t="inlineStr">
        <x:is>
          <x:t xml:space="preserve">合肥市包河区云谷路1718号</x:t>
        </x:is>
      </x:c>
      <x:c r="K1388" s="12" t="str">
        <x:f>LEFT("91340000705041507Y",18)</x:f>
        <x:v>91340000705041507Y</x:v>
      </x:c>
    </x:row>
    <x:row r="1389">
      <x:c r="A1389" s="4" t="n">
        <x:v>1388</x:v>
      </x:c>
      <x:c r="B1389" s="4" t="inlineStr">
        <x:is>
          <x:t xml:space="preserve">601918</x:t>
        </x:is>
      </x:c>
      <x:c r="C1389" s="5" t="inlineStr">
        <x:is>
          <x:t xml:space="preserve">新集能源</x:t>
        </x:is>
      </x:c>
      <x:c r="D1389" s="5" t="inlineStr">
        <x:is>
          <x:t xml:space="preserve">中煤新集能源股份有限公司</x:t>
        </x:is>
      </x:c>
      <x:c r="E1389" s="4" t="inlineStr">
        <x:is>
          <x:t xml:space="preserve">安徽省</x:t>
        </x:is>
      </x:c>
      <x:c r="F1389" s="4" t="inlineStr">
        <x:is>
          <x:t xml:space="preserve">淮南市</x:t>
        </x:is>
      </x:c>
      <x:c r="G1389" s="5" t="inlineStr">
        <x:is>
          <x:t xml:space="preserve">安徽省-淮南市</x:t>
        </x:is>
      </x:c>
      <x:c r="H1389" s="4" t="inlineStr">
        <x:is>
          <x:t xml:space="preserve">煤炭采选</x:t>
        </x:is>
      </x:c>
      <x:c r="I1389" s="4" t="inlineStr">
        <x:is>
          <x:t xml:space="preserve">2007-12-19</x:t>
        </x:is>
      </x:c>
      <x:c r="J1389" s="5" t="inlineStr">
        <x:is>
          <x:t xml:space="preserve">安徽省淮南市田家庵区民惠街</x:t>
        </x:is>
      </x:c>
      <x:c r="K1389" s="12" t="str">
        <x:f>LEFT("913404007109235209",18)</x:f>
        <x:v>913404007109235200</x:v>
      </x:c>
    </x:row>
    <x:row r="1390">
      <x:c r="A1390" s="2" t="n">
        <x:v>1389</x:v>
      </x:c>
      <x:c r="B1390" s="2" t="inlineStr">
        <x:is>
          <x:t xml:space="preserve">603011</x:t>
        </x:is>
      </x:c>
      <x:c r="C1390" s="3" t="inlineStr">
        <x:is>
          <x:t xml:space="preserve">合锻智能</x:t>
        </x:is>
      </x:c>
      <x:c r="D1390" s="3" t="inlineStr">
        <x:is>
          <x:t xml:space="preserve">合肥合锻智能制造股份有限公司</x:t>
        </x:is>
      </x:c>
      <x:c r="E1390" s="2" t="inlineStr">
        <x:is>
          <x:t xml:space="preserve">安徽省</x:t>
        </x:is>
      </x:c>
      <x:c r="F1390" s="2" t="inlineStr">
        <x:is>
          <x:t xml:space="preserve">合肥市</x:t>
        </x:is>
      </x:c>
      <x:c r="G1390" s="3" t="inlineStr">
        <x:is>
          <x:t xml:space="preserve">安徽省-合肥市</x:t>
        </x:is>
      </x:c>
      <x:c r="H1390" s="2" t="inlineStr">
        <x:is>
          <x:t xml:space="preserve">专用设备</x:t>
        </x:is>
      </x:c>
      <x:c r="I1390" s="2" t="inlineStr">
        <x:is>
          <x:t xml:space="preserve">2014-11-07</x:t>
        </x:is>
      </x:c>
      <x:c r="J1390" s="3" t="inlineStr">
        <x:is>
          <x:t xml:space="preserve">安徽省合肥市经济技术开发区紫云路123号</x:t>
        </x:is>
      </x:c>
      <x:c r="K1390" s="12" t="str">
        <x:f>LEFT("913400001489757522",18)</x:f>
        <x:v>913400001489757600</x:v>
      </x:c>
    </x:row>
    <x:row r="1391">
      <x:c r="A1391" s="4" t="n">
        <x:v>1390</x:v>
      </x:c>
      <x:c r="B1391" s="4" t="inlineStr">
        <x:is>
          <x:t xml:space="preserve">603031</x:t>
        </x:is>
      </x:c>
      <x:c r="C1391" s="5" t="inlineStr">
        <x:is>
          <x:t xml:space="preserve">安孚科技</x:t>
        </x:is>
      </x:c>
      <x:c r="D1391" s="5" t="inlineStr">
        <x:is>
          <x:t xml:space="preserve">安徽安孚电池科技股份有限公司</x:t>
        </x:is>
      </x:c>
      <x:c r="E1391" s="4" t="inlineStr">
        <x:is>
          <x:t xml:space="preserve">安徽省</x:t>
        </x:is>
      </x:c>
      <x:c r="F1391" s="4" t="inlineStr">
        <x:is>
          <x:t xml:space="preserve">合肥市</x:t>
        </x:is>
      </x:c>
      <x:c r="G1391" s="5" t="inlineStr">
        <x:is>
          <x:t xml:space="preserve">安徽省-合肥市</x:t>
        </x:is>
      </x:c>
      <x:c r="H1391" s="4" t="inlineStr">
        <x:is>
          <x:t xml:space="preserve">电池</x:t>
        </x:is>
      </x:c>
      <x:c r="I1391" s="4" t="inlineStr">
        <x:is>
          <x:t xml:space="preserve">2016-08-22</x:t>
        </x:is>
      </x:c>
      <x:c r="J1391" s="5" t="inlineStr">
        <x:is>
          <x:t xml:space="preserve">安徽省合肥市庐江县文明中路1号</x:t>
        </x:is>
      </x:c>
      <x:c r="K1391" s="12" t="str">
        <x:f>LEFT("913401001536645616",18)</x:f>
        <x:v>913401001536645600</x:v>
      </x:c>
    </x:row>
    <x:row r="1392">
      <x:c r="A1392" s="2" t="n">
        <x:v>1391</x:v>
      </x:c>
      <x:c r="B1392" s="2" t="inlineStr">
        <x:is>
          <x:t xml:space="preserve">603110</x:t>
        </x:is>
      </x:c>
      <x:c r="C1392" s="3" t="inlineStr">
        <x:is>
          <x:t xml:space="preserve">东方材料</x:t>
        </x:is>
      </x:c>
      <x:c r="D1392" s="3" t="inlineStr">
        <x:is>
          <x:t xml:space="preserve">新东方新材料股份有限公司</x:t>
        </x:is>
      </x:c>
      <x:c r="E1392" s="2" t="inlineStr">
        <x:is>
          <x:t xml:space="preserve">安徽省</x:t>
        </x:is>
      </x:c>
      <x:c r="F1392" s="2" t="inlineStr">
        <x:is>
          <x:t xml:space="preserve">合肥市</x:t>
        </x:is>
      </x:c>
      <x:c r="G1392" s="3" t="inlineStr">
        <x:is>
          <x:t xml:space="preserve">安徽省-合肥市</x:t>
        </x:is>
      </x:c>
      <x:c r="H1392" s="2" t="inlineStr">
        <x:is>
          <x:t xml:space="preserve">化工行业</x:t>
        </x:is>
      </x:c>
      <x:c r="I1392" s="2" t="inlineStr">
        <x:is>
          <x:t xml:space="preserve">2017-10-13</x:t>
        </x:is>
      </x:c>
      <x:c r="J1392" s="3" t="inlineStr">
        <x:is>
          <x:t xml:space="preserve">中国(安徽)自由贸易试验区合肥市高新区习友路3333号中国(合肥)国际智能语音产业园A区科研楼裙楼4层401室</x:t>
        </x:is>
      </x:c>
      <x:c r="K1392" s="12" t="str">
        <x:f>LEFT("91331000148192002J",18)</x:f>
        <x:v>91331000148192002J</x:v>
      </x:c>
    </x:row>
    <x:row r="1393">
      <x:c r="A1393" s="4" t="n">
        <x:v>1392</x:v>
      </x:c>
      <x:c r="B1393" s="4" t="inlineStr">
        <x:is>
          <x:t xml:space="preserve">603150</x:t>
        </x:is>
      </x:c>
      <x:c r="C1393" s="5" t="inlineStr">
        <x:is>
          <x:t xml:space="preserve">万朗磁塑</x:t>
        </x:is>
      </x:c>
      <x:c r="D1393" s="5" t="inlineStr">
        <x:is>
          <x:t xml:space="preserve">安徽万朗磁塑股份有限公司</x:t>
        </x:is>
      </x:c>
      <x:c r="E1393" s="4" t="inlineStr">
        <x:is>
          <x:t xml:space="preserve">安徽省</x:t>
        </x:is>
      </x:c>
      <x:c r="F1393" s="4" t="inlineStr">
        <x:is>
          <x:t xml:space="preserve">合肥市</x:t>
        </x:is>
      </x:c>
      <x:c r="G1393" s="5" t="inlineStr">
        <x:is>
          <x:t xml:space="preserve">安徽省-合肥市</x:t>
        </x:is>
      </x:c>
      <x:c r="H1393" s="4" t="inlineStr">
        <x:is>
          <x:t xml:space="preserve">塑料制品</x:t>
        </x:is>
      </x:c>
      <x:c r="I1393" s="4" t="inlineStr">
        <x:is>
          <x:t xml:space="preserve">2022-01-24</x:t>
        </x:is>
      </x:c>
      <x:c r="J1393" s="5" t="inlineStr">
        <x:is>
          <x:t xml:space="preserve">安徽省合肥市经济技术开发区汤口路北(民营科技经济园内)</x:t>
        </x:is>
      </x:c>
      <x:c r="K1393" s="12" t="str">
        <x:f>LEFT("91340100713955632Y",18)</x:f>
        <x:v>91340100713955632Y</x:v>
      </x:c>
    </x:row>
    <x:row r="1394">
      <x:c r="A1394" s="2" t="n">
        <x:v>1393</x:v>
      </x:c>
      <x:c r="B1394" s="2" t="inlineStr">
        <x:is>
          <x:t xml:space="preserve">603198</x:t>
        </x:is>
      </x:c>
      <x:c r="C1394" s="3" t="inlineStr">
        <x:is>
          <x:t xml:space="preserve">迎驾贡酒</x:t>
        </x:is>
      </x:c>
      <x:c r="D1394" s="3" t="inlineStr">
        <x:is>
          <x:t xml:space="preserve">安徽迎驾贡酒股份有限公司</x:t>
        </x:is>
      </x:c>
      <x:c r="E1394" s="2" t="inlineStr">
        <x:is>
          <x:t xml:space="preserve">安徽省</x:t>
        </x:is>
      </x:c>
      <x:c r="F1394" s="2" t="inlineStr">
        <x:is>
          <x:t xml:space="preserve">六安市</x:t>
        </x:is>
      </x:c>
      <x:c r="G1394" s="3" t="inlineStr">
        <x:is>
          <x:t xml:space="preserve">安徽省-六安市</x:t>
        </x:is>
      </x:c>
      <x:c r="H1394" s="2" t="inlineStr">
        <x:is>
          <x:t xml:space="preserve">酿酒行业</x:t>
        </x:is>
      </x:c>
      <x:c r="I1394" s="2" t="inlineStr">
        <x:is>
          <x:t xml:space="preserve">2015-05-28</x:t>
        </x:is>
      </x:c>
      <x:c r="J1394" s="3" t="inlineStr">
        <x:is>
          <x:t xml:space="preserve">安徽省六安市霍山县佛子岭镇</x:t>
        </x:is>
      </x:c>
      <x:c r="K1394" s="12" t="str">
        <x:f>LEFT("91341500756807242A",18)</x:f>
        <x:v>91341500756807242A</x:v>
      </x:c>
    </x:row>
    <x:row r="1395">
      <x:c r="A1395" s="4" t="n">
        <x:v>1394</x:v>
      </x:c>
      <x:c r="B1395" s="4" t="inlineStr">
        <x:is>
          <x:t xml:space="preserve">603199</x:t>
        </x:is>
      </x:c>
      <x:c r="C1395" s="5" t="inlineStr">
        <x:is>
          <x:t xml:space="preserve">九华旅游</x:t>
        </x:is>
      </x:c>
      <x:c r="D1395" s="5" t="inlineStr">
        <x:is>
          <x:t xml:space="preserve">安徽九华山旅游发展股份有限公司</x:t>
        </x:is>
      </x:c>
      <x:c r="E1395" s="4" t="inlineStr">
        <x:is>
          <x:t xml:space="preserve">安徽省</x:t>
        </x:is>
      </x:c>
      <x:c r="F1395" s="4" t="inlineStr">
        <x:is>
          <x:t xml:space="preserve">池州市</x:t>
        </x:is>
      </x:c>
      <x:c r="G1395" s="5" t="inlineStr">
        <x:is>
          <x:t xml:space="preserve">安徽省-池州市</x:t>
        </x:is>
      </x:c>
      <x:c r="H1395" s="4" t="inlineStr">
        <x:is>
          <x:t xml:space="preserve">旅游酒店</x:t>
        </x:is>
      </x:c>
      <x:c r="I1395" s="4" t="inlineStr">
        <x:is>
          <x:t xml:space="preserve">2015-03-26</x:t>
        </x:is>
      </x:c>
      <x:c r="J1395" s="5" t="inlineStr">
        <x:is>
          <x:t xml:space="preserve">安徽省池州市九华山风景名胜区九华街</x:t>
        </x:is>
      </x:c>
      <x:c r="K1395" s="12" t="str">
        <x:f>LEFT("91341700MA2N8L8704",18)</x:f>
        <x:v>91341700MA2N8L8704</x:v>
      </x:c>
    </x:row>
    <x:row r="1396">
      <x:c r="A1396" s="2" t="n">
        <x:v>1395</x:v>
      </x:c>
      <x:c r="B1396" s="2" t="inlineStr">
        <x:is>
          <x:t xml:space="preserve">603284</x:t>
        </x:is>
      </x:c>
      <x:c r="C1396" s="3" t="inlineStr">
        <x:is>
          <x:t xml:space="preserve">林平发展</x:t>
        </x:is>
      </x:c>
      <x:c r="D1396" s="3" t="inlineStr">
        <x:is>
          <x:t xml:space="preserve">安徽林平循环发展股份有限公司</x:t>
        </x:is>
      </x:c>
      <x:c r="E1396" s="2" t="inlineStr">
        <x:is>
          <x:t xml:space="preserve">安徽省</x:t>
        </x:is>
      </x:c>
      <x:c r="F1396" s="2" t="inlineStr">
        <x:is>
          <x:t xml:space="preserve">宿州市</x:t>
        </x:is>
      </x:c>
      <x:c r="G1396" s="3" t="inlineStr">
        <x:is>
          <x:t xml:space="preserve">安徽省-宿州市</x:t>
        </x:is>
      </x:c>
      <x:c r="H1396" s="2" t="inlineStr">
        <x:is>
          <x:t xml:space="preserve">--</x:t>
        </x:is>
      </x:c>
      <x:c r="I1396" s="2" t="inlineStr">
        <x:is>
          <x:t xml:space="preserve">2026-02-10</x:t>
        </x:is>
      </x:c>
      <x:c r="J1396" s="3" t="inlineStr">
        <x:is>
          <x:t xml:space="preserve">萧县圣泉乡北城村</x:t>
        </x:is>
      </x:c>
      <x:c r="K1396" s="12" t="str">
        <x:f>LEFT("913413227349728611",18)</x:f>
        <x:v>913413227349728600</x:v>
      </x:c>
    </x:row>
    <x:row r="1397">
      <x:c r="A1397" s="4" t="n">
        <x:v>1396</x:v>
      </x:c>
      <x:c r="B1397" s="4" t="inlineStr">
        <x:is>
          <x:t xml:space="preserve">603308</x:t>
        </x:is>
      </x:c>
      <x:c r="C1397" s="5" t="inlineStr">
        <x:is>
          <x:t xml:space="preserve">应流股份</x:t>
        </x:is>
      </x:c>
      <x:c r="D1397" s="5" t="inlineStr">
        <x:is>
          <x:t xml:space="preserve">安徽应流机电股份有限公司</x:t>
        </x:is>
      </x:c>
      <x:c r="E1397" s="4" t="inlineStr">
        <x:is>
          <x:t xml:space="preserve">安徽省</x:t>
        </x:is>
      </x:c>
      <x:c r="F1397" s="4" t="inlineStr">
        <x:is>
          <x:t xml:space="preserve">合肥市</x:t>
        </x:is>
      </x:c>
      <x:c r="G1397" s="5" t="inlineStr">
        <x:is>
          <x:t xml:space="preserve">安徽省-合肥市</x:t>
        </x:is>
      </x:c>
      <x:c r="H1397" s="4" t="inlineStr">
        <x:is>
          <x:t xml:space="preserve">通用设备</x:t>
        </x:is>
      </x:c>
      <x:c r="I1397" s="4" t="inlineStr">
        <x:is>
          <x:t xml:space="preserve">2014-01-22</x:t>
        </x:is>
      </x:c>
      <x:c r="J1397" s="5" t="inlineStr">
        <x:is>
          <x:t xml:space="preserve">安徽省合肥市经济技术开发区繁华大道566号</x:t>
        </x:is>
      </x:c>
      <x:c r="K1397" s="12" t="str">
        <x:f>LEFT("91340000719975888H",18)</x:f>
        <x:v>91340000719975888H</x:v>
      </x:c>
    </x:row>
    <x:row r="1398">
      <x:c r="A1398" s="2" t="n">
        <x:v>1397</x:v>
      </x:c>
      <x:c r="B1398" s="2" t="inlineStr">
        <x:is>
          <x:t xml:space="preserve">603356</x:t>
        </x:is>
      </x:c>
      <x:c r="C1398" s="3" t="inlineStr">
        <x:is>
          <x:t xml:space="preserve">华菱精工</x:t>
        </x:is>
      </x:c>
      <x:c r="D1398" s="3" t="inlineStr">
        <x:is>
          <x:t xml:space="preserve">宣城市华菱精工科技股份有限公司</x:t>
        </x:is>
      </x:c>
      <x:c r="E1398" s="2" t="inlineStr">
        <x:is>
          <x:t xml:space="preserve">安徽省</x:t>
        </x:is>
      </x:c>
      <x:c r="F1398" s="2" t="inlineStr">
        <x:is>
          <x:t xml:space="preserve">宣城市</x:t>
        </x:is>
      </x:c>
      <x:c r="G1398" s="3" t="inlineStr">
        <x:is>
          <x:t xml:space="preserve">安徽省-宣城市</x:t>
        </x:is>
      </x:c>
      <x:c r="H1398" s="2" t="inlineStr">
        <x:is>
          <x:t xml:space="preserve">专用设备</x:t>
        </x:is>
      </x:c>
      <x:c r="I1398" s="2" t="inlineStr">
        <x:is>
          <x:t xml:space="preserve">2018-01-24</x:t>
        </x:is>
      </x:c>
      <x:c r="J1398" s="3" t="inlineStr">
        <x:is>
          <x:t xml:space="preserve">安徽省宣城市郎溪县梅渚镇郎梅路</x:t>
        </x:is>
      </x:c>
      <x:c r="K1398" s="12" t="str">
        <x:f>LEFT("91341800779082563U",18)</x:f>
        <x:v>91341800779082563U</x:v>
      </x:c>
    </x:row>
    <x:row r="1399">
      <x:c r="A1399" s="4" t="n">
        <x:v>1398</x:v>
      </x:c>
      <x:c r="B1399" s="4" t="inlineStr">
        <x:is>
          <x:t xml:space="preserve">603357</x:t>
        </x:is>
      </x:c>
      <x:c r="C1399" s="5" t="inlineStr">
        <x:is>
          <x:t xml:space="preserve">设计总院</x:t>
        </x:is>
      </x:c>
      <x:c r="D1399" s="5" t="inlineStr">
        <x:is>
          <x:t xml:space="preserve">安徽省交通规划设计研究总院股份有限公司</x:t>
        </x:is>
      </x:c>
      <x:c r="E1399" s="4" t="inlineStr">
        <x:is>
          <x:t xml:space="preserve">安徽省</x:t>
        </x:is>
      </x:c>
      <x:c r="F1399" s="4" t="inlineStr">
        <x:is>
          <x:t xml:space="preserve">合肥市</x:t>
        </x:is>
      </x:c>
      <x:c r="G1399" s="5" t="inlineStr">
        <x:is>
          <x:t xml:space="preserve">安徽省-合肥市</x:t>
        </x:is>
      </x:c>
      <x:c r="H1399" s="4" t="inlineStr">
        <x:is>
          <x:t xml:space="preserve">工程咨询服务</x:t>
        </x:is>
      </x:c>
      <x:c r="I1399" s="4" t="inlineStr">
        <x:is>
          <x:t xml:space="preserve">2017-08-01</x:t>
        </x:is>
      </x:c>
      <x:c r="J1399" s="5" t="inlineStr">
        <x:is>
          <x:t xml:space="preserve">安徽省合肥市高新区彩虹路1008号</x:t>
        </x:is>
      </x:c>
      <x:c r="K1399" s="12" t="str">
        <x:f>LEFT("913400004850033136",18)</x:f>
        <x:v>913400004850033200</x:v>
      </x:c>
    </x:row>
    <x:row r="1400">
      <x:c r="A1400" s="2" t="n">
        <x:v>1399</x:v>
      </x:c>
      <x:c r="B1400" s="2" t="inlineStr">
        <x:is>
          <x:t xml:space="preserve">603395</x:t>
        </x:is>
      </x:c>
      <x:c r="C1400" s="3" t="inlineStr">
        <x:is>
          <x:t xml:space="preserve">红四方</x:t>
        </x:is>
      </x:c>
      <x:c r="D1400" s="3" t="inlineStr">
        <x:is>
          <x:t xml:space="preserve">中盐安徽红四方肥业股份有限公司</x:t>
        </x:is>
      </x:c>
      <x:c r="E1400" s="2" t="inlineStr">
        <x:is>
          <x:t xml:space="preserve">安徽省</x:t>
        </x:is>
      </x:c>
      <x:c r="F1400" s="2" t="inlineStr">
        <x:is>
          <x:t xml:space="preserve">合肥市</x:t>
        </x:is>
      </x:c>
      <x:c r="G1400" s="3" t="inlineStr">
        <x:is>
          <x:t xml:space="preserve">安徽省-合肥市</x:t>
        </x:is>
      </x:c>
      <x:c r="H1400" s="2" t="inlineStr">
        <x:is>
          <x:t xml:space="preserve">化肥行业</x:t>
        </x:is>
      </x:c>
      <x:c r="I1400" s="2" t="inlineStr">
        <x:is>
          <x:t xml:space="preserve">2024-11-26</x:t>
        </x:is>
      </x:c>
      <x:c r="J1400" s="3" t="inlineStr">
        <x:is>
          <x:t xml:space="preserve">安徽省合肥市循环经济示范园宏图大道北侧</x:t>
        </x:is>
      </x:c>
      <x:c r="K1400" s="12" t="str">
        <x:f>LEFT("91340100592683713A",18)</x:f>
        <x:v>91340100592683713A</x:v>
      </x:c>
    </x:row>
    <x:row r="1401">
      <x:c r="A1401" s="4" t="n">
        <x:v>1400</x:v>
      </x:c>
      <x:c r="B1401" s="4" t="inlineStr">
        <x:is>
          <x:t xml:space="preserve">603409</x:t>
        </x:is>
      </x:c>
      <x:c r="C1401" s="5" t="inlineStr">
        <x:is>
          <x:t xml:space="preserve">汇通控股</x:t>
        </x:is>
      </x:c>
      <x:c r="D1401" s="5" t="inlineStr">
        <x:is>
          <x:t xml:space="preserve">合肥汇通控股股份有限公司</x:t>
        </x:is>
      </x:c>
      <x:c r="E1401" s="4" t="inlineStr">
        <x:is>
          <x:t xml:space="preserve">安徽省</x:t>
        </x:is>
      </x:c>
      <x:c r="F1401" s="4" t="inlineStr">
        <x:is>
          <x:t xml:space="preserve">合肥市</x:t>
        </x:is>
      </x:c>
      <x:c r="G1401" s="5" t="inlineStr">
        <x:is>
          <x:t xml:space="preserve">安徽省-合肥市</x:t>
        </x:is>
      </x:c>
      <x:c r="H1401" s="4" t="inlineStr">
        <x:is>
          <x:t xml:space="preserve">汽车零部件</x:t>
        </x:is>
      </x:c>
      <x:c r="I1401" s="4" t="inlineStr">
        <x:is>
          <x:t xml:space="preserve">2025-03-04</x:t>
        </x:is>
      </x:c>
      <x:c r="J1401" s="5" t="inlineStr">
        <x:is>
          <x:t xml:space="preserve">安徽省合肥市经济技术开发区汤口路99号厂房</x:t>
        </x:is>
      </x:c>
      <x:c r="K1401" s="12" t="str">
        <x:f>LEFT("91340100786528930Y",18)</x:f>
        <x:v>91340100786528930Y</x:v>
      </x:c>
    </x:row>
    <x:row r="1402">
      <x:c r="A1402" s="2" t="n">
        <x:v>1401</x:v>
      </x:c>
      <x:c r="B1402" s="2" t="inlineStr">
        <x:is>
          <x:t xml:space="preserve">603429</x:t>
        </x:is>
      </x:c>
      <x:c r="C1402" s="3" t="inlineStr">
        <x:is>
          <x:t xml:space="preserve">集友股份</x:t>
        </x:is>
      </x:c>
      <x:c r="D1402" s="3" t="inlineStr">
        <x:is>
          <x:t xml:space="preserve">安徽集友新材料股份有限公司</x:t>
        </x:is>
      </x:c>
      <x:c r="E1402" s="2" t="inlineStr">
        <x:is>
          <x:t xml:space="preserve">安徽省</x:t>
        </x:is>
      </x:c>
      <x:c r="F1402" s="2" t="inlineStr">
        <x:is>
          <x:t xml:space="preserve">安庆市</x:t>
        </x:is>
      </x:c>
      <x:c r="G1402" s="3" t="inlineStr">
        <x:is>
          <x:t xml:space="preserve">安徽省-安庆市</x:t>
        </x:is>
      </x:c>
      <x:c r="H1402" s="2" t="inlineStr">
        <x:is>
          <x:t xml:space="preserve">造纸印刷</x:t>
        </x:is>
      </x:c>
      <x:c r="I1402" s="2" t="inlineStr">
        <x:is>
          <x:t xml:space="preserve">2017-01-24</x:t>
        </x:is>
      </x:c>
      <x:c r="J1402" s="3" t="inlineStr">
        <x:is>
          <x:t xml:space="preserve">安徽省安庆市太湖县经济开发区</x:t>
        </x:is>
      </x:c>
      <x:c r="K1402" s="12" t="str">
        <x:f>LEFT("913408007049436800",18)</x:f>
        <x:v>913408007049436800</x:v>
      </x:c>
    </x:row>
    <x:row r="1403">
      <x:c r="A1403" s="4" t="n">
        <x:v>1402</x:v>
      </x:c>
      <x:c r="B1403" s="4" t="inlineStr">
        <x:is>
          <x:t xml:space="preserve">603527</x:t>
        </x:is>
      </x:c>
      <x:c r="C1403" s="5" t="inlineStr">
        <x:is>
          <x:t xml:space="preserve">众源新材</x:t>
        </x:is>
      </x:c>
      <x:c r="D1403" s="5" t="inlineStr">
        <x:is>
          <x:t xml:space="preserve">安徽众源新材料股份有限公司</x:t>
        </x:is>
      </x:c>
      <x:c r="E1403" s="4" t="inlineStr">
        <x:is>
          <x:t xml:space="preserve">安徽省</x:t>
        </x:is>
      </x:c>
      <x:c r="F1403" s="4" t="inlineStr">
        <x:is>
          <x:t xml:space="preserve">芜湖市</x:t>
        </x:is>
      </x:c>
      <x:c r="G1403" s="5" t="inlineStr">
        <x:is>
          <x:t xml:space="preserve">安徽省-芜湖市</x:t>
        </x:is>
      </x:c>
      <x:c r="H1403" s="4" t="inlineStr">
        <x:is>
          <x:t xml:space="preserve">有色金属</x:t>
        </x:is>
      </x:c>
      <x:c r="I1403" s="4" t="inlineStr">
        <x:is>
          <x:t xml:space="preserve">2017-09-07</x:t>
        </x:is>
      </x:c>
      <x:c r="J1403" s="5" t="inlineStr">
        <x:is>
          <x:t xml:space="preserve">芜湖经济技术开发区凤鸣湖北路48号</x:t>
        </x:is>
      </x:c>
      <x:c r="K1403" s="12" t="str">
        <x:f>LEFT("91340200772821159Y",18)</x:f>
        <x:v>91340200772821159Y</x:v>
      </x:c>
    </x:row>
    <x:row r="1404">
      <x:c r="A1404" s="2" t="n">
        <x:v>1403</x:v>
      </x:c>
      <x:c r="B1404" s="2" t="inlineStr">
        <x:is>
          <x:t xml:space="preserve">603589</x:t>
        </x:is>
      </x:c>
      <x:c r="C1404" s="3" t="inlineStr">
        <x:is>
          <x:t xml:space="preserve">口子窖</x:t>
        </x:is>
      </x:c>
      <x:c r="D1404" s="3" t="inlineStr">
        <x:is>
          <x:t xml:space="preserve">安徽口子酒业股份有限公司</x:t>
        </x:is>
      </x:c>
      <x:c r="E1404" s="2" t="inlineStr">
        <x:is>
          <x:t xml:space="preserve">安徽省</x:t>
        </x:is>
      </x:c>
      <x:c r="F1404" s="2" t="inlineStr">
        <x:is>
          <x:t xml:space="preserve">淮北市</x:t>
        </x:is>
      </x:c>
      <x:c r="G1404" s="3" t="inlineStr">
        <x:is>
          <x:t xml:space="preserve">安徽省-淮北市</x:t>
        </x:is>
      </x:c>
      <x:c r="H1404" s="2" t="inlineStr">
        <x:is>
          <x:t xml:space="preserve">酿酒行业</x:t>
        </x:is>
      </x:c>
      <x:c r="I1404" s="2" t="inlineStr">
        <x:is>
          <x:t xml:space="preserve">2015-06-29</x:t>
        </x:is>
      </x:c>
      <x:c r="J1404" s="3" t="inlineStr">
        <x:is>
          <x:t xml:space="preserve">中国安徽省淮北市相山南路9号</x:t>
        </x:is>
      </x:c>
      <x:c r="K1404" s="12" t="str">
        <x:f>LEFT("91340000744890974R",18)</x:f>
        <x:v>91340000744890974R</x:v>
      </x:c>
    </x:row>
    <x:row r="1405">
      <x:c r="A1405" s="4" t="n">
        <x:v>1404</x:v>
      </x:c>
      <x:c r="B1405" s="4" t="inlineStr">
        <x:is>
          <x:t xml:space="preserve">603596</x:t>
        </x:is>
      </x:c>
      <x:c r="C1405" s="5" t="inlineStr">
        <x:is>
          <x:t xml:space="preserve">伯特利</x:t>
        </x:is>
      </x:c>
      <x:c r="D1405" s="5" t="inlineStr">
        <x:is>
          <x:t xml:space="preserve">芜湖伯特利汽车安全系统股份有限公司</x:t>
        </x:is>
      </x:c>
      <x:c r="E1405" s="4" t="inlineStr">
        <x:is>
          <x:t xml:space="preserve">安徽省</x:t>
        </x:is>
      </x:c>
      <x:c r="F1405" s="4" t="inlineStr">
        <x:is>
          <x:t xml:space="preserve">芜湖市</x:t>
        </x:is>
      </x:c>
      <x:c r="G1405" s="5" t="inlineStr">
        <x:is>
          <x:t xml:space="preserve">安徽省-芜湖市</x:t>
        </x:is>
      </x:c>
      <x:c r="H1405" s="4" t="inlineStr">
        <x:is>
          <x:t xml:space="preserve">汽车行业</x:t>
        </x:is>
      </x:c>
      <x:c r="I1405" s="4" t="inlineStr">
        <x:is>
          <x:t xml:space="preserve">2018-04-27</x:t>
        </x:is>
      </x:c>
      <x:c r="J1405" s="5" t="inlineStr">
        <x:is>
          <x:t xml:space="preserve">中国(安徽)自由贸易试验区芜湖片区泰山路19号</x:t>
        </x:is>
      </x:c>
      <x:c r="K1405" s="12" t="str">
        <x:f>LEFT("91340000762794062H",18)</x:f>
        <x:v>91340000762794062H</x:v>
      </x:c>
    </x:row>
    <x:row r="1406">
      <x:c r="A1406" s="2" t="n">
        <x:v>1405</x:v>
      </x:c>
      <x:c r="B1406" s="2" t="inlineStr">
        <x:is>
          <x:t xml:space="preserve">603599</x:t>
        </x:is>
      </x:c>
      <x:c r="C1406" s="3" t="inlineStr">
        <x:is>
          <x:t xml:space="preserve">广信股份</x:t>
        </x:is>
      </x:c>
      <x:c r="D1406" s="3" t="inlineStr">
        <x:is>
          <x:t xml:space="preserve">安徽广信农化股份有限公司</x:t>
        </x:is>
      </x:c>
      <x:c r="E1406" s="2" t="inlineStr">
        <x:is>
          <x:t xml:space="preserve">安徽省</x:t>
        </x:is>
      </x:c>
      <x:c r="F1406" s="2" t="inlineStr">
        <x:is>
          <x:t xml:space="preserve">宣城市</x:t>
        </x:is>
      </x:c>
      <x:c r="G1406" s="3" t="inlineStr">
        <x:is>
          <x:t xml:space="preserve">安徽省-宣城市</x:t>
        </x:is>
      </x:c>
      <x:c r="H1406" s="2" t="inlineStr">
        <x:is>
          <x:t xml:space="preserve">农药兽药</x:t>
        </x:is>
      </x:c>
      <x:c r="I1406" s="2" t="inlineStr">
        <x:is>
          <x:t xml:space="preserve">2015-05-13</x:t>
        </x:is>
      </x:c>
      <x:c r="J1406" s="3" t="inlineStr">
        <x:is>
          <x:t xml:space="preserve">安徽省广德县新杭镇彭村村</x:t>
        </x:is>
      </x:c>
      <x:c r="K1406" s="12" t="str">
        <x:f>LEFT("91341822750989073A",18)</x:f>
        <x:v>91341822750989073A</x:v>
      </x:c>
    </x:row>
    <x:row r="1407">
      <x:c r="A1407" s="4" t="n">
        <x:v>1406</x:v>
      </x:c>
      <x:c r="B1407" s="4" t="inlineStr">
        <x:is>
          <x:t xml:space="preserve">603656</x:t>
        </x:is>
      </x:c>
      <x:c r="C1407" s="5" t="inlineStr">
        <x:is>
          <x:t xml:space="preserve">泰禾智能</x:t>
        </x:is>
      </x:c>
      <x:c r="D1407" s="5" t="inlineStr">
        <x:is>
          <x:t xml:space="preserve">合肥泰禾智能科技集团股份有限公司</x:t>
        </x:is>
      </x:c>
      <x:c r="E1407" s="4" t="inlineStr">
        <x:is>
          <x:t xml:space="preserve">安徽省</x:t>
        </x:is>
      </x:c>
      <x:c r="F1407" s="4" t="inlineStr">
        <x:is>
          <x:t xml:space="preserve">合肥市</x:t>
        </x:is>
      </x:c>
      <x:c r="G1407" s="5" t="inlineStr">
        <x:is>
          <x:t xml:space="preserve">安徽省-合肥市</x:t>
        </x:is>
      </x:c>
      <x:c r="H1407" s="4" t="inlineStr">
        <x:is>
          <x:t xml:space="preserve">专用设备</x:t>
        </x:is>
      </x:c>
      <x:c r="I1407" s="4" t="inlineStr">
        <x:is>
          <x:t xml:space="preserve">2017-03-21</x:t>
        </x:is>
      </x:c>
      <x:c r="J1407" s="5" t="inlineStr">
        <x:is>
          <x:t xml:space="preserve">合肥市经济技术开发区桃花工业园拓展区玉兰大道66号</x:t>
        </x:is>
      </x:c>
      <x:c r="K1407" s="12" t="str">
        <x:f>LEFT("913401007690294270",18)</x:f>
        <x:v>913401007690294300</x:v>
      </x:c>
    </x:row>
    <x:row r="1408">
      <x:c r="A1408" s="2" t="n">
        <x:v>1407</x:v>
      </x:c>
      <x:c r="B1408" s="2" t="inlineStr">
        <x:is>
          <x:t xml:space="preserve">603689</x:t>
        </x:is>
      </x:c>
      <x:c r="C1408" s="3" t="inlineStr">
        <x:is>
          <x:t xml:space="preserve">皖天然气</x:t>
        </x:is>
      </x:c>
      <x:c r="D1408" s="3" t="inlineStr">
        <x:is>
          <x:t xml:space="preserve">安徽省天然气开发股份有限公司</x:t>
        </x:is>
      </x:c>
      <x:c r="E1408" s="2" t="inlineStr">
        <x:is>
          <x:t xml:space="preserve">安徽省</x:t>
        </x:is>
      </x:c>
      <x:c r="F1408" s="2" t="inlineStr">
        <x:is>
          <x:t xml:space="preserve">合肥市</x:t>
        </x:is>
      </x:c>
      <x:c r="G1408" s="3" t="inlineStr">
        <x:is>
          <x:t xml:space="preserve">安徽省-合肥市</x:t>
        </x:is>
      </x:c>
      <x:c r="H1408" s="2" t="inlineStr">
        <x:is>
          <x:t xml:space="preserve">燃气</x:t>
        </x:is>
      </x:c>
      <x:c r="I1408" s="2" t="inlineStr">
        <x:is>
          <x:t xml:space="preserve">2017-01-10</x:t>
        </x:is>
      </x:c>
      <x:c r="J1408" s="3" t="inlineStr">
        <x:is>
          <x:t xml:space="preserve">安徽省合肥市包河区工业园大连路9号</x:t>
        </x:is>
      </x:c>
      <x:c r="K1408" s="12" t="str">
        <x:f>LEFT("913400007467971596",18)</x:f>
        <x:v>913400007467971600</x:v>
      </x:c>
    </x:row>
    <x:row r="1409">
      <x:c r="A1409" s="4" t="n">
        <x:v>1408</x:v>
      </x:c>
      <x:c r="B1409" s="4" t="inlineStr">
        <x:is>
          <x:t xml:space="preserve">603768</x:t>
        </x:is>
      </x:c>
      <x:c r="C1409" s="5" t="inlineStr">
        <x:is>
          <x:t xml:space="preserve">常青股份</x:t>
        </x:is>
      </x:c>
      <x:c r="D1409" s="5" t="inlineStr">
        <x:is>
          <x:t xml:space="preserve">合肥常青机械股份有限公司</x:t>
        </x:is>
      </x:c>
      <x:c r="E1409" s="4" t="inlineStr">
        <x:is>
          <x:t xml:space="preserve">安徽省</x:t>
        </x:is>
      </x:c>
      <x:c r="F1409" s="4" t="inlineStr">
        <x:is>
          <x:t xml:space="preserve">合肥市</x:t>
        </x:is>
      </x:c>
      <x:c r="G1409" s="5" t="inlineStr">
        <x:is>
          <x:t xml:space="preserve">安徽省-合肥市</x:t>
        </x:is>
      </x:c>
      <x:c r="H1409" s="4" t="inlineStr">
        <x:is>
          <x:t xml:space="preserve">汽车行业</x:t>
        </x:is>
      </x:c>
      <x:c r="I1409" s="4" t="inlineStr">
        <x:is>
          <x:t xml:space="preserve">2017-03-24</x:t>
        </x:is>
      </x:c>
      <x:c r="J1409" s="5" t="inlineStr">
        <x:is>
          <x:t xml:space="preserve">安徽省合肥市东油路18号</x:t>
        </x:is>
      </x:c>
      <x:c r="K1409" s="12" t="str">
        <x:f>LEFT("91340100149223333G",18)</x:f>
        <x:v>91340100149223333G</x:v>
      </x:c>
    </x:row>
    <x:row r="1410">
      <x:c r="A1410" s="2" t="n">
        <x:v>1409</x:v>
      </x:c>
      <x:c r="B1410" s="2" t="inlineStr">
        <x:is>
          <x:t xml:space="preserve">603801</x:t>
        </x:is>
      </x:c>
      <x:c r="C1410" s="3" t="inlineStr">
        <x:is>
          <x:t xml:space="preserve">志邦家居</x:t>
        </x:is>
      </x:c>
      <x:c r="D1410" s="3" t="inlineStr">
        <x:is>
          <x:t xml:space="preserve">志邦家居股份有限公司</x:t>
        </x:is>
      </x:c>
      <x:c r="E1410" s="2" t="inlineStr">
        <x:is>
          <x:t xml:space="preserve">安徽省</x:t>
        </x:is>
      </x:c>
      <x:c r="F1410" s="2" t="inlineStr">
        <x:is>
          <x:t xml:space="preserve">合肥市</x:t>
        </x:is>
      </x:c>
      <x:c r="G1410" s="3" t="inlineStr">
        <x:is>
          <x:t xml:space="preserve">安徽省-合肥市</x:t>
        </x:is>
      </x:c>
      <x:c r="H1410" s="2" t="inlineStr">
        <x:is>
          <x:t xml:space="preserve">木业家具</x:t>
        </x:is>
      </x:c>
      <x:c r="I1410" s="2" t="inlineStr">
        <x:is>
          <x:t xml:space="preserve">2017-06-30</x:t>
        </x:is>
      </x:c>
      <x:c r="J1410" s="3" t="inlineStr">
        <x:is>
          <x:t xml:space="preserve">安徽省合肥市庐阳工业区连水路19号</x:t>
        </x:is>
      </x:c>
      <x:c r="K1410" s="12" t="str">
        <x:f>LEFT("91340100772816763N",18)</x:f>
        <x:v>91340100772816763N</x:v>
      </x:c>
    </x:row>
    <x:row r="1411">
      <x:c r="A1411" s="4" t="n">
        <x:v>1410</x:v>
      </x:c>
      <x:c r="B1411" s="4" t="inlineStr">
        <x:is>
          <x:t xml:space="preserve">603815</x:t>
        </x:is>
      </x:c>
      <x:c r="C1411" s="5" t="inlineStr">
        <x:is>
          <x:t xml:space="preserve">交建股份</x:t>
        </x:is>
      </x:c>
      <x:c r="D1411" s="5" t="inlineStr">
        <x:is>
          <x:t xml:space="preserve">安徽省交通建设股份有限公司</x:t>
        </x:is>
      </x:c>
      <x:c r="E1411" s="4" t="inlineStr">
        <x:is>
          <x:t xml:space="preserve">安徽省</x:t>
        </x:is>
      </x:c>
      <x:c r="F1411" s="4" t="inlineStr">
        <x:is>
          <x:t xml:space="preserve">合肥市</x:t>
        </x:is>
      </x:c>
      <x:c r="G1411" s="5" t="inlineStr">
        <x:is>
          <x:t xml:space="preserve">安徽省-合肥市</x:t>
        </x:is>
      </x:c>
      <x:c r="H1411" s="4" t="inlineStr">
        <x:is>
          <x:t xml:space="preserve">工程建设</x:t>
        </x:is>
      </x:c>
      <x:c r="I1411" s="4" t="inlineStr">
        <x:is>
          <x:t xml:space="preserve">2019-10-21</x:t>
        </x:is>
      </x:c>
      <x:c r="J1411" s="5" t="inlineStr">
        <x:is>
          <x:t xml:space="preserve">安徽省合肥市庐阳区濉溪路310号</x:t>
        </x:is>
      </x:c>
      <x:c r="K1411" s="12" t="str">
        <x:f>LEFT("913400001489533507",18)</x:f>
        <x:v>913400001489533600</x:v>
      </x:c>
    </x:row>
    <x:row r="1412">
      <x:c r="A1412" s="2" t="n">
        <x:v>1411</x:v>
      </x:c>
      <x:c r="B1412" s="2" t="inlineStr">
        <x:is>
          <x:t xml:space="preserve">605108</x:t>
        </x:is>
      </x:c>
      <x:c r="C1412" s="3" t="inlineStr">
        <x:is>
          <x:t xml:space="preserve">同庆楼</x:t>
        </x:is>
      </x:c>
      <x:c r="D1412" s="3" t="inlineStr">
        <x:is>
          <x:t xml:space="preserve">同庆楼餐饮股份有限公司</x:t>
        </x:is>
      </x:c>
      <x:c r="E1412" s="2" t="inlineStr">
        <x:is>
          <x:t xml:space="preserve">安徽省</x:t>
        </x:is>
      </x:c>
      <x:c r="F1412" s="2" t="inlineStr">
        <x:is>
          <x:t xml:space="preserve">合肥市</x:t>
        </x:is>
      </x:c>
      <x:c r="G1412" s="3" t="inlineStr">
        <x:is>
          <x:t xml:space="preserve">安徽省-合肥市</x:t>
        </x:is>
      </x:c>
      <x:c r="H1412" s="2" t="inlineStr">
        <x:is>
          <x:t xml:space="preserve">旅游酒店</x:t>
        </x:is>
      </x:c>
      <x:c r="I1412" s="2" t="inlineStr">
        <x:is>
          <x:t xml:space="preserve">2020-07-16</x:t>
        </x:is>
      </x:c>
      <x:c r="J1412" s="3" t="inlineStr">
        <x:is>
          <x:t xml:space="preserve">合肥市包河区万岗路10号9幢</x:t>
        </x:is>
      </x:c>
      <x:c r="K1412" s="12" t="str">
        <x:f>LEFT("91340100771125645D",18)</x:f>
        <x:v>91340100771125645D</x:v>
      </x:c>
    </x:row>
    <x:row r="1413">
      <x:c r="A1413" s="4" t="n">
        <x:v>1412</x:v>
      </x:c>
      <x:c r="B1413" s="4" t="inlineStr">
        <x:is>
          <x:t xml:space="preserve">605189</x:t>
        </x:is>
      </x:c>
      <x:c r="C1413" s="5" t="inlineStr">
        <x:is>
          <x:t xml:space="preserve">富春染织</x:t>
        </x:is>
      </x:c>
      <x:c r="D1413" s="5" t="inlineStr">
        <x:is>
          <x:t xml:space="preserve">芜湖富春染织股份有限公司</x:t>
        </x:is>
      </x:c>
      <x:c r="E1413" s="4" t="inlineStr">
        <x:is>
          <x:t xml:space="preserve">安徽省</x:t>
        </x:is>
      </x:c>
      <x:c r="F1413" s="4" t="inlineStr">
        <x:is>
          <x:t xml:space="preserve">芜湖市</x:t>
        </x:is>
      </x:c>
      <x:c r="G1413" s="5" t="inlineStr">
        <x:is>
          <x:t xml:space="preserve">安徽省-芜湖市</x:t>
        </x:is>
      </x:c>
      <x:c r="H1413" s="4" t="inlineStr">
        <x:is>
          <x:t xml:space="preserve">纺织服装</x:t>
        </x:is>
      </x:c>
      <x:c r="I1413" s="4" t="inlineStr">
        <x:is>
          <x:t xml:space="preserve">2021-05-28</x:t>
        </x:is>
      </x:c>
      <x:c r="J1413" s="5" t="inlineStr">
        <x:is>
          <x:t xml:space="preserve">中国(安徽)自由贸易试验区芜湖片区九华北路3号</x:t>
        </x:is>
      </x:c>
      <x:c r="K1413" s="12" t="str">
        <x:f>LEFT("913402007408704905",18)</x:f>
        <x:v>913402007408704900</x:v>
      </x:c>
    </x:row>
    <x:row r="1414">
      <x:c r="A1414" s="2" t="n">
        <x:v>1413</x:v>
      </x:c>
      <x:c r="B1414" s="2" t="inlineStr">
        <x:is>
          <x:t xml:space="preserve">688027</x:t>
        </x:is>
      </x:c>
      <x:c r="C1414" s="3" t="inlineStr">
        <x:is>
          <x:t xml:space="preserve">国盾量子</x:t>
        </x:is>
      </x:c>
      <x:c r="D1414" s="3" t="inlineStr">
        <x:is>
          <x:t xml:space="preserve">科大国盾量子技术股份有限公司</x:t>
        </x:is>
      </x:c>
      <x:c r="E1414" s="2" t="inlineStr">
        <x:is>
          <x:t xml:space="preserve">安徽省</x:t>
        </x:is>
      </x:c>
      <x:c r="F1414" s="2" t="inlineStr">
        <x:is>
          <x:t xml:space="preserve">合肥市</x:t>
        </x:is>
      </x:c>
      <x:c r="G1414" s="3" t="inlineStr">
        <x:is>
          <x:t xml:space="preserve">安徽省-合肥市</x:t>
        </x:is>
      </x:c>
      <x:c r="H1414" s="2" t="inlineStr">
        <x:is>
          <x:t xml:space="preserve">通讯行业</x:t>
        </x:is>
      </x:c>
      <x:c r="I1414" s="2" t="inlineStr">
        <x:is>
          <x:t xml:space="preserve">2020-07-09</x:t>
        </x:is>
      </x:c>
      <x:c r="J1414" s="3" t="inlineStr">
        <x:is>
          <x:t xml:space="preserve">合肥市高新区华佗巷777号科大国盾量子科技园</x:t>
        </x:is>
      </x:c>
      <x:c r="K1414" s="12" t="str">
        <x:f>LEFT("9134010068976734XU",18)</x:f>
        <x:v>9134010068976734XU</x:v>
      </x:c>
    </x:row>
    <x:row r="1415">
      <x:c r="A1415" s="4" t="n">
        <x:v>1414</x:v>
      </x:c>
      <x:c r="B1415" s="4" t="inlineStr">
        <x:is>
          <x:t xml:space="preserve">688077</x:t>
        </x:is>
      </x:c>
      <x:c r="C1415" s="5" t="inlineStr">
        <x:is>
          <x:t xml:space="preserve">大地熊</x:t>
        </x:is>
      </x:c>
      <x:c r="D1415" s="5" t="inlineStr">
        <x:is>
          <x:t xml:space="preserve">安徽大地熊新材料股份有限公司</x:t>
        </x:is>
      </x:c>
      <x:c r="E1415" s="4" t="inlineStr">
        <x:is>
          <x:t xml:space="preserve">安徽省</x:t>
        </x:is>
      </x:c>
      <x:c r="F1415" s="4" t="inlineStr">
        <x:is>
          <x:t xml:space="preserve">合肥市</x:t>
        </x:is>
      </x:c>
      <x:c r="G1415" s="5" t="inlineStr">
        <x:is>
          <x:t xml:space="preserve">安徽省-合肥市</x:t>
        </x:is>
      </x:c>
      <x:c r="H1415" s="4" t="inlineStr">
        <x:is>
          <x:t xml:space="preserve">小金属</x:t>
        </x:is>
      </x:c>
      <x:c r="I1415" s="4" t="inlineStr">
        <x:is>
          <x:t xml:space="preserve">2020-07-22</x:t>
        </x:is>
      </x:c>
      <x:c r="J1415" s="5" t="inlineStr">
        <x:is>
          <x:t xml:space="preserve">安徽省合肥市庐江高新技术产业开发区</x:t>
        </x:is>
      </x:c>
      <x:c r="K1415" s="12" t="str">
        <x:f>LEFT("91340100754889192Q",18)</x:f>
        <x:v>91340100754889192Q</x:v>
      </x:c>
    </x:row>
    <x:row r="1416">
      <x:c r="A1416" s="2" t="n">
        <x:v>1415</x:v>
      </x:c>
      <x:c r="B1416" s="2" t="inlineStr">
        <x:is>
          <x:t xml:space="preserve">688162</x:t>
        </x:is>
      </x:c>
      <x:c r="C1416" s="3" t="inlineStr">
        <x:is>
          <x:t xml:space="preserve">巨一科技</x:t>
        </x:is>
      </x:c>
      <x:c r="D1416" s="3" t="inlineStr">
        <x:is>
          <x:t xml:space="preserve">安徽巨一科技股份有限公司</x:t>
        </x:is>
      </x:c>
      <x:c r="E1416" s="2" t="inlineStr">
        <x:is>
          <x:t xml:space="preserve">安徽省</x:t>
        </x:is>
      </x:c>
      <x:c r="F1416" s="2" t="inlineStr">
        <x:is>
          <x:t xml:space="preserve">合肥市</x:t>
        </x:is>
      </x:c>
      <x:c r="G1416" s="3" t="inlineStr">
        <x:is>
          <x:t xml:space="preserve">安徽省-合肥市</x:t>
        </x:is>
      </x:c>
      <x:c r="H1416" s="2" t="inlineStr">
        <x:is>
          <x:t xml:space="preserve">专用设备</x:t>
        </x:is>
      </x:c>
      <x:c r="I1416" s="2" t="inlineStr">
        <x:is>
          <x:t xml:space="preserve">2021-11-10</x:t>
        </x:is>
      </x:c>
      <x:c r="J1416" s="3" t="inlineStr">
        <x:is>
          <x:t xml:space="preserve">安徽省合肥市包河区繁华大道5821号</x:t>
        </x:is>
      </x:c>
      <x:c r="K1416" s="12" t="str">
        <x:f>LEFT("9134010077111425X3",18)</x:f>
        <x:v>9134010077111425X3</x:v>
      </x:c>
    </x:row>
    <x:row r="1417">
      <x:c r="A1417" s="4" t="n">
        <x:v>1416</x:v>
      </x:c>
      <x:c r="B1417" s="4" t="inlineStr">
        <x:is>
          <x:t xml:space="preserve">688165</x:t>
        </x:is>
      </x:c>
      <x:c r="C1417" s="5" t="inlineStr">
        <x:is>
          <x:t xml:space="preserve">埃夫特</x:t>
        </x:is>
      </x:c>
      <x:c r="D1417" s="5" t="inlineStr">
        <x:is>
          <x:t xml:space="preserve">埃夫特智能机器人股份有限公司</x:t>
        </x:is>
      </x:c>
      <x:c r="E1417" s="4" t="inlineStr">
        <x:is>
          <x:t xml:space="preserve">安徽省</x:t>
        </x:is>
      </x:c>
      <x:c r="F1417" s="4" t="inlineStr">
        <x:is>
          <x:t xml:space="preserve">芜湖市</x:t>
        </x:is>
      </x:c>
      <x:c r="G1417" s="5" t="inlineStr">
        <x:is>
          <x:t xml:space="preserve">安徽省-芜湖市</x:t>
        </x:is>
      </x:c>
      <x:c r="H1417" s="4" t="inlineStr">
        <x:is>
          <x:t xml:space="preserve">机械行业</x:t>
        </x:is>
      </x:c>
      <x:c r="I1417" s="4" t="inlineStr">
        <x:is>
          <x:t xml:space="preserve">2020-07-15</x:t>
        </x:is>
      </x:c>
      <x:c r="J1417" s="5" t="inlineStr">
        <x:is>
          <x:t xml:space="preserve">中国(安徽)自由贸易试验区芜湖片区万春东路96号</x:t>
        </x:is>
      </x:c>
      <x:c r="K1417" s="12" t="str">
        <x:f>LEFT("91340207664238230M",18)</x:f>
        <x:v>91340207664238230M</x:v>
      </x:c>
    </x:row>
    <x:row r="1418">
      <x:c r="A1418" s="2" t="n">
        <x:v>1417</x:v>
      </x:c>
      <x:c r="B1418" s="2" t="inlineStr">
        <x:is>
          <x:t xml:space="preserve">688219</x:t>
        </x:is>
      </x:c>
      <x:c r="C1418" s="3" t="inlineStr">
        <x:is>
          <x:t xml:space="preserve">会通股份</x:t>
        </x:is>
      </x:c>
      <x:c r="D1418" s="3" t="inlineStr">
        <x:is>
          <x:t xml:space="preserve">会通新材料股份有限公司</x:t>
        </x:is>
      </x:c>
      <x:c r="E1418" s="2" t="inlineStr">
        <x:is>
          <x:t xml:space="preserve">安徽省</x:t>
        </x:is>
      </x:c>
      <x:c r="F1418" s="2" t="inlineStr">
        <x:is>
          <x:t xml:space="preserve">合肥市</x:t>
        </x:is>
      </x:c>
      <x:c r="G1418" s="3" t="inlineStr">
        <x:is>
          <x:t xml:space="preserve">安徽省-合肥市</x:t>
        </x:is>
      </x:c>
      <x:c r="H1418" s="2" t="inlineStr">
        <x:is>
          <x:t xml:space="preserve">塑胶制品</x:t>
        </x:is>
      </x:c>
      <x:c r="I1418" s="2" t="inlineStr">
        <x:is>
          <x:t xml:space="preserve">2020-11-18</x:t>
        </x:is>
      </x:c>
      <x:c r="J1418" s="3" t="inlineStr">
        <x:is>
          <x:t xml:space="preserve">安徽省合肥市高新区柏堰科技园芦花路2号</x:t>
        </x:is>
      </x:c>
      <x:c r="K1418" s="12" t="str">
        <x:f>LEFT("91340100677597662Y",18)</x:f>
        <x:v>91340100677597662Y</x:v>
      </x:c>
    </x:row>
    <x:row r="1419">
      <x:c r="A1419" s="4" t="n">
        <x:v>1418</x:v>
      </x:c>
      <x:c r="B1419" s="4" t="inlineStr">
        <x:is>
          <x:t xml:space="preserve">688249</x:t>
        </x:is>
      </x:c>
      <x:c r="C1419" s="5" t="inlineStr">
        <x:is>
          <x:t xml:space="preserve">晶合集成</x:t>
        </x:is>
      </x:c>
      <x:c r="D1419" s="5" t="inlineStr">
        <x:is>
          <x:t xml:space="preserve">合肥晶合集成电路股份有限公司</x:t>
        </x:is>
      </x:c>
      <x:c r="E1419" s="4" t="inlineStr">
        <x:is>
          <x:t xml:space="preserve">安徽省</x:t>
        </x:is>
      </x:c>
      <x:c r="F1419" s="4" t="inlineStr">
        <x:is>
          <x:t xml:space="preserve">合肥市</x:t>
        </x:is>
      </x:c>
      <x:c r="G1419" s="5" t="inlineStr">
        <x:is>
          <x:t xml:space="preserve">安徽省-合肥市</x:t>
        </x:is>
      </x:c>
      <x:c r="H1419" s="4" t="inlineStr">
        <x:is>
          <x:t xml:space="preserve">半导体</x:t>
        </x:is>
      </x:c>
      <x:c r="I1419" s="4" t="inlineStr">
        <x:is>
          <x:t xml:space="preserve">2023-05-05</x:t>
        </x:is>
      </x:c>
      <x:c r="J1419" s="5" t="inlineStr">
        <x:is>
          <x:t xml:space="preserve">安徽省合肥市新站区合肥综合保税区内西淝河路88号</x:t>
        </x:is>
      </x:c>
      <x:c r="K1419" s="12" t="str">
        <x:f>LEFT("91340100343821433Q",18)</x:f>
        <x:v>91340100343821433Q</x:v>
      </x:c>
    </x:row>
    <x:row r="1420">
      <x:c r="A1420" s="2" t="n">
        <x:v>1419</x:v>
      </x:c>
      <x:c r="B1420" s="2" t="inlineStr">
        <x:is>
          <x:t xml:space="preserve">688251</x:t>
        </x:is>
      </x:c>
      <x:c r="C1420" s="3" t="inlineStr">
        <x:is>
          <x:t xml:space="preserve">井松智能</x:t>
        </x:is>
      </x:c>
      <x:c r="D1420" s="3" t="inlineStr">
        <x:is>
          <x:t xml:space="preserve">合肥井松智能科技股份有限公司</x:t>
        </x:is>
      </x:c>
      <x:c r="E1420" s="2" t="inlineStr">
        <x:is>
          <x:t xml:space="preserve">安徽省</x:t>
        </x:is>
      </x:c>
      <x:c r="F1420" s="2" t="inlineStr">
        <x:is>
          <x:t xml:space="preserve">合肥市</x:t>
        </x:is>
      </x:c>
      <x:c r="G1420" s="3" t="inlineStr">
        <x:is>
          <x:t xml:space="preserve">安徽省-合肥市</x:t>
        </x:is>
      </x:c>
      <x:c r="H1420" s="2" t="inlineStr">
        <x:is>
          <x:t xml:space="preserve">通用设备</x:t>
        </x:is>
      </x:c>
      <x:c r="I1420" s="2" t="inlineStr">
        <x:is>
          <x:t xml:space="preserve">2022-06-06</x:t>
        </x:is>
      </x:c>
      <x:c r="J1420" s="3" t="inlineStr">
        <x:is>
          <x:t xml:space="preserve">合肥市新站区毕昇路128号</x:t>
        </x:is>
      </x:c>
      <x:c r="K1420" s="12" t="str">
        <x:f>LEFT("913401007998066372",18)</x:f>
        <x:v>913401007998066400</x:v>
      </x:c>
    </x:row>
    <x:row r="1421">
      <x:c r="A1421" s="4" t="n">
        <x:v>1420</x:v>
      </x:c>
      <x:c r="B1421" s="4" t="inlineStr">
        <x:is>
          <x:t xml:space="preserve">688352</x:t>
        </x:is>
      </x:c>
      <x:c r="C1421" s="5" t="inlineStr">
        <x:is>
          <x:t xml:space="preserve">颀中科技</x:t>
        </x:is>
      </x:c>
      <x:c r="D1421" s="5" t="inlineStr">
        <x:is>
          <x:t xml:space="preserve">合肥颀中科技股份有限公司</x:t>
        </x:is>
      </x:c>
      <x:c r="E1421" s="4" t="inlineStr">
        <x:is>
          <x:t xml:space="preserve">安徽省</x:t>
        </x:is>
      </x:c>
      <x:c r="F1421" s="4" t="inlineStr">
        <x:is>
          <x:t xml:space="preserve">合肥市</x:t>
        </x:is>
      </x:c>
      <x:c r="G1421" s="5" t="inlineStr">
        <x:is>
          <x:t xml:space="preserve">安徽省-合肥市</x:t>
        </x:is>
      </x:c>
      <x:c r="H1421" s="4" t="inlineStr">
        <x:is>
          <x:t xml:space="preserve">半导体</x:t>
        </x:is>
      </x:c>
      <x:c r="I1421" s="4" t="inlineStr">
        <x:is>
          <x:t xml:space="preserve">2023-04-20</x:t>
        </x:is>
      </x:c>
      <x:c r="J1421" s="5" t="inlineStr">
        <x:is>
          <x:t xml:space="preserve">合肥市新站区综合保税区大禹路2350号</x:t>
        </x:is>
      </x:c>
      <x:c r="K1421" s="12" t="str">
        <x:f>LEFT("91340100MA2RFYL703",18)</x:f>
        <x:v>91340100MA2RFYL703</x:v>
      </x:c>
    </x:row>
    <x:row r="1422">
      <x:c r="A1422" s="2" t="n">
        <x:v>1421</x:v>
      </x:c>
      <x:c r="B1422" s="2" t="inlineStr">
        <x:is>
          <x:t xml:space="preserve">688367</x:t>
        </x:is>
      </x:c>
      <x:c r="C1422" s="3" t="inlineStr">
        <x:is>
          <x:t xml:space="preserve">工大高科</x:t>
        </x:is>
      </x:c>
      <x:c r="D1422" s="3" t="inlineStr">
        <x:is>
          <x:t xml:space="preserve">合肥工大高科信息科技股份有限公司</x:t>
        </x:is>
      </x:c>
      <x:c r="E1422" s="2" t="inlineStr">
        <x:is>
          <x:t xml:space="preserve">安徽省</x:t>
        </x:is>
      </x:c>
      <x:c r="F1422" s="2" t="inlineStr">
        <x:is>
          <x:t xml:space="preserve">合肥市</x:t>
        </x:is>
      </x:c>
      <x:c r="G1422" s="3" t="inlineStr">
        <x:is>
          <x:t xml:space="preserve">安徽省-合肥市</x:t>
        </x:is>
      </x:c>
      <x:c r="H1422" s="2" t="inlineStr">
        <x:is>
          <x:t xml:space="preserve">交运设备</x:t>
        </x:is>
      </x:c>
      <x:c r="I1422" s="2" t="inlineStr">
        <x:is>
          <x:t xml:space="preserve">2021-06-28</x:t>
        </x:is>
      </x:c>
      <x:c r="J1422" s="3" t="inlineStr">
        <x:is>
          <x:t xml:space="preserve">合肥市高新区习友路1682号</x:t>
        </x:is>
      </x:c>
      <x:c r="K1422" s="12" t="str">
        <x:f>LEFT("91340100726317672P",18)</x:f>
        <x:v>91340100726317672P</x:v>
      </x:c>
    </x:row>
    <x:row r="1423">
      <x:c r="A1423" s="4" t="n">
        <x:v>1422</x:v>
      </x:c>
      <x:c r="B1423" s="4" t="inlineStr">
        <x:is>
          <x:t xml:space="preserve">688403</x:t>
        </x:is>
      </x:c>
      <x:c r="C1423" s="5" t="inlineStr">
        <x:is>
          <x:t xml:space="preserve">汇成股份</x:t>
        </x:is>
      </x:c>
      <x:c r="D1423" s="5" t="inlineStr">
        <x:is>
          <x:t xml:space="preserve">合肥新汇成微电子股份有限公司</x:t>
        </x:is>
      </x:c>
      <x:c r="E1423" s="4" t="inlineStr">
        <x:is>
          <x:t xml:space="preserve">安徽省</x:t>
        </x:is>
      </x:c>
      <x:c r="F1423" s="4" t="inlineStr">
        <x:is>
          <x:t xml:space="preserve">合肥市</x:t>
        </x:is>
      </x:c>
      <x:c r="G1423" s="5" t="inlineStr">
        <x:is>
          <x:t xml:space="preserve">安徽省-合肥市</x:t>
        </x:is>
      </x:c>
      <x:c r="H1423" s="4" t="inlineStr">
        <x:is>
          <x:t xml:space="preserve">半导体</x:t>
        </x:is>
      </x:c>
      <x:c r="I1423" s="4" t="inlineStr">
        <x:is>
          <x:t xml:space="preserve">2022-08-18</x:t>
        </x:is>
      </x:c>
      <x:c r="J1423" s="5" t="inlineStr">
        <x:is>
          <x:t xml:space="preserve">合肥市新站区合肥综合保税区内项王路8号</x:t>
        </x:is>
      </x:c>
      <x:c r="K1423" s="12" t="str">
        <x:f>LEFT("91340100MA2MRF2E6D",18)</x:f>
        <x:v>91340100MA2MRF2E6D</x:v>
      </x:c>
    </x:row>
    <x:row r="1424">
      <x:c r="A1424" s="2" t="n">
        <x:v>1423</x:v>
      </x:c>
      <x:c r="B1424" s="2" t="inlineStr">
        <x:is>
          <x:t xml:space="preserve">688416</x:t>
        </x:is>
      </x:c>
      <x:c r="C1424" s="3" t="inlineStr">
        <x:is>
          <x:t xml:space="preserve">恒烁股份</x:t>
        </x:is>
      </x:c>
      <x:c r="D1424" s="3" t="inlineStr">
        <x:is>
          <x:t xml:space="preserve">恒烁半导体(合肥)股份有限公司</x:t>
        </x:is>
      </x:c>
      <x:c r="E1424" s="2" t="inlineStr">
        <x:is>
          <x:t xml:space="preserve">安徽省</x:t>
        </x:is>
      </x:c>
      <x:c r="F1424" s="2" t="inlineStr">
        <x:is>
          <x:t xml:space="preserve">合肥市</x:t>
        </x:is>
      </x:c>
      <x:c r="G1424" s="3" t="inlineStr">
        <x:is>
          <x:t xml:space="preserve">安徽省-合肥市</x:t>
        </x:is>
      </x:c>
      <x:c r="H1424" s="2" t="inlineStr">
        <x:is>
          <x:t xml:space="preserve">半导体</x:t>
        </x:is>
      </x:c>
      <x:c r="I1424" s="2" t="inlineStr">
        <x:is>
          <x:t xml:space="preserve">2022-08-29</x:t>
        </x:is>
      </x:c>
      <x:c r="J1424" s="3" t="inlineStr">
        <x:is>
          <x:t xml:space="preserve">合肥市庐阳区天水路与太和路交口西北庐阳中科大校友企业创新园11号楼</x:t>
        </x:is>
      </x:c>
      <x:c r="K1424" s="12" t="str">
        <x:f>LEFT("91340100327991758Q",18)</x:f>
        <x:v>91340100327991758Q</x:v>
      </x:c>
    </x:row>
    <x:row r="1425">
      <x:c r="A1425" s="4" t="n">
        <x:v>1424</x:v>
      </x:c>
      <x:c r="B1425" s="4" t="inlineStr">
        <x:is>
          <x:t xml:space="preserve">688419</x:t>
        </x:is>
      </x:c>
      <x:c r="C1425" s="5" t="inlineStr">
        <x:is>
          <x:t xml:space="preserve">耐科装备</x:t>
        </x:is>
      </x:c>
      <x:c r="D1425" s="5" t="inlineStr">
        <x:is>
          <x:t xml:space="preserve">安徽耐科装备科技股份有限公司</x:t>
        </x:is>
      </x:c>
      <x:c r="E1425" s="4" t="inlineStr">
        <x:is>
          <x:t xml:space="preserve">安徽省</x:t>
        </x:is>
      </x:c>
      <x:c r="F1425" s="4" t="inlineStr">
        <x:is>
          <x:t xml:space="preserve">铜陵市</x:t>
        </x:is>
      </x:c>
      <x:c r="G1425" s="5" t="inlineStr">
        <x:is>
          <x:t xml:space="preserve">安徽省-铜陵市</x:t>
        </x:is>
      </x:c>
      <x:c r="H1425" s="4" t="inlineStr">
        <x:is>
          <x:t xml:space="preserve">专用设备</x:t>
        </x:is>
      </x:c>
      <x:c r="I1425" s="4" t="inlineStr">
        <x:is>
          <x:t xml:space="preserve">2022-11-07</x:t>
        </x:is>
      </x:c>
      <x:c r="J1425" s="5" t="inlineStr">
        <x:is>
          <x:t xml:space="preserve">安徽省铜陵市经济技术开发区内</x:t>
        </x:is>
      </x:c>
      <x:c r="K1425" s="12" t="str">
        <x:f>LEFT("913407007810593387",18)</x:f>
        <x:v>913407007810593400</x:v>
      </x:c>
    </x:row>
    <x:row r="1426">
      <x:c r="A1426" s="2" t="n">
        <x:v>1425</x:v>
      </x:c>
      <x:c r="B1426" s="2" t="inlineStr">
        <x:is>
          <x:t xml:space="preserve">688486</x:t>
        </x:is>
      </x:c>
      <x:c r="C1426" s="3" t="inlineStr">
        <x:is>
          <x:t xml:space="preserve">龙迅股份</x:t>
        </x:is>
      </x:c>
      <x:c r="D1426" s="3" t="inlineStr">
        <x:is>
          <x:t xml:space="preserve">龙迅半导体(合肥)股份有限公司</x:t>
        </x:is>
      </x:c>
      <x:c r="E1426" s="2" t="inlineStr">
        <x:is>
          <x:t xml:space="preserve">安徽省</x:t>
        </x:is>
      </x:c>
      <x:c r="F1426" s="2" t="inlineStr">
        <x:is>
          <x:t xml:space="preserve">合肥市</x:t>
        </x:is>
      </x:c>
      <x:c r="G1426" s="3" t="inlineStr">
        <x:is>
          <x:t xml:space="preserve">安徽省-合肥市</x:t>
        </x:is>
      </x:c>
      <x:c r="H1426" s="2" t="inlineStr">
        <x:is>
          <x:t xml:space="preserve">半导体</x:t>
        </x:is>
      </x:c>
      <x:c r="I1426" s="2" t="inlineStr">
        <x:is>
          <x:t xml:space="preserve">2023-02-21</x:t>
        </x:is>
      </x:c>
      <x:c r="J1426" s="3" t="inlineStr">
        <x:is>
          <x:t xml:space="preserve">安徽省合肥市经济技术开发区宿松路3963号智能装备科技园B3栋</x:t>
        </x:is>
      </x:c>
      <x:c r="K1426" s="12" t="str">
        <x:f>LEFT("913400007950924118",18)</x:f>
        <x:v>913400007950924200</x:v>
      </x:c>
    </x:row>
    <x:row r="1427">
      <x:c r="A1427" s="4" t="n">
        <x:v>1426</x:v>
      </x:c>
      <x:c r="B1427" s="4" t="inlineStr">
        <x:is>
          <x:t xml:space="preserve">688551</x:t>
        </x:is>
      </x:c>
      <x:c r="C1427" s="5" t="inlineStr">
        <x:is>
          <x:t xml:space="preserve">科威尔</x:t>
        </x:is>
      </x:c>
      <x:c r="D1427" s="5" t="inlineStr">
        <x:is>
          <x:t xml:space="preserve">科威尔技术股份有限公司</x:t>
        </x:is>
      </x:c>
      <x:c r="E1427" s="4" t="inlineStr">
        <x:is>
          <x:t xml:space="preserve">安徽省</x:t>
        </x:is>
      </x:c>
      <x:c r="F1427" s="4" t="inlineStr">
        <x:is>
          <x:t xml:space="preserve">合肥市</x:t>
        </x:is>
      </x:c>
      <x:c r="G1427" s="5" t="inlineStr">
        <x:is>
          <x:t xml:space="preserve">安徽省-合肥市</x:t>
        </x:is>
      </x:c>
      <x:c r="H1427" s="4" t="inlineStr">
        <x:is>
          <x:t xml:space="preserve">电源设备</x:t>
        </x:is>
      </x:c>
      <x:c r="I1427" s="4" t="inlineStr">
        <x:is>
          <x:t xml:space="preserve">2020-09-10</x:t>
        </x:is>
      </x:c>
      <x:c r="J1427" s="5" t="inlineStr">
        <x:is>
          <x:t xml:space="preserve">合肥市高新区大龙山路8号</x:t>
        </x:is>
      </x:c>
      <x:c r="K1427" s="12" t="str">
        <x:f>LEFT("91340100575749450H",18)</x:f>
        <x:v>91340100575749450H</x:v>
      </x:c>
    </x:row>
    <x:row r="1428">
      <x:c r="A1428" s="2" t="n">
        <x:v>1427</x:v>
      </x:c>
      <x:c r="B1428" s="2" t="inlineStr">
        <x:is>
          <x:t xml:space="preserve">688582</x:t>
        </x:is>
      </x:c>
      <x:c r="C1428" s="3" t="inlineStr">
        <x:is>
          <x:t xml:space="preserve">芯动联科</x:t>
        </x:is>
      </x:c>
      <x:c r="D1428" s="3" t="inlineStr">
        <x:is>
          <x:t xml:space="preserve">安徽芯动联科微系统股份有限公司</x:t>
        </x:is>
      </x:c>
      <x:c r="E1428" s="2" t="inlineStr">
        <x:is>
          <x:t xml:space="preserve">安徽省</x:t>
        </x:is>
      </x:c>
      <x:c r="F1428" s="2" t="inlineStr">
        <x:is>
          <x:t xml:space="preserve">蚌埠市</x:t>
        </x:is>
      </x:c>
      <x:c r="G1428" s="3" t="inlineStr">
        <x:is>
          <x:t xml:space="preserve">安徽省-蚌埠市</x:t>
        </x:is>
      </x:c>
      <x:c r="H1428" s="2" t="inlineStr">
        <x:is>
          <x:t xml:space="preserve">电子元件</x:t>
        </x:is>
      </x:c>
      <x:c r="I1428" s="2" t="inlineStr">
        <x:is>
          <x:t xml:space="preserve">2023-06-30</x:t>
        </x:is>
      </x:c>
      <x:c r="J1428" s="3" t="inlineStr">
        <x:is>
          <x:t xml:space="preserve">安徽省蚌埠市东海大道888号传感谷园区一期3#楼</x:t>
        </x:is>
      </x:c>
      <x:c r="K1428" s="12" t="str">
        <x:f>LEFT("913403000501958035",18)</x:f>
        <x:v>913403000501958000</x:v>
      </x:c>
    </x:row>
    <x:row r="1429">
      <x:c r="A1429" s="4" t="n">
        <x:v>1428</x:v>
      </x:c>
      <x:c r="B1429" s="4" t="inlineStr">
        <x:is>
          <x:t xml:space="preserve">688586</x:t>
        </x:is>
      </x:c>
      <x:c r="C1429" s="5" t="inlineStr">
        <x:is>
          <x:t xml:space="preserve">江航装备</x:t>
        </x:is>
      </x:c>
      <x:c r="D1429" s="5" t="inlineStr">
        <x:is>
          <x:t xml:space="preserve">合肥江航飞机装备股份有限公司</x:t>
        </x:is>
      </x:c>
      <x:c r="E1429" s="4" t="inlineStr">
        <x:is>
          <x:t xml:space="preserve">安徽省</x:t>
        </x:is>
      </x:c>
      <x:c r="F1429" s="4" t="inlineStr">
        <x:is>
          <x:t xml:space="preserve">合肥市</x:t>
        </x:is>
      </x:c>
      <x:c r="G1429" s="5" t="inlineStr">
        <x:is>
          <x:t xml:space="preserve">安徽省-合肥市</x:t>
        </x:is>
      </x:c>
      <x:c r="H1429" s="4" t="inlineStr">
        <x:is>
          <x:t xml:space="preserve">航天航空</x:t>
        </x:is>
      </x:c>
      <x:c r="I1429" s="4" t="inlineStr">
        <x:is>
          <x:t xml:space="preserve">2020-07-31</x:t>
        </x:is>
      </x:c>
      <x:c r="J1429" s="5" t="inlineStr">
        <x:is>
          <x:t xml:space="preserve">安徽省合肥市包河工业区延安路35号</x:t>
        </x:is>
      </x:c>
      <x:c r="K1429" s="12" t="str">
        <x:f>LEFT("913401006709173443",18)</x:f>
        <x:v>913401006709173500</x:v>
      </x:c>
    </x:row>
    <x:row r="1430">
      <x:c r="A1430" s="2" t="n">
        <x:v>1429</x:v>
      </x:c>
      <x:c r="B1430" s="2" t="inlineStr">
        <x:is>
          <x:t xml:space="preserve">688600</x:t>
        </x:is>
      </x:c>
      <x:c r="C1430" s="3" t="inlineStr">
        <x:is>
          <x:t xml:space="preserve">皖仪科技</x:t>
        </x:is>
      </x:c>
      <x:c r="D1430" s="3" t="inlineStr">
        <x:is>
          <x:t xml:space="preserve">安徽皖仪科技股份有限公司</x:t>
        </x:is>
      </x:c>
      <x:c r="E1430" s="2" t="inlineStr">
        <x:is>
          <x:t xml:space="preserve">安徽省</x:t>
        </x:is>
      </x:c>
      <x:c r="F1430" s="2" t="inlineStr">
        <x:is>
          <x:t xml:space="preserve">合肥市</x:t>
        </x:is>
      </x:c>
      <x:c r="G1430" s="3" t="inlineStr">
        <x:is>
          <x:t xml:space="preserve">安徽省-合肥市</x:t>
        </x:is>
      </x:c>
      <x:c r="H1430" s="2" t="inlineStr">
        <x:is>
          <x:t xml:space="preserve">仪器仪表</x:t>
        </x:is>
      </x:c>
      <x:c r="I1430" s="2" t="inlineStr">
        <x:is>
          <x:t xml:space="preserve">2020-07-03</x:t>
        </x:is>
      </x:c>
      <x:c r="J1430" s="3" t="inlineStr">
        <x:is>
          <x:t xml:space="preserve">合肥高新区文曲路8号</x:t>
        </x:is>
      </x:c>
      <x:c r="K1430" s="12" t="str">
        <x:f>LEFT("91340100750996425P",18)</x:f>
        <x:v>91340100750996425P</x:v>
      </x:c>
    </x:row>
    <x:row r="1431">
      <x:c r="A1431" s="4" t="n">
        <x:v>1430</x:v>
      </x:c>
      <x:c r="B1431" s="4" t="inlineStr">
        <x:is>
          <x:t xml:space="preserve">688610</x:t>
        </x:is>
      </x:c>
      <x:c r="C1431" s="5" t="inlineStr">
        <x:is>
          <x:t xml:space="preserve">埃科光电</x:t>
        </x:is>
      </x:c>
      <x:c r="D1431" s="5" t="inlineStr">
        <x:is>
          <x:t xml:space="preserve">合肥埃科光电科技股份有限公司</x:t>
        </x:is>
      </x:c>
      <x:c r="E1431" s="4" t="inlineStr">
        <x:is>
          <x:t xml:space="preserve">安徽省</x:t>
        </x:is>
      </x:c>
      <x:c r="F1431" s="4" t="inlineStr">
        <x:is>
          <x:t xml:space="preserve">合肥市</x:t>
        </x:is>
      </x:c>
      <x:c r="G1431" s="5" t="inlineStr">
        <x:is>
          <x:t xml:space="preserve">安徽省-合肥市</x:t>
        </x:is>
      </x:c>
      <x:c r="H1431" s="4" t="inlineStr">
        <x:is>
          <x:t xml:space="preserve">仪器仪表</x:t>
        </x:is>
      </x:c>
      <x:c r="I1431" s="4" t="inlineStr">
        <x:is>
          <x:t xml:space="preserve">2023-07-19</x:t>
        </x:is>
      </x:c>
      <x:c r="J1431" s="5" t="inlineStr">
        <x:is>
          <x:t xml:space="preserve">合肥市高新区望江西路中安创谷科技园二期J2栋3F</x:t>
        </x:is>
      </x:c>
      <x:c r="K1431" s="12" t="str">
        <x:f>LEFT("913401005717789329",18)</x:f>
        <x:v>913401005717789300</x:v>
      </x:c>
    </x:row>
    <x:row r="1432">
      <x:c r="A1432" s="2" t="n">
        <x:v>1431</x:v>
      </x:c>
      <x:c r="B1432" s="2" t="inlineStr">
        <x:is>
          <x:t xml:space="preserve">688630</x:t>
        </x:is>
      </x:c>
      <x:c r="C1432" s="3" t="inlineStr">
        <x:is>
          <x:t xml:space="preserve">芯碁微装</x:t>
        </x:is>
      </x:c>
      <x:c r="D1432" s="3" t="inlineStr">
        <x:is>
          <x:t xml:space="preserve">合肥芯碁微电子装备股份有限公司</x:t>
        </x:is>
      </x:c>
      <x:c r="E1432" s="2" t="inlineStr">
        <x:is>
          <x:t xml:space="preserve">安徽省</x:t>
        </x:is>
      </x:c>
      <x:c r="F1432" s="2" t="inlineStr">
        <x:is>
          <x:t xml:space="preserve">合肥市</x:t>
        </x:is>
      </x:c>
      <x:c r="G1432" s="3" t="inlineStr">
        <x:is>
          <x:t xml:space="preserve">安徽省-合肥市</x:t>
        </x:is>
      </x:c>
      <x:c r="H1432" s="2" t="inlineStr">
        <x:is>
          <x:t xml:space="preserve">专用设备</x:t>
        </x:is>
      </x:c>
      <x:c r="I1432" s="2" t="inlineStr">
        <x:is>
          <x:t xml:space="preserve">2021-04-01</x:t>
        </x:is>
      </x:c>
      <x:c r="J1432" s="3" t="inlineStr">
        <x:is>
          <x:t xml:space="preserve">合肥市高新区长宁大道789号1号楼</x:t>
        </x:is>
      </x:c>
      <x:c r="K1432" s="12" t="str">
        <x:f>LEFT("91340100348841353K",18)</x:f>
        <x:v>91340100348841353K</x:v>
      </x:c>
    </x:row>
    <x:row r="1433">
      <x:c r="A1433" s="4" t="n">
        <x:v>1432</x:v>
      </x:c>
      <x:c r="B1433" s="4" t="inlineStr">
        <x:is>
          <x:t xml:space="preserve">688639</x:t>
        </x:is>
      </x:c>
      <x:c r="C1433" s="5" t="inlineStr">
        <x:is>
          <x:t xml:space="preserve">华恒生物</x:t>
        </x:is>
      </x:c>
      <x:c r="D1433" s="5" t="inlineStr">
        <x:is>
          <x:t xml:space="preserve">安徽华恒生物科技股份有限公司</x:t>
        </x:is>
      </x:c>
      <x:c r="E1433" s="4" t="inlineStr">
        <x:is>
          <x:t xml:space="preserve">安徽省</x:t>
        </x:is>
      </x:c>
      <x:c r="F1433" s="4" t="inlineStr">
        <x:is>
          <x:t xml:space="preserve">合肥市</x:t>
        </x:is>
      </x:c>
      <x:c r="G1433" s="5" t="inlineStr">
        <x:is>
          <x:t xml:space="preserve">安徽省-合肥市</x:t>
        </x:is>
      </x:c>
      <x:c r="H1433" s="4" t="inlineStr">
        <x:is>
          <x:t xml:space="preserve">化工行业</x:t>
        </x:is>
      </x:c>
      <x:c r="I1433" s="4" t="inlineStr">
        <x:is>
          <x:t xml:space="preserve">2021-04-22</x:t>
        </x:is>
      </x:c>
      <x:c r="J1433" s="5" t="inlineStr">
        <x:is>
          <x:t xml:space="preserve">安徽省合肥市双凤工业区</x:t>
        </x:is>
      </x:c>
      <x:c r="K1433" s="12" t="str">
        <x:f>LEFT("91340100772825344H",18)</x:f>
        <x:v>91340100772825344H</x:v>
      </x:c>
    </x:row>
    <x:row r="1434">
      <x:c r="A1434" s="2" t="n">
        <x:v>1433</x:v>
      </x:c>
      <x:c r="B1434" s="2" t="inlineStr">
        <x:is>
          <x:t xml:space="preserve">688659</x:t>
        </x:is>
      </x:c>
      <x:c r="C1434" s="3" t="inlineStr">
        <x:is>
          <x:t xml:space="preserve">元琛科技</x:t>
        </x:is>
      </x:c>
      <x:c r="D1434" s="3" t="inlineStr">
        <x:is>
          <x:t xml:space="preserve">安徽元琛环保科技股份有限公司</x:t>
        </x:is>
      </x:c>
      <x:c r="E1434" s="2" t="inlineStr">
        <x:is>
          <x:t xml:space="preserve">安徽省</x:t>
        </x:is>
      </x:c>
      <x:c r="F1434" s="2" t="inlineStr">
        <x:is>
          <x:t xml:space="preserve">合肥市</x:t>
        </x:is>
      </x:c>
      <x:c r="G1434" s="3" t="inlineStr">
        <x:is>
          <x:t xml:space="preserve">安徽省-合肥市</x:t>
        </x:is>
      </x:c>
      <x:c r="H1434" s="2" t="inlineStr">
        <x:is>
          <x:t xml:space="preserve">环保行业</x:t>
        </x:is>
      </x:c>
      <x:c r="I1434" s="2" t="inlineStr">
        <x:is>
          <x:t xml:space="preserve">2021-03-31</x:t>
        </x:is>
      </x:c>
      <x:c r="J1434" s="3" t="inlineStr">
        <x:is>
          <x:t xml:space="preserve">安徽省合肥市新站区站北社区合白路西侧</x:t>
        </x:is>
      </x:c>
      <x:c r="K1434" s="12" t="str">
        <x:f>LEFT("913401007749523631",18)</x:f>
        <x:v>913401007749523600</x:v>
      </x:c>
    </x:row>
    <x:row r="1435">
      <x:c r="A1435" s="4" t="n">
        <x:v>1434</x:v>
      </x:c>
      <x:c r="B1435" s="4" t="inlineStr">
        <x:is>
          <x:t xml:space="preserve">688679</x:t>
        </x:is>
      </x:c>
      <x:c r="C1435" s="5" t="inlineStr">
        <x:is>
          <x:t xml:space="preserve">通源环境</x:t>
        </x:is>
      </x:c>
      <x:c r="D1435" s="5" t="inlineStr">
        <x:is>
          <x:t xml:space="preserve">安徽省通源环境节能股份有限公司</x:t>
        </x:is>
      </x:c>
      <x:c r="E1435" s="4" t="inlineStr">
        <x:is>
          <x:t xml:space="preserve">安徽省</x:t>
        </x:is>
      </x:c>
      <x:c r="F1435" s="4" t="inlineStr">
        <x:is>
          <x:t xml:space="preserve">合肥市</x:t>
        </x:is>
      </x:c>
      <x:c r="G1435" s="5" t="inlineStr">
        <x:is>
          <x:t xml:space="preserve">安徽省-合肥市</x:t>
        </x:is>
      </x:c>
      <x:c r="H1435" s="4" t="inlineStr">
        <x:is>
          <x:t xml:space="preserve">环保工程</x:t>
        </x:is>
      </x:c>
      <x:c r="I1435" s="4" t="inlineStr">
        <x:is>
          <x:t xml:space="preserve">2020-12-25</x:t>
        </x:is>
      </x:c>
      <x:c r="J1435" s="5" t="inlineStr">
        <x:is>
          <x:t xml:space="preserve">安徽省合肥市包河区祁门路3966号</x:t>
        </x:is>
      </x:c>
      <x:c r="K1435" s="12" t="str">
        <x:f>LEFT("91340100705049496E",18)</x:f>
        <x:v>91340100705049496E</x:v>
      </x:c>
    </x:row>
    <x:row r="1436">
      <x:c r="A1436" s="2" t="n">
        <x:v>1435</x:v>
      </x:c>
      <x:c r="B1436" s="2" t="inlineStr">
        <x:is>
          <x:t xml:space="preserve">688733</x:t>
        </x:is>
      </x:c>
      <x:c r="C1436" s="3" t="inlineStr">
        <x:is>
          <x:t xml:space="preserve">壹石通</x:t>
        </x:is>
      </x:c>
      <x:c r="D1436" s="3" t="inlineStr">
        <x:is>
          <x:t xml:space="preserve">安徽壹石通材料科技股份有限公司</x:t>
        </x:is>
      </x:c>
      <x:c r="E1436" s="2" t="inlineStr">
        <x:is>
          <x:t xml:space="preserve">安徽省</x:t>
        </x:is>
      </x:c>
      <x:c r="F1436" s="2" t="inlineStr">
        <x:is>
          <x:t xml:space="preserve">蚌埠市</x:t>
        </x:is>
      </x:c>
      <x:c r="G1436" s="3" t="inlineStr">
        <x:is>
          <x:t xml:space="preserve">安徽省-蚌埠市</x:t>
        </x:is>
      </x:c>
      <x:c r="H1436" s="2" t="inlineStr">
        <x:is>
          <x:t xml:space="preserve">非金属材料</x:t>
        </x:is>
      </x:c>
      <x:c r="I1436" s="2" t="inlineStr">
        <x:is>
          <x:t xml:space="preserve">2021-08-17</x:t>
        </x:is>
      </x:c>
      <x:c r="J1436" s="3" t="inlineStr">
        <x:is>
          <x:t xml:space="preserve">安徽省蚌埠市怀远经济开发区金河路10号</x:t>
        </x:is>
      </x:c>
      <x:c r="K1436" s="12" t="str">
        <x:f>LEFT("91340300783089311E",18)</x:f>
        <x:v>91340300783089311E</x:v>
      </x:c>
    </x:row>
    <x:row r="1437">
      <x:c r="A1437" s="4" t="n">
        <x:v>1436</x:v>
      </x:c>
      <x:c r="B1437" s="4" t="inlineStr">
        <x:is>
          <x:t xml:space="preserve">688768</x:t>
        </x:is>
      </x:c>
      <x:c r="C1437" s="5" t="inlineStr">
        <x:is>
          <x:t xml:space="preserve">容知日新</x:t>
        </x:is>
      </x:c>
      <x:c r="D1437" s="5" t="inlineStr">
        <x:is>
          <x:t xml:space="preserve">安徽容知日新科技股份有限公司</x:t>
        </x:is>
      </x:c>
      <x:c r="E1437" s="4" t="inlineStr">
        <x:is>
          <x:t xml:space="preserve">安徽省</x:t>
        </x:is>
      </x:c>
      <x:c r="F1437" s="4" t="inlineStr">
        <x:is>
          <x:t xml:space="preserve">合肥市</x:t>
        </x:is>
      </x:c>
      <x:c r="G1437" s="5" t="inlineStr">
        <x:is>
          <x:t xml:space="preserve">安徽省-合肥市</x:t>
        </x:is>
      </x:c>
      <x:c r="H1437" s="4" t="inlineStr">
        <x:is>
          <x:t xml:space="preserve">仪器仪表</x:t>
        </x:is>
      </x:c>
      <x:c r="I1437" s="4" t="inlineStr">
        <x:is>
          <x:t xml:space="preserve">2021-07-26</x:t>
        </x:is>
      </x:c>
      <x:c r="J1437" s="5" t="inlineStr">
        <x:is>
          <x:t xml:space="preserve">合肥市高新区生物医药园支路59号</x:t>
        </x:is>
      </x:c>
      <x:c r="K1437" s="12" t="str">
        <x:f>LEFT("91340100664238732X",18)</x:f>
        <x:v>91340100664238732X</x:v>
      </x:c>
    </x:row>
    <x:row r="1438">
      <x:c r="A1438" s="2" t="n">
        <x:v>1437</x:v>
      </x:c>
      <x:c r="B1438" s="2" t="inlineStr">
        <x:is>
          <x:t xml:space="preserve">000338</x:t>
        </x:is>
      </x:c>
      <x:c r="C1438" s="3" t="inlineStr">
        <x:is>
          <x:t xml:space="preserve">潍柴动力</x:t>
        </x:is>
      </x:c>
      <x:c r="D1438" s="3" t="inlineStr">
        <x:is>
          <x:t xml:space="preserve">潍柴动力股份有限公司</x:t>
        </x:is>
      </x:c>
      <x:c r="E1438" s="2" t="inlineStr">
        <x:is>
          <x:t xml:space="preserve">山东省</x:t>
        </x:is>
      </x:c>
      <x:c r="F1438" s="2" t="inlineStr">
        <x:is>
          <x:t xml:space="preserve">潍坊市</x:t>
        </x:is>
      </x:c>
      <x:c r="G1438" s="3" t="inlineStr">
        <x:is>
          <x:t xml:space="preserve">山东省-潍坊市</x:t>
        </x:is>
      </x:c>
      <x:c r="H1438" s="2" t="inlineStr">
        <x:is>
          <x:t xml:space="preserve">汽车零部件</x:t>
        </x:is>
      </x:c>
      <x:c r="I1438" s="2" t="inlineStr">
        <x:is>
          <x:t xml:space="preserve">2007-04-30</x:t>
        </x:is>
      </x:c>
      <x:c r="J1438" s="3" t="inlineStr">
        <x:is>
          <x:t xml:space="preserve">山东省潍坊市高新技术产业开发区福寿东街197号甲</x:t>
        </x:is>
      </x:c>
      <x:c r="K1438" s="12" t="str">
        <x:f>LEFT("913700007456765902",18)</x:f>
        <x:v>913700007456766000</x:v>
      </x:c>
    </x:row>
    <x:row r="1439">
      <x:c r="A1439" s="4" t="n">
        <x:v>1438</x:v>
      </x:c>
      <x:c r="B1439" s="4" t="inlineStr">
        <x:is>
          <x:t xml:space="preserve">000407</x:t>
        </x:is>
      </x:c>
      <x:c r="C1439" s="5" t="inlineStr">
        <x:is>
          <x:t xml:space="preserve">胜利股份</x:t>
        </x:is>
      </x:c>
      <x:c r="D1439" s="5" t="inlineStr">
        <x:is>
          <x:t xml:space="preserve">山东胜利股份有限公司</x:t>
        </x:is>
      </x:c>
      <x:c r="E1439" s="4" t="inlineStr">
        <x:is>
          <x:t xml:space="preserve">山东省</x:t>
        </x:is>
      </x:c>
      <x:c r="F1439" s="4" t="inlineStr">
        <x:is>
          <x:t xml:space="preserve">济南市</x:t>
        </x:is>
      </x:c>
      <x:c r="G1439" s="5" t="inlineStr">
        <x:is>
          <x:t xml:space="preserve">山东省-济南市</x:t>
        </x:is>
      </x:c>
      <x:c r="H1439" s="4" t="inlineStr">
        <x:is>
          <x:t xml:space="preserve">燃气</x:t>
        </x:is>
      </x:c>
      <x:c r="I1439" s="4" t="inlineStr">
        <x:is>
          <x:t xml:space="preserve">1996-07-03</x:t>
        </x:is>
      </x:c>
      <x:c r="J1439" s="5" t="inlineStr">
        <x:is>
          <x:t xml:space="preserve">山东省济南市高新区港兴三路北段济南药谷1号楼B座32层</x:t>
        </x:is>
      </x:c>
      <x:c r="K1439" s="12" t="str">
        <x:f>LEFT("91370000163074944M",18)</x:f>
        <x:v>91370000163074944M</x:v>
      </x:c>
    </x:row>
    <x:row r="1440">
      <x:c r="A1440" s="2" t="n">
        <x:v>1439</x:v>
      </x:c>
      <x:c r="B1440" s="2" t="inlineStr">
        <x:is>
          <x:t xml:space="preserve">000409</x:t>
        </x:is>
      </x:c>
      <x:c r="C1440" s="3" t="inlineStr">
        <x:is>
          <x:t xml:space="preserve">云鼎科技</x:t>
        </x:is>
      </x:c>
      <x:c r="D1440" s="3" t="inlineStr">
        <x:is>
          <x:t xml:space="preserve">云鼎科技股份有限公司</x:t>
        </x:is>
      </x:c>
      <x:c r="E1440" s="2" t="inlineStr">
        <x:is>
          <x:t xml:space="preserve">山东省</x:t>
        </x:is>
      </x:c>
      <x:c r="F1440" s="2" t="inlineStr">
        <x:is>
          <x:t xml:space="preserve">济南市</x:t>
        </x:is>
      </x:c>
      <x:c r="G1440" s="3" t="inlineStr">
        <x:is>
          <x:t xml:space="preserve">山东省-济南市</x:t>
        </x:is>
      </x:c>
      <x:c r="H1440" s="2" t="inlineStr">
        <x:is>
          <x:t xml:space="preserve">互联网服务</x:t>
        </x:is>
      </x:c>
      <x:c r="I1440" s="2" t="inlineStr">
        <x:is>
          <x:t xml:space="preserve">1996-06-27</x:t>
        </x:is>
      </x:c>
      <x:c r="J1440" s="3" t="inlineStr">
        <x:is>
          <x:t xml:space="preserve">山东省济南市工业南路57-1号高新万达J3写字楼19层1910室</x:t>
        </x:is>
      </x:c>
      <x:c r="K1440" s="12" t="str">
        <x:f>LEFT("91370000617780406F",18)</x:f>
        <x:v>91370000617780406F</x:v>
      </x:c>
    </x:row>
    <x:row r="1441">
      <x:c r="A1441" s="4" t="n">
        <x:v>1440</x:v>
      </x:c>
      <x:c r="B1441" s="4" t="inlineStr">
        <x:is>
          <x:t xml:space="preserve">000423</x:t>
        </x:is>
      </x:c>
      <x:c r="C1441" s="5" t="inlineStr">
        <x:is>
          <x:t xml:space="preserve">东阿阿胶</x:t>
        </x:is>
      </x:c>
      <x:c r="D1441" s="5" t="inlineStr">
        <x:is>
          <x:t xml:space="preserve">东阿阿胶股份有限公司</x:t>
        </x:is>
      </x:c>
      <x:c r="E1441" s="4" t="inlineStr">
        <x:is>
          <x:t xml:space="preserve">山东省</x:t>
        </x:is>
      </x:c>
      <x:c r="F1441" s="4" t="inlineStr">
        <x:is>
          <x:t xml:space="preserve">聊城市</x:t>
        </x:is>
      </x:c>
      <x:c r="G1441" s="5" t="inlineStr">
        <x:is>
          <x:t xml:space="preserve">山东省-聊城市</x:t>
        </x:is>
      </x:c>
      <x:c r="H1441" s="4" t="inlineStr">
        <x:is>
          <x:t xml:space="preserve">中药</x:t>
        </x:is>
      </x:c>
      <x:c r="I1441" s="4" t="inlineStr">
        <x:is>
          <x:t xml:space="preserve">1996-07-29</x:t>
        </x:is>
      </x:c>
      <x:c r="J1441" s="5" t="inlineStr">
        <x:is>
          <x:t xml:space="preserve">山东省东阿县阿胶街78号</x:t>
        </x:is>
      </x:c>
      <x:c r="K1441" s="12" t="str">
        <x:f>LEFT("91370000168130028J",18)</x:f>
        <x:v>91370000168130028J</x:v>
      </x:c>
    </x:row>
    <x:row r="1442">
      <x:c r="A1442" s="2" t="n">
        <x:v>1441</x:v>
      </x:c>
      <x:c r="B1442" s="2" t="inlineStr">
        <x:is>
          <x:t xml:space="preserve">000488</x:t>
        </x:is>
      </x:c>
      <x:c r="C1442" s="3" t="inlineStr">
        <x:is>
          <x:t xml:space="preserve">ST晨鸣</x:t>
        </x:is>
      </x:c>
      <x:c r="D1442" s="3" t="inlineStr">
        <x:is>
          <x:t xml:space="preserve">山东晨鸣纸业集团股份有限公司</x:t>
        </x:is>
      </x:c>
      <x:c r="E1442" s="2" t="inlineStr">
        <x:is>
          <x:t xml:space="preserve">山东省</x:t>
        </x:is>
      </x:c>
      <x:c r="F1442" s="2" t="inlineStr">
        <x:is>
          <x:t xml:space="preserve">东省寿光市</x:t>
        </x:is>
      </x:c>
      <x:c r="G1442" s="3" t="inlineStr">
        <x:is>
          <x:t xml:space="preserve">山东省-东省寿光市</x:t>
        </x:is>
      </x:c>
      <x:c r="H1442" s="2" t="inlineStr">
        <x:is>
          <x:t xml:space="preserve">造纸印刷</x:t>
        </x:is>
      </x:c>
      <x:c r="I1442" s="2" t="inlineStr">
        <x:is>
          <x:t xml:space="preserve">2000-11-20</x:t>
        </x:is>
      </x:c>
      <x:c r="J1442" s="3" t="inlineStr">
        <x:is>
          <x:t xml:space="preserve">山东省寿光市圣城街595号</x:t>
        </x:is>
      </x:c>
      <x:c r="K1442" s="12" t="str">
        <x:f>LEFT("913700006135889860",18)</x:f>
        <x:v>913700006135889900</x:v>
      </x:c>
    </x:row>
    <x:row r="1443">
      <x:c r="A1443" s="4" t="n">
        <x:v>1442</x:v>
      </x:c>
      <x:c r="B1443" s="4" t="inlineStr">
        <x:is>
          <x:t xml:space="preserve">000498</x:t>
        </x:is>
      </x:c>
      <x:c r="C1443" s="5" t="inlineStr">
        <x:is>
          <x:t xml:space="preserve">山东路桥</x:t>
        </x:is>
      </x:c>
      <x:c r="D1443" s="5" t="inlineStr">
        <x:is>
          <x:t xml:space="preserve">山东高速路桥集团股份有限公司</x:t>
        </x:is>
      </x:c>
      <x:c r="E1443" s="4" t="inlineStr">
        <x:is>
          <x:t xml:space="preserve">山东省</x:t>
        </x:is>
      </x:c>
      <x:c r="F1443" s="4" t="inlineStr">
        <x:is>
          <x:t xml:space="preserve">济南市</x:t>
        </x:is>
      </x:c>
      <x:c r="G1443" s="5" t="inlineStr">
        <x:is>
          <x:t xml:space="preserve">山东省-济南市</x:t>
        </x:is>
      </x:c>
      <x:c r="H1443" s="4" t="inlineStr">
        <x:is>
          <x:t xml:space="preserve">工程建设</x:t>
        </x:is>
      </x:c>
      <x:c r="I1443" s="4" t="inlineStr">
        <x:is>
          <x:t xml:space="preserve">1997-06-09</x:t>
        </x:is>
      </x:c>
      <x:c r="J1443" s="5" t="inlineStr">
        <x:is>
          <x:t xml:space="preserve">山东省济南市历下区经十路14677号</x:t>
        </x:is>
      </x:c>
      <x:c r="K1443" s="12" t="str">
        <x:f>LEFT("9137000012010586X8",18)</x:f>
        <x:v>9137000012010586X8</x:v>
      </x:c>
    </x:row>
    <x:row r="1444">
      <x:c r="A1444" s="2" t="n">
        <x:v>1443</x:v>
      </x:c>
      <x:c r="B1444" s="2" t="inlineStr">
        <x:is>
          <x:t xml:space="preserve">000503</x:t>
        </x:is>
      </x:c>
      <x:c r="C1444" s="3" t="inlineStr">
        <x:is>
          <x:t xml:space="preserve">国新健康</x:t>
        </x:is>
      </x:c>
      <x:c r="D1444" s="3" t="inlineStr">
        <x:is>
          <x:t xml:space="preserve">国新健康保障服务集团股份有限公司</x:t>
        </x:is>
      </x:c>
      <x:c r="E1444" s="2" t="inlineStr">
        <x:is>
          <x:t xml:space="preserve">山东省</x:t>
        </x:is>
      </x:c>
      <x:c r="F1444" s="2" t="inlineStr">
        <x:is>
          <x:t xml:space="preserve">青岛市</x:t>
        </x:is>
      </x:c>
      <x:c r="G1444" s="3" t="inlineStr">
        <x:is>
          <x:t xml:space="preserve">山东省-青岛市</x:t>
        </x:is>
      </x:c>
      <x:c r="H1444" s="2" t="inlineStr">
        <x:is>
          <x:t xml:space="preserve">软件开发</x:t>
        </x:is>
      </x:c>
      <x:c r="I1444" s="2" t="inlineStr">
        <x:is>
          <x:t xml:space="preserve">1992-11-30</x:t>
        </x:is>
      </x:c>
      <x:c r="J1444" s="3" t="inlineStr">
        <x:is>
          <x:t xml:space="preserve">山东省青岛市黄岛区峨眉山路396号44栋401户</x:t>
        </x:is>
      </x:c>
      <x:c r="K1444" s="12" t="str">
        <x:f>LEFT("914600002012808546",18)</x:f>
        <x:v>914600002012808600</x:v>
      </x:c>
    </x:row>
    <x:row r="1445">
      <x:c r="A1445" s="4" t="n">
        <x:v>1444</x:v>
      </x:c>
      <x:c r="B1445" s="4" t="inlineStr">
        <x:is>
          <x:t xml:space="preserve">000506</x:t>
        </x:is>
      </x:c>
      <x:c r="C1445" s="5" t="inlineStr">
        <x:is>
          <x:t xml:space="preserve">招金黄金</x:t>
        </x:is>
      </x:c>
      <x:c r="D1445" s="5" t="inlineStr">
        <x:is>
          <x:t xml:space="preserve">招金国际黄金股份有限公司</x:t>
        </x:is>
      </x:c>
      <x:c r="E1445" s="4" t="inlineStr">
        <x:is>
          <x:t xml:space="preserve">山东省</x:t>
        </x:is>
      </x:c>
      <x:c r="F1445" s="4" t="inlineStr">
        <x:is>
          <x:t xml:space="preserve">济南市</x:t>
        </x:is>
      </x:c>
      <x:c r="G1445" s="5" t="inlineStr">
        <x:is>
          <x:t xml:space="preserve">山东省-济南市</x:t>
        </x:is>
      </x:c>
      <x:c r="H1445" s="4" t="inlineStr">
        <x:is>
          <x:t xml:space="preserve">贵金属</x:t>
        </x:is>
      </x:c>
      <x:c r="I1445" s="4" t="inlineStr">
        <x:is>
          <x:t xml:space="preserve">1993-03-12</x:t>
        </x:is>
      </x:c>
      <x:c r="J1445" s="5" t="inlineStr">
        <x:is>
          <x:t xml:space="preserve">山东省济南市历下区解放东路25-6号A号楼9层</x:t>
        </x:is>
      </x:c>
      <x:c r="K1445" s="12" t="str">
        <x:f>LEFT("91370000206951100B",18)</x:f>
        <x:v>91370000206951100B</x:v>
      </x:c>
    </x:row>
    <x:row r="1446">
      <x:c r="A1446" s="2" t="n">
        <x:v>1445</x:v>
      </x:c>
      <x:c r="B1446" s="2" t="inlineStr">
        <x:is>
          <x:t xml:space="preserve">000554</x:t>
        </x:is>
      </x:c>
      <x:c r="C1446" s="3" t="inlineStr">
        <x:is>
          <x:t xml:space="preserve">泰山石油</x:t>
        </x:is>
      </x:c>
      <x:c r="D1446" s="3" t="inlineStr">
        <x:is>
          <x:t xml:space="preserve">中国石化山东泰山石油股份有限公司</x:t>
        </x:is>
      </x:c>
      <x:c r="E1446" s="2" t="inlineStr">
        <x:is>
          <x:t xml:space="preserve">山东省</x:t>
        </x:is>
      </x:c>
      <x:c r="F1446" s="2" t="inlineStr">
        <x:is>
          <x:t xml:space="preserve">泰安市</x:t>
        </x:is>
      </x:c>
      <x:c r="G1446" s="3" t="inlineStr">
        <x:is>
          <x:t xml:space="preserve">山东省-泰安市</x:t>
        </x:is>
      </x:c>
      <x:c r="H1446" s="2" t="inlineStr">
        <x:is>
          <x:t xml:space="preserve">石油行业</x:t>
        </x:is>
      </x:c>
      <x:c r="I1446" s="2" t="inlineStr">
        <x:is>
          <x:t xml:space="preserve">1993-12-15</x:t>
        </x:is>
      </x:c>
      <x:c r="J1446" s="3" t="inlineStr">
        <x:is>
          <x:t xml:space="preserve">中国山东省泰安市东岳大街369号</x:t>
        </x:is>
      </x:c>
      <x:c r="K1446" s="12" t="str">
        <x:f>LEFT("913700001664087275",18)</x:f>
        <x:v>913700001664087300</x:v>
      </x:c>
    </x:row>
    <x:row r="1447">
      <x:c r="A1447" s="4" t="n">
        <x:v>1446</x:v>
      </x:c>
      <x:c r="B1447" s="4" t="inlineStr">
        <x:is>
          <x:t xml:space="preserve">000599</x:t>
        </x:is>
      </x:c>
      <x:c r="C1447" s="5" t="inlineStr">
        <x:is>
          <x:t xml:space="preserve">青岛双星</x:t>
        </x:is>
      </x:c>
      <x:c r="D1447" s="5" t="inlineStr">
        <x:is>
          <x:t xml:space="preserve">青岛双星股份有限公司</x:t>
        </x:is>
      </x:c>
      <x:c r="E1447" s="4" t="inlineStr">
        <x:is>
          <x:t xml:space="preserve">山东省</x:t>
        </x:is>
      </x:c>
      <x:c r="F1447" s="4" t="inlineStr">
        <x:is>
          <x:t xml:space="preserve">青岛市</x:t>
        </x:is>
      </x:c>
      <x:c r="G1447" s="5" t="inlineStr">
        <x:is>
          <x:t xml:space="preserve">山东省-青岛市</x:t>
        </x:is>
      </x:c>
      <x:c r="H1447" s="4" t="inlineStr">
        <x:is>
          <x:t xml:space="preserve">橡胶制品</x:t>
        </x:is>
      </x:c>
      <x:c r="I1447" s="4" t="inlineStr">
        <x:is>
          <x:t xml:space="preserve">1996-04-30</x:t>
        </x:is>
      </x:c>
      <x:c r="J1447" s="5" t="inlineStr">
        <x:is>
          <x:t xml:space="preserve">山东省青岛市黄岛区两河路666号</x:t>
        </x:is>
      </x:c>
      <x:c r="K1447" s="12" t="str">
        <x:f>LEFT("913702002646064362",18)</x:f>
        <x:v>913702002646064400</x:v>
      </x:c>
    </x:row>
    <x:row r="1448">
      <x:c r="A1448" s="2" t="n">
        <x:v>1447</x:v>
      </x:c>
      <x:c r="B1448" s="2" t="inlineStr">
        <x:is>
          <x:t xml:space="preserve">000639</x:t>
        </x:is>
      </x:c>
      <x:c r="C1448" s="3" t="inlineStr">
        <x:is>
          <x:t xml:space="preserve">西王食品</x:t>
        </x:is>
      </x:c>
      <x:c r="D1448" s="3" t="inlineStr">
        <x:is>
          <x:t xml:space="preserve">西王食品股份有限公司</x:t>
        </x:is>
      </x:c>
      <x:c r="E1448" s="2" t="inlineStr">
        <x:is>
          <x:t xml:space="preserve">山东省</x:t>
        </x:is>
      </x:c>
      <x:c r="F1448" s="2" t="inlineStr">
        <x:is>
          <x:t xml:space="preserve">东省邹平市</x:t>
        </x:is>
      </x:c>
      <x:c r="G1448" s="3" t="inlineStr">
        <x:is>
          <x:t xml:space="preserve">山东省-东省邹平市</x:t>
        </x:is>
      </x:c>
      <x:c r="H1448" s="2" t="inlineStr">
        <x:is>
          <x:t xml:space="preserve">食品饮料</x:t>
        </x:is>
      </x:c>
      <x:c r="I1448" s="2" t="inlineStr">
        <x:is>
          <x:t xml:space="preserve">1996-11-26</x:t>
        </x:is>
      </x:c>
      <x:c r="J1448" s="3" t="inlineStr">
        <x:is>
          <x:t xml:space="preserve">山东省邹平市西王工业园</x:t>
        </x:is>
      </x:c>
      <x:c r="K1448" s="12" t="str">
        <x:f>LEFT("91370000184280878R",18)</x:f>
        <x:v>91370000184280878R</x:v>
      </x:c>
    </x:row>
    <x:row r="1449">
      <x:c r="A1449" s="4" t="n">
        <x:v>1448</x:v>
      </x:c>
      <x:c r="B1449" s="4" t="inlineStr">
        <x:is>
          <x:t xml:space="preserve">000655</x:t>
        </x:is>
      </x:c>
      <x:c r="C1449" s="5" t="inlineStr">
        <x:is>
          <x:t xml:space="preserve">金岭矿业</x:t>
        </x:is>
      </x:c>
      <x:c r="D1449" s="5" t="inlineStr">
        <x:is>
          <x:t xml:space="preserve">山东金岭矿业股份有限公司</x:t>
        </x:is>
      </x:c>
      <x:c r="E1449" s="4" t="inlineStr">
        <x:is>
          <x:t xml:space="preserve">山东省</x:t>
        </x:is>
      </x:c>
      <x:c r="F1449" s="4" t="inlineStr">
        <x:is>
          <x:t xml:space="preserve">淄博市</x:t>
        </x:is>
      </x:c>
      <x:c r="G1449" s="5" t="inlineStr">
        <x:is>
          <x:t xml:space="preserve">山东省-淄博市</x:t>
        </x:is>
      </x:c>
      <x:c r="H1449" s="4" t="inlineStr">
        <x:is>
          <x:t xml:space="preserve">钢铁行业</x:t>
        </x:is>
      </x:c>
      <x:c r="I1449" s="4" t="inlineStr">
        <x:is>
          <x:t xml:space="preserve">1996-11-28</x:t>
        </x:is>
      </x:c>
      <x:c r="J1449" s="5" t="inlineStr">
        <x:is>
          <x:t xml:space="preserve">山东省淄博市张店区中埠镇</x:t>
        </x:is>
      </x:c>
      <x:c r="K1449" s="12" t="str">
        <x:f>LEFT("91370000164100307E",18)</x:f>
        <x:v>91370000164100307E</x:v>
      </x:c>
    </x:row>
    <x:row r="1450">
      <x:c r="A1450" s="2" t="n">
        <x:v>1449</x:v>
      </x:c>
      <x:c r="B1450" s="2" t="inlineStr">
        <x:is>
          <x:t xml:space="preserve">000668</x:t>
        </x:is>
      </x:c>
      <x:c r="C1450" s="3" t="inlineStr">
        <x:is>
          <x:t xml:space="preserve">荣丰控股</x:t>
        </x:is>
      </x:c>
      <x:c r="D1450" s="3" t="inlineStr">
        <x:is>
          <x:t xml:space="preserve">荣丰控股集团股份有限公司</x:t>
        </x:is>
      </x:c>
      <x:c r="E1450" s="2" t="inlineStr">
        <x:is>
          <x:t xml:space="preserve">山东省</x:t>
        </x:is>
      </x:c>
      <x:c r="F1450" s="2" t="inlineStr">
        <x:is>
          <x:t xml:space="preserve">青岛市</x:t>
        </x:is>
      </x:c>
      <x:c r="G1450" s="3" t="inlineStr">
        <x:is>
          <x:t xml:space="preserve">山东省-青岛市</x:t>
        </x:is>
      </x:c>
      <x:c r="H1450" s="2" t="inlineStr">
        <x:is>
          <x:t xml:space="preserve">房地产开发</x:t>
        </x:is>
      </x:c>
      <x:c r="I1450" s="2" t="inlineStr">
        <x:is>
          <x:t xml:space="preserve">1996-12-10</x:t>
        </x:is>
      </x:c>
      <x:c r="J1450" s="3" t="inlineStr">
        <x:is>
          <x:t xml:space="preserve">山东省青岛市黄岛区庐山路6号名嘉国际1号楼2202室</x:t>
        </x:is>
      </x:c>
      <x:c r="K1450" s="12" t="str">
        <x:f>LEFT("91310000300253536H",18)</x:f>
        <x:v>91310000300253536H</x:v>
      </x:c>
    </x:row>
    <x:row r="1451">
      <x:c r="A1451" s="4" t="n">
        <x:v>1450</x:v>
      </x:c>
      <x:c r="B1451" s="4" t="inlineStr">
        <x:is>
          <x:t xml:space="preserve">000677</x:t>
        </x:is>
      </x:c>
      <x:c r="C1451" s="5" t="inlineStr">
        <x:is>
          <x:t xml:space="preserve">恒天海龙</x:t>
        </x:is>
      </x:c>
      <x:c r="D1451" s="5" t="inlineStr">
        <x:is>
          <x:t xml:space="preserve">恒天海龙股份有限公司</x:t>
        </x:is>
      </x:c>
      <x:c r="E1451" s="4" t="inlineStr">
        <x:is>
          <x:t xml:space="preserve">山东省</x:t>
        </x:is>
      </x:c>
      <x:c r="F1451" s="4" t="inlineStr">
        <x:is>
          <x:t xml:space="preserve">潍坊市</x:t>
        </x:is>
      </x:c>
      <x:c r="G1451" s="5" t="inlineStr">
        <x:is>
          <x:t xml:space="preserve">山东省-潍坊市</x:t>
        </x:is>
      </x:c>
      <x:c r="H1451" s="4" t="inlineStr">
        <x:is>
          <x:t xml:space="preserve">化纤行业</x:t>
        </x:is>
      </x:c>
      <x:c r="I1451" s="4" t="inlineStr">
        <x:is>
          <x:t xml:space="preserve">1996-12-26</x:t>
        </x:is>
      </x:c>
      <x:c r="J1451" s="5" t="inlineStr">
        <x:is>
          <x:t xml:space="preserve">山东省潍坊市寒亭区开元街道北海路2998号潍坊总部基地一期工程东区60号楼三单元101室</x:t>
        </x:is>
      </x:c>
      <x:c r="K1451" s="12" t="str">
        <x:f>LEFT("91370000165440805H",18)</x:f>
        <x:v>91370000165440805H</x:v>
      </x:c>
    </x:row>
    <x:row r="1452">
      <x:c r="A1452" s="2" t="n">
        <x:v>1451</x:v>
      </x:c>
      <x:c r="B1452" s="2" t="inlineStr">
        <x:is>
          <x:t xml:space="preserve">000680</x:t>
        </x:is>
      </x:c>
      <x:c r="C1452" s="3" t="inlineStr">
        <x:is>
          <x:t xml:space="preserve">山推股份</x:t>
        </x:is>
      </x:c>
      <x:c r="D1452" s="3" t="inlineStr">
        <x:is>
          <x:t xml:space="preserve">山推工程机械股份有限公司</x:t>
        </x:is>
      </x:c>
      <x:c r="E1452" s="2" t="inlineStr">
        <x:is>
          <x:t xml:space="preserve">山东省</x:t>
        </x:is>
      </x:c>
      <x:c r="F1452" s="2" t="inlineStr">
        <x:is>
          <x:t xml:space="preserve">济宁市</x:t>
        </x:is>
      </x:c>
      <x:c r="G1452" s="3" t="inlineStr">
        <x:is>
          <x:t xml:space="preserve">山东省-济宁市</x:t>
        </x:is>
      </x:c>
      <x:c r="H1452" s="2" t="inlineStr">
        <x:is>
          <x:t xml:space="preserve">工程机械</x:t>
        </x:is>
      </x:c>
      <x:c r="I1452" s="2" t="inlineStr">
        <x:is>
          <x:t xml:space="preserve">1997-01-22</x:t>
        </x:is>
      </x:c>
      <x:c r="J1452" s="3" t="inlineStr">
        <x:is>
          <x:t xml:space="preserve">山东省济宁市高新区327国道58号</x:t>
        </x:is>
      </x:c>
      <x:c r="K1452" s="12" t="str">
        <x:f>LEFT("913700001659364136",18)</x:f>
        <x:v>913700001659364100</x:v>
      </x:c>
    </x:row>
    <x:row r="1453">
      <x:c r="A1453" s="4" t="n">
        <x:v>1452</x:v>
      </x:c>
      <x:c r="B1453" s="4" t="inlineStr">
        <x:is>
          <x:t xml:space="preserve">000682</x:t>
        </x:is>
      </x:c>
      <x:c r="C1453" s="5" t="inlineStr">
        <x:is>
          <x:t xml:space="preserve">东方电子</x:t>
        </x:is>
      </x:c>
      <x:c r="D1453" s="5" t="inlineStr">
        <x:is>
          <x:t xml:space="preserve">东方电子股份有限公司</x:t>
        </x:is>
      </x:c>
      <x:c r="E1453" s="4" t="inlineStr">
        <x:is>
          <x:t xml:space="preserve">山东省</x:t>
        </x:is>
      </x:c>
      <x:c r="F1453" s="4" t="inlineStr">
        <x:is>
          <x:t xml:space="preserve">烟台市</x:t>
        </x:is>
      </x:c>
      <x:c r="G1453" s="5" t="inlineStr">
        <x:is>
          <x:t xml:space="preserve">山东省-烟台市</x:t>
        </x:is>
      </x:c>
      <x:c r="H1453" s="4" t="inlineStr">
        <x:is>
          <x:t xml:space="preserve">电网设备</x:t>
        </x:is>
      </x:c>
      <x:c r="I1453" s="4" t="inlineStr">
        <x:is>
          <x:t xml:space="preserve">1997-01-21</x:t>
        </x:is>
      </x:c>
      <x:c r="J1453" s="5" t="inlineStr">
        <x:is>
          <x:t xml:space="preserve">烟台市芝罘区机场路2号</x:t>
        </x:is>
      </x:c>
      <x:c r="K1453" s="12" t="str">
        <x:f>LEFT("913700001650810568",18)</x:f>
        <x:v>913700001650810600</x:v>
      </x:c>
    </x:row>
    <x:row r="1454">
      <x:c r="A1454" s="2" t="n">
        <x:v>1453</x:v>
      </x:c>
      <x:c r="B1454" s="2" t="inlineStr">
        <x:is>
          <x:t xml:space="preserve">000720</x:t>
        </x:is>
      </x:c>
      <x:c r="C1454" s="3" t="inlineStr">
        <x:is>
          <x:t xml:space="preserve">新能泰山</x:t>
        </x:is>
      </x:c>
      <x:c r="D1454" s="3" t="inlineStr">
        <x:is>
          <x:t xml:space="preserve">山东新能泰山发电股份有限公司</x:t>
        </x:is>
      </x:c>
      <x:c r="E1454" s="2" t="inlineStr">
        <x:is>
          <x:t xml:space="preserve">山东省</x:t>
        </x:is>
      </x:c>
      <x:c r="F1454" s="2" t="inlineStr">
        <x:is>
          <x:t xml:space="preserve">泰安市</x:t>
        </x:is>
      </x:c>
      <x:c r="G1454" s="3" t="inlineStr">
        <x:is>
          <x:t xml:space="preserve">山东省-泰安市</x:t>
        </x:is>
      </x:c>
      <x:c r="H1454" s="2" t="inlineStr">
        <x:is>
          <x:t xml:space="preserve">电网设备</x:t>
        </x:is>
      </x:c>
      <x:c r="I1454" s="2" t="inlineStr">
        <x:is>
          <x:t xml:space="preserve">1997-05-09</x:t>
        </x:is>
      </x:c>
      <x:c r="J1454" s="3" t="inlineStr">
        <x:is>
          <x:t xml:space="preserve">山东省泰安市岱岳区长城西路6号</x:t>
        </x:is>
      </x:c>
      <x:c r="K1454" s="12" t="str">
        <x:f>LEFT("913700002671842400",18)</x:f>
        <x:v>913700002671842400</x:v>
      </x:c>
    </x:row>
    <x:row r="1455">
      <x:c r="A1455" s="4" t="n">
        <x:v>1454</x:v>
      </x:c>
      <x:c r="B1455" s="4" t="inlineStr">
        <x:is>
          <x:t xml:space="preserve">000726</x:t>
        </x:is>
      </x:c>
      <x:c r="C1455" s="5" t="inlineStr">
        <x:is>
          <x:t xml:space="preserve">鲁泰A</x:t>
        </x:is>
      </x:c>
      <x:c r="D1455" s="5" t="inlineStr">
        <x:is>
          <x:t xml:space="preserve">鲁泰纺织股份有限公司</x:t>
        </x:is>
      </x:c>
      <x:c r="E1455" s="4" t="inlineStr">
        <x:is>
          <x:t xml:space="preserve">山东省</x:t>
        </x:is>
      </x:c>
      <x:c r="F1455" s="4" t="inlineStr">
        <x:is>
          <x:t xml:space="preserve">淄博市</x:t>
        </x:is>
      </x:c>
      <x:c r="G1455" s="5" t="inlineStr">
        <x:is>
          <x:t xml:space="preserve">山东省-淄博市</x:t>
        </x:is>
      </x:c>
      <x:c r="H1455" s="4" t="inlineStr">
        <x:is>
          <x:t xml:space="preserve">纺织服装</x:t>
        </x:is>
      </x:c>
      <x:c r="I1455" s="4" t="inlineStr">
        <x:is>
          <x:t xml:space="preserve">2000-12-25</x:t>
        </x:is>
      </x:c>
      <x:c r="J1455" s="5" t="inlineStr">
        <x:is>
          <x:t xml:space="preserve">山东省淄博市高新技术开发区鲁泰大道61号</x:t>
        </x:is>
      </x:c>
      <x:c r="K1455" s="12" t="str">
        <x:f>LEFT("91370300613281175K",18)</x:f>
        <x:v>91370300613281175K</x:v>
      </x:c>
    </x:row>
    <x:row r="1456">
      <x:c r="A1456" s="2" t="n">
        <x:v>1455</x:v>
      </x:c>
      <x:c r="B1456" s="2" t="inlineStr">
        <x:is>
          <x:t xml:space="preserve">000756</x:t>
        </x:is>
      </x:c>
      <x:c r="C1456" s="3" t="inlineStr">
        <x:is>
          <x:t xml:space="preserve">新华制药</x:t>
        </x:is>
      </x:c>
      <x:c r="D1456" s="3" t="inlineStr">
        <x:is>
          <x:t xml:space="preserve">山东新华制药股份有限公司</x:t>
        </x:is>
      </x:c>
      <x:c r="E1456" s="2" t="inlineStr">
        <x:is>
          <x:t xml:space="preserve">山东省</x:t>
        </x:is>
      </x:c>
      <x:c r="F1456" s="2" t="inlineStr">
        <x:is>
          <x:t xml:space="preserve">淄博市</x:t>
        </x:is>
      </x:c>
      <x:c r="G1456" s="3" t="inlineStr">
        <x:is>
          <x:t xml:space="preserve">山东省-淄博市</x:t>
        </x:is>
      </x:c>
      <x:c r="H1456" s="2" t="inlineStr">
        <x:is>
          <x:t xml:space="preserve">医药制造</x:t>
        </x:is>
      </x:c>
      <x:c r="I1456" s="2" t="inlineStr">
        <x:is>
          <x:t xml:space="preserve">1997-08-06</x:t>
        </x:is>
      </x:c>
      <x:c r="J1456" s="3" t="inlineStr">
        <x:is>
          <x:t xml:space="preserve">中国山东省淄博市高新技术产业开发区化工区</x:t>
        </x:is>
      </x:c>
      <x:c r="K1456" s="12" t="str">
        <x:f>LEFT("91370300164103727C",18)</x:f>
        <x:v>91370300164103727C</x:v>
      </x:c>
    </x:row>
    <x:row r="1457">
      <x:c r="A1457" s="4" t="n">
        <x:v>1456</x:v>
      </x:c>
      <x:c r="B1457" s="4" t="inlineStr">
        <x:is>
          <x:t xml:space="preserve">000811</x:t>
        </x:is>
      </x:c>
      <x:c r="C1457" s="5" t="inlineStr">
        <x:is>
          <x:t xml:space="preserve">冰轮环境</x:t>
        </x:is>
      </x:c>
      <x:c r="D1457" s="5" t="inlineStr">
        <x:is>
          <x:t xml:space="preserve">冰轮环境技术股份有限公司</x:t>
        </x:is>
      </x:c>
      <x:c r="E1457" s="4" t="inlineStr">
        <x:is>
          <x:t xml:space="preserve">山东省</x:t>
        </x:is>
      </x:c>
      <x:c r="F1457" s="4" t="inlineStr">
        <x:is>
          <x:t xml:space="preserve">烟台市</x:t>
        </x:is>
      </x:c>
      <x:c r="G1457" s="5" t="inlineStr">
        <x:is>
          <x:t xml:space="preserve">山东省-烟台市</x:t>
        </x:is>
      </x:c>
      <x:c r="H1457" s="4" t="inlineStr">
        <x:is>
          <x:t xml:space="preserve">机械行业</x:t>
        </x:is>
      </x:c>
      <x:c r="I1457" s="4" t="inlineStr">
        <x:is>
          <x:t xml:space="preserve">1998-05-28</x:t>
        </x:is>
      </x:c>
      <x:c r="J1457" s="5" t="inlineStr">
        <x:is>
          <x:t xml:space="preserve">烟台市芝罘区冰轮路1号</x:t>
        </x:is>
      </x:c>
      <x:c r="K1457" s="12" t="str">
        <x:f>LEFT("91370000163099420E",18)</x:f>
        <x:v>91370000163099420E</x:v>
      </x:c>
    </x:row>
    <x:row r="1458">
      <x:c r="A1458" s="2" t="n">
        <x:v>1457</x:v>
      </x:c>
      <x:c r="B1458" s="2" t="inlineStr">
        <x:is>
          <x:t xml:space="preserve">000822</x:t>
        </x:is>
      </x:c>
      <x:c r="C1458" s="3" t="inlineStr">
        <x:is>
          <x:t xml:space="preserve">山东海化</x:t>
        </x:is>
      </x:c>
      <x:c r="D1458" s="3" t="inlineStr">
        <x:is>
          <x:t xml:space="preserve">山东海化股份有限公司</x:t>
        </x:is>
      </x:c>
      <x:c r="E1458" s="2" t="inlineStr">
        <x:is>
          <x:t xml:space="preserve">山东省</x:t>
        </x:is>
      </x:c>
      <x:c r="F1458" s="2" t="inlineStr">
        <x:is>
          <x:t xml:space="preserve">潍坊市</x:t>
        </x:is>
      </x:c>
      <x:c r="G1458" s="3" t="inlineStr">
        <x:is>
          <x:t xml:space="preserve">山东省-潍坊市</x:t>
        </x:is>
      </x:c>
      <x:c r="H1458" s="2" t="inlineStr">
        <x:is>
          <x:t xml:space="preserve">化学原料</x:t>
        </x:is>
      </x:c>
      <x:c r="I1458" s="2" t="inlineStr">
        <x:is>
          <x:t xml:space="preserve">1998-07-03</x:t>
        </x:is>
      </x:c>
      <x:c r="J1458" s="3" t="inlineStr">
        <x:is>
          <x:t xml:space="preserve">山东潍坊滨海经济技术开发区</x:t>
        </x:is>
      </x:c>
      <x:c r="K1458" s="12" t="str">
        <x:f>LEFT("91370000706206553L",18)</x:f>
        <x:v>91370000706206553L</x:v>
      </x:c>
    </x:row>
    <x:row r="1459">
      <x:c r="A1459" s="4" t="n">
        <x:v>1458</x:v>
      </x:c>
      <x:c r="B1459" s="4" t="inlineStr">
        <x:is>
          <x:t xml:space="preserve">000830</x:t>
        </x:is>
      </x:c>
      <x:c r="C1459" s="5" t="inlineStr">
        <x:is>
          <x:t xml:space="preserve">鲁西化工</x:t>
        </x:is>
      </x:c>
      <x:c r="D1459" s="5" t="inlineStr">
        <x:is>
          <x:t xml:space="preserve">鲁西化工集团股份有限公司</x:t>
        </x:is>
      </x:c>
      <x:c r="E1459" s="4" t="inlineStr">
        <x:is>
          <x:t xml:space="preserve">山东省</x:t>
        </x:is>
      </x:c>
      <x:c r="F1459" s="4" t="inlineStr">
        <x:is>
          <x:t xml:space="preserve">聊城市</x:t>
        </x:is>
      </x:c>
      <x:c r="G1459" s="5" t="inlineStr">
        <x:is>
          <x:t xml:space="preserve">山东省-聊城市</x:t>
        </x:is>
      </x:c>
      <x:c r="H1459" s="4" t="inlineStr">
        <x:is>
          <x:t xml:space="preserve">化学原料</x:t>
        </x:is>
      </x:c>
      <x:c r="I1459" s="4" t="inlineStr">
        <x:is>
          <x:t xml:space="preserve">1998-08-07</x:t>
        </x:is>
      </x:c>
      <x:c r="J1459" s="5" t="inlineStr">
        <x:is>
          <x:t xml:space="preserve">聊城市高新技术产业开发区鲁西化工总部驻地</x:t>
        </x:is>
      </x:c>
      <x:c r="K1459" s="12" t="str">
        <x:f>LEFT("91370000614071479T",18)</x:f>
        <x:v>91370000614071479T</x:v>
      </x:c>
    </x:row>
    <x:row r="1460">
      <x:c r="A1460" s="2" t="n">
        <x:v>1459</x:v>
      </x:c>
      <x:c r="B1460" s="2" t="inlineStr">
        <x:is>
          <x:t xml:space="preserve">000869</x:t>
        </x:is>
      </x:c>
      <x:c r="C1460" s="3" t="inlineStr">
        <x:is>
          <x:t xml:space="preserve">张裕A</x:t>
        </x:is>
      </x:c>
      <x:c r="D1460" s="3" t="inlineStr">
        <x:is>
          <x:t xml:space="preserve">烟台张裕葡萄酿酒股份有限公司</x:t>
        </x:is>
      </x:c>
      <x:c r="E1460" s="2" t="inlineStr">
        <x:is>
          <x:t xml:space="preserve">山东省</x:t>
        </x:is>
      </x:c>
      <x:c r="F1460" s="2" t="inlineStr">
        <x:is>
          <x:t xml:space="preserve">烟台市</x:t>
        </x:is>
      </x:c>
      <x:c r="G1460" s="3" t="inlineStr">
        <x:is>
          <x:t xml:space="preserve">山东省-烟台市</x:t>
        </x:is>
      </x:c>
      <x:c r="H1460" s="2" t="inlineStr">
        <x:is>
          <x:t xml:space="preserve">酿酒行业</x:t>
        </x:is>
      </x:c>
      <x:c r="I1460" s="2" t="inlineStr">
        <x:is>
          <x:t xml:space="preserve">2000-10-26</x:t>
        </x:is>
      </x:c>
      <x:c r="J1460" s="3" t="inlineStr">
        <x:is>
          <x:t xml:space="preserve">山东省烟台市大马路56号</x:t>
        </x:is>
      </x:c>
      <x:c r="K1460" s="12" t="str">
        <x:f>LEFT("913700002671000358",18)</x:f>
        <x:v>913700002671000300</x:v>
      </x:c>
    </x:row>
    <x:row r="1461">
      <x:c r="A1461" s="4" t="n">
        <x:v>1460</x:v>
      </x:c>
      <x:c r="B1461" s="4" t="inlineStr">
        <x:is>
          <x:t xml:space="preserve">000880</x:t>
        </x:is>
      </x:c>
      <x:c r="C1461" s="5" t="inlineStr">
        <x:is>
          <x:t xml:space="preserve">潍柴重机</x:t>
        </x:is>
      </x:c>
      <x:c r="D1461" s="5" t="inlineStr">
        <x:is>
          <x:t xml:space="preserve">潍柴重机股份有限公司</x:t>
        </x:is>
      </x:c>
      <x:c r="E1461" s="4" t="inlineStr">
        <x:is>
          <x:t xml:space="preserve">山东省</x:t>
        </x:is>
      </x:c>
      <x:c r="F1461" s="4" t="inlineStr">
        <x:is>
          <x:t xml:space="preserve">潍坊市</x:t>
        </x:is>
      </x:c>
      <x:c r="G1461" s="5" t="inlineStr">
        <x:is>
          <x:t xml:space="preserve">山东省-潍坊市</x:t>
        </x:is>
      </x:c>
      <x:c r="H1461" s="4" t="inlineStr">
        <x:is>
          <x:t xml:space="preserve">机械行业</x:t>
        </x:is>
      </x:c>
      <x:c r="I1461" s="4" t="inlineStr">
        <x:is>
          <x:t xml:space="preserve">1998-04-02</x:t>
        </x:is>
      </x:c>
      <x:c r="J1461" s="5" t="inlineStr">
        <x:is>
          <x:t xml:space="preserve">潍坊滨海经济技术开发区富海大街17号</x:t>
        </x:is>
      </x:c>
      <x:c r="K1461" s="12" t="str">
        <x:f>LEFT("91370000267170471W",18)</x:f>
        <x:v>91370000267170471W</x:v>
      </x:c>
    </x:row>
    <x:row r="1462">
      <x:c r="A1462" s="2" t="n">
        <x:v>1461</x:v>
      </x:c>
      <x:c r="B1462" s="2" t="inlineStr">
        <x:is>
          <x:t xml:space="preserve">000915</x:t>
        </x:is>
      </x:c>
      <x:c r="C1462" s="3" t="inlineStr">
        <x:is>
          <x:t xml:space="preserve">华特达因</x:t>
        </x:is>
      </x:c>
      <x:c r="D1462" s="3" t="inlineStr">
        <x:is>
          <x:t xml:space="preserve">山东华特达因健康股份有限公司</x:t>
        </x:is>
      </x:c>
      <x:c r="E1462" s="2" t="inlineStr">
        <x:is>
          <x:t xml:space="preserve">山东省</x:t>
        </x:is>
      </x:c>
      <x:c r="F1462" s="2" t="inlineStr">
        <x:is>
          <x:t xml:space="preserve">临沂市</x:t>
        </x:is>
      </x:c>
      <x:c r="G1462" s="3" t="inlineStr">
        <x:is>
          <x:t xml:space="preserve">山东省-临沂市</x:t>
        </x:is>
      </x:c>
      <x:c r="H1462" s="2" t="inlineStr">
        <x:is>
          <x:t xml:space="preserve">医药制造</x:t>
        </x:is>
      </x:c>
      <x:c r="I1462" s="2" t="inlineStr">
        <x:is>
          <x:t xml:space="preserve">1999-06-09</x:t>
        </x:is>
      </x:c>
      <x:c r="J1462" s="3" t="inlineStr">
        <x:is>
          <x:t xml:space="preserve">山东省沂南县县城振兴路6号</x:t>
        </x:is>
      </x:c>
      <x:c r="K1462" s="12" t="str">
        <x:f>LEFT("91370000163099017C",18)</x:f>
        <x:v>91370000163099017C</x:v>
      </x:c>
    </x:row>
    <x:row r="1463">
      <x:c r="A1463" s="4" t="n">
        <x:v>1462</x:v>
      </x:c>
      <x:c r="B1463" s="4" t="inlineStr">
        <x:is>
          <x:t xml:space="preserve">000951</x:t>
        </x:is>
      </x:c>
      <x:c r="C1463" s="5" t="inlineStr">
        <x:is>
          <x:t xml:space="preserve">中国重汽</x:t>
        </x:is>
      </x:c>
      <x:c r="D1463" s="5" t="inlineStr">
        <x:is>
          <x:t xml:space="preserve">中国重汽集团济南卡车股份有限公司</x:t>
        </x:is>
      </x:c>
      <x:c r="E1463" s="4" t="inlineStr">
        <x:is>
          <x:t xml:space="preserve">山东省</x:t>
        </x:is>
      </x:c>
      <x:c r="F1463" s="4" t="inlineStr">
        <x:is>
          <x:t xml:space="preserve">济南市</x:t>
        </x:is>
      </x:c>
      <x:c r="G1463" s="5" t="inlineStr">
        <x:is>
          <x:t xml:space="preserve">山东省-济南市</x:t>
        </x:is>
      </x:c>
      <x:c r="H1463" s="4" t="inlineStr">
        <x:is>
          <x:t xml:space="preserve">汽车整车</x:t>
        </x:is>
      </x:c>
      <x:c r="I1463" s="4" t="inlineStr">
        <x:is>
          <x:t xml:space="preserve">1999-11-25</x:t>
        </x:is>
      </x:c>
      <x:c r="J1463" s="5" t="inlineStr">
        <x:is>
          <x:t xml:space="preserve">山东省济南市莱芜区莱城大道777号</x:t>
        </x:is>
      </x:c>
      <x:c r="K1463" s="12" t="str">
        <x:f>LEFT("91370000706266513Y",18)</x:f>
        <x:v>91370000706266513Y</x:v>
      </x:c>
    </x:row>
    <x:row r="1464">
      <x:c r="A1464" s="2" t="n">
        <x:v>1463</x:v>
      </x:c>
      <x:c r="B1464" s="2" t="inlineStr">
        <x:is>
          <x:t xml:space="preserve">000957</x:t>
        </x:is>
      </x:c>
      <x:c r="C1464" s="3" t="inlineStr">
        <x:is>
          <x:t xml:space="preserve">中通客车</x:t>
        </x:is>
      </x:c>
      <x:c r="D1464" s="3" t="inlineStr">
        <x:is>
          <x:t xml:space="preserve">中通客车股份有限公司</x:t>
        </x:is>
      </x:c>
      <x:c r="E1464" s="2" t="inlineStr">
        <x:is>
          <x:t xml:space="preserve">山东省</x:t>
        </x:is>
      </x:c>
      <x:c r="F1464" s="2" t="inlineStr">
        <x:is>
          <x:t xml:space="preserve">聊城市</x:t>
        </x:is>
      </x:c>
      <x:c r="G1464" s="3" t="inlineStr">
        <x:is>
          <x:t xml:space="preserve">山东省-聊城市</x:t>
        </x:is>
      </x:c>
      <x:c r="H1464" s="2" t="inlineStr">
        <x:is>
          <x:t xml:space="preserve">汽车整车</x:t>
        </x:is>
      </x:c>
      <x:c r="I1464" s="2" t="inlineStr">
        <x:is>
          <x:t xml:space="preserve">2000-01-13</x:t>
        </x:is>
      </x:c>
      <x:c r="J1464" s="3" t="inlineStr">
        <x:is>
          <x:t xml:space="preserve">山东省聊城市经济开发区黄河路261号</x:t>
        </x:is>
      </x:c>
      <x:c r="K1464" s="12" t="str">
        <x:f>LEFT("91370000163080447D",18)</x:f>
        <x:v>91370000163080447D</x:v>
      </x:c>
    </x:row>
    <x:row r="1465">
      <x:c r="A1465" s="4" t="n">
        <x:v>1464</x:v>
      </x:c>
      <x:c r="B1465" s="4" t="inlineStr">
        <x:is>
          <x:t xml:space="preserve">000977</x:t>
        </x:is>
      </x:c>
      <x:c r="C1465" s="5" t="inlineStr">
        <x:is>
          <x:t xml:space="preserve">浪潮信息</x:t>
        </x:is>
      </x:c>
      <x:c r="D1465" s="5" t="inlineStr">
        <x:is>
          <x:t xml:space="preserve">浪潮电子信息产业股份有限公司</x:t>
        </x:is>
      </x:c>
      <x:c r="E1465" s="4" t="inlineStr">
        <x:is>
          <x:t xml:space="preserve">山东省</x:t>
        </x:is>
      </x:c>
      <x:c r="F1465" s="4" t="inlineStr">
        <x:is>
          <x:t xml:space="preserve">济南市</x:t>
        </x:is>
      </x:c>
      <x:c r="G1465" s="5" t="inlineStr">
        <x:is>
          <x:t xml:space="preserve">山东省-济南市</x:t>
        </x:is>
      </x:c>
      <x:c r="H1465" s="4" t="inlineStr">
        <x:is>
          <x:t xml:space="preserve">计算机设备</x:t>
        </x:is>
      </x:c>
      <x:c r="I1465" s="4" t="inlineStr">
        <x:is>
          <x:t xml:space="preserve">2000-06-08</x:t>
        </x:is>
      </x:c>
      <x:c r="J1465" s="5" t="inlineStr">
        <x:is>
          <x:t xml:space="preserve">济南高新区草山岭南路801号9层东侧</x:t>
        </x:is>
      </x:c>
      <x:c r="K1465" s="12" t="str">
        <x:f>LEFT("91370000706266601D",18)</x:f>
        <x:v>91370000706266601D</x:v>
      </x:c>
    </x:row>
    <x:row r="1466">
      <x:c r="A1466" s="2" t="n">
        <x:v>1465</x:v>
      </x:c>
      <x:c r="B1466" s="2" t="inlineStr">
        <x:is>
          <x:t xml:space="preserve">001207</x:t>
        </x:is>
      </x:c>
      <x:c r="C1466" s="3" t="inlineStr">
        <x:is>
          <x:t xml:space="preserve">联科科技</x:t>
        </x:is>
      </x:c>
      <x:c r="D1466" s="3" t="inlineStr">
        <x:is>
          <x:t xml:space="preserve">山东联科科技股份有限公司</x:t>
        </x:is>
      </x:c>
      <x:c r="E1466" s="2" t="inlineStr">
        <x:is>
          <x:t xml:space="preserve">山东省</x:t>
        </x:is>
      </x:c>
      <x:c r="F1466" s="2" t="inlineStr">
        <x:is>
          <x:t xml:space="preserve">潍坊市</x:t>
        </x:is>
      </x:c>
      <x:c r="G1466" s="3" t="inlineStr">
        <x:is>
          <x:t xml:space="preserve">山东省-潍坊市</x:t>
        </x:is>
      </x:c>
      <x:c r="H1466" s="2" t="inlineStr">
        <x:is>
          <x:t xml:space="preserve">橡胶制品</x:t>
        </x:is>
      </x:c>
      <x:c r="I1466" s="2" t="inlineStr">
        <x:is>
          <x:t xml:space="preserve">2021-06-23</x:t>
        </x:is>
      </x:c>
      <x:c r="J1466" s="3" t="inlineStr">
        <x:is>
          <x:t xml:space="preserve">山东省潍坊市青州市鲁星路577号</x:t>
        </x:is>
      </x:c>
      <x:c r="K1466" s="12" t="str">
        <x:f>LEFT("91370781727572181L",18)</x:f>
        <x:v>91370781727572181L</x:v>
      </x:c>
    </x:row>
    <x:row r="1467">
      <x:c r="A1467" s="4" t="n">
        <x:v>1466</x:v>
      </x:c>
      <x:c r="B1467" s="4" t="inlineStr">
        <x:is>
          <x:t xml:space="preserve">001219</x:t>
        </x:is>
      </x:c>
      <x:c r="C1467" s="5" t="inlineStr">
        <x:is>
          <x:t xml:space="preserve">青岛食品</x:t>
        </x:is>
      </x:c>
      <x:c r="D1467" s="5" t="inlineStr">
        <x:is>
          <x:t xml:space="preserve">青岛食品股份有限公司</x:t>
        </x:is>
      </x:c>
      <x:c r="E1467" s="4" t="inlineStr">
        <x:is>
          <x:t xml:space="preserve">山东省</x:t>
        </x:is>
      </x:c>
      <x:c r="F1467" s="4" t="inlineStr">
        <x:is>
          <x:t xml:space="preserve">青岛市</x:t>
        </x:is>
      </x:c>
      <x:c r="G1467" s="5" t="inlineStr">
        <x:is>
          <x:t xml:space="preserve">山东省-青岛市</x:t>
        </x:is>
      </x:c>
      <x:c r="H1467" s="4" t="inlineStr">
        <x:is>
          <x:t xml:space="preserve">食品饮料</x:t>
        </x:is>
      </x:c>
      <x:c r="I1467" s="4" t="inlineStr">
        <x:is>
          <x:t xml:space="preserve">2021-10-21</x:t>
        </x:is>
      </x:c>
      <x:c r="J1467" s="5" t="inlineStr">
        <x:is>
          <x:t xml:space="preserve">青岛市李沧区四流中支路2号</x:t>
        </x:is>
      </x:c>
      <x:c r="K1467" s="12" t="str">
        <x:f>LEFT("913702002646273174",18)</x:f>
        <x:v>913702002646273200</x:v>
      </x:c>
    </x:row>
    <x:row r="1468">
      <x:c r="A1468" s="2" t="n">
        <x:v>1467</x:v>
      </x:c>
      <x:c r="B1468" s="2" t="inlineStr">
        <x:is>
          <x:t xml:space="preserve">001260</x:t>
        </x:is>
      </x:c>
      <x:c r="C1468" s="3" t="inlineStr">
        <x:is>
          <x:t xml:space="preserve">坤泰股份</x:t>
        </x:is>
      </x:c>
      <x:c r="D1468" s="3" t="inlineStr">
        <x:is>
          <x:t xml:space="preserve">山东坤泰新材料科技股份有限公司</x:t>
        </x:is>
      </x:c>
      <x:c r="E1468" s="2" t="inlineStr">
        <x:is>
          <x:t xml:space="preserve">山东省</x:t>
        </x:is>
      </x:c>
      <x:c r="F1468" s="2" t="inlineStr">
        <x:is>
          <x:t xml:space="preserve">烟台市</x:t>
        </x:is>
      </x:c>
      <x:c r="G1468" s="3" t="inlineStr">
        <x:is>
          <x:t xml:space="preserve">山东省-烟台市</x:t>
        </x:is>
      </x:c>
      <x:c r="H1468" s="2" t="inlineStr">
        <x:is>
          <x:t xml:space="preserve">汽车零部件</x:t>
        </x:is>
      </x:c>
      <x:c r="I1468" s="2" t="inlineStr">
        <x:is>
          <x:t xml:space="preserve">2023-02-16</x:t>
        </x:is>
      </x:c>
      <x:c r="J1468" s="3" t="inlineStr">
        <x:is>
          <x:t xml:space="preserve">山东省烟台市福山区白云山路75号</x:t>
        </x:is>
      </x:c>
      <x:c r="K1468" s="12" t="str">
        <x:f>LEFT("91370611698088023W",18)</x:f>
        <x:v>91370611698088023W</x:v>
      </x:c>
    </x:row>
    <x:row r="1469">
      <x:c r="A1469" s="4" t="n">
        <x:v>1468</x:v>
      </x:c>
      <x:c r="B1469" s="4" t="inlineStr">
        <x:is>
          <x:t xml:space="preserve">001300</x:t>
        </x:is>
      </x:c>
      <x:c r="C1469" s="5" t="inlineStr">
        <x:is>
          <x:t xml:space="preserve">三柏硕</x:t>
        </x:is>
      </x:c>
      <x:c r="D1469" s="5" t="inlineStr">
        <x:is>
          <x:t xml:space="preserve">青岛三柏硕健康科技股份有限公司</x:t>
        </x:is>
      </x:c>
      <x:c r="E1469" s="4" t="inlineStr">
        <x:is>
          <x:t xml:space="preserve">山东省</x:t>
        </x:is>
      </x:c>
      <x:c r="F1469" s="4" t="inlineStr">
        <x:is>
          <x:t xml:space="preserve">青岛市</x:t>
        </x:is>
      </x:c>
      <x:c r="G1469" s="5" t="inlineStr">
        <x:is>
          <x:t xml:space="preserve">山东省-青岛市</x:t>
        </x:is>
      </x:c>
      <x:c r="H1469" s="4" t="inlineStr">
        <x:is>
          <x:t xml:space="preserve">家用轻工</x:t>
        </x:is>
      </x:c>
      <x:c r="I1469" s="4" t="inlineStr">
        <x:is>
          <x:t xml:space="preserve">2022-10-19</x:t>
        </x:is>
      </x:c>
      <x:c r="J1469" s="5" t="inlineStr">
        <x:is>
          <x:t xml:space="preserve">山东省青岛市城阳区荣海二路3号</x:t>
        </x:is>
      </x:c>
      <x:c r="K1469" s="12" t="str">
        <x:f>LEFT("91370214760283533M",18)</x:f>
        <x:v>91370214760283533M</x:v>
      </x:c>
    </x:row>
    <x:row r="1470">
      <x:c r="A1470" s="2" t="n">
        <x:v>1469</x:v>
      </x:c>
      <x:c r="B1470" s="2" t="inlineStr">
        <x:is>
          <x:t xml:space="preserve">001331</x:t>
        </x:is>
      </x:c>
      <x:c r="C1470" s="3" t="inlineStr">
        <x:is>
          <x:t xml:space="preserve">胜通能源</x:t>
        </x:is>
      </x:c>
      <x:c r="D1470" s="3" t="inlineStr">
        <x:is>
          <x:t xml:space="preserve">胜通能源股份有限公司</x:t>
        </x:is>
      </x:c>
      <x:c r="E1470" s="2" t="inlineStr">
        <x:is>
          <x:t xml:space="preserve">山东省</x:t>
        </x:is>
      </x:c>
      <x:c r="F1470" s="2" t="inlineStr">
        <x:is>
          <x:t xml:space="preserve">烟台市</x:t>
        </x:is>
      </x:c>
      <x:c r="G1470" s="3" t="inlineStr">
        <x:is>
          <x:t xml:space="preserve">山东省-烟台市</x:t>
        </x:is>
      </x:c>
      <x:c r="H1470" s="2" t="inlineStr">
        <x:is>
          <x:t xml:space="preserve">物流行业</x:t>
        </x:is>
      </x:c>
      <x:c r="I1470" s="2" t="inlineStr">
        <x:is>
          <x:t xml:space="preserve">2022-09-08</x:t>
        </x:is>
      </x:c>
      <x:c r="J1470" s="3" t="inlineStr">
        <x:is>
          <x:t xml:space="preserve">山东省烟台市龙口市经济开发区和平路5000号</x:t>
        </x:is>
      </x:c>
      <x:c r="K1470" s="12" t="str">
        <x:f>LEFT("91370681057901272T",18)</x:f>
        <x:v>91370681057901272T</x:v>
      </x:c>
    </x:row>
    <x:row r="1471">
      <x:c r="A1471" s="4" t="n">
        <x:v>1470</x:v>
      </x:c>
      <x:c r="B1471" s="4" t="inlineStr">
        <x:is>
          <x:t xml:space="preserve">001379</x:t>
        </x:is>
      </x:c>
      <x:c r="C1471" s="5" t="inlineStr">
        <x:is>
          <x:t xml:space="preserve">腾达科技</x:t>
        </x:is>
      </x:c>
      <x:c r="D1471" s="5" t="inlineStr">
        <x:is>
          <x:t xml:space="preserve">山东腾达紧固科技股份有限公司</x:t>
        </x:is>
      </x:c>
      <x:c r="E1471" s="4" t="inlineStr">
        <x:is>
          <x:t xml:space="preserve">山东省</x:t>
        </x:is>
      </x:c>
      <x:c r="F1471" s="4" t="inlineStr">
        <x:is>
          <x:t xml:space="preserve">枣庄市</x:t>
        </x:is>
      </x:c>
      <x:c r="G1471" s="5" t="inlineStr">
        <x:is>
          <x:t xml:space="preserve">山东省-枣庄市</x:t>
        </x:is>
      </x:c>
      <x:c r="H1471" s="4" t="inlineStr">
        <x:is>
          <x:t xml:space="preserve">通用设备</x:t>
        </x:is>
      </x:c>
      <x:c r="I1471" s="4" t="inlineStr">
        <x:is>
          <x:t xml:space="preserve">2024-01-19</x:t>
        </x:is>
      </x:c>
      <x:c r="J1471" s="5" t="inlineStr">
        <x:is>
          <x:t xml:space="preserve">山东省枣庄市滕州市经济开发区鲁班大道北路1999号</x:t>
        </x:is>
      </x:c>
      <x:c r="K1471" s="12" t="str">
        <x:f>LEFT("91370400MA3C4LWU1B",18)</x:f>
        <x:v>91370400MA3C4LWU1B</x:v>
      </x:c>
    </x:row>
    <x:row r="1472">
      <x:c r="A1472" s="2" t="n">
        <x:v>1471</x:v>
      </x:c>
      <x:c r="B1472" s="2" t="inlineStr">
        <x:is>
          <x:t xml:space="preserve">001388</x:t>
        </x:is>
      </x:c>
      <x:c r="C1472" s="3" t="inlineStr">
        <x:is>
          <x:t xml:space="preserve">信通电子</x:t>
        </x:is>
      </x:c>
      <x:c r="D1472" s="3" t="inlineStr">
        <x:is>
          <x:t xml:space="preserve">山东信通电子股份有限公司</x:t>
        </x:is>
      </x:c>
      <x:c r="E1472" s="2" t="inlineStr">
        <x:is>
          <x:t xml:space="preserve">山东省</x:t>
        </x:is>
      </x:c>
      <x:c r="F1472" s="2" t="inlineStr">
        <x:is>
          <x:t xml:space="preserve">淄博市</x:t>
        </x:is>
      </x:c>
      <x:c r="G1472" s="3" t="inlineStr">
        <x:is>
          <x:t xml:space="preserve">山东省-淄博市</x:t>
        </x:is>
      </x:c>
      <x:c r="H1472" s="2" t="inlineStr">
        <x:is>
          <x:t xml:space="preserve">电网设备</x:t>
        </x:is>
      </x:c>
      <x:c r="I1472" s="2" t="inlineStr">
        <x:is>
          <x:t xml:space="preserve">2025-07-01</x:t>
        </x:is>
      </x:c>
      <x:c r="J1472" s="3" t="inlineStr">
        <x:is>
          <x:t xml:space="preserve">山东省淄博高新区柳毅山路18号</x:t>
        </x:is>
      </x:c>
      <x:c r="K1472" s="12" t="str">
        <x:f>LEFT("91370300265170726B",18)</x:f>
        <x:v>91370300265170726B</x:v>
      </x:c>
    </x:row>
    <x:row r="1473">
      <x:c r="A1473" s="4" t="n">
        <x:v>1472</x:v>
      </x:c>
      <x:c r="B1473" s="4" t="inlineStr">
        <x:is>
          <x:t xml:space="preserve">002026</x:t>
        </x:is>
      </x:c>
      <x:c r="C1473" s="5" t="inlineStr">
        <x:is>
          <x:t xml:space="preserve">山东威达</x:t>
        </x:is>
      </x:c>
      <x:c r="D1473" s="5" t="inlineStr">
        <x:is>
          <x:t xml:space="preserve">山东威达机械股份有限公司</x:t>
        </x:is>
      </x:c>
      <x:c r="E1473" s="4" t="inlineStr">
        <x:is>
          <x:t xml:space="preserve">山东省</x:t>
        </x:is>
      </x:c>
      <x:c r="F1473" s="4" t="inlineStr">
        <x:is>
          <x:t xml:space="preserve">威海市</x:t>
        </x:is>
      </x:c>
      <x:c r="G1473" s="5" t="inlineStr">
        <x:is>
          <x:t xml:space="preserve">山东省-威海市</x:t>
        </x:is>
      </x:c>
      <x:c r="H1473" s="4" t="inlineStr">
        <x:is>
          <x:t xml:space="preserve">机械行业</x:t>
        </x:is>
      </x:c>
      <x:c r="I1473" s="4" t="inlineStr">
        <x:is>
          <x:t xml:space="preserve">2004-07-27</x:t>
        </x:is>
      </x:c>
      <x:c r="J1473" s="5" t="inlineStr">
        <x:is>
          <x:t xml:space="preserve">山东省威海临港经济技术开发区苘山镇中韩路2号</x:t>
        </x:is>
      </x:c>
      <x:c r="K1473" s="12" t="str">
        <x:f>LEFT("91371000706233420G",18)</x:f>
        <x:v>91371000706233420G</x:v>
      </x:c>
    </x:row>
    <x:row r="1474">
      <x:c r="A1474" s="2" t="n">
        <x:v>1473</x:v>
      </x:c>
      <x:c r="B1474" s="2" t="inlineStr">
        <x:is>
          <x:t xml:space="preserve">002041</x:t>
        </x:is>
      </x:c>
      <x:c r="C1474" s="3" t="inlineStr">
        <x:is>
          <x:t xml:space="preserve">登海种业</x:t>
        </x:is>
      </x:c>
      <x:c r="D1474" s="3" t="inlineStr">
        <x:is>
          <x:t xml:space="preserve">山东登海种业股份有限公司</x:t>
        </x:is>
      </x:c>
      <x:c r="E1474" s="2" t="inlineStr">
        <x:is>
          <x:t xml:space="preserve">山东省</x:t>
        </x:is>
      </x:c>
      <x:c r="F1474" s="2" t="inlineStr">
        <x:is>
          <x:t xml:space="preserve">东省莱州市</x:t>
        </x:is>
      </x:c>
      <x:c r="G1474" s="3" t="inlineStr">
        <x:is>
          <x:t xml:space="preserve">山东省-东省莱州市</x:t>
        </x:is>
      </x:c>
      <x:c r="H1474" s="2" t="inlineStr">
        <x:is>
          <x:t xml:space="preserve">农牧饲渔</x:t>
        </x:is>
      </x:c>
      <x:c r="I1474" s="2" t="inlineStr">
        <x:is>
          <x:t xml:space="preserve">2005-04-18</x:t>
        </x:is>
      </x:c>
      <x:c r="J1474" s="3" t="inlineStr">
        <x:is>
          <x:t xml:space="preserve">山东省莱州市城山路农科院南邻</x:t>
        </x:is>
      </x:c>
      <x:c r="K1474" s="12" t="str">
        <x:f>LEFT("913700007262099548",18)</x:f>
        <x:v>913700007262099600</x:v>
      </x:c>
    </x:row>
    <x:row r="1475">
      <x:c r="A1475" s="4" t="n">
        <x:v>1474</x:v>
      </x:c>
      <x:c r="B1475" s="4" t="inlineStr">
        <x:is>
          <x:t xml:space="preserve">002073</x:t>
        </x:is>
      </x:c>
      <x:c r="C1475" s="5" t="inlineStr">
        <x:is>
          <x:t xml:space="preserve">软控股份</x:t>
        </x:is>
      </x:c>
      <x:c r="D1475" s="5" t="inlineStr">
        <x:is>
          <x:t xml:space="preserve">软控股份有限公司</x:t>
        </x:is>
      </x:c>
      <x:c r="E1475" s="4" t="inlineStr">
        <x:is>
          <x:t xml:space="preserve">山东省</x:t>
        </x:is>
      </x:c>
      <x:c r="F1475" s="4" t="inlineStr">
        <x:is>
          <x:t xml:space="preserve">青岛市</x:t>
        </x:is>
      </x:c>
      <x:c r="G1475" s="5" t="inlineStr">
        <x:is>
          <x:t xml:space="preserve">山东省-青岛市</x:t>
        </x:is>
      </x:c>
      <x:c r="H1475" s="4" t="inlineStr">
        <x:is>
          <x:t xml:space="preserve">专用设备</x:t>
        </x:is>
      </x:c>
      <x:c r="I1475" s="4" t="inlineStr">
        <x:is>
          <x:t xml:space="preserve">2006-10-18</x:t>
        </x:is>
      </x:c>
      <x:c r="J1475" s="5" t="inlineStr">
        <x:is>
          <x:t xml:space="preserve">山东省青岛市高新区新业路31号远创国际蓝湾创意园B区1号楼202室</x:t>
        </x:is>
      </x:c>
      <x:c r="K1475" s="12" t="str">
        <x:f>LEFT("913702007180555372",18)</x:f>
        <x:v>913702007180555400</x:v>
      </x:c>
    </x:row>
    <x:row r="1476">
      <x:c r="A1476" s="2" t="n">
        <x:v>1475</x:v>
      </x:c>
      <x:c r="B1476" s="2" t="inlineStr">
        <x:is>
          <x:t xml:space="preserve">002078</x:t>
        </x:is>
      </x:c>
      <x:c r="C1476" s="3" t="inlineStr">
        <x:is>
          <x:t xml:space="preserve">太阳纸业</x:t>
        </x:is>
      </x:c>
      <x:c r="D1476" s="3" t="inlineStr">
        <x:is>
          <x:t xml:space="preserve">山东太阳纸业股份有限公司</x:t>
        </x:is>
      </x:c>
      <x:c r="E1476" s="2" t="inlineStr">
        <x:is>
          <x:t xml:space="preserve">山东省</x:t>
        </x:is>
      </x:c>
      <x:c r="F1476" s="2" t="inlineStr">
        <x:is>
          <x:t xml:space="preserve">济宁市</x:t>
        </x:is>
      </x:c>
      <x:c r="G1476" s="3" t="inlineStr">
        <x:is>
          <x:t xml:space="preserve">山东省-济宁市</x:t>
        </x:is>
      </x:c>
      <x:c r="H1476" s="2" t="inlineStr">
        <x:is>
          <x:t xml:space="preserve">造纸印刷</x:t>
        </x:is>
      </x:c>
      <x:c r="I1476" s="2" t="inlineStr">
        <x:is>
          <x:t xml:space="preserve">2006-11-16</x:t>
        </x:is>
      </x:c>
      <x:c r="J1476" s="3" t="inlineStr">
        <x:is>
          <x:t xml:space="preserve">山东省济宁市兖州区西关大街66号</x:t>
        </x:is>
      </x:c>
      <x:c r="K1476" s="12" t="str">
        <x:f>LEFT("91370800706094280Q",18)</x:f>
        <x:v>91370800706094280Q</x:v>
      </x:c>
    </x:row>
    <x:row r="1477">
      <x:c r="A1477" s="4" t="n">
        <x:v>1476</x:v>
      </x:c>
      <x:c r="B1477" s="4" t="inlineStr">
        <x:is>
          <x:t xml:space="preserve">002083</x:t>
        </x:is>
      </x:c>
      <x:c r="C1477" s="5" t="inlineStr">
        <x:is>
          <x:t xml:space="preserve">孚日股份</x:t>
        </x:is>
      </x:c>
      <x:c r="D1477" s="5" t="inlineStr">
        <x:is>
          <x:t xml:space="preserve">孚日集团股份有限公司</x:t>
        </x:is>
      </x:c>
      <x:c r="E1477" s="4" t="inlineStr">
        <x:is>
          <x:t xml:space="preserve">山东省</x:t>
        </x:is>
      </x:c>
      <x:c r="F1477" s="4" t="inlineStr">
        <x:is>
          <x:t xml:space="preserve">潍坊市</x:t>
        </x:is>
      </x:c>
      <x:c r="G1477" s="5" t="inlineStr">
        <x:is>
          <x:t xml:space="preserve">山东省-潍坊市</x:t>
        </x:is>
      </x:c>
      <x:c r="H1477" s="4" t="inlineStr">
        <x:is>
          <x:t xml:space="preserve">纺织服装</x:t>
        </x:is>
      </x:c>
      <x:c r="I1477" s="4" t="inlineStr">
        <x:is>
          <x:t xml:space="preserve">2006-11-24</x:t>
        </x:is>
      </x:c>
      <x:c r="J1477" s="5" t="inlineStr">
        <x:is>
          <x:t xml:space="preserve">潍坊高密市孚日街1号</x:t>
        </x:is>
      </x:c>
      <x:c r="K1477" s="12" t="str">
        <x:f>LEFT("91370700165840155D",18)</x:f>
        <x:v>91370700165840155D</x:v>
      </x:c>
    </x:row>
    <x:row r="1478">
      <x:c r="A1478" s="2" t="n">
        <x:v>1477</x:v>
      </x:c>
      <x:c r="B1478" s="2" t="inlineStr">
        <x:is>
          <x:t xml:space="preserve">002086</x:t>
        </x:is>
      </x:c>
      <x:c r="C1478" s="3" t="inlineStr">
        <x:is>
          <x:t xml:space="preserve">东方海洋</x:t>
        </x:is>
      </x:c>
      <x:c r="D1478" s="3" t="inlineStr">
        <x:is>
          <x:t xml:space="preserve">山东东方海洋科技股份有限公司</x:t>
        </x:is>
      </x:c>
      <x:c r="E1478" s="2" t="inlineStr">
        <x:is>
          <x:t xml:space="preserve">山东省</x:t>
        </x:is>
      </x:c>
      <x:c r="F1478" s="2" t="inlineStr">
        <x:is>
          <x:t xml:space="preserve">烟台市</x:t>
        </x:is>
      </x:c>
      <x:c r="G1478" s="3" t="inlineStr">
        <x:is>
          <x:t xml:space="preserve">山东省-烟台市</x:t>
        </x:is>
      </x:c>
      <x:c r="H1478" s="2" t="inlineStr">
        <x:is>
          <x:t xml:space="preserve">农牧饲渔</x:t>
        </x:is>
      </x:c>
      <x:c r="I1478" s="2" t="inlineStr">
        <x:is>
          <x:t xml:space="preserve">2006-11-28</x:t>
        </x:is>
      </x:c>
      <x:c r="J1478" s="3" t="inlineStr">
        <x:is>
          <x:t xml:space="preserve">山东省烟台市莱山区澳柯玛大街18号</x:t>
        </x:is>
      </x:c>
      <x:c r="K1478" s="12" t="str">
        <x:f>LEFT("91370000734690418Q",18)</x:f>
        <x:v>91370000734690418Q</x:v>
      </x:c>
    </x:row>
    <x:row r="1479">
      <x:c r="A1479" s="4" t="n">
        <x:v>1478</x:v>
      </x:c>
      <x:c r="B1479" s="4" t="inlineStr">
        <x:is>
          <x:t xml:space="preserve">002088</x:t>
        </x:is>
      </x:c>
      <x:c r="C1479" s="5" t="inlineStr">
        <x:is>
          <x:t xml:space="preserve">鲁阳节能</x:t>
        </x:is>
      </x:c>
      <x:c r="D1479" s="5" t="inlineStr">
        <x:is>
          <x:t xml:space="preserve">山东鲁阳节能材料股份有限公司</x:t>
        </x:is>
      </x:c>
      <x:c r="E1479" s="4" t="inlineStr">
        <x:is>
          <x:t xml:space="preserve">山东省</x:t>
        </x:is>
      </x:c>
      <x:c r="F1479" s="4" t="inlineStr">
        <x:is>
          <x:t xml:space="preserve">淄博市</x:t>
        </x:is>
      </x:c>
      <x:c r="G1479" s="5" t="inlineStr">
        <x:is>
          <x:t xml:space="preserve">山东省-淄博市</x:t>
        </x:is>
      </x:c>
      <x:c r="H1479" s="4" t="inlineStr">
        <x:is>
          <x:t xml:space="preserve">装修建材</x:t>
        </x:is>
      </x:c>
      <x:c r="I1479" s="4" t="inlineStr">
        <x:is>
          <x:t xml:space="preserve">2006-11-30</x:t>
        </x:is>
      </x:c>
      <x:c r="J1479" s="5" t="inlineStr">
        <x:is>
          <x:t xml:space="preserve">山东省淄博市沂源县沂河路11号</x:t>
        </x:is>
      </x:c>
      <x:c r="K1479" s="12" t="str">
        <x:f>LEFT("91370000267171810H",18)</x:f>
        <x:v>91370000267171810H</x:v>
      </x:c>
    </x:row>
    <x:row r="1480">
      <x:c r="A1480" s="2" t="n">
        <x:v>1479</x:v>
      </x:c>
      <x:c r="B1480" s="2" t="inlineStr">
        <x:is>
          <x:t xml:space="preserve">002094</x:t>
        </x:is>
      </x:c>
      <x:c r="C1480" s="3" t="inlineStr">
        <x:is>
          <x:t xml:space="preserve">青岛金王</x:t>
        </x:is>
      </x:c>
      <x:c r="D1480" s="3" t="inlineStr">
        <x:is>
          <x:t xml:space="preserve">青岛金王应用化学股份有限公司</x:t>
        </x:is>
      </x:c>
      <x:c r="E1480" s="2" t="inlineStr">
        <x:is>
          <x:t xml:space="preserve">山东省</x:t>
        </x:is>
      </x:c>
      <x:c r="F1480" s="2" t="inlineStr">
        <x:is>
          <x:t xml:space="preserve">青岛市</x:t>
        </x:is>
      </x:c>
      <x:c r="G1480" s="3" t="inlineStr">
        <x:is>
          <x:t xml:space="preserve">山东省-青岛市</x:t>
        </x:is>
      </x:c>
      <x:c r="H1480" s="2" t="inlineStr">
        <x:is>
          <x:t xml:space="preserve">家用轻工</x:t>
        </x:is>
      </x:c>
      <x:c r="I1480" s="2" t="inlineStr">
        <x:is>
          <x:t xml:space="preserve">2006-12-15</x:t>
        </x:is>
      </x:c>
      <x:c r="J1480" s="3" t="inlineStr">
        <x:is>
          <x:t xml:space="preserve">青岛即墨市青岛环保产业园</x:t>
        </x:is>
      </x:c>
      <x:c r="K1480" s="12" t="str">
        <x:f>LEFT("913702006143182166",18)</x:f>
        <x:v>913702006143182200</x:v>
      </x:c>
    </x:row>
    <x:row r="1481">
      <x:c r="A1481" s="4" t="n">
        <x:v>1480</x:v>
      </x:c>
      <x:c r="B1481" s="4" t="inlineStr">
        <x:is>
          <x:t xml:space="preserve">002107</x:t>
        </x:is>
      </x:c>
      <x:c r="C1481" s="5" t="inlineStr">
        <x:is>
          <x:t xml:space="preserve">沃华医药</x:t>
        </x:is>
      </x:c>
      <x:c r="D1481" s="5" t="inlineStr">
        <x:is>
          <x:t xml:space="preserve">山东沃华医药科技股份有限公司</x:t>
        </x:is>
      </x:c>
      <x:c r="E1481" s="4" t="inlineStr">
        <x:is>
          <x:t xml:space="preserve">山东省</x:t>
        </x:is>
      </x:c>
      <x:c r="F1481" s="4" t="inlineStr">
        <x:is>
          <x:t xml:space="preserve">潍坊市</x:t>
        </x:is>
      </x:c>
      <x:c r="G1481" s="5" t="inlineStr">
        <x:is>
          <x:t xml:space="preserve">山东省-潍坊市</x:t>
        </x:is>
      </x:c>
      <x:c r="H1481" s="4" t="inlineStr">
        <x:is>
          <x:t xml:space="preserve">中药</x:t>
        </x:is>
      </x:c>
      <x:c r="I1481" s="4" t="inlineStr">
        <x:is>
          <x:t xml:space="preserve">2007-01-24</x:t>
        </x:is>
      </x:c>
      <x:c r="J1481" s="5" t="inlineStr">
        <x:is>
          <x:t xml:space="preserve">山东省潍坊市高新技术产业开发区梨园街3517号</x:t>
        </x:is>
      </x:c>
      <x:c r="K1481" s="12" t="str">
        <x:f>LEFT("91370000165446553T",18)</x:f>
        <x:v>91370000165446553T</x:v>
      </x:c>
    </x:row>
    <x:row r="1482">
      <x:c r="A1482" s="2" t="n">
        <x:v>1481</x:v>
      </x:c>
      <x:c r="B1482" s="2" t="inlineStr">
        <x:is>
          <x:t xml:space="preserve">002111</x:t>
        </x:is>
      </x:c>
      <x:c r="C1482" s="3" t="inlineStr">
        <x:is>
          <x:t xml:space="preserve">威海广泰</x:t>
        </x:is>
      </x:c>
      <x:c r="D1482" s="3" t="inlineStr">
        <x:is>
          <x:t xml:space="preserve">威海广泰空港设备股份有限公司</x:t>
        </x:is>
      </x:c>
      <x:c r="E1482" s="2" t="inlineStr">
        <x:is>
          <x:t xml:space="preserve">山东省</x:t>
        </x:is>
      </x:c>
      <x:c r="F1482" s="2" t="inlineStr">
        <x:is>
          <x:t xml:space="preserve">威海市</x:t>
        </x:is>
      </x:c>
      <x:c r="G1482" s="3" t="inlineStr">
        <x:is>
          <x:t xml:space="preserve">山东省-威海市</x:t>
        </x:is>
      </x:c>
      <x:c r="H1482" s="2" t="inlineStr">
        <x:is>
          <x:t xml:space="preserve">专用设备</x:t>
        </x:is>
      </x:c>
      <x:c r="I1482" s="2" t="inlineStr">
        <x:is>
          <x:t xml:space="preserve">2007-01-26</x:t>
        </x:is>
      </x:c>
      <x:c r="J1482" s="3" t="inlineStr">
        <x:is>
          <x:t xml:space="preserve">山东省威海市环翠区黄河街16号</x:t>
        </x:is>
      </x:c>
      <x:c r="K1482" s="12" t="str">
        <x:f>LEFT("913710002642503020",18)</x:f>
        <x:v>913710002642503000</x:v>
      </x:c>
    </x:row>
    <x:row r="1483">
      <x:c r="A1483" s="4" t="n">
        <x:v>1482</x:v>
      </x:c>
      <x:c r="B1483" s="4" t="inlineStr">
        <x:is>
          <x:t xml:space="preserve">002117</x:t>
        </x:is>
      </x:c>
      <x:c r="C1483" s="5" t="inlineStr">
        <x:is>
          <x:t xml:space="preserve">东港股份</x:t>
        </x:is>
      </x:c>
      <x:c r="D1483" s="5" t="inlineStr">
        <x:is>
          <x:t xml:space="preserve">东港股份有限公司</x:t>
        </x:is>
      </x:c>
      <x:c r="E1483" s="4" t="inlineStr">
        <x:is>
          <x:t xml:space="preserve">山东省</x:t>
        </x:is>
      </x:c>
      <x:c r="F1483" s="4" t="inlineStr">
        <x:is>
          <x:t xml:space="preserve">济南市</x:t>
        </x:is>
      </x:c>
      <x:c r="G1483" s="5" t="inlineStr">
        <x:is>
          <x:t xml:space="preserve">山东省-济南市</x:t>
        </x:is>
      </x:c>
      <x:c r="H1483" s="4" t="inlineStr">
        <x:is>
          <x:t xml:space="preserve">造纸印刷</x:t>
        </x:is>
      </x:c>
      <x:c r="I1483" s="4" t="inlineStr">
        <x:is>
          <x:t xml:space="preserve">2007-03-02</x:t>
        </x:is>
      </x:c>
      <x:c r="J1483" s="5" t="inlineStr">
        <x:is>
          <x:t xml:space="preserve">山东省济南市山大北路23号</x:t>
        </x:is>
      </x:c>
      <x:c r="K1483" s="12" t="str">
        <x:f>LEFT("91370000613207311A",18)</x:f>
        <x:v>91370000613207311A</x:v>
      </x:c>
    </x:row>
    <x:row r="1484">
      <x:c r="A1484" s="2" t="n">
        <x:v>1483</x:v>
      </x:c>
      <x:c r="B1484" s="2" t="inlineStr">
        <x:is>
          <x:t xml:space="preserve">002193</x:t>
        </x:is>
      </x:c>
      <x:c r="C1484" s="3" t="inlineStr">
        <x:is>
          <x:t xml:space="preserve">如意集团</x:t>
        </x:is>
      </x:c>
      <x:c r="D1484" s="3" t="inlineStr">
        <x:is>
          <x:t xml:space="preserve">山东如意毛纺服装集团股份有限公司</x:t>
        </x:is>
      </x:c>
      <x:c r="E1484" s="2" t="inlineStr">
        <x:is>
          <x:t xml:space="preserve">山东省</x:t>
        </x:is>
      </x:c>
      <x:c r="F1484" s="2" t="inlineStr">
        <x:is>
          <x:t xml:space="preserve">济宁市</x:t>
        </x:is>
      </x:c>
      <x:c r="G1484" s="3" t="inlineStr">
        <x:is>
          <x:t xml:space="preserve">山东省-济宁市</x:t>
        </x:is>
      </x:c>
      <x:c r="H1484" s="2" t="inlineStr">
        <x:is>
          <x:t xml:space="preserve">纺织服装</x:t>
        </x:is>
      </x:c>
      <x:c r="I1484" s="2" t="inlineStr">
        <x:is>
          <x:t xml:space="preserve">2007-12-07</x:t>
        </x:is>
      </x:c>
      <x:c r="J1484" s="3" t="inlineStr">
        <x:is>
          <x:t xml:space="preserve">山东省济宁市高新区如意工业园</x:t>
        </x:is>
      </x:c>
      <x:c r="K1484" s="12" t="str">
        <x:f>LEFT("91370000165936632G",18)</x:f>
        <x:v>91370000165936632G</x:v>
      </x:c>
    </x:row>
    <x:row r="1485">
      <x:c r="A1485" s="4" t="n">
        <x:v>1484</x:v>
      </x:c>
      <x:c r="B1485" s="4" t="inlineStr">
        <x:is>
          <x:t xml:space="preserve">002234</x:t>
        </x:is>
      </x:c>
      <x:c r="C1485" s="5" t="inlineStr">
        <x:is>
          <x:t xml:space="preserve">民和股份</x:t>
        </x:is>
      </x:c>
      <x:c r="D1485" s="5" t="inlineStr">
        <x:is>
          <x:t xml:space="preserve">山东民和牧业股份有限公司</x:t>
        </x:is>
      </x:c>
      <x:c r="E1485" s="4" t="inlineStr">
        <x:is>
          <x:t xml:space="preserve">山东省</x:t>
        </x:is>
      </x:c>
      <x:c r="F1485" s="4" t="inlineStr">
        <x:is>
          <x:t xml:space="preserve">烟台市</x:t>
        </x:is>
      </x:c>
      <x:c r="G1485" s="5" t="inlineStr">
        <x:is>
          <x:t xml:space="preserve">山东省-烟台市</x:t>
        </x:is>
      </x:c>
      <x:c r="H1485" s="4" t="inlineStr">
        <x:is>
          <x:t xml:space="preserve">农牧饲渔</x:t>
        </x:is>
      </x:c>
      <x:c r="I1485" s="4" t="inlineStr">
        <x:is>
          <x:t xml:space="preserve">2008-05-16</x:t>
        </x:is>
      </x:c>
      <x:c r="J1485" s="5" t="inlineStr">
        <x:is>
          <x:t xml:space="preserve">山东省烟台市蓬莱区南关路2号附3号</x:t>
        </x:is>
      </x:c>
      <x:c r="K1485" s="12" t="str">
        <x:f>LEFT("91370600165207843W",18)</x:f>
        <x:v>91370600165207843W</x:v>
      </x:c>
    </x:row>
    <x:row r="1486">
      <x:c r="A1486" s="2" t="n">
        <x:v>1485</x:v>
      </x:c>
      <x:c r="B1486" s="2" t="inlineStr">
        <x:is>
          <x:t xml:space="preserve">002237</x:t>
        </x:is>
      </x:c>
      <x:c r="C1486" s="3" t="inlineStr">
        <x:is>
          <x:t xml:space="preserve">恒邦股份</x:t>
        </x:is>
      </x:c>
      <x:c r="D1486" s="3" t="inlineStr">
        <x:is>
          <x:t xml:space="preserve">山东恒邦冶炼股份有限公司</x:t>
        </x:is>
      </x:c>
      <x:c r="E1486" s="2" t="inlineStr">
        <x:is>
          <x:t xml:space="preserve">山东省</x:t>
        </x:is>
      </x:c>
      <x:c r="F1486" s="2" t="inlineStr">
        <x:is>
          <x:t xml:space="preserve">烟台市</x:t>
        </x:is>
      </x:c>
      <x:c r="G1486" s="3" t="inlineStr">
        <x:is>
          <x:t xml:space="preserve">山东省-烟台市</x:t>
        </x:is>
      </x:c>
      <x:c r="H1486" s="2" t="inlineStr">
        <x:is>
          <x:t xml:space="preserve">贵金属</x:t>
        </x:is>
      </x:c>
      <x:c r="I1486" s="2" t="inlineStr">
        <x:is>
          <x:t xml:space="preserve">2008-05-20</x:t>
        </x:is>
      </x:c>
      <x:c r="J1486" s="3" t="inlineStr">
        <x:is>
          <x:t xml:space="preserve">山东省烟台市牟平区水道镇</x:t>
        </x:is>
      </x:c>
      <x:c r="K1486" s="12" t="str">
        <x:f>LEFT("913700001653412924",18)</x:f>
        <x:v>913700001653412900</x:v>
      </x:c>
    </x:row>
    <x:row r="1487">
      <x:c r="A1487" s="4" t="n">
        <x:v>1486</x:v>
      </x:c>
      <x:c r="B1487" s="4" t="inlineStr">
        <x:is>
          <x:t xml:space="preserve">002241</x:t>
        </x:is>
      </x:c>
      <x:c r="C1487" s="5" t="inlineStr">
        <x:is>
          <x:t xml:space="preserve">歌尔股份</x:t>
        </x:is>
      </x:c>
      <x:c r="D1487" s="5" t="inlineStr">
        <x:is>
          <x:t xml:space="preserve">歌尔股份有限公司</x:t>
        </x:is>
      </x:c>
      <x:c r="E1487" s="4" t="inlineStr">
        <x:is>
          <x:t xml:space="preserve">山东省</x:t>
        </x:is>
      </x:c>
      <x:c r="F1487" s="4" t="inlineStr">
        <x:is>
          <x:t xml:space="preserve">潍坊市</x:t>
        </x:is>
      </x:c>
      <x:c r="G1487" s="5" t="inlineStr">
        <x:is>
          <x:t xml:space="preserve">山东省-潍坊市</x:t>
        </x:is>
      </x:c>
      <x:c r="H1487" s="4" t="inlineStr">
        <x:is>
          <x:t xml:space="preserve">消费电子</x:t>
        </x:is>
      </x:c>
      <x:c r="I1487" s="4" t="inlineStr">
        <x:is>
          <x:t xml:space="preserve">2008-05-22</x:t>
        </x:is>
      </x:c>
      <x:c r="J1487" s="5" t="inlineStr">
        <x:is>
          <x:t xml:space="preserve">山东省潍坊高新技术产业开发区东方路268号</x:t>
        </x:is>
      </x:c>
      <x:c r="K1487" s="12" t="str">
        <x:f>LEFT("91370700729253432M",18)</x:f>
        <x:v>91370700729253432M</x:v>
      </x:c>
    </x:row>
    <x:row r="1488">
      <x:c r="A1488" s="2" t="n">
        <x:v>1487</x:v>
      </x:c>
      <x:c r="B1488" s="2" t="inlineStr">
        <x:is>
          <x:t xml:space="preserve">002242</x:t>
        </x:is>
      </x:c>
      <x:c r="C1488" s="3" t="inlineStr">
        <x:is>
          <x:t xml:space="preserve">九阳股份</x:t>
        </x:is>
      </x:c>
      <x:c r="D1488" s="3" t="inlineStr">
        <x:is>
          <x:t xml:space="preserve">九阳股份有限公司</x:t>
        </x:is>
      </x:c>
      <x:c r="E1488" s="2" t="inlineStr">
        <x:is>
          <x:t xml:space="preserve">山东省</x:t>
        </x:is>
      </x:c>
      <x:c r="F1488" s="2" t="inlineStr">
        <x:is>
          <x:t xml:space="preserve">济南市</x:t>
        </x:is>
      </x:c>
      <x:c r="G1488" s="3" t="inlineStr">
        <x:is>
          <x:t xml:space="preserve">山东省-济南市</x:t>
        </x:is>
      </x:c>
      <x:c r="H1488" s="2" t="inlineStr">
        <x:is>
          <x:t xml:space="preserve">家电行业</x:t>
        </x:is>
      </x:c>
      <x:c r="I1488" s="2" t="inlineStr">
        <x:is>
          <x:t xml:space="preserve">2008-05-28</x:t>
        </x:is>
      </x:c>
      <x:c r="J1488" s="3" t="inlineStr">
        <x:is>
          <x:t xml:space="preserve">山东省济南市槐荫区美里路999号</x:t>
        </x:is>
      </x:c>
      <x:c r="K1488" s="12" t="str">
        <x:f>LEFT("91370100742442772T",18)</x:f>
        <x:v>91370100742442772T</x:v>
      </x:c>
    </x:row>
    <x:row r="1489">
      <x:c r="A1489" s="4" t="n">
        <x:v>1488</x:v>
      </x:c>
      <x:c r="B1489" s="4" t="inlineStr">
        <x:is>
          <x:t xml:space="preserve">002248</x:t>
        </x:is>
      </x:c>
      <x:c r="C1489" s="5" t="inlineStr">
        <x:is>
          <x:t xml:space="preserve">华东数控</x:t>
        </x:is>
      </x:c>
      <x:c r="D1489" s="5" t="inlineStr">
        <x:is>
          <x:t xml:space="preserve">威海华东数控股份有限公司</x:t>
        </x:is>
      </x:c>
      <x:c r="E1489" s="4" t="inlineStr">
        <x:is>
          <x:t xml:space="preserve">山东省</x:t>
        </x:is>
      </x:c>
      <x:c r="F1489" s="4" t="inlineStr">
        <x:is>
          <x:t xml:space="preserve">威海市</x:t>
        </x:is>
      </x:c>
      <x:c r="G1489" s="5" t="inlineStr">
        <x:is>
          <x:t xml:space="preserve">山东省-威海市</x:t>
        </x:is>
      </x:c>
      <x:c r="H1489" s="4" t="inlineStr">
        <x:is>
          <x:t xml:space="preserve">机械行业</x:t>
        </x:is>
      </x:c>
      <x:c r="I1489" s="4" t="inlineStr">
        <x:is>
          <x:t xml:space="preserve">2008-06-12</x:t>
        </x:is>
      </x:c>
      <x:c r="J1489" s="5" t="inlineStr">
        <x:is>
          <x:t xml:space="preserve">山东省威海市经济技术开发区崮山镇金诺路130号</x:t>
        </x:is>
      </x:c>
      <x:c r="K1489" s="12" t="str">
        <x:f>LEFT("91370000735783157F",18)</x:f>
        <x:v>91370000735783157F</x:v>
      </x:c>
    </x:row>
    <x:row r="1490">
      <x:c r="A1490" s="2" t="n">
        <x:v>1489</x:v>
      </x:c>
      <x:c r="B1490" s="2" t="inlineStr">
        <x:is>
          <x:t xml:space="preserve">002254</x:t>
        </x:is>
      </x:c>
      <x:c r="C1490" s="3" t="inlineStr">
        <x:is>
          <x:t xml:space="preserve">泰和新材</x:t>
        </x:is>
      </x:c>
      <x:c r="D1490" s="3" t="inlineStr">
        <x:is>
          <x:t xml:space="preserve">泰和新材集团股份有限公司</x:t>
        </x:is>
      </x:c>
      <x:c r="E1490" s="2" t="inlineStr">
        <x:is>
          <x:t xml:space="preserve">山东省</x:t>
        </x:is>
      </x:c>
      <x:c r="F1490" s="2" t="inlineStr">
        <x:is>
          <x:t xml:space="preserve">烟台市</x:t>
        </x:is>
      </x:c>
      <x:c r="G1490" s="3" t="inlineStr">
        <x:is>
          <x:t xml:space="preserve">山东省-烟台市</x:t>
        </x:is>
      </x:c>
      <x:c r="H1490" s="2" t="inlineStr">
        <x:is>
          <x:t xml:space="preserve">化纤行业</x:t>
        </x:is>
      </x:c>
      <x:c r="I1490" s="2" t="inlineStr">
        <x:is>
          <x:t xml:space="preserve">2008-06-25</x:t>
        </x:is>
      </x:c>
      <x:c r="J1490" s="3" t="inlineStr">
        <x:is>
          <x:t xml:space="preserve">山东省烟台经济技术开发区黑龙江路10号</x:t>
        </x:is>
      </x:c>
      <x:c r="K1490" s="12" t="str">
        <x:f>LEFT("91370000165052087E",18)</x:f>
        <x:v>91370000165052087E</x:v>
      </x:c>
    </x:row>
    <x:row r="1491">
      <x:c r="A1491" s="4" t="n">
        <x:v>1490</x:v>
      </x:c>
      <x:c r="B1491" s="4" t="inlineStr">
        <x:is>
          <x:t xml:space="preserve">002270</x:t>
        </x:is>
      </x:c>
      <x:c r="C1491" s="5" t="inlineStr">
        <x:is>
          <x:t xml:space="preserve">华明装备</x:t>
        </x:is>
      </x:c>
      <x:c r="D1491" s="5" t="inlineStr">
        <x:is>
          <x:t xml:space="preserve">华明电力装备股份有限公司</x:t>
        </x:is>
      </x:c>
      <x:c r="E1491" s="4" t="inlineStr">
        <x:is>
          <x:t xml:space="preserve">山东省</x:t>
        </x:is>
      </x:c>
      <x:c r="F1491" s="4" t="inlineStr">
        <x:is>
          <x:t xml:space="preserve">济南市</x:t>
        </x:is>
      </x:c>
      <x:c r="G1491" s="5" t="inlineStr">
        <x:is>
          <x:t xml:space="preserve">山东省-济南市</x:t>
        </x:is>
      </x:c>
      <x:c r="H1491" s="4" t="inlineStr">
        <x:is>
          <x:t xml:space="preserve">电网设备</x:t>
        </x:is>
      </x:c>
      <x:c r="I1491" s="4" t="inlineStr">
        <x:is>
          <x:t xml:space="preserve">2008-09-05</x:t>
        </x:is>
      </x:c>
      <x:c r="J1491" s="5" t="inlineStr">
        <x:is>
          <x:t xml:space="preserve">山东省济南市高新区孙村街道世纪大道2222号1号厂房302室</x:t>
        </x:is>
      </x:c>
      <x:c r="K1491" s="12" t="str">
        <x:f>LEFT("91370100742413648L",18)</x:f>
        <x:v>91370100742413648L</x:v>
      </x:c>
    </x:row>
    <x:row r="1492">
      <x:c r="A1492" s="2" t="n">
        <x:v>1491</x:v>
      </x:c>
      <x:c r="B1492" s="2" t="inlineStr">
        <x:is>
          <x:t xml:space="preserve">002283</x:t>
        </x:is>
      </x:c>
      <x:c r="C1492" s="3" t="inlineStr">
        <x:is>
          <x:t xml:space="preserve">天润工业</x:t>
        </x:is>
      </x:c>
      <x:c r="D1492" s="3" t="inlineStr">
        <x:is>
          <x:t xml:space="preserve">天润工业技术股份有限公司</x:t>
        </x:is>
      </x:c>
      <x:c r="E1492" s="2" t="inlineStr">
        <x:is>
          <x:t xml:space="preserve">山东省</x:t>
        </x:is>
      </x:c>
      <x:c r="F1492" s="2" t="inlineStr">
        <x:is>
          <x:t xml:space="preserve">威海市</x:t>
        </x:is>
      </x:c>
      <x:c r="G1492" s="3" t="inlineStr">
        <x:is>
          <x:t xml:space="preserve">山东省-威海市</x:t>
        </x:is>
      </x:c>
      <x:c r="H1492" s="2" t="inlineStr">
        <x:is>
          <x:t xml:space="preserve">汽车行业</x:t>
        </x:is>
      </x:c>
      <x:c r="I1492" s="2" t="inlineStr">
        <x:is>
          <x:t xml:space="preserve">2009-08-21</x:t>
        </x:is>
      </x:c>
      <x:c r="J1492" s="3" t="inlineStr">
        <x:is>
          <x:t xml:space="preserve">山东省威海市文登区天润路2-13号</x:t>
        </x:is>
      </x:c>
      <x:c r="K1492" s="12" t="str">
        <x:f>LEFT("91371000613780310U",18)</x:f>
        <x:v>91371000613780310U</x:v>
      </x:c>
    </x:row>
    <x:row r="1493">
      <x:c r="A1493" s="4" t="n">
        <x:v>1492</x:v>
      </x:c>
      <x:c r="B1493" s="4" t="inlineStr">
        <x:is>
          <x:t xml:space="preserve">002286</x:t>
        </x:is>
      </x:c>
      <x:c r="C1493" s="5" t="inlineStr">
        <x:is>
          <x:t xml:space="preserve">保龄宝</x:t>
        </x:is>
      </x:c>
      <x:c r="D1493" s="5" t="inlineStr">
        <x:is>
          <x:t xml:space="preserve">保龄宝生物股份有限公司</x:t>
        </x:is>
      </x:c>
      <x:c r="E1493" s="4" t="inlineStr">
        <x:is>
          <x:t xml:space="preserve">山东省</x:t>
        </x:is>
      </x:c>
      <x:c r="F1493" s="4" t="inlineStr">
        <x:is>
          <x:t xml:space="preserve">德州市</x:t>
        </x:is>
      </x:c>
      <x:c r="G1493" s="5" t="inlineStr">
        <x:is>
          <x:t xml:space="preserve">山东省-德州市</x:t>
        </x:is>
      </x:c>
      <x:c r="H1493" s="4" t="inlineStr">
        <x:is>
          <x:t xml:space="preserve">食品饮料</x:t>
        </x:is>
      </x:c>
      <x:c r="I1493" s="4" t="inlineStr">
        <x:is>
          <x:t xml:space="preserve">2009-08-28</x:t>
        </x:is>
      </x:c>
      <x:c r="J1493" s="5" t="inlineStr">
        <x:is>
          <x:t xml:space="preserve">山东省德州(禹城)国家高新技术产业开发区东外环路1号</x:t>
        </x:is>
      </x:c>
      <x:c r="K1493" s="12" t="str">
        <x:f>LEFT("91371400723870085E",18)</x:f>
        <x:v>91371400723870085E</x:v>
      </x:c>
    </x:row>
    <x:row r="1494">
      <x:c r="A1494" s="2" t="n">
        <x:v>1493</x:v>
      </x:c>
      <x:c r="B1494" s="2" t="inlineStr">
        <x:is>
          <x:t xml:space="preserve">002323</x:t>
        </x:is>
      </x:c>
      <x:c r="C1494" s="3" t="inlineStr">
        <x:is>
          <x:t xml:space="preserve">雅博股份</x:t>
        </x:is>
      </x:c>
      <x:c r="D1494" s="3" t="inlineStr">
        <x:is>
          <x:t xml:space="preserve">山东雅博科技股份有限公司</x:t>
        </x:is>
      </x:c>
      <x:c r="E1494" s="2" t="inlineStr">
        <x:is>
          <x:t xml:space="preserve">山东省</x:t>
        </x:is>
      </x:c>
      <x:c r="F1494" s="2" t="inlineStr">
        <x:is>
          <x:t xml:space="preserve">枣庄市</x:t>
        </x:is>
      </x:c>
      <x:c r="G1494" s="3" t="inlineStr">
        <x:is>
          <x:t xml:space="preserve">山东省-枣庄市</x:t>
        </x:is>
      </x:c>
      <x:c r="H1494" s="2" t="inlineStr">
        <x:is>
          <x:t xml:space="preserve">装修建材</x:t>
        </x:is>
      </x:c>
      <x:c r="I1494" s="2" t="inlineStr">
        <x:is>
          <x:t xml:space="preserve">2009-12-18</x:t>
        </x:is>
      </x:c>
      <x:c r="J1494" s="3" t="inlineStr">
        <x:is>
          <x:t xml:space="preserve">山东省枣庄市市中区东海路17号</x:t>
        </x:is>
      </x:c>
      <x:c r="K1494" s="12" t="str">
        <x:f>LEFT("91320900743731816A",18)</x:f>
        <x:v>91320900743731816A</x:v>
      </x:c>
    </x:row>
    <x:row r="1495">
      <x:c r="A1495" s="4" t="n">
        <x:v>1494</x:v>
      </x:c>
      <x:c r="B1495" s="4" t="inlineStr">
        <x:is>
          <x:t xml:space="preserve">002330</x:t>
        </x:is>
      </x:c>
      <x:c r="C1495" s="5" t="inlineStr">
        <x:is>
          <x:t xml:space="preserve">得利斯</x:t>
        </x:is>
      </x:c>
      <x:c r="D1495" s="5" t="inlineStr">
        <x:is>
          <x:t xml:space="preserve">山东得利斯食品股份有限公司</x:t>
        </x:is>
      </x:c>
      <x:c r="E1495" s="4" t="inlineStr">
        <x:is>
          <x:t xml:space="preserve">山东省</x:t>
        </x:is>
      </x:c>
      <x:c r="F1495" s="4" t="inlineStr">
        <x:is>
          <x:t xml:space="preserve">东省诸城市</x:t>
        </x:is>
      </x:c>
      <x:c r="G1495" s="5" t="inlineStr">
        <x:is>
          <x:t xml:space="preserve">山东省-东省诸城市</x:t>
        </x:is>
      </x:c>
      <x:c r="H1495" s="4" t="inlineStr">
        <x:is>
          <x:t xml:space="preserve">食品饮料</x:t>
        </x:is>
      </x:c>
      <x:c r="I1495" s="4" t="inlineStr">
        <x:is>
          <x:t xml:space="preserve">2010-01-06</x:t>
        </x:is>
      </x:c>
      <x:c r="J1495" s="5" t="inlineStr">
        <x:is>
          <x:t xml:space="preserve">山东省诸城市昌城镇驻地</x:t>
        </x:is>
      </x:c>
      <x:c r="K1495" s="12" t="str">
        <x:f>LEFT("91370000750888758G",18)</x:f>
        <x:v>91370000750888758G</x:v>
      </x:c>
    </x:row>
    <x:row r="1496">
      <x:c r="A1496" s="2" t="n">
        <x:v>1495</x:v>
      </x:c>
      <x:c r="B1496" s="2" t="inlineStr">
        <x:is>
          <x:t xml:space="preserve">002339</x:t>
        </x:is>
      </x:c>
      <x:c r="C1496" s="3" t="inlineStr">
        <x:is>
          <x:t xml:space="preserve">积成电子</x:t>
        </x:is>
      </x:c>
      <x:c r="D1496" s="3" t="inlineStr">
        <x:is>
          <x:t xml:space="preserve">积成电子股份有限公司</x:t>
        </x:is>
      </x:c>
      <x:c r="E1496" s="2" t="inlineStr">
        <x:is>
          <x:t xml:space="preserve">山东省</x:t>
        </x:is>
      </x:c>
      <x:c r="F1496" s="2" t="inlineStr">
        <x:is>
          <x:t xml:space="preserve">济南市</x:t>
        </x:is>
      </x:c>
      <x:c r="G1496" s="3" t="inlineStr">
        <x:is>
          <x:t xml:space="preserve">山东省-济南市</x:t>
        </x:is>
      </x:c>
      <x:c r="H1496" s="2" t="inlineStr">
        <x:is>
          <x:t xml:space="preserve">电网设备</x:t>
        </x:is>
      </x:c>
      <x:c r="I1496" s="2" t="inlineStr">
        <x:is>
          <x:t xml:space="preserve">2010-01-22</x:t>
        </x:is>
      </x:c>
      <x:c r="J1496" s="3" t="inlineStr">
        <x:is>
          <x:t xml:space="preserve">济南市科航路1677号</x:t>
        </x:is>
      </x:c>
      <x:c r="K1496" s="12" t="str">
        <x:f>LEFT("91370000724299685N",18)</x:f>
        <x:v>91370000724299685N</x:v>
      </x:c>
    </x:row>
    <x:row r="1497">
      <x:c r="A1497" s="4" t="n">
        <x:v>1496</x:v>
      </x:c>
      <x:c r="B1497" s="4" t="inlineStr">
        <x:is>
          <x:t xml:space="preserve">002353</x:t>
        </x:is>
      </x:c>
      <x:c r="C1497" s="5" t="inlineStr">
        <x:is>
          <x:t xml:space="preserve">杰瑞股份</x:t>
        </x:is>
      </x:c>
      <x:c r="D1497" s="5" t="inlineStr">
        <x:is>
          <x:t xml:space="preserve">烟台杰瑞石油服务集团股份有限公司</x:t>
        </x:is>
      </x:c>
      <x:c r="E1497" s="4" t="inlineStr">
        <x:is>
          <x:t xml:space="preserve">山东省</x:t>
        </x:is>
      </x:c>
      <x:c r="F1497" s="4" t="inlineStr">
        <x:is>
          <x:t xml:space="preserve">烟台市</x:t>
        </x:is>
      </x:c>
      <x:c r="G1497" s="5" t="inlineStr">
        <x:is>
          <x:t xml:space="preserve">山东省-烟台市</x:t>
        </x:is>
      </x:c>
      <x:c r="H1497" s="4" t="inlineStr">
        <x:is>
          <x:t xml:space="preserve">专用设备</x:t>
        </x:is>
      </x:c>
      <x:c r="I1497" s="4" t="inlineStr">
        <x:is>
          <x:t xml:space="preserve">2010-02-05</x:t>
        </x:is>
      </x:c>
      <x:c r="J1497" s="5" t="inlineStr">
        <x:is>
          <x:t xml:space="preserve">烟台市莱山区杰瑞路5号</x:t>
        </x:is>
      </x:c>
      <x:c r="K1497" s="12" t="str">
        <x:f>LEFT("91370000720717309H",18)</x:f>
        <x:v>91370000720717309H</x:v>
      </x:c>
    </x:row>
    <x:row r="1498">
      <x:c r="A1498" s="2" t="n">
        <x:v>1497</x:v>
      </x:c>
      <x:c r="B1498" s="2" t="inlineStr">
        <x:is>
          <x:t xml:space="preserve">002355</x:t>
        </x:is>
      </x:c>
      <x:c r="C1498" s="3" t="inlineStr">
        <x:is>
          <x:t xml:space="preserve">兴民智通</x:t>
        </x:is>
      </x:c>
      <x:c r="D1498" s="3" t="inlineStr">
        <x:is>
          <x:t xml:space="preserve">兴民智通(集团)股份有限公司</x:t>
        </x:is>
      </x:c>
      <x:c r="E1498" s="2" t="inlineStr">
        <x:is>
          <x:t xml:space="preserve">山东省</x:t>
        </x:is>
      </x:c>
      <x:c r="F1498" s="2" t="inlineStr">
        <x:is>
          <x:t xml:space="preserve">龙口市</x:t>
        </x:is>
      </x:c>
      <x:c r="G1498" s="3" t="inlineStr">
        <x:is>
          <x:t xml:space="preserve">山东省-龙口市</x:t>
        </x:is>
      </x:c>
      <x:c r="H1498" s="2" t="inlineStr">
        <x:is>
          <x:t xml:space="preserve">汽车行业</x:t>
        </x:is>
      </x:c>
      <x:c r="I1498" s="2" t="inlineStr">
        <x:is>
          <x:t xml:space="preserve">2010-02-09</x:t>
        </x:is>
      </x:c>
      <x:c r="J1498" s="3" t="inlineStr">
        <x:is>
          <x:t xml:space="preserve">龙口市龙口经济开发区</x:t>
        </x:is>
      </x:c>
      <x:c r="K1498" s="12" t="str">
        <x:f>LEFT("91370600720751371J",18)</x:f>
        <x:v>91370600720751371J</x:v>
      </x:c>
    </x:row>
    <x:row r="1499">
      <x:c r="A1499" s="4" t="n">
        <x:v>1498</x:v>
      </x:c>
      <x:c r="B1499" s="4" t="inlineStr">
        <x:is>
          <x:t xml:space="preserve">002363</x:t>
        </x:is>
      </x:c>
      <x:c r="C1499" s="5" t="inlineStr">
        <x:is>
          <x:t xml:space="preserve">隆基机械</x:t>
        </x:is>
      </x:c>
      <x:c r="D1499" s="5" t="inlineStr">
        <x:is>
          <x:t xml:space="preserve">山东隆基机械股份有限公司</x:t>
        </x:is>
      </x:c>
      <x:c r="E1499" s="4" t="inlineStr">
        <x:is>
          <x:t xml:space="preserve">山东省</x:t>
        </x:is>
      </x:c>
      <x:c r="F1499" s="4" t="inlineStr">
        <x:is>
          <x:t xml:space="preserve">东省龙口市</x:t>
        </x:is>
      </x:c>
      <x:c r="G1499" s="5" t="inlineStr">
        <x:is>
          <x:t xml:space="preserve">山东省-东省龙口市</x:t>
        </x:is>
      </x:c>
      <x:c r="H1499" s="4" t="inlineStr">
        <x:is>
          <x:t xml:space="preserve">汽车行业</x:t>
        </x:is>
      </x:c>
      <x:c r="I1499" s="4" t="inlineStr">
        <x:is>
          <x:t xml:space="preserve">2010-03-05</x:t>
        </x:is>
      </x:c>
      <x:c r="J1499" s="5" t="inlineStr">
        <x:is>
          <x:t xml:space="preserve">山东省龙口市外向型经济开发区</x:t>
        </x:is>
      </x:c>
      <x:c r="K1499" s="12" t="str">
        <x:f>LEFT("9137060061341808XA",18)</x:f>
        <x:v>9137060061341808XA</x:v>
      </x:c>
    </x:row>
    <x:row r="1500">
      <x:c r="A1500" s="2" t="n">
        <x:v>1499</x:v>
      </x:c>
      <x:c r="B1500" s="2" t="inlineStr">
        <x:is>
          <x:t xml:space="preserve">002374</x:t>
        </x:is>
      </x:c>
      <x:c r="C1500" s="3" t="inlineStr">
        <x:is>
          <x:t xml:space="preserve">中锐股份</x:t>
        </x:is>
      </x:c>
      <x:c r="D1500" s="3" t="inlineStr">
        <x:is>
          <x:t xml:space="preserve">山东中锐产业发展股份有限公司</x:t>
        </x:is>
      </x:c>
      <x:c r="E1500" s="2" t="inlineStr">
        <x:is>
          <x:t xml:space="preserve">山东省</x:t>
        </x:is>
      </x:c>
      <x:c r="F1500" s="2" t="inlineStr">
        <x:is>
          <x:t xml:space="preserve">烟台市</x:t>
        </x:is>
      </x:c>
      <x:c r="G1500" s="3" t="inlineStr">
        <x:is>
          <x:t xml:space="preserve">山东省-烟台市</x:t>
        </x:is>
      </x:c>
      <x:c r="H1500" s="2" t="inlineStr">
        <x:is>
          <x:t xml:space="preserve">包装材料</x:t>
        </x:is>
      </x:c>
      <x:c r="I1500" s="2" t="inlineStr">
        <x:is>
          <x:t xml:space="preserve">2010-03-18</x:t>
        </x:is>
      </x:c>
      <x:c r="J1500" s="3" t="inlineStr">
        <x:is>
          <x:t xml:space="preserve">山东省烟台市牟平区姜格庄街道办事处丽鹏路1号</x:t>
        </x:is>
      </x:c>
      <x:c r="K1500" s="12" t="str">
        <x:f>LEFT("91370600265526403D",18)</x:f>
        <x:v>91370600265526403D</x:v>
      </x:c>
    </x:row>
    <x:row r="1501">
      <x:c r="A1501" s="4" t="n">
        <x:v>1500</x:v>
      </x:c>
      <x:c r="B1501" s="4" t="inlineStr">
        <x:is>
          <x:t xml:space="preserve">002376</x:t>
        </x:is>
      </x:c>
      <x:c r="C1501" s="5" t="inlineStr">
        <x:is>
          <x:t xml:space="preserve">新北洋</x:t>
        </x:is>
      </x:c>
      <x:c r="D1501" s="5" t="inlineStr">
        <x:is>
          <x:t xml:space="preserve">山东新北洋信息技术股份有限公司</x:t>
        </x:is>
      </x:c>
      <x:c r="E1501" s="4" t="inlineStr">
        <x:is>
          <x:t xml:space="preserve">山东省</x:t>
        </x:is>
      </x:c>
      <x:c r="F1501" s="4" t="inlineStr">
        <x:is>
          <x:t xml:space="preserve">威海市</x:t>
        </x:is>
      </x:c>
      <x:c r="G1501" s="5" t="inlineStr">
        <x:is>
          <x:t xml:space="preserve">山东省-威海市</x:t>
        </x:is>
      </x:c>
      <x:c r="H1501" s="4" t="inlineStr">
        <x:is>
          <x:t xml:space="preserve">计算机设备</x:t>
        </x:is>
      </x:c>
      <x:c r="I1501" s="4" t="inlineStr">
        <x:is>
          <x:t xml:space="preserve">2010-03-23</x:t>
        </x:is>
      </x:c>
      <x:c r="J1501" s="5" t="inlineStr">
        <x:is>
          <x:t xml:space="preserve">山东省威海市火炬高技术产业开发区火炬路169号</x:t>
        </x:is>
      </x:c>
      <x:c r="K1501" s="12" t="str">
        <x:f>LEFT("91370000745659029G",18)</x:f>
        <x:v>91370000745659029G</x:v>
      </x:c>
    </x:row>
    <x:row r="1502">
      <x:c r="A1502" s="2" t="n">
        <x:v>1501</x:v>
      </x:c>
      <x:c r="B1502" s="2" t="inlineStr">
        <x:is>
          <x:t xml:space="preserve">002379</x:t>
        </x:is>
      </x:c>
      <x:c r="C1502" s="3" t="inlineStr">
        <x:is>
          <x:t xml:space="preserve">宏创控股</x:t>
        </x:is>
      </x:c>
      <x:c r="D1502" s="3" t="inlineStr">
        <x:is>
          <x:t xml:space="preserve">山东宏桥铝业控股股份有限公司</x:t>
        </x:is>
      </x:c>
      <x:c r="E1502" s="2" t="inlineStr">
        <x:is>
          <x:t xml:space="preserve">山东省</x:t>
        </x:is>
      </x:c>
      <x:c r="F1502" s="2" t="inlineStr">
        <x:is>
          <x:t xml:space="preserve">滨州市</x:t>
        </x:is>
      </x:c>
      <x:c r="G1502" s="3" t="inlineStr">
        <x:is>
          <x:t xml:space="preserve">山东省-滨州市</x:t>
        </x:is>
      </x:c>
      <x:c r="H1502" s="2" t="inlineStr">
        <x:is>
          <x:t xml:space="preserve">有色金属</x:t>
        </x:is>
      </x:c>
      <x:c r="I1502" s="2" t="inlineStr">
        <x:is>
          <x:t xml:space="preserve">2010-03-31</x:t>
        </x:is>
      </x:c>
      <x:c r="J1502" s="3" t="inlineStr">
        <x:is>
          <x:t xml:space="preserve">山东省滨州市邹平市经济开发区会仙一路12号</x:t>
        </x:is>
      </x:c>
      <x:c r="K1502" s="12" t="str">
        <x:f>LEFT("91371600724984340K",18)</x:f>
        <x:v>91371600724984340K</x:v>
      </x:c>
    </x:row>
    <x:row r="1503">
      <x:c r="A1503" s="4" t="n">
        <x:v>1502</x:v>
      </x:c>
      <x:c r="B1503" s="4" t="inlineStr">
        <x:is>
          <x:t xml:space="preserve">002382</x:t>
        </x:is>
      </x:c>
      <x:c r="C1503" s="5" t="inlineStr">
        <x:is>
          <x:t xml:space="preserve">蓝帆医疗</x:t>
        </x:is>
      </x:c>
      <x:c r="D1503" s="5" t="inlineStr">
        <x:is>
          <x:t xml:space="preserve">蓝帆医疗股份有限公司</x:t>
        </x:is>
      </x:c>
      <x:c r="E1503" s="4" t="inlineStr">
        <x:is>
          <x:t xml:space="preserve">山东省</x:t>
        </x:is>
      </x:c>
      <x:c r="F1503" s="4" t="inlineStr">
        <x:is>
          <x:t xml:space="preserve">淄博市</x:t>
        </x:is>
      </x:c>
      <x:c r="G1503" s="5" t="inlineStr">
        <x:is>
          <x:t xml:space="preserve">山东省-淄博市</x:t>
        </x:is>
      </x:c>
      <x:c r="H1503" s="4" t="inlineStr">
        <x:is>
          <x:t xml:space="preserve">医疗器械</x:t>
        </x:is>
      </x:c>
      <x:c r="I1503" s="4" t="inlineStr">
        <x:is>
          <x:t xml:space="preserve">2010-04-02</x:t>
        </x:is>
      </x:c>
      <x:c r="J1503" s="5" t="inlineStr">
        <x:is>
          <x:t xml:space="preserve">山东省淄博市临淄区稷下街道一诺路48号</x:t>
        </x:is>
      </x:c>
      <x:c r="K1503" s="12" t="str">
        <x:f>LEFT("91370000744521618L",18)</x:f>
        <x:v>91370000744521618L</x:v>
      </x:c>
    </x:row>
    <x:row r="1504">
      <x:c r="A1504" s="2" t="n">
        <x:v>1503</x:v>
      </x:c>
      <x:c r="B1504" s="2" t="inlineStr">
        <x:is>
          <x:t xml:space="preserve">002408</x:t>
        </x:is>
      </x:c>
      <x:c r="C1504" s="3" t="inlineStr">
        <x:is>
          <x:t xml:space="preserve">齐翔腾达</x:t>
        </x:is>
      </x:c>
      <x:c r="D1504" s="3" t="inlineStr">
        <x:is>
          <x:t xml:space="preserve">淄博齐翔腾达化工股份有限公司</x:t>
        </x:is>
      </x:c>
      <x:c r="E1504" s="2" t="inlineStr">
        <x:is>
          <x:t xml:space="preserve">山东省</x:t>
        </x:is>
      </x:c>
      <x:c r="F1504" s="2" t="inlineStr">
        <x:is>
          <x:t xml:space="preserve">淄博市</x:t>
        </x:is>
      </x:c>
      <x:c r="G1504" s="3" t="inlineStr">
        <x:is>
          <x:t xml:space="preserve">山东省-淄博市</x:t>
        </x:is>
      </x:c>
      <x:c r="H1504" s="2" t="inlineStr">
        <x:is>
          <x:t xml:space="preserve">化工行业</x:t>
        </x:is>
      </x:c>
      <x:c r="I1504" s="2" t="inlineStr">
        <x:is>
          <x:t xml:space="preserve">2010-05-18</x:t>
        </x:is>
      </x:c>
      <x:c r="J1504" s="3" t="inlineStr">
        <x:is>
          <x:t xml:space="preserve">山东省淄博市临淄区杨坡路206号</x:t>
        </x:is>
      </x:c>
      <x:c r="K1504" s="12" t="str">
        <x:f>LEFT("913703007347051654",18)</x:f>
        <x:v>913703007347051600</x:v>
      </x:c>
    </x:row>
    <x:row r="1505">
      <x:c r="A1505" s="4" t="n">
        <x:v>1504</x:v>
      </x:c>
      <x:c r="B1505" s="4" t="inlineStr">
        <x:is>
          <x:t xml:space="preserve">002458</x:t>
        </x:is>
      </x:c>
      <x:c r="C1505" s="5" t="inlineStr">
        <x:is>
          <x:t xml:space="preserve">益生股份</x:t>
        </x:is>
      </x:c>
      <x:c r="D1505" s="5" t="inlineStr">
        <x:is>
          <x:t xml:space="preserve">山东益生种畜禽股份有限公司</x:t>
        </x:is>
      </x:c>
      <x:c r="E1505" s="4" t="inlineStr">
        <x:is>
          <x:t xml:space="preserve">山东省</x:t>
        </x:is>
      </x:c>
      <x:c r="F1505" s="4" t="inlineStr">
        <x:is>
          <x:t xml:space="preserve">烟台市</x:t>
        </x:is>
      </x:c>
      <x:c r="G1505" s="5" t="inlineStr">
        <x:is>
          <x:t xml:space="preserve">山东省-烟台市</x:t>
        </x:is>
      </x:c>
      <x:c r="H1505" s="4" t="inlineStr">
        <x:is>
          <x:t xml:space="preserve">农牧饲渔</x:t>
        </x:is>
      </x:c>
      <x:c r="I1505" s="4" t="inlineStr">
        <x:is>
          <x:t xml:space="preserve">2010-08-10</x:t>
        </x:is>
      </x:c>
      <x:c r="J1505" s="5" t="inlineStr">
        <x:is>
          <x:t xml:space="preserve">山东省烟台市芝罘区朝阳街80号</x:t>
        </x:is>
      </x:c>
      <x:c r="K1505" s="12" t="str">
        <x:f>LEFT("91370000265627669C",18)</x:f>
        <x:v>91370000265627669C</x:v>
      </x:c>
    </x:row>
    <x:row r="1506">
      <x:c r="A1506" s="2" t="n">
        <x:v>1505</x:v>
      </x:c>
      <x:c r="B1506" s="2" t="inlineStr">
        <x:is>
          <x:t xml:space="preserve">002469</x:t>
        </x:is>
      </x:c>
      <x:c r="C1506" s="3" t="inlineStr">
        <x:is>
          <x:t xml:space="preserve">三维化学</x:t>
        </x:is>
      </x:c>
      <x:c r="D1506" s="3" t="inlineStr">
        <x:is>
          <x:t xml:space="preserve">山东三维化学集团股份有限公司</x:t>
        </x:is>
      </x:c>
      <x:c r="E1506" s="2" t="inlineStr">
        <x:is>
          <x:t xml:space="preserve">山东省</x:t>
        </x:is>
      </x:c>
      <x:c r="F1506" s="2" t="inlineStr">
        <x:is>
          <x:t xml:space="preserve">淄博市</x:t>
        </x:is>
      </x:c>
      <x:c r="G1506" s="3" t="inlineStr">
        <x:is>
          <x:t xml:space="preserve">山东省-淄博市</x:t>
        </x:is>
      </x:c>
      <x:c r="H1506" s="2" t="inlineStr">
        <x:is>
          <x:t xml:space="preserve">化学原料</x:t>
        </x:is>
      </x:c>
      <x:c r="I1506" s="2" t="inlineStr">
        <x:is>
          <x:t xml:space="preserve">2010-09-08</x:t>
        </x:is>
      </x:c>
      <x:c r="J1506" s="3" t="inlineStr">
        <x:is>
          <x:t xml:space="preserve">山东省淄博市临淄区炼厂中路22号</x:t>
        </x:is>
      </x:c>
      <x:c r="K1506" s="12" t="str">
        <x:f>LEFT("91370300265160392P",18)</x:f>
        <x:v>91370300265160392P</x:v>
      </x:c>
    </x:row>
    <x:row r="1507">
      <x:c r="A1507" s="4" t="n">
        <x:v>1506</x:v>
      </x:c>
      <x:c r="B1507" s="4" t="inlineStr">
        <x:is>
          <x:t xml:space="preserve">002470</x:t>
        </x:is>
      </x:c>
      <x:c r="C1507" s="5" t="inlineStr">
        <x:is>
          <x:t xml:space="preserve">金正大</x:t>
        </x:is>
      </x:c>
      <x:c r="D1507" s="5" t="inlineStr">
        <x:is>
          <x:t xml:space="preserve">金正大生态工程集团股份有限公司</x:t>
        </x:is>
      </x:c>
      <x:c r="E1507" s="4" t="inlineStr">
        <x:is>
          <x:t xml:space="preserve">山东省</x:t>
        </x:is>
      </x:c>
      <x:c r="F1507" s="4" t="inlineStr">
        <x:is>
          <x:t xml:space="preserve">临沂市</x:t>
        </x:is>
      </x:c>
      <x:c r="G1507" s="5" t="inlineStr">
        <x:is>
          <x:t xml:space="preserve">山东省-临沂市</x:t>
        </x:is>
      </x:c>
      <x:c r="H1507" s="4" t="inlineStr">
        <x:is>
          <x:t xml:space="preserve">化肥行业</x:t>
        </x:is>
      </x:c>
      <x:c r="I1507" s="4" t="inlineStr">
        <x:is>
          <x:t xml:space="preserve">2010-09-08</x:t>
        </x:is>
      </x:c>
      <x:c r="J1507" s="5" t="inlineStr">
        <x:is>
          <x:t xml:space="preserve">临沭县兴大西街19号</x:t>
        </x:is>
      </x:c>
      <x:c r="K1507" s="12" t="str">
        <x:f>LEFT("913713007060665387",18)</x:f>
        <x:v>913713007060665300</x:v>
      </x:c>
    </x:row>
    <x:row r="1508">
      <x:c r="A1508" s="2" t="n">
        <x:v>1507</x:v>
      </x:c>
      <x:c r="B1508" s="2" t="inlineStr">
        <x:is>
          <x:t xml:space="preserve">002476</x:t>
        </x:is>
      </x:c>
      <x:c r="C1508" s="3" t="inlineStr">
        <x:is>
          <x:t xml:space="preserve">宝莫股份</x:t>
        </x:is>
      </x:c>
      <x:c r="D1508" s="3" t="inlineStr">
        <x:is>
          <x:t xml:space="preserve">山东宝莫生物化工股份有限公司</x:t>
        </x:is>
      </x:c>
      <x:c r="E1508" s="2" t="inlineStr">
        <x:is>
          <x:t xml:space="preserve">山东省</x:t>
        </x:is>
      </x:c>
      <x:c r="F1508" s="2" t="inlineStr">
        <x:is>
          <x:t xml:space="preserve">东营市</x:t>
        </x:is>
      </x:c>
      <x:c r="G1508" s="3" t="inlineStr">
        <x:is>
          <x:t xml:space="preserve">山东省-东营市</x:t>
        </x:is>
      </x:c>
      <x:c r="H1508" s="2" t="inlineStr">
        <x:is>
          <x:t xml:space="preserve">化工行业</x:t>
        </x:is>
      </x:c>
      <x:c r="I1508" s="2" t="inlineStr">
        <x:is>
          <x:t xml:space="preserve">2010-09-15</x:t>
        </x:is>
      </x:c>
      <x:c r="J1508" s="3" t="inlineStr">
        <x:is>
          <x:t xml:space="preserve">山东省东营市东营区西四路624号</x:t>
        </x:is>
      </x:c>
      <x:c r="K1508" s="12" t="str">
        <x:f>LEFT("91370000613373459Q",18)</x:f>
        <x:v>91370000613373459Q</x:v>
      </x:c>
    </x:row>
    <x:row r="1509">
      <x:c r="A1509" s="4" t="n">
        <x:v>1508</x:v>
      </x:c>
      <x:c r="B1509" s="4" t="inlineStr">
        <x:is>
          <x:t xml:space="preserve">002481</x:t>
        </x:is>
      </x:c>
      <x:c r="C1509" s="5" t="inlineStr">
        <x:is>
          <x:t xml:space="preserve">双塔食品</x:t>
        </x:is>
      </x:c>
      <x:c r="D1509" s="5" t="inlineStr">
        <x:is>
          <x:t xml:space="preserve">烟台双塔食品股份有限公司</x:t>
        </x:is>
      </x:c>
      <x:c r="E1509" s="4" t="inlineStr">
        <x:is>
          <x:t xml:space="preserve">山东省</x:t>
        </x:is>
      </x:c>
      <x:c r="F1509" s="4" t="inlineStr">
        <x:is>
          <x:t xml:space="preserve">东省招远市</x:t>
        </x:is>
      </x:c>
      <x:c r="G1509" s="5" t="inlineStr">
        <x:is>
          <x:t xml:space="preserve">山东省-东省招远市</x:t>
        </x:is>
      </x:c>
      <x:c r="H1509" s="4" t="inlineStr">
        <x:is>
          <x:t xml:space="preserve">食品饮料</x:t>
        </x:is>
      </x:c>
      <x:c r="I1509" s="4" t="inlineStr">
        <x:is>
          <x:t xml:space="preserve">2010-09-21</x:t>
        </x:is>
      </x:c>
      <x:c r="J1509" s="5" t="inlineStr">
        <x:is>
          <x:t xml:space="preserve">山东省招远市金岭镇寨里村</x:t>
        </x:is>
      </x:c>
      <x:c r="K1509" s="12" t="str">
        <x:f>LEFT("913700006134151965",18)</x:f>
        <x:v>913700006134152000</x:v>
      </x:c>
    </x:row>
    <x:row r="1510">
      <x:c r="A1510" s="2" t="n">
        <x:v>1509</x:v>
      </x:c>
      <x:c r="B1510" s="2" t="inlineStr">
        <x:is>
          <x:t xml:space="preserve">002485</x:t>
        </x:is>
      </x:c>
      <x:c r="C1510" s="3" t="inlineStr">
        <x:is>
          <x:t xml:space="preserve">ST雪发</x:t>
        </x:is>
      </x:c>
      <x:c r="D1510" s="3" t="inlineStr">
        <x:is>
          <x:t xml:space="preserve">雪松发展股份有限公司</x:t>
        </x:is>
      </x:c>
      <x:c r="E1510" s="2" t="inlineStr">
        <x:is>
          <x:t xml:space="preserve">山东省</x:t>
        </x:is>
      </x:c>
      <x:c r="F1510" s="2" t="inlineStr">
        <x:is>
          <x:t xml:space="preserve">东省诸城市</x:t>
        </x:is>
      </x:c>
      <x:c r="G1510" s="3" t="inlineStr">
        <x:is>
          <x:t xml:space="preserve">山东省-东省诸城市</x:t>
        </x:is>
      </x:c>
      <x:c r="H1510" s="2" t="inlineStr">
        <x:is>
          <x:t xml:space="preserve">纺织服装</x:t>
        </x:is>
      </x:c>
      <x:c r="I1510" s="2" t="inlineStr">
        <x:is>
          <x:t xml:space="preserve">2010-10-15</x:t>
        </x:is>
      </x:c>
      <x:c r="J1510" s="3" t="inlineStr">
        <x:is>
          <x:t xml:space="preserve">山东省诸城市舜王街道舜王大道7877号</x:t>
        </x:is>
      </x:c>
      <x:c r="K1510" s="12" t="str">
        <x:f>LEFT("913700007574655985",18)</x:f>
        <x:v>913700007574656000</x:v>
      </x:c>
    </x:row>
    <x:row r="1511">
      <x:c r="A1511" s="4" t="n">
        <x:v>1510</x:v>
      </x:c>
      <x:c r="B1511" s="4" t="inlineStr">
        <x:is>
          <x:t xml:space="preserve">002490</x:t>
        </x:is>
      </x:c>
      <x:c r="C1511" s="5" t="inlineStr">
        <x:is>
          <x:t xml:space="preserve">ST墨龙</x:t>
        </x:is>
      </x:c>
      <x:c r="D1511" s="5" t="inlineStr">
        <x:is>
          <x:t xml:space="preserve">山东墨龙石油机械股份有限公司</x:t>
        </x:is>
      </x:c>
      <x:c r="E1511" s="4" t="inlineStr">
        <x:is>
          <x:t xml:space="preserve">山东省</x:t>
        </x:is>
      </x:c>
      <x:c r="F1511" s="4" t="inlineStr">
        <x:is>
          <x:t xml:space="preserve">东省寿光市</x:t>
        </x:is>
      </x:c>
      <x:c r="G1511" s="5" t="inlineStr">
        <x:is>
          <x:t xml:space="preserve">山东省-东省寿光市</x:t>
        </x:is>
      </x:c>
      <x:c r="H1511" s="4" t="inlineStr">
        <x:is>
          <x:t xml:space="preserve">专用设备</x:t>
        </x:is>
      </x:c>
      <x:c r="I1511" s="4" t="inlineStr">
        <x:is>
          <x:t xml:space="preserve">2010-10-21</x:t>
        </x:is>
      </x:c>
      <x:c r="J1511" s="5" t="inlineStr">
        <x:is>
          <x:t xml:space="preserve">山东省寿光市古城街道兴尚路99号</x:t>
        </x:is>
      </x:c>
      <x:c r="K1511" s="12" t="str">
        <x:f>LEFT("91370000734705456P",18)</x:f>
        <x:v>91370000734705456P</x:v>
      </x:c>
    </x:row>
    <x:row r="1512">
      <x:c r="A1512" s="2" t="n">
        <x:v>1511</x:v>
      </x:c>
      <x:c r="B1512" s="2" t="inlineStr">
        <x:is>
          <x:t xml:space="preserve">002498</x:t>
        </x:is>
      </x:c>
      <x:c r="C1512" s="3" t="inlineStr">
        <x:is>
          <x:t xml:space="preserve">汉缆股份</x:t>
        </x:is>
      </x:c>
      <x:c r="D1512" s="3" t="inlineStr">
        <x:is>
          <x:t xml:space="preserve">青岛汉缆股份有限公司</x:t>
        </x:is>
      </x:c>
      <x:c r="E1512" s="2" t="inlineStr">
        <x:is>
          <x:t xml:space="preserve">山东省</x:t>
        </x:is>
      </x:c>
      <x:c r="F1512" s="2" t="inlineStr">
        <x:is>
          <x:t xml:space="preserve">青岛市</x:t>
        </x:is>
      </x:c>
      <x:c r="G1512" s="3" t="inlineStr">
        <x:is>
          <x:t xml:space="preserve">山东省-青岛市</x:t>
        </x:is>
      </x:c>
      <x:c r="H1512" s="2" t="inlineStr">
        <x:is>
          <x:t xml:space="preserve">输配电气</x:t>
        </x:is>
      </x:c>
      <x:c r="I1512" s="2" t="inlineStr">
        <x:is>
          <x:t xml:space="preserve">2010-11-09</x:t>
        </x:is>
      </x:c>
      <x:c r="J1512" s="3" t="inlineStr">
        <x:is>
          <x:t xml:space="preserve">山东省青岛市崂山区九水东路628号</x:t>
        </x:is>
      </x:c>
      <x:c r="K1512" s="12" t="str">
        <x:f>LEFT("91370200264821953P",18)</x:f>
        <x:v>91370200264821953P</x:v>
      </x:c>
    </x:row>
    <x:row r="1513">
      <x:c r="A1513" s="4" t="n">
        <x:v>1512</x:v>
      </x:c>
      <x:c r="B1513" s="4" t="inlineStr">
        <x:is>
          <x:t xml:space="preserve">002521</x:t>
        </x:is>
      </x:c>
      <x:c r="C1513" s="5" t="inlineStr">
        <x:is>
          <x:t xml:space="preserve">齐峰新材</x:t>
        </x:is>
      </x:c>
      <x:c r="D1513" s="5" t="inlineStr">
        <x:is>
          <x:t xml:space="preserve">齐峰新材料股份有限公司</x:t>
        </x:is>
      </x:c>
      <x:c r="E1513" s="4" t="inlineStr">
        <x:is>
          <x:t xml:space="preserve">山东省</x:t>
        </x:is>
      </x:c>
      <x:c r="F1513" s="4" t="inlineStr">
        <x:is>
          <x:t xml:space="preserve">淄博市</x:t>
        </x:is>
      </x:c>
      <x:c r="G1513" s="5" t="inlineStr">
        <x:is>
          <x:t xml:space="preserve">山东省-淄博市</x:t>
        </x:is>
      </x:c>
      <x:c r="H1513" s="4" t="inlineStr">
        <x:is>
          <x:t xml:space="preserve">造纸印刷</x:t>
        </x:is>
      </x:c>
      <x:c r="I1513" s="4" t="inlineStr">
        <x:is>
          <x:t xml:space="preserve">2010-12-10</x:t>
        </x:is>
      </x:c>
      <x:c r="J1513" s="5" t="inlineStr">
        <x:is>
          <x:t xml:space="preserve">山东省淄博市临淄区朱台镇朱台路22号</x:t>
        </x:is>
      </x:c>
      <x:c r="K1513" s="12" t="str">
        <x:f>LEFT("91370000729270531X",18)</x:f>
        <x:v>91370000729270531X</x:v>
      </x:c>
    </x:row>
    <x:row r="1514">
      <x:c r="A1514" s="2" t="n">
        <x:v>1513</x:v>
      </x:c>
      <x:c r="B1514" s="2" t="inlineStr">
        <x:is>
          <x:t xml:space="preserve">002526</x:t>
        </x:is>
      </x:c>
      <x:c r="C1514" s="3" t="inlineStr">
        <x:is>
          <x:t xml:space="preserve">山东矿机</x:t>
        </x:is>
      </x:c>
      <x:c r="D1514" s="3" t="inlineStr">
        <x:is>
          <x:t xml:space="preserve">山东矿机集团股份有限公司</x:t>
        </x:is>
      </x:c>
      <x:c r="E1514" s="2" t="inlineStr">
        <x:is>
          <x:t xml:space="preserve">山东省</x:t>
        </x:is>
      </x:c>
      <x:c r="F1514" s="2" t="inlineStr">
        <x:is>
          <x:t xml:space="preserve">潍坊市</x:t>
        </x:is>
      </x:c>
      <x:c r="G1514" s="3" t="inlineStr">
        <x:is>
          <x:t xml:space="preserve">山东省-潍坊市</x:t>
        </x:is>
      </x:c>
      <x:c r="H1514" s="2" t="inlineStr">
        <x:is>
          <x:t xml:space="preserve">专用设备</x:t>
        </x:is>
      </x:c>
      <x:c r="I1514" s="2" t="inlineStr">
        <x:is>
          <x:t xml:space="preserve">2010-12-17</x:t>
        </x:is>
      </x:c>
      <x:c r="J1514" s="3" t="inlineStr">
        <x:is>
          <x:t xml:space="preserve">山东省昌乐县经济开发区大沂路北段</x:t>
        </x:is>
      </x:c>
      <x:c r="K1514" s="12" t="str">
        <x:f>LEFT("91370700165760323C",18)</x:f>
        <x:v>91370700165760323C</x:v>
      </x:c>
    </x:row>
    <x:row r="1515">
      <x:c r="A1515" s="4" t="n">
        <x:v>1514</x:v>
      </x:c>
      <x:c r="B1515" s="4" t="inlineStr">
        <x:is>
          <x:t xml:space="preserve">002537</x:t>
        </x:is>
      </x:c>
      <x:c r="C1515" s="5" t="inlineStr">
        <x:is>
          <x:t xml:space="preserve">海联金汇</x:t>
        </x:is>
      </x:c>
      <x:c r="D1515" s="5" t="inlineStr">
        <x:is>
          <x:t xml:space="preserve">海联金汇科技股份有限公司</x:t>
        </x:is>
      </x:c>
      <x:c r="E1515" s="4" t="inlineStr">
        <x:is>
          <x:t xml:space="preserve">山东省</x:t>
        </x:is>
      </x:c>
      <x:c r="F1515" s="4" t="inlineStr">
        <x:is>
          <x:t xml:space="preserve">青岛市</x:t>
        </x:is>
      </x:c>
      <x:c r="G1515" s="5" t="inlineStr">
        <x:is>
          <x:t xml:space="preserve">山东省-青岛市</x:t>
        </x:is>
      </x:c>
      <x:c r="H1515" s="4" t="inlineStr">
        <x:is>
          <x:t xml:space="preserve">汽车零部件</x:t>
        </x:is>
      </x:c>
      <x:c r="I1515" s="4" t="inlineStr">
        <x:is>
          <x:t xml:space="preserve">2011-01-10</x:t>
        </x:is>
      </x:c>
      <x:c r="J1515" s="5" t="inlineStr">
        <x:is>
          <x:t xml:space="preserve">山东省青岛市即墨区青威路1626号</x:t>
        </x:is>
      </x:c>
      <x:c r="K1515" s="12" t="str">
        <x:f>LEFT("91370200766733419J",18)</x:f>
        <x:v>91370200766733419J</x:v>
      </x:c>
    </x:row>
    <x:row r="1516">
      <x:c r="A1516" s="2" t="n">
        <x:v>1515</x:v>
      </x:c>
      <x:c r="B1516" s="2" t="inlineStr">
        <x:is>
          <x:t xml:space="preserve">002545</x:t>
        </x:is>
      </x:c>
      <x:c r="C1516" s="3" t="inlineStr">
        <x:is>
          <x:t xml:space="preserve">东方铁塔</x:t>
        </x:is>
      </x:c>
      <x:c r="D1516" s="3" t="inlineStr">
        <x:is>
          <x:t xml:space="preserve">青岛东方铁塔股份有限公司</x:t>
        </x:is>
      </x:c>
      <x:c r="E1516" s="2" t="inlineStr">
        <x:is>
          <x:t xml:space="preserve">山东省</x:t>
        </x:is>
      </x:c>
      <x:c r="F1516" s="2" t="inlineStr">
        <x:is>
          <x:t xml:space="preserve">青岛市</x:t>
        </x:is>
      </x:c>
      <x:c r="G1516" s="3" t="inlineStr">
        <x:is>
          <x:t xml:space="preserve">山东省-青岛市</x:t>
        </x:is>
      </x:c>
      <x:c r="H1516" s="2" t="inlineStr">
        <x:is>
          <x:t xml:space="preserve">钢铁行业</x:t>
        </x:is>
      </x:c>
      <x:c r="I1516" s="2" t="inlineStr">
        <x:is>
          <x:t xml:space="preserve">2011-02-11</x:t>
        </x:is>
      </x:c>
      <x:c r="J1516" s="3" t="inlineStr">
        <x:is>
          <x:t xml:space="preserve">青岛胶州市广州北路318号</x:t>
        </x:is>
      </x:c>
      <x:c r="K1516" s="12" t="str">
        <x:f>LEFT("91370200169675791C",18)</x:f>
        <x:v>91370200169675791C</x:v>
      </x:c>
    </x:row>
    <x:row r="1517">
      <x:c r="A1517" s="4" t="n">
        <x:v>1516</x:v>
      </x:c>
      <x:c r="B1517" s="4" t="inlineStr">
        <x:is>
          <x:t xml:space="preserve">002580</x:t>
        </x:is>
      </x:c>
      <x:c r="C1517" s="5" t="inlineStr">
        <x:is>
          <x:t xml:space="preserve">圣阳股份</x:t>
        </x:is>
      </x:c>
      <x:c r="D1517" s="5" t="inlineStr">
        <x:is>
          <x:t xml:space="preserve">山东圣阳电源股份有限公司</x:t>
        </x:is>
      </x:c>
      <x:c r="E1517" s="4" t="inlineStr">
        <x:is>
          <x:t xml:space="preserve">山东省</x:t>
        </x:is>
      </x:c>
      <x:c r="F1517" s="4" t="inlineStr">
        <x:is>
          <x:t xml:space="preserve">东省曲阜市</x:t>
        </x:is>
      </x:c>
      <x:c r="G1517" s="5" t="inlineStr">
        <x:is>
          <x:t xml:space="preserve">山东省-东省曲阜市</x:t>
        </x:is>
      </x:c>
      <x:c r="H1517" s="4" t="inlineStr">
        <x:is>
          <x:t xml:space="preserve">电池</x:t>
        </x:is>
      </x:c>
      <x:c r="I1517" s="4" t="inlineStr">
        <x:is>
          <x:t xml:space="preserve">2011-05-06</x:t>
        </x:is>
      </x:c>
      <x:c r="J1517" s="5" t="inlineStr">
        <x:is>
          <x:t xml:space="preserve">山东省曲阜市圣阳路1号</x:t>
        </x:is>
      </x:c>
      <x:c r="K1517" s="12" t="str">
        <x:f>LEFT("91370800169524686K",18)</x:f>
        <x:v>91370800169524686K</x:v>
      </x:c>
    </x:row>
    <x:row r="1518">
      <x:c r="A1518" s="2" t="n">
        <x:v>1517</x:v>
      </x:c>
      <x:c r="B1518" s="2" t="inlineStr">
        <x:is>
          <x:t xml:space="preserve">002581</x:t>
        </x:is>
      </x:c>
      <x:c r="C1518" s="3" t="inlineStr">
        <x:is>
          <x:t xml:space="preserve">ST未名</x:t>
        </x:is>
      </x:c>
      <x:c r="D1518" s="3" t="inlineStr">
        <x:is>
          <x:t xml:space="preserve">山东未名生物医药股份有限公司</x:t>
        </x:is>
      </x:c>
      <x:c r="E1518" s="2" t="inlineStr">
        <x:is>
          <x:t xml:space="preserve">山东省</x:t>
        </x:is>
      </x:c>
      <x:c r="F1518" s="2" t="inlineStr">
        <x:is>
          <x:t xml:space="preserve">淄博市</x:t>
        </x:is>
      </x:c>
      <x:c r="G1518" s="3" t="inlineStr">
        <x:is>
          <x:t xml:space="preserve">山东省-淄博市</x:t>
        </x:is>
      </x:c>
      <x:c r="H1518" s="2" t="inlineStr">
        <x:is>
          <x:t xml:space="preserve">生物制品</x:t>
        </x:is>
      </x:c>
      <x:c r="I1518" s="2" t="inlineStr">
        <x:is>
          <x:t xml:space="preserve">2011-05-20</x:t>
        </x:is>
      </x:c>
      <x:c r="J1518" s="3" t="inlineStr">
        <x:is>
          <x:t xml:space="preserve">山东省淄博市张店区淄博科技工业园南支一路(兴园路)28号</x:t>
        </x:is>
      </x:c>
      <x:c r="K1518" s="12" t="str">
        <x:f>LEFT("91370000726234826Q",18)</x:f>
        <x:v>91370000726234826Q</x:v>
      </x:c>
    </x:row>
    <x:row r="1519">
      <x:c r="A1519" s="4" t="n">
        <x:v>1518</x:v>
      </x:c>
      <x:c r="B1519" s="4" t="inlineStr">
        <x:is>
          <x:t xml:space="preserve">002588</x:t>
        </x:is>
      </x:c>
      <x:c r="C1519" s="5" t="inlineStr">
        <x:is>
          <x:t xml:space="preserve">史丹利</x:t>
        </x:is>
      </x:c>
      <x:c r="D1519" s="5" t="inlineStr">
        <x:is>
          <x:t xml:space="preserve">史丹利农业集团股份有限公司</x:t>
        </x:is>
      </x:c>
      <x:c r="E1519" s="4" t="inlineStr">
        <x:is>
          <x:t xml:space="preserve">山东省</x:t>
        </x:is>
      </x:c>
      <x:c r="F1519" s="4" t="inlineStr">
        <x:is>
          <x:t xml:space="preserve">临沂市</x:t>
        </x:is>
      </x:c>
      <x:c r="G1519" s="5" t="inlineStr">
        <x:is>
          <x:t xml:space="preserve">山东省-临沂市</x:t>
        </x:is>
      </x:c>
      <x:c r="H1519" s="4" t="inlineStr">
        <x:is>
          <x:t xml:space="preserve">化肥行业</x:t>
        </x:is>
      </x:c>
      <x:c r="I1519" s="4" t="inlineStr">
        <x:is>
          <x:t xml:space="preserve">2011-06-10</x:t>
        </x:is>
      </x:c>
      <x:c r="J1519" s="5" t="inlineStr">
        <x:is>
          <x:t xml:space="preserve">山东省临沂市临沭县史丹利路</x:t>
        </x:is>
      </x:c>
      <x:c r="K1519" s="12" t="str">
        <x:f>LEFT("91371300706066335J",18)</x:f>
        <x:v>91371300706066335J</x:v>
      </x:c>
    </x:row>
    <x:row r="1520">
      <x:c r="A1520" s="2" t="n">
        <x:v>1519</x:v>
      </x:c>
      <x:c r="B1520" s="2" t="inlineStr">
        <x:is>
          <x:t xml:space="preserve">002589</x:t>
        </x:is>
      </x:c>
      <x:c r="C1520" s="3" t="inlineStr">
        <x:is>
          <x:t xml:space="preserve">瑞康医药</x:t>
        </x:is>
      </x:c>
      <x:c r="D1520" s="3" t="inlineStr">
        <x:is>
          <x:t xml:space="preserve">瑞康医药集团股份有限公司</x:t>
        </x:is>
      </x:c>
      <x:c r="E1520" s="2" t="inlineStr">
        <x:is>
          <x:t xml:space="preserve">山东省</x:t>
        </x:is>
      </x:c>
      <x:c r="F1520" s="2" t="inlineStr">
        <x:is>
          <x:t xml:space="preserve">烟台市</x:t>
        </x:is>
      </x:c>
      <x:c r="G1520" s="3" t="inlineStr">
        <x:is>
          <x:t xml:space="preserve">山东省-烟台市</x:t>
        </x:is>
      </x:c>
      <x:c r="H1520" s="2" t="inlineStr">
        <x:is>
          <x:t xml:space="preserve">医药商业</x:t>
        </x:is>
      </x:c>
      <x:c r="I1520" s="2" t="inlineStr">
        <x:is>
          <x:t xml:space="preserve">2011-06-10</x:t>
        </x:is>
      </x:c>
      <x:c r="J1520" s="3" t="inlineStr">
        <x:is>
          <x:t xml:space="preserve">山东省烟台市芝罘区凤鸣路103号13号楼</x:t>
        </x:is>
      </x:c>
      <x:c r="K1520" s="12" t="str">
        <x:f>LEFT("91370000766690447B",18)</x:f>
        <x:v>91370000766690447B</x:v>
      </x:c>
    </x:row>
    <x:row r="1521">
      <x:c r="A1521" s="4" t="n">
        <x:v>1520</x:v>
      </x:c>
      <x:c r="B1521" s="4" t="inlineStr">
        <x:is>
          <x:t xml:space="preserve">002595</x:t>
        </x:is>
      </x:c>
      <x:c r="C1521" s="5" t="inlineStr">
        <x:is>
          <x:t xml:space="preserve">豪迈科技</x:t>
        </x:is>
      </x:c>
      <x:c r="D1521" s="5" t="inlineStr">
        <x:is>
          <x:t xml:space="preserve">山东豪迈机械科技股份有限公司</x:t>
        </x:is>
      </x:c>
      <x:c r="E1521" s="4" t="inlineStr">
        <x:is>
          <x:t xml:space="preserve">山东省</x:t>
        </x:is>
      </x:c>
      <x:c r="F1521" s="4" t="inlineStr">
        <x:is>
          <x:t xml:space="preserve">东省高密市</x:t>
        </x:is>
      </x:c>
      <x:c r="G1521" s="5" t="inlineStr">
        <x:is>
          <x:t xml:space="preserve">山东省-东省高密市</x:t>
        </x:is>
      </x:c>
      <x:c r="H1521" s="4" t="inlineStr">
        <x:is>
          <x:t xml:space="preserve">专用设备</x:t>
        </x:is>
      </x:c>
      <x:c r="I1521" s="4" t="inlineStr">
        <x:is>
          <x:t xml:space="preserve">2011-06-28</x:t>
        </x:is>
      </x:c>
      <x:c r="J1521" s="5" t="inlineStr">
        <x:is>
          <x:t xml:space="preserve">山东省高密市密水科技工业园豪迈路1号</x:t>
        </x:is>
      </x:c>
      <x:c r="K1521" s="12" t="str">
        <x:f>LEFT("913707006135439483",18)</x:f>
        <x:v>913707006135439500</x:v>
      </x:c>
    </x:row>
    <x:row r="1522">
      <x:c r="A1522" s="2" t="n">
        <x:v>1521</x:v>
      </x:c>
      <x:c r="B1522" s="2" t="inlineStr">
        <x:is>
          <x:t xml:space="preserve">002598</x:t>
        </x:is>
      </x:c>
      <x:c r="C1522" s="3" t="inlineStr">
        <x:is>
          <x:t xml:space="preserve">山东章鼓</x:t>
        </x:is>
      </x:c>
      <x:c r="D1522" s="3" t="inlineStr">
        <x:is>
          <x:t xml:space="preserve">山东省章丘鼓风机股份有限公司</x:t>
        </x:is>
      </x:c>
      <x:c r="E1522" s="2" t="inlineStr">
        <x:is>
          <x:t xml:space="preserve">山东省</x:t>
        </x:is>
      </x:c>
      <x:c r="F1522" s="2" t="inlineStr">
        <x:is>
          <x:t xml:space="preserve">济南市</x:t>
        </x:is>
      </x:c>
      <x:c r="G1522" s="3" t="inlineStr">
        <x:is>
          <x:t xml:space="preserve">山东省-济南市</x:t>
        </x:is>
      </x:c>
      <x:c r="H1522" s="2" t="inlineStr">
        <x:is>
          <x:t xml:space="preserve">机械行业</x:t>
        </x:is>
      </x:c>
      <x:c r="I1522" s="2" t="inlineStr">
        <x:is>
          <x:t xml:space="preserve">2011-07-07</x:t>
        </x:is>
      </x:c>
      <x:c r="J1522" s="3" t="inlineStr">
        <x:is>
          <x:t xml:space="preserve">山东省济南市章丘区明水经济开发区世纪大道东首</x:t>
        </x:is>
      </x:c>
      <x:c r="K1522" s="12" t="str">
        <x:f>LEFT("91370000163446410B",18)</x:f>
        <x:v>91370000163446410B</x:v>
      </x:c>
    </x:row>
    <x:row r="1523">
      <x:c r="A1523" s="4" t="n">
        <x:v>1522</x:v>
      </x:c>
      <x:c r="B1523" s="4" t="inlineStr">
        <x:is>
          <x:t xml:space="preserve">002643</x:t>
        </x:is>
      </x:c>
      <x:c r="C1523" s="5" t="inlineStr">
        <x:is>
          <x:t xml:space="preserve">万润股份</x:t>
        </x:is>
      </x:c>
      <x:c r="D1523" s="5" t="inlineStr">
        <x:is>
          <x:t xml:space="preserve">中节能万润股份有限公司</x:t>
        </x:is>
      </x:c>
      <x:c r="E1523" s="4" t="inlineStr">
        <x:is>
          <x:t xml:space="preserve">山东省</x:t>
        </x:is>
      </x:c>
      <x:c r="F1523" s="4" t="inlineStr">
        <x:is>
          <x:t xml:space="preserve">烟台市</x:t>
        </x:is>
      </x:c>
      <x:c r="G1523" s="5" t="inlineStr">
        <x:is>
          <x:t xml:space="preserve">山东省-烟台市</x:t>
        </x:is>
      </x:c>
      <x:c r="H1523" s="4" t="inlineStr">
        <x:is>
          <x:t xml:space="preserve">电子化学品</x:t>
        </x:is>
      </x:c>
      <x:c r="I1523" s="4" t="inlineStr">
        <x:is>
          <x:t xml:space="preserve">2011-12-20</x:t>
        </x:is>
      </x:c>
      <x:c r="J1523" s="5" t="inlineStr">
        <x:is>
          <x:t xml:space="preserve">山东省烟台经济技术开发区五指山路11号</x:t>
        </x:is>
      </x:c>
      <x:c r="K1523" s="12" t="str">
        <x:f>LEFT("913700002653826225",18)</x:f>
        <x:v>913700002653826200</x:v>
      </x:c>
    </x:row>
    <x:row r="1524">
      <x:c r="A1524" s="2" t="n">
        <x:v>1523</x:v>
      </x:c>
      <x:c r="B1524" s="2" t="inlineStr">
        <x:is>
          <x:t xml:space="preserve">002655</x:t>
        </x:is>
      </x:c>
      <x:c r="C1524" s="3" t="inlineStr">
        <x:is>
          <x:t xml:space="preserve">共达电声</x:t>
        </x:is>
      </x:c>
      <x:c r="D1524" s="3" t="inlineStr">
        <x:is>
          <x:t xml:space="preserve">共达电声股份有限公司</x:t>
        </x:is>
      </x:c>
      <x:c r="E1524" s="2" t="inlineStr">
        <x:is>
          <x:t xml:space="preserve">山东省</x:t>
        </x:is>
      </x:c>
      <x:c r="F1524" s="2" t="inlineStr">
        <x:is>
          <x:t xml:space="preserve">潍坊市</x:t>
        </x:is>
      </x:c>
      <x:c r="G1524" s="3" t="inlineStr">
        <x:is>
          <x:t xml:space="preserve">山东省-潍坊市</x:t>
        </x:is>
      </x:c>
      <x:c r="H1524" s="2" t="inlineStr">
        <x:is>
          <x:t xml:space="preserve">消费电子</x:t>
        </x:is>
      </x:c>
      <x:c r="I1524" s="2" t="inlineStr">
        <x:is>
          <x:t xml:space="preserve">2012-02-17</x:t>
        </x:is>
      </x:c>
      <x:c r="J1524" s="3" t="inlineStr">
        <x:is>
          <x:t xml:space="preserve">山东省潍坊市坊子区凤山路68号</x:t>
        </x:is>
      </x:c>
      <x:c r="K1524" s="12" t="str">
        <x:f>LEFT("91370700727553239B",18)</x:f>
        <x:v>91370700727553239B</x:v>
      </x:c>
    </x:row>
    <x:row r="1525">
      <x:c r="A1525" s="4" t="n">
        <x:v>1524</x:v>
      </x:c>
      <x:c r="B1525" s="4" t="inlineStr">
        <x:is>
          <x:t xml:space="preserve">002671</x:t>
        </x:is>
      </x:c>
      <x:c r="C1525" s="5" t="inlineStr">
        <x:is>
          <x:t xml:space="preserve">龙泉股份</x:t>
        </x:is>
      </x:c>
      <x:c r="D1525" s="5" t="inlineStr">
        <x:is>
          <x:t xml:space="preserve">山东龙泉管业股份有限公司</x:t>
        </x:is>
      </x:c>
      <x:c r="E1525" s="4" t="inlineStr">
        <x:is>
          <x:t xml:space="preserve">山东省</x:t>
        </x:is>
      </x:c>
      <x:c r="F1525" s="4" t="inlineStr">
        <x:is>
          <x:t xml:space="preserve">淄博市</x:t>
        </x:is>
      </x:c>
      <x:c r="G1525" s="5" t="inlineStr">
        <x:is>
          <x:t xml:space="preserve">山东省-淄博市</x:t>
        </x:is>
      </x:c>
      <x:c r="H1525" s="4" t="inlineStr">
        <x:is>
          <x:t xml:space="preserve">水泥建材</x:t>
        </x:is>
      </x:c>
      <x:c r="I1525" s="4" t="inlineStr">
        <x:is>
          <x:t xml:space="preserve">2012-04-26</x:t>
        </x:is>
      </x:c>
      <x:c r="J1525" s="5" t="inlineStr">
        <x:is>
          <x:t xml:space="preserve">山东省淄博市博山区尖山东路36号</x:t>
        </x:is>
      </x:c>
      <x:c r="K1525" s="12" t="str">
        <x:f>LEFT("91370000724817470X",18)</x:f>
        <x:v>91370000724817470X</x:v>
      </x:c>
    </x:row>
    <x:row r="1526">
      <x:c r="A1526" s="2" t="n">
        <x:v>1525</x:v>
      </x:c>
      <x:c r="B1526" s="2" t="inlineStr">
        <x:is>
          <x:t xml:space="preserve">002675</x:t>
        </x:is>
      </x:c>
      <x:c r="C1526" s="3" t="inlineStr">
        <x:is>
          <x:t xml:space="preserve">东诚药业</x:t>
        </x:is>
      </x:c>
      <x:c r="D1526" s="3" t="inlineStr">
        <x:is>
          <x:t xml:space="preserve">烟台东诚药业集团股份有限公司</x:t>
        </x:is>
      </x:c>
      <x:c r="E1526" s="2" t="inlineStr">
        <x:is>
          <x:t xml:space="preserve">山东省</x:t>
        </x:is>
      </x:c>
      <x:c r="F1526" s="2" t="inlineStr">
        <x:is>
          <x:t xml:space="preserve">烟台市</x:t>
        </x:is>
      </x:c>
      <x:c r="G1526" s="3" t="inlineStr">
        <x:is>
          <x:t xml:space="preserve">山东省-烟台市</x:t>
        </x:is>
      </x:c>
      <x:c r="H1526" s="2" t="inlineStr">
        <x:is>
          <x:t xml:space="preserve">医药制造</x:t>
        </x:is>
      </x:c>
      <x:c r="I1526" s="2" t="inlineStr">
        <x:is>
          <x:t xml:space="preserve">2012-05-25</x:t>
        </x:is>
      </x:c>
      <x:c r="J1526" s="3" t="inlineStr">
        <x:is>
          <x:t xml:space="preserve">烟台经济技术开发区长白山路7号</x:t>
        </x:is>
      </x:c>
      <x:c r="K1526" s="12" t="str">
        <x:f>LEFT("91370000705877283D",18)</x:f>
        <x:v>91370000705877283D</x:v>
      </x:c>
    </x:row>
    <x:row r="1527">
      <x:c r="A1527" s="4" t="n">
        <x:v>1526</x:v>
      </x:c>
      <x:c r="B1527" s="4" t="inlineStr">
        <x:is>
          <x:t xml:space="preserve">002726</x:t>
        </x:is>
      </x:c>
      <x:c r="C1527" s="5" t="inlineStr">
        <x:is>
          <x:t xml:space="preserve">龙大美食</x:t>
        </x:is>
      </x:c>
      <x:c r="D1527" s="5" t="inlineStr">
        <x:is>
          <x:t xml:space="preserve">山东龙大美食股份有限公司</x:t>
        </x:is>
      </x:c>
      <x:c r="E1527" s="4" t="inlineStr">
        <x:is>
          <x:t xml:space="preserve">山东省</x:t>
        </x:is>
      </x:c>
      <x:c r="F1527" s="4" t="inlineStr">
        <x:is>
          <x:t xml:space="preserve">东省莱阳市</x:t>
        </x:is>
      </x:c>
      <x:c r="G1527" s="5" t="inlineStr">
        <x:is>
          <x:t xml:space="preserve">山东省-东省莱阳市</x:t>
        </x:is>
      </x:c>
      <x:c r="H1527" s="4" t="inlineStr">
        <x:is>
          <x:t xml:space="preserve">食品饮料</x:t>
        </x:is>
      </x:c>
      <x:c r="I1527" s="4" t="inlineStr">
        <x:is>
          <x:t xml:space="preserve">2014-06-26</x:t>
        </x:is>
      </x:c>
      <x:c r="J1527" s="5" t="inlineStr">
        <x:is>
          <x:t xml:space="preserve">山东省莱阳市食品工业园</x:t>
        </x:is>
      </x:c>
      <x:c r="K1527" s="12" t="str">
        <x:f>LEFT("913700007591559056",18)</x:f>
        <x:v>913700007591559000</x:v>
      </x:c>
    </x:row>
    <x:row r="1528">
      <x:c r="A1528" s="2" t="n">
        <x:v>1527</x:v>
      </x:c>
      <x:c r="B1528" s="2" t="inlineStr">
        <x:is>
          <x:t xml:space="preserve">002746</x:t>
        </x:is>
      </x:c>
      <x:c r="C1528" s="3" t="inlineStr">
        <x:is>
          <x:t xml:space="preserve">仙坛股份</x:t>
        </x:is>
      </x:c>
      <x:c r="D1528" s="3" t="inlineStr">
        <x:is>
          <x:t xml:space="preserve">山东仙坛集团股份有限公司</x:t>
        </x:is>
      </x:c>
      <x:c r="E1528" s="2" t="inlineStr">
        <x:is>
          <x:t xml:space="preserve">山东省</x:t>
        </x:is>
      </x:c>
      <x:c r="F1528" s="2" t="inlineStr">
        <x:is>
          <x:t xml:space="preserve">烟台市</x:t>
        </x:is>
      </x:c>
      <x:c r="G1528" s="3" t="inlineStr">
        <x:is>
          <x:t xml:space="preserve">山东省-烟台市</x:t>
        </x:is>
      </x:c>
      <x:c r="H1528" s="2" t="inlineStr">
        <x:is>
          <x:t xml:space="preserve">农牧饲渔</x:t>
        </x:is>
      </x:c>
      <x:c r="I1528" s="2" t="inlineStr">
        <x:is>
          <x:t xml:space="preserve">2015-02-16</x:t>
        </x:is>
      </x:c>
      <x:c r="J1528" s="3" t="inlineStr">
        <x:is>
          <x:t xml:space="preserve">山东省烟台市牟平工业园区(城东)</x:t>
        </x:is>
      </x:c>
      <x:c r="K1528" s="12" t="str">
        <x:f>LEFT("91370600729262478P",18)</x:f>
        <x:v>91370600729262478P</x:v>
      </x:c>
    </x:row>
    <x:row r="1529">
      <x:c r="A1529" s="4" t="n">
        <x:v>1528</x:v>
      </x:c>
      <x:c r="B1529" s="4" t="inlineStr">
        <x:is>
          <x:t xml:space="preserve">002768</x:t>
        </x:is>
      </x:c>
      <x:c r="C1529" s="5" t="inlineStr">
        <x:is>
          <x:t xml:space="preserve">国恩股份</x:t>
        </x:is>
      </x:c>
      <x:c r="D1529" s="5" t="inlineStr">
        <x:is>
          <x:t xml:space="preserve">青岛国恩科技股份有限公司</x:t>
        </x:is>
      </x:c>
      <x:c r="E1529" s="4" t="inlineStr">
        <x:is>
          <x:t xml:space="preserve">山东省</x:t>
        </x:is>
      </x:c>
      <x:c r="F1529" s="4" t="inlineStr">
        <x:is>
          <x:t xml:space="preserve">青岛市</x:t>
        </x:is>
      </x:c>
      <x:c r="G1529" s="5" t="inlineStr">
        <x:is>
          <x:t xml:space="preserve">山东省-青岛市</x:t>
        </x:is>
      </x:c>
      <x:c r="H1529" s="4" t="inlineStr">
        <x:is>
          <x:t xml:space="preserve">塑胶制品</x:t>
        </x:is>
      </x:c>
      <x:c r="I1529" s="4" t="inlineStr">
        <x:is>
          <x:t xml:space="preserve">2015-06-30</x:t>
        </x:is>
      </x:c>
      <x:c r="J1529" s="5" t="inlineStr">
        <x:is>
          <x:t xml:space="preserve">青岛市城阳区棘洪滩街道青大工业园2号路</x:t>
        </x:is>
      </x:c>
      <x:c r="K1529" s="12" t="str">
        <x:f>LEFT("913702007255650680",18)</x:f>
        <x:v>913702007255650700</x:v>
      </x:c>
    </x:row>
    <x:row r="1530">
      <x:c r="A1530" s="2" t="n">
        <x:v>1529</x:v>
      </x:c>
      <x:c r="B1530" s="2" t="inlineStr">
        <x:is>
          <x:t xml:space="preserve">002793</x:t>
        </x:is>
      </x:c>
      <x:c r="C1530" s="3" t="inlineStr">
        <x:is>
          <x:t xml:space="preserve">罗欣药业</x:t>
        </x:is>
      </x:c>
      <x:c r="D1530" s="3" t="inlineStr">
        <x:is>
          <x:t xml:space="preserve">罗欣药业集团股份有限公司</x:t>
        </x:is>
      </x:c>
      <x:c r="E1530" s="2" t="inlineStr">
        <x:is>
          <x:t xml:space="preserve">山东省</x:t>
        </x:is>
      </x:c>
      <x:c r="F1530" s="2" t="inlineStr">
        <x:is>
          <x:t xml:space="preserve">临沂市</x:t>
        </x:is>
      </x:c>
      <x:c r="G1530" s="3" t="inlineStr">
        <x:is>
          <x:t xml:space="preserve">山东省-临沂市</x:t>
        </x:is>
      </x:c>
      <x:c r="H1530" s="2" t="inlineStr">
        <x:is>
          <x:t xml:space="preserve">医药制造</x:t>
        </x:is>
      </x:c>
      <x:c r="I1530" s="2" t="inlineStr">
        <x:is>
          <x:t xml:space="preserve">2016-04-15</x:t>
        </x:is>
      </x:c>
      <x:c r="J1530" s="3" t="inlineStr">
        <x:is>
          <x:t xml:space="preserve">山东省临沂市罗庄区罗七路18号4号楼</x:t>
        </x:is>
      </x:c>
      <x:c r="K1530" s="12" t="str">
        <x:f>LEFT("913300007047295374",18)</x:f>
        <x:v>913300007047295400</x:v>
      </x:c>
    </x:row>
    <x:row r="1531">
      <x:c r="A1531" s="4" t="n">
        <x:v>1530</x:v>
      </x:c>
      <x:c r="B1531" s="4" t="inlineStr">
        <x:is>
          <x:t xml:space="preserve">002805</x:t>
        </x:is>
      </x:c>
      <x:c r="C1531" s="5" t="inlineStr">
        <x:is>
          <x:t xml:space="preserve">丰元股份</x:t>
        </x:is>
      </x:c>
      <x:c r="D1531" s="5" t="inlineStr">
        <x:is>
          <x:t xml:space="preserve">山东丰元化学股份有限公司</x:t>
        </x:is>
      </x:c>
      <x:c r="E1531" s="4" t="inlineStr">
        <x:is>
          <x:t xml:space="preserve">山东省</x:t>
        </x:is>
      </x:c>
      <x:c r="F1531" s="4" t="inlineStr">
        <x:is>
          <x:t xml:space="preserve">枣庄市</x:t>
        </x:is>
      </x:c>
      <x:c r="G1531" s="5" t="inlineStr">
        <x:is>
          <x:t xml:space="preserve">山东省-枣庄市</x:t>
        </x:is>
      </x:c>
      <x:c r="H1531" s="4" t="inlineStr">
        <x:is>
          <x:t xml:space="preserve">电池</x:t>
        </x:is>
      </x:c>
      <x:c r="I1531" s="4" t="inlineStr">
        <x:is>
          <x:t xml:space="preserve">2016-07-07</x:t>
        </x:is>
      </x:c>
      <x:c r="J1531" s="5" t="inlineStr">
        <x:is>
          <x:t xml:space="preserve">枣庄市台儿庄区东顺路1227号</x:t>
        </x:is>
      </x:c>
      <x:c r="K1531" s="12" t="str">
        <x:f>LEFT("913704007249501675",18)</x:f>
        <x:v>913704007249501700</x:v>
      </x:c>
    </x:row>
    <x:row r="1532">
      <x:c r="A1532" s="2" t="n">
        <x:v>1531</x:v>
      </x:c>
      <x:c r="B1532" s="2" t="inlineStr">
        <x:is>
          <x:t xml:space="preserve">002810</x:t>
        </x:is>
      </x:c>
      <x:c r="C1532" s="3" t="inlineStr">
        <x:is>
          <x:t xml:space="preserve">山东赫达</x:t>
        </x:is>
      </x:c>
      <x:c r="D1532" s="3" t="inlineStr">
        <x:is>
          <x:t xml:space="preserve">山东赫达集团股份有限公司</x:t>
        </x:is>
      </x:c>
      <x:c r="E1532" s="2" t="inlineStr">
        <x:is>
          <x:t xml:space="preserve">山东省</x:t>
        </x:is>
      </x:c>
      <x:c r="F1532" s="2" t="inlineStr">
        <x:is>
          <x:t xml:space="preserve">淄博市</x:t>
        </x:is>
      </x:c>
      <x:c r="G1532" s="3" t="inlineStr">
        <x:is>
          <x:t xml:space="preserve">山东省-淄博市</x:t>
        </x:is>
      </x:c>
      <x:c r="H1532" s="2" t="inlineStr">
        <x:is>
          <x:t xml:space="preserve">化工行业</x:t>
        </x:is>
      </x:c>
      <x:c r="I1532" s="2" t="inlineStr">
        <x:is>
          <x:t xml:space="preserve">2016-08-26</x:t>
        </x:is>
      </x:c>
      <x:c r="J1532" s="3" t="inlineStr">
        <x:is>
          <x:t xml:space="preserve">山东省淄博市周村区赫达路999号</x:t>
        </x:is>
      </x:c>
      <x:c r="K1532" s="12" t="str">
        <x:f>LEFT("91370300164367239P",18)</x:f>
        <x:v>91370300164367239P</x:v>
      </x:c>
    </x:row>
    <x:row r="1533">
      <x:c r="A1533" s="4" t="n">
        <x:v>1532</x:v>
      </x:c>
      <x:c r="B1533" s="4" t="inlineStr">
        <x:is>
          <x:t xml:space="preserve">002838</x:t>
        </x:is>
      </x:c>
      <x:c r="C1533" s="5" t="inlineStr">
        <x:is>
          <x:t xml:space="preserve">道恩股份</x:t>
        </x:is>
      </x:c>
      <x:c r="D1533" s="5" t="inlineStr">
        <x:is>
          <x:t xml:space="preserve">山东道恩高分子材料股份有限公司</x:t>
        </x:is>
      </x:c>
      <x:c r="E1533" s="4" t="inlineStr">
        <x:is>
          <x:t xml:space="preserve">山东省</x:t>
        </x:is>
      </x:c>
      <x:c r="F1533" s="4" t="inlineStr">
        <x:is>
          <x:t xml:space="preserve">东省龙口市</x:t>
        </x:is>
      </x:c>
      <x:c r="G1533" s="5" t="inlineStr">
        <x:is>
          <x:t xml:space="preserve">山东省-东省龙口市</x:t>
        </x:is>
      </x:c>
      <x:c r="H1533" s="4" t="inlineStr">
        <x:is>
          <x:t xml:space="preserve">塑胶制品</x:t>
        </x:is>
      </x:c>
      <x:c r="I1533" s="4" t="inlineStr">
        <x:is>
          <x:t xml:space="preserve">2017-01-06</x:t>
        </x:is>
      </x:c>
      <x:c r="J1533" s="5" t="inlineStr">
        <x:is>
          <x:t xml:space="preserve">山东省龙口市振兴路北首道恩经济园工业园区</x:t>
        </x:is>
      </x:c>
      <x:c r="K1533" s="12" t="str">
        <x:f>LEFT("913706007456581228",18)</x:f>
        <x:v>913706007456581200</x:v>
      </x:c>
    </x:row>
    <x:row r="1534">
      <x:c r="A1534" s="2" t="n">
        <x:v>1533</x:v>
      </x:c>
      <x:c r="B1534" s="2" t="inlineStr">
        <x:is>
          <x:t xml:space="preserve">002871</x:t>
        </x:is>
      </x:c>
      <x:c r="C1534" s="3" t="inlineStr">
        <x:is>
          <x:t xml:space="preserve">伟隆股份</x:t>
        </x:is>
      </x:c>
      <x:c r="D1534" s="3" t="inlineStr">
        <x:is>
          <x:t xml:space="preserve">青岛伟隆阀门股份有限公司</x:t>
        </x:is>
      </x:c>
      <x:c r="E1534" s="2" t="inlineStr">
        <x:is>
          <x:t xml:space="preserve">山东省</x:t>
        </x:is>
      </x:c>
      <x:c r="F1534" s="2" t="inlineStr">
        <x:is>
          <x:t xml:space="preserve">青岛市</x:t>
        </x:is>
      </x:c>
      <x:c r="G1534" s="3" t="inlineStr">
        <x:is>
          <x:t xml:space="preserve">山东省-青岛市</x:t>
        </x:is>
      </x:c>
      <x:c r="H1534" s="2" t="inlineStr">
        <x:is>
          <x:t xml:space="preserve">机械行业</x:t>
        </x:is>
      </x:c>
      <x:c r="I1534" s="2" t="inlineStr">
        <x:is>
          <x:t xml:space="preserve">2017-05-11</x:t>
        </x:is>
      </x:c>
      <x:c r="J1534" s="3" t="inlineStr">
        <x:is>
          <x:t xml:space="preserve">山东省青岛市高新区春阳路789号</x:t>
        </x:is>
      </x:c>
      <x:c r="K1534" s="12" t="str">
        <x:f>LEFT("91370200614257783M",18)</x:f>
        <x:v>91370200614257783M</x:v>
      </x:c>
    </x:row>
    <x:row r="1535">
      <x:c r="A1535" s="4" t="n">
        <x:v>1534</x:v>
      </x:c>
      <x:c r="B1535" s="4" t="inlineStr">
        <x:is>
          <x:t xml:space="preserve">002890</x:t>
        </x:is>
      </x:c>
      <x:c r="C1535" s="5" t="inlineStr">
        <x:is>
          <x:t xml:space="preserve">弘宇股份</x:t>
        </x:is>
      </x:c>
      <x:c r="D1535" s="5" t="inlineStr">
        <x:is>
          <x:t xml:space="preserve">山东弘宇精机股份有限公司</x:t>
        </x:is>
      </x:c>
      <x:c r="E1535" s="4" t="inlineStr">
        <x:is>
          <x:t xml:space="preserve">山东省</x:t>
        </x:is>
      </x:c>
      <x:c r="F1535" s="4" t="inlineStr">
        <x:is>
          <x:t xml:space="preserve">东省莱州市</x:t>
        </x:is>
      </x:c>
      <x:c r="G1535" s="5" t="inlineStr">
        <x:is>
          <x:t xml:space="preserve">山东省-东省莱州市</x:t>
        </x:is>
      </x:c>
      <x:c r="H1535" s="4" t="inlineStr">
        <x:is>
          <x:t xml:space="preserve">专用设备</x:t>
        </x:is>
      </x:c>
      <x:c r="I1535" s="4" t="inlineStr">
        <x:is>
          <x:t xml:space="preserve">2017-08-02</x:t>
        </x:is>
      </x:c>
      <x:c r="J1535" s="5" t="inlineStr">
        <x:is>
          <x:t xml:space="preserve">山东省莱州市虎头崖经济技术工业园区弘宇路3号</x:t>
        </x:is>
      </x:c>
      <x:c r="K1535" s="12" t="str">
        <x:f>LEFT("91370600169830720Q",18)</x:f>
        <x:v>91370600169830720Q</x:v>
      </x:c>
    </x:row>
    <x:row r="1536">
      <x:c r="A1536" s="2" t="n">
        <x:v>1535</x:v>
      </x:c>
      <x:c r="B1536" s="2" t="inlineStr">
        <x:is>
          <x:t xml:space="preserve">002891</x:t>
        </x:is>
      </x:c>
      <x:c r="C1536" s="3" t="inlineStr">
        <x:is>
          <x:t xml:space="preserve">中宠股份</x:t>
        </x:is>
      </x:c>
      <x:c r="D1536" s="3" t="inlineStr">
        <x:is>
          <x:t xml:space="preserve">烟台中宠食品股份有限公司</x:t>
        </x:is>
      </x:c>
      <x:c r="E1536" s="2" t="inlineStr">
        <x:is>
          <x:t xml:space="preserve">山东省</x:t>
        </x:is>
      </x:c>
      <x:c r="F1536" s="2" t="inlineStr">
        <x:is>
          <x:t xml:space="preserve">烟台市</x:t>
        </x:is>
      </x:c>
      <x:c r="G1536" s="3" t="inlineStr">
        <x:is>
          <x:t xml:space="preserve">山东省-烟台市</x:t>
        </x:is>
      </x:c>
      <x:c r="H1536" s="2" t="inlineStr">
        <x:is>
          <x:t xml:space="preserve">农牧饲渔</x:t>
        </x:is>
      </x:c>
      <x:c r="I1536" s="2" t="inlineStr">
        <x:is>
          <x:t xml:space="preserve">2017-08-21</x:t>
        </x:is>
      </x:c>
      <x:c r="J1536" s="3" t="inlineStr">
        <x:is>
          <x:t xml:space="preserve">山东省烟台市莱山经济开发区蒲昌路8号</x:t>
        </x:is>
      </x:c>
      <x:c r="K1536" s="12" t="str">
        <x:f>LEFT("913700007337235643",18)</x:f>
        <x:v>913700007337235600</x:v>
      </x:c>
    </x:row>
    <x:row r="1537">
      <x:c r="A1537" s="4" t="n">
        <x:v>1536</x:v>
      </x:c>
      <x:c r="B1537" s="4" t="inlineStr">
        <x:is>
          <x:t xml:space="preserve">002899</x:t>
        </x:is>
      </x:c>
      <x:c r="C1537" s="5" t="inlineStr">
        <x:is>
          <x:t xml:space="preserve">英派斯</x:t>
        </x:is>
      </x:c>
      <x:c r="D1537" s="5" t="inlineStr">
        <x:is>
          <x:t xml:space="preserve">青岛英派斯健康科技股份有限公司</x:t>
        </x:is>
      </x:c>
      <x:c r="E1537" s="4" t="inlineStr">
        <x:is>
          <x:t xml:space="preserve">山东省</x:t>
        </x:is>
      </x:c>
      <x:c r="F1537" s="4" t="inlineStr">
        <x:is>
          <x:t xml:space="preserve">青岛市</x:t>
        </x:is>
      </x:c>
      <x:c r="G1537" s="5" t="inlineStr">
        <x:is>
          <x:t xml:space="preserve">山东省-青岛市</x:t>
        </x:is>
      </x:c>
      <x:c r="H1537" s="4" t="inlineStr">
        <x:is>
          <x:t xml:space="preserve">家用轻工</x:t>
        </x:is>
      </x:c>
      <x:c r="I1537" s="4" t="inlineStr">
        <x:is>
          <x:t xml:space="preserve">2017-09-15</x:t>
        </x:is>
      </x:c>
      <x:c r="J1537" s="5" t="inlineStr">
        <x:is>
          <x:t xml:space="preserve">山东省青岛市即墨区马山路297号</x:t>
        </x:is>
      </x:c>
      <x:c r="K1537" s="12" t="str">
        <x:f>LEFT("913702007472052232",18)</x:f>
        <x:v>913702007472052200</x:v>
      </x:c>
    </x:row>
    <x:row r="1538">
      <x:c r="A1538" s="2" t="n">
        <x:v>1537</x:v>
      </x:c>
      <x:c r="B1538" s="2" t="inlineStr">
        <x:is>
          <x:t xml:space="preserve">002921</x:t>
        </x:is>
      </x:c>
      <x:c r="C1538" s="3" t="inlineStr">
        <x:is>
          <x:t xml:space="preserve">联诚精密</x:t>
        </x:is>
      </x:c>
      <x:c r="D1538" s="3" t="inlineStr">
        <x:is>
          <x:t xml:space="preserve">山东联诚精密制造股份有限公司</x:t>
        </x:is>
      </x:c>
      <x:c r="E1538" s="2" t="inlineStr">
        <x:is>
          <x:t xml:space="preserve">山东省</x:t>
        </x:is>
      </x:c>
      <x:c r="F1538" s="2" t="inlineStr">
        <x:is>
          <x:t xml:space="preserve">济宁市</x:t>
        </x:is>
      </x:c>
      <x:c r="G1538" s="3" t="inlineStr">
        <x:is>
          <x:t xml:space="preserve">山东省-济宁市</x:t>
        </x:is>
      </x:c>
      <x:c r="H1538" s="2" t="inlineStr">
        <x:is>
          <x:t xml:space="preserve">汽车行业</x:t>
        </x:is>
      </x:c>
      <x:c r="I1538" s="2" t="inlineStr">
        <x:is>
          <x:t xml:space="preserve">2017-12-27</x:t>
        </x:is>
      </x:c>
      <x:c r="J1538" s="3" t="inlineStr">
        <x:is>
          <x:t xml:space="preserve">山东省济宁市兖州区经济开发区北环城路6号</x:t>
        </x:is>
      </x:c>
      <x:c r="K1538" s="12" t="str">
        <x:f>LEFT("91370000166116783G",18)</x:f>
        <x:v>91370000166116783G</x:v>
      </x:c>
    </x:row>
    <x:row r="1539">
      <x:c r="A1539" s="4" t="n">
        <x:v>1538</x:v>
      </x:c>
      <x:c r="B1539" s="4" t="inlineStr">
        <x:is>
          <x:t xml:space="preserve">002948</x:t>
        </x:is>
      </x:c>
      <x:c r="C1539" s="5" t="inlineStr">
        <x:is>
          <x:t xml:space="preserve">青岛银行</x:t>
        </x:is>
      </x:c>
      <x:c r="D1539" s="5" t="inlineStr">
        <x:is>
          <x:t xml:space="preserve">青岛银行股份有限公司</x:t>
        </x:is>
      </x:c>
      <x:c r="E1539" s="4" t="inlineStr">
        <x:is>
          <x:t xml:space="preserve">山东省</x:t>
        </x:is>
      </x:c>
      <x:c r="F1539" s="4" t="inlineStr">
        <x:is>
          <x:t xml:space="preserve">青岛市</x:t>
        </x:is>
      </x:c>
      <x:c r="G1539" s="5" t="inlineStr">
        <x:is>
          <x:t xml:space="preserve">山东省-青岛市</x:t>
        </x:is>
      </x:c>
      <x:c r="H1539" s="4" t="inlineStr">
        <x:is>
          <x:t xml:space="preserve">银行</x:t>
        </x:is>
      </x:c>
      <x:c r="I1539" s="4" t="inlineStr">
        <x:is>
          <x:t xml:space="preserve">2019-01-16</x:t>
        </x:is>
      </x:c>
      <x:c r="J1539" s="5" t="inlineStr">
        <x:is>
          <x:t xml:space="preserve">山东省青岛市崂山区秦岭路6号3号楼</x:t>
        </x:is>
      </x:c>
      <x:c r="K1539" s="12" t="str">
        <x:f>LEFT("91370200264609602K",18)</x:f>
        <x:v>91370200264609602K</x:v>
      </x:c>
    </x:row>
    <x:row r="1540">
      <x:c r="A1540" s="2" t="n">
        <x:v>1539</x:v>
      </x:c>
      <x:c r="B1540" s="2" t="inlineStr">
        <x:is>
          <x:t xml:space="preserve">002958</x:t>
        </x:is>
      </x:c>
      <x:c r="C1540" s="3" t="inlineStr">
        <x:is>
          <x:t xml:space="preserve">青农商行</x:t>
        </x:is>
      </x:c>
      <x:c r="D1540" s="3" t="inlineStr">
        <x:is>
          <x:t xml:space="preserve">青岛农村商业银行股份有限公司</x:t>
        </x:is>
      </x:c>
      <x:c r="E1540" s="2" t="inlineStr">
        <x:is>
          <x:t xml:space="preserve">山东省</x:t>
        </x:is>
      </x:c>
      <x:c r="F1540" s="2" t="inlineStr">
        <x:is>
          <x:t xml:space="preserve">青岛市</x:t>
        </x:is>
      </x:c>
      <x:c r="G1540" s="3" t="inlineStr">
        <x:is>
          <x:t xml:space="preserve">山东省-青岛市</x:t>
        </x:is>
      </x:c>
      <x:c r="H1540" s="2" t="inlineStr">
        <x:is>
          <x:t xml:space="preserve">银行</x:t>
        </x:is>
      </x:c>
      <x:c r="I1540" s="2" t="inlineStr">
        <x:is>
          <x:t xml:space="preserve">2019-03-26</x:t>
        </x:is>
      </x:c>
      <x:c r="J1540" s="3" t="inlineStr">
        <x:is>
          <x:t xml:space="preserve">山东省青岛市崂山区秦岭路6号1号楼</x:t>
        </x:is>
      </x:c>
      <x:c r="K1540" s="12" t="str">
        <x:f>LEFT("91370200599001594B",18)</x:f>
        <x:v>91370200599001594B</x:v>
      </x:c>
    </x:row>
    <x:row r="1541">
      <x:c r="A1541" s="4" t="n">
        <x:v>1540</x:v>
      </x:c>
      <x:c r="B1541" s="4" t="inlineStr">
        <x:is>
          <x:t xml:space="preserve">002984</x:t>
        </x:is>
      </x:c>
      <x:c r="C1541" s="5" t="inlineStr">
        <x:is>
          <x:t xml:space="preserve">森麒麟</x:t>
        </x:is>
      </x:c>
      <x:c r="D1541" s="5" t="inlineStr">
        <x:is>
          <x:t xml:space="preserve">青岛森麒麟轮胎股份有限公司</x:t>
        </x:is>
      </x:c>
      <x:c r="E1541" s="4" t="inlineStr">
        <x:is>
          <x:t xml:space="preserve">山东省</x:t>
        </x:is>
      </x:c>
      <x:c r="F1541" s="4" t="inlineStr">
        <x:is>
          <x:t xml:space="preserve">青岛市</x:t>
        </x:is>
      </x:c>
      <x:c r="G1541" s="5" t="inlineStr">
        <x:is>
          <x:t xml:space="preserve">山东省-青岛市</x:t>
        </x:is>
      </x:c>
      <x:c r="H1541" s="4" t="inlineStr">
        <x:is>
          <x:t xml:space="preserve">橡胶制品</x:t>
        </x:is>
      </x:c>
      <x:c r="I1541" s="4" t="inlineStr">
        <x:is>
          <x:t xml:space="preserve">2020-09-11</x:t>
        </x:is>
      </x:c>
      <x:c r="J1541" s="5" t="inlineStr">
        <x:is>
          <x:t xml:space="preserve">青岛市即墨区大信镇天山三路5号</x:t>
        </x:is>
      </x:c>
      <x:c r="K1541" s="12" t="str">
        <x:f>LEFT("91370282667873459U",18)</x:f>
        <x:v>91370282667873459U</x:v>
      </x:c>
    </x:row>
    <x:row r="1542">
      <x:c r="A1542" s="2" t="n">
        <x:v>1541</x:v>
      </x:c>
      <x:c r="B1542" s="2" t="inlineStr">
        <x:is>
          <x:t xml:space="preserve">003022</x:t>
        </x:is>
      </x:c>
      <x:c r="C1542" s="3" t="inlineStr">
        <x:is>
          <x:t xml:space="preserve">联泓新科</x:t>
        </x:is>
      </x:c>
      <x:c r="D1542" s="3" t="inlineStr">
        <x:is>
          <x:t xml:space="preserve">联泓新材料科技股份有限公司</x:t>
        </x:is>
      </x:c>
      <x:c r="E1542" s="2" t="inlineStr">
        <x:is>
          <x:t xml:space="preserve">山东省</x:t>
        </x:is>
      </x:c>
      <x:c r="F1542" s="2" t="inlineStr">
        <x:is>
          <x:t xml:space="preserve">滕州市</x:t>
        </x:is>
      </x:c>
      <x:c r="G1542" s="3" t="inlineStr">
        <x:is>
          <x:t xml:space="preserve">山东省-滕州市</x:t>
        </x:is>
      </x:c>
      <x:c r="H1542" s="2" t="inlineStr">
        <x:is>
          <x:t xml:space="preserve">化工行业</x:t>
        </x:is>
      </x:c>
      <x:c r="I1542" s="2" t="inlineStr">
        <x:is>
          <x:t xml:space="preserve">2020-12-08</x:t>
        </x:is>
      </x:c>
      <x:c r="J1542" s="3" t="inlineStr">
        <x:is>
          <x:t xml:space="preserve">滕州市木石镇驻地(木石工业园区)</x:t>
        </x:is>
      </x:c>
      <x:c r="K1542" s="12" t="str">
        <x:f>LEFT("91370481689467363U",18)</x:f>
        <x:v>91370481689467363U</x:v>
      </x:c>
    </x:row>
    <x:row r="1543">
      <x:c r="A1543" s="4" t="n">
        <x:v>1542</x:v>
      </x:c>
      <x:c r="B1543" s="4" t="inlineStr">
        <x:is>
          <x:t xml:space="preserve">003033</x:t>
        </x:is>
      </x:c>
      <x:c r="C1543" s="5" t="inlineStr">
        <x:is>
          <x:t xml:space="preserve">征和工业</x:t>
        </x:is>
      </x:c>
      <x:c r="D1543" s="5" t="inlineStr">
        <x:is>
          <x:t xml:space="preserve">青岛征和工业股份有限公司</x:t>
        </x:is>
      </x:c>
      <x:c r="E1543" s="4" t="inlineStr">
        <x:is>
          <x:t xml:space="preserve">山东省</x:t>
        </x:is>
      </x:c>
      <x:c r="F1543" s="4" t="inlineStr">
        <x:is>
          <x:t xml:space="preserve">青岛市</x:t>
        </x:is>
      </x:c>
      <x:c r="G1543" s="5" t="inlineStr">
        <x:is>
          <x:t xml:space="preserve">山东省-青岛市</x:t>
        </x:is>
      </x:c>
      <x:c r="H1543" s="4" t="inlineStr">
        <x:is>
          <x:t xml:space="preserve">汽车零部件</x:t>
        </x:is>
      </x:c>
      <x:c r="I1543" s="4" t="inlineStr">
        <x:is>
          <x:t xml:space="preserve">2021-01-11</x:t>
        </x:is>
      </x:c>
      <x:c r="J1543" s="5" t="inlineStr">
        <x:is>
          <x:t xml:space="preserve">山东省青岛市平度市经济开发区厦门路99号</x:t>
        </x:is>
      </x:c>
      <x:c r="K1543" s="12" t="str">
        <x:f>LEFT("913702007137681594",18)</x:f>
        <x:v>913702007137681500</x:v>
      </x:c>
    </x:row>
    <x:row r="1544">
      <x:c r="A1544" s="2" t="n">
        <x:v>1543</x:v>
      </x:c>
      <x:c r="B1544" s="2" t="inlineStr">
        <x:is>
          <x:t xml:space="preserve">003042</x:t>
        </x:is>
      </x:c>
      <x:c r="C1544" s="3" t="inlineStr">
        <x:is>
          <x:t xml:space="preserve">中农联合</x:t>
        </x:is>
      </x:c>
      <x:c r="D1544" s="3" t="inlineStr">
        <x:is>
          <x:t xml:space="preserve">山东中农联合生物科技股份有限公司</x:t>
        </x:is>
      </x:c>
      <x:c r="E1544" s="2" t="inlineStr">
        <x:is>
          <x:t xml:space="preserve">山东省</x:t>
        </x:is>
      </x:c>
      <x:c r="F1544" s="2" t="inlineStr">
        <x:is>
          <x:t xml:space="preserve">济南市</x:t>
        </x:is>
      </x:c>
      <x:c r="G1544" s="3" t="inlineStr">
        <x:is>
          <x:t xml:space="preserve">山东省-济南市</x:t>
        </x:is>
      </x:c>
      <x:c r="H1544" s="2" t="inlineStr">
        <x:is>
          <x:t xml:space="preserve">农药兽药</x:t>
        </x:is>
      </x:c>
      <x:c r="I1544" s="2" t="inlineStr">
        <x:is>
          <x:t xml:space="preserve">2021-04-06</x:t>
        </x:is>
      </x:c>
      <x:c r="J1544" s="3" t="inlineStr">
        <x:is>
          <x:t xml:space="preserve">中国(山东)自由贸易试验区济南片区经十路9999号黄金时代广场A座14层</x:t>
        </x:is>
      </x:c>
      <x:c r="K1544" s="12" t="str">
        <x:f>LEFT("9137000079731011X2",18)</x:f>
        <x:v>9137000079731011X2</x:v>
      </x:c>
    </x:row>
    <x:row r="1545">
      <x:c r="A1545" s="4" t="n">
        <x:v>1544</x:v>
      </x:c>
      <x:c r="B1545" s="4" t="inlineStr">
        <x:is>
          <x:t xml:space="preserve">300001</x:t>
        </x:is>
      </x:c>
      <x:c r="C1545" s="5" t="inlineStr">
        <x:is>
          <x:t xml:space="preserve">特锐德</x:t>
        </x:is>
      </x:c>
      <x:c r="D1545" s="5" t="inlineStr">
        <x:is>
          <x:t xml:space="preserve">青岛特锐德电气股份有限公司</x:t>
        </x:is>
      </x:c>
      <x:c r="E1545" s="4" t="inlineStr">
        <x:is>
          <x:t xml:space="preserve">山东省</x:t>
        </x:is>
      </x:c>
      <x:c r="F1545" s="4" t="inlineStr">
        <x:is>
          <x:t xml:space="preserve">青岛市</x:t>
        </x:is>
      </x:c>
      <x:c r="G1545" s="5" t="inlineStr">
        <x:is>
          <x:t xml:space="preserve">山东省-青岛市</x:t>
        </x:is>
      </x:c>
      <x:c r="H1545" s="4" t="inlineStr">
        <x:is>
          <x:t xml:space="preserve">输配电气</x:t>
        </x:is>
      </x:c>
      <x:c r="I1545" s="4" t="inlineStr">
        <x:is>
          <x:t xml:space="preserve">2009-10-30</x:t>
        </x:is>
      </x:c>
      <x:c r="J1545" s="5" t="inlineStr">
        <x:is>
          <x:t xml:space="preserve">青岛市崂山区松岭路336号</x:t>
        </x:is>
      </x:c>
      <x:c r="K1545" s="12" t="str">
        <x:f>LEFT("9137020075693361XY",18)</x:f>
        <x:v>9137020075693361XY</x:v>
      </x:c>
    </x:row>
    <x:row r="1546">
      <x:c r="A1546" s="2" t="n">
        <x:v>1545</x:v>
      </x:c>
      <x:c r="B1546" s="2" t="inlineStr">
        <x:is>
          <x:t xml:space="preserve">300099</x:t>
        </x:is>
      </x:c>
      <x:c r="C1546" s="3" t="inlineStr">
        <x:is>
          <x:t xml:space="preserve">尤洛卡</x:t>
        </x:is>
      </x:c>
      <x:c r="D1546" s="3" t="inlineStr">
        <x:is>
          <x:t xml:space="preserve">尤洛卡精准信息工程股份有限公司</x:t>
        </x:is>
      </x:c>
      <x:c r="E1546" s="2" t="inlineStr">
        <x:is>
          <x:t xml:space="preserve">山东省</x:t>
        </x:is>
      </x:c>
      <x:c r="F1546" s="2" t="inlineStr">
        <x:is>
          <x:t xml:space="preserve">泰安市</x:t>
        </x:is>
      </x:c>
      <x:c r="G1546" s="3" t="inlineStr">
        <x:is>
          <x:t xml:space="preserve">山东省-泰安市</x:t>
        </x:is>
      </x:c>
      <x:c r="H1546" s="2" t="inlineStr">
        <x:is>
          <x:t xml:space="preserve">专用设备</x:t>
        </x:is>
      </x:c>
      <x:c r="I1546" s="2" t="inlineStr">
        <x:is>
          <x:t xml:space="preserve">2010-08-06</x:t>
        </x:is>
      </x:c>
      <x:c r="J1546" s="3" t="inlineStr">
        <x:is>
          <x:t xml:space="preserve">山东省泰安市岱岳区高新区凤祥路以西规划支路以北</x:t>
        </x:is>
      </x:c>
      <x:c r="K1546" s="12" t="str">
        <x:f>LEFT("91370000166441332C",18)</x:f>
        <x:v>91370000166441332C</x:v>
      </x:c>
    </x:row>
    <x:row r="1547">
      <x:c r="A1547" s="4" t="n">
        <x:v>1546</x:v>
      </x:c>
      <x:c r="B1547" s="4" t="inlineStr">
        <x:is>
          <x:t xml:space="preserve">300105</x:t>
        </x:is>
      </x:c>
      <x:c r="C1547" s="5" t="inlineStr">
        <x:is>
          <x:t xml:space="preserve">龙源技术</x:t>
        </x:is>
      </x:c>
      <x:c r="D1547" s="5" t="inlineStr">
        <x:is>
          <x:t xml:space="preserve">烟台龙源电力技术股份有限公司</x:t>
        </x:is>
      </x:c>
      <x:c r="E1547" s="4" t="inlineStr">
        <x:is>
          <x:t xml:space="preserve">山东省</x:t>
        </x:is>
      </x:c>
      <x:c r="F1547" s="4" t="inlineStr">
        <x:is>
          <x:t xml:space="preserve">烟台市</x:t>
        </x:is>
      </x:c>
      <x:c r="G1547" s="5" t="inlineStr">
        <x:is>
          <x:t xml:space="preserve">山东省-烟台市</x:t>
        </x:is>
      </x:c>
      <x:c r="H1547" s="4" t="inlineStr">
        <x:is>
          <x:t xml:space="preserve">电源设备</x:t>
        </x:is>
      </x:c>
      <x:c r="I1547" s="4" t="inlineStr">
        <x:is>
          <x:t xml:space="preserve">2010-08-20</x:t>
        </x:is>
      </x:c>
      <x:c r="J1547" s="5" t="inlineStr">
        <x:is>
          <x:t xml:space="preserve">中国(山东)自由贸易试验区烟台片区烟台开发区白云山路2号</x:t>
        </x:is>
      </x:c>
      <x:c r="K1547" s="12" t="str">
        <x:f>LEFT("91370600705877689M",18)</x:f>
        <x:v>91370600705877689M</x:v>
      </x:c>
    </x:row>
    <x:row r="1548">
      <x:c r="A1548" s="2" t="n">
        <x:v>1547</x:v>
      </x:c>
      <x:c r="B1548" s="2" t="inlineStr">
        <x:is>
          <x:t xml:space="preserve">300110</x:t>
        </x:is>
      </x:c>
      <x:c r="C1548" s="3" t="inlineStr">
        <x:is>
          <x:t xml:space="preserve">华仁药业</x:t>
        </x:is>
      </x:c>
      <x:c r="D1548" s="3" t="inlineStr">
        <x:is>
          <x:t xml:space="preserve">华仁药业股份有限公司</x:t>
        </x:is>
      </x:c>
      <x:c r="E1548" s="2" t="inlineStr">
        <x:is>
          <x:t xml:space="preserve">山东省</x:t>
        </x:is>
      </x:c>
      <x:c r="F1548" s="2" t="inlineStr">
        <x:is>
          <x:t xml:space="preserve">青岛市</x:t>
        </x:is>
      </x:c>
      <x:c r="G1548" s="3" t="inlineStr">
        <x:is>
          <x:t xml:space="preserve">山东省-青岛市</x:t>
        </x:is>
      </x:c>
      <x:c r="H1548" s="2" t="inlineStr">
        <x:is>
          <x:t xml:space="preserve">医药制造</x:t>
        </x:is>
      </x:c>
      <x:c r="I1548" s="2" t="inlineStr">
        <x:is>
          <x:t xml:space="preserve">2010-08-25</x:t>
        </x:is>
      </x:c>
      <x:c r="J1548" s="3" t="inlineStr">
        <x:is>
          <x:t xml:space="preserve">青岛市高科技工业园株洲路187号</x:t>
        </x:is>
      </x:c>
      <x:c r="K1548" s="12" t="str">
        <x:f>LEFT("91370200706426601X",18)</x:f>
        <x:v>91370200706426601X</x:v>
      </x:c>
    </x:row>
    <x:row r="1549">
      <x:c r="A1549" s="4" t="n">
        <x:v>1548</x:v>
      </x:c>
      <x:c r="B1549" s="4" t="inlineStr">
        <x:is>
          <x:t xml:space="preserve">300121</x:t>
        </x:is>
      </x:c>
      <x:c r="C1549" s="5" t="inlineStr">
        <x:is>
          <x:t xml:space="preserve">阳谷华泰</x:t>
        </x:is>
      </x:c>
      <x:c r="D1549" s="5" t="inlineStr">
        <x:is>
          <x:t xml:space="preserve">山东阳谷华泰化工股份有限公司</x:t>
        </x:is>
      </x:c>
      <x:c r="E1549" s="4" t="inlineStr">
        <x:is>
          <x:t xml:space="preserve">山东省</x:t>
        </x:is>
      </x:c>
      <x:c r="F1549" s="4" t="inlineStr">
        <x:is>
          <x:t xml:space="preserve">聊城市</x:t>
        </x:is>
      </x:c>
      <x:c r="G1549" s="5" t="inlineStr">
        <x:is>
          <x:t xml:space="preserve">山东省-聊城市</x:t>
        </x:is>
      </x:c>
      <x:c r="H1549" s="4" t="inlineStr">
        <x:is>
          <x:t xml:space="preserve">橡胶制品</x:t>
        </x:is>
      </x:c>
      <x:c r="I1549" s="4" t="inlineStr">
        <x:is>
          <x:t xml:space="preserve">2010-09-17</x:t>
        </x:is>
      </x:c>
      <x:c r="J1549" s="5" t="inlineStr">
        <x:is>
          <x:t xml:space="preserve">山东省阳谷县清河西路399号</x:t>
        </x:is>
      </x:c>
      <x:c r="K1549" s="12" t="str">
        <x:f>LEFT("91370000168015871H",18)</x:f>
        <x:v>91370000168015871H</x:v>
      </x:c>
    </x:row>
    <x:row r="1550">
      <x:c r="A1550" s="2" t="n">
        <x:v>1549</x:v>
      </x:c>
      <x:c r="B1550" s="2" t="inlineStr">
        <x:is>
          <x:t xml:space="preserve">300143</x:t>
        </x:is>
      </x:c>
      <x:c r="C1550" s="3" t="inlineStr">
        <x:is>
          <x:t xml:space="preserve">盈康生命</x:t>
        </x:is>
      </x:c>
      <x:c r="D1550" s="3" t="inlineStr">
        <x:is>
          <x:t xml:space="preserve">盈康生命科技股份有限公司</x:t>
        </x:is>
      </x:c>
      <x:c r="E1550" s="2" t="inlineStr">
        <x:is>
          <x:t xml:space="preserve">山东省</x:t>
        </x:is>
      </x:c>
      <x:c r="F1550" s="2" t="inlineStr">
        <x:is>
          <x:t xml:space="preserve">青岛市</x:t>
        </x:is>
      </x:c>
      <x:c r="G1550" s="3" t="inlineStr">
        <x:is>
          <x:t xml:space="preserve">山东省-青岛市</x:t>
        </x:is>
      </x:c>
      <x:c r="H1550" s="2" t="inlineStr">
        <x:is>
          <x:t xml:space="preserve">医疗行业</x:t>
        </x:is>
      </x:c>
      <x:c r="I1550" s="2" t="inlineStr">
        <x:is>
          <x:t xml:space="preserve">2010-12-09</x:t>
        </x:is>
      </x:c>
      <x:c r="J1550" s="3" t="inlineStr">
        <x:is>
          <x:t xml:space="preserve">青岛市城阳区春阳路37号</x:t>
        </x:is>
      </x:c>
      <x:c r="K1550" s="12" t="str">
        <x:f>LEFT("91441900708014002M",18)</x:f>
        <x:v>91441900708014002M</x:v>
      </x:c>
    </x:row>
    <x:row r="1551">
      <x:c r="A1551" s="4" t="n">
        <x:v>1550</x:v>
      </x:c>
      <x:c r="B1551" s="4" t="inlineStr">
        <x:is>
          <x:t xml:space="preserve">300175</x:t>
        </x:is>
      </x:c>
      <x:c r="C1551" s="5" t="inlineStr">
        <x:is>
          <x:t xml:space="preserve">ST朗源</x:t>
        </x:is>
      </x:c>
      <x:c r="D1551" s="5" t="inlineStr">
        <x:is>
          <x:t xml:space="preserve">朗源股份有限公司</x:t>
        </x:is>
      </x:c>
      <x:c r="E1551" s="4" t="inlineStr">
        <x:is>
          <x:t xml:space="preserve">山东省</x:t>
        </x:is>
      </x:c>
      <x:c r="F1551" s="4" t="inlineStr">
        <x:is>
          <x:t xml:space="preserve">烟台市</x:t>
        </x:is>
      </x:c>
      <x:c r="G1551" s="5" t="inlineStr">
        <x:is>
          <x:t xml:space="preserve">山东省-烟台市</x:t>
        </x:is>
      </x:c>
      <x:c r="H1551" s="4" t="inlineStr">
        <x:is>
          <x:t xml:space="preserve">农牧饲渔</x:t>
        </x:is>
      </x:c>
      <x:c r="I1551" s="4" t="inlineStr">
        <x:is>
          <x:t xml:space="preserve">2011-02-15</x:t>
        </x:is>
      </x:c>
      <x:c r="J1551" s="5" t="inlineStr">
        <x:is>
          <x:t xml:space="preserve">山东省龙口高新技术产业园区</x:t>
        </x:is>
      </x:c>
      <x:c r="K1551" s="12" t="str">
        <x:f>LEFT("91370600737203697G",18)</x:f>
        <x:v>91370600737203697G</x:v>
      </x:c>
    </x:row>
    <x:row r="1552">
      <x:c r="A1552" s="2" t="n">
        <x:v>1551</x:v>
      </x:c>
      <x:c r="B1552" s="2" t="inlineStr">
        <x:is>
          <x:t xml:space="preserve">300183</x:t>
        </x:is>
      </x:c>
      <x:c r="C1552" s="3" t="inlineStr">
        <x:is>
          <x:t xml:space="preserve">东软载波</x:t>
        </x:is>
      </x:c>
      <x:c r="D1552" s="3" t="inlineStr">
        <x:is>
          <x:t xml:space="preserve">青岛东软载波科技股份有限公司</x:t>
        </x:is>
      </x:c>
      <x:c r="E1552" s="2" t="inlineStr">
        <x:is>
          <x:t xml:space="preserve">山东省</x:t>
        </x:is>
      </x:c>
      <x:c r="F1552" s="2" t="inlineStr">
        <x:is>
          <x:t xml:space="preserve">青岛市</x:t>
        </x:is>
      </x:c>
      <x:c r="G1552" s="3" t="inlineStr">
        <x:is>
          <x:t xml:space="preserve">山东省-青岛市</x:t>
        </x:is>
      </x:c>
      <x:c r="H1552" s="2" t="inlineStr">
        <x:is>
          <x:t xml:space="preserve">通信服务</x:t>
        </x:is>
      </x:c>
      <x:c r="I1552" s="2" t="inlineStr">
        <x:is>
          <x:t xml:space="preserve">2011-02-22</x:t>
        </x:is>
      </x:c>
      <x:c r="J1552" s="3" t="inlineStr">
        <x:is>
          <x:t xml:space="preserve">青岛市市北区上清路16号甲</x:t>
        </x:is>
      </x:c>
      <x:c r="K1552" s="12" t="str">
        <x:f>LEFT("91370200264708731L",18)</x:f>
        <x:v>91370200264708731L</x:v>
      </x:c>
    </x:row>
    <x:row r="1553">
      <x:c r="A1553" s="4" t="n">
        <x:v>1552</x:v>
      </x:c>
      <x:c r="B1553" s="4" t="inlineStr">
        <x:is>
          <x:t xml:space="preserve">300185</x:t>
        </x:is>
      </x:c>
      <x:c r="C1553" s="5" t="inlineStr">
        <x:is>
          <x:t xml:space="preserve">通裕重工</x:t>
        </x:is>
      </x:c>
      <x:c r="D1553" s="5" t="inlineStr">
        <x:is>
          <x:t xml:space="preserve">通裕重工股份有限公司</x:t>
        </x:is>
      </x:c>
      <x:c r="E1553" s="4" t="inlineStr">
        <x:is>
          <x:t xml:space="preserve">山东省</x:t>
        </x:is>
      </x:c>
      <x:c r="F1553" s="4" t="inlineStr">
        <x:is>
          <x:t xml:space="preserve">德州市</x:t>
        </x:is>
      </x:c>
      <x:c r="G1553" s="5" t="inlineStr">
        <x:is>
          <x:t xml:space="preserve">山东省-德州市</x:t>
        </x:is>
      </x:c>
      <x:c r="H1553" s="4" t="inlineStr">
        <x:is>
          <x:t xml:space="preserve">风电设备</x:t>
        </x:is>
      </x:c>
      <x:c r="I1553" s="4" t="inlineStr">
        <x:is>
          <x:t xml:space="preserve">2011-03-08</x:t>
        </x:is>
      </x:c>
      <x:c r="J1553" s="5" t="inlineStr">
        <x:is>
          <x:t xml:space="preserve">山东省德州(禹城)国家高新技术产业开发区</x:t>
        </x:is>
      </x:c>
      <x:c r="K1553" s="12" t="str">
        <x:f>LEFT("913700001675754710",18)</x:f>
        <x:v>913700001675754800</x:v>
      </x:c>
    </x:row>
    <x:row r="1554">
      <x:c r="A1554" s="2" t="n">
        <x:v>1553</x:v>
      </x:c>
      <x:c r="B1554" s="2" t="inlineStr">
        <x:is>
          <x:t xml:space="preserve">300214</x:t>
        </x:is>
      </x:c>
      <x:c r="C1554" s="3" t="inlineStr">
        <x:is>
          <x:t xml:space="preserve">日科化学</x:t>
        </x:is>
      </x:c>
      <x:c r="D1554" s="3" t="inlineStr">
        <x:is>
          <x:t xml:space="preserve">山东日科化学股份有限公司</x:t>
        </x:is>
      </x:c>
      <x:c r="E1554" s="2" t="inlineStr">
        <x:is>
          <x:t xml:space="preserve">山东省</x:t>
        </x:is>
      </x:c>
      <x:c r="F1554" s="2" t="inlineStr">
        <x:is>
          <x:t xml:space="preserve">潍坊市</x:t>
        </x:is>
      </x:c>
      <x:c r="G1554" s="3" t="inlineStr">
        <x:is>
          <x:t xml:space="preserve">山东省-潍坊市</x:t>
        </x:is>
      </x:c>
      <x:c r="H1554" s="2" t="inlineStr">
        <x:is>
          <x:t xml:space="preserve">塑胶制品</x:t>
        </x:is>
      </x:c>
      <x:c r="I1554" s="2" t="inlineStr">
        <x:is>
          <x:t xml:space="preserve">2011-05-11</x:t>
        </x:is>
      </x:c>
      <x:c r="J1554" s="3" t="inlineStr">
        <x:is>
          <x:t xml:space="preserve">山东省昌乐县英轩街3999号1号楼</x:t>
        </x:is>
      </x:c>
      <x:c r="K1554" s="12" t="str">
        <x:f>LEFT("91370700757497098J",18)</x:f>
        <x:v>91370700757497098J</x:v>
      </x:c>
    </x:row>
    <x:row r="1555">
      <x:c r="A1555" s="4" t="n">
        <x:v>1554</x:v>
      </x:c>
      <x:c r="B1555" s="4" t="inlineStr">
        <x:is>
          <x:t xml:space="preserve">300224</x:t>
        </x:is>
      </x:c>
      <x:c r="C1555" s="5" t="inlineStr">
        <x:is>
          <x:t xml:space="preserve">正海磁材</x:t>
        </x:is>
      </x:c>
      <x:c r="D1555" s="5" t="inlineStr">
        <x:is>
          <x:t xml:space="preserve">烟台正海磁性材料股份有限公司</x:t>
        </x:is>
      </x:c>
      <x:c r="E1555" s="4" t="inlineStr">
        <x:is>
          <x:t xml:space="preserve">山东省</x:t>
        </x:is>
      </x:c>
      <x:c r="F1555" s="4" t="inlineStr">
        <x:is>
          <x:t xml:space="preserve">烟台市</x:t>
        </x:is>
      </x:c>
      <x:c r="G1555" s="5" t="inlineStr">
        <x:is>
          <x:t xml:space="preserve">山东省-烟台市</x:t>
        </x:is>
      </x:c>
      <x:c r="H1555" s="4" t="inlineStr">
        <x:is>
          <x:t xml:space="preserve">小金属</x:t>
        </x:is>
      </x:c>
      <x:c r="I1555" s="4" t="inlineStr">
        <x:is>
          <x:t xml:space="preserve">2011-05-31</x:t>
        </x:is>
      </x:c>
      <x:c r="J1555" s="5" t="inlineStr">
        <x:is>
          <x:t xml:space="preserve">山东省烟台经济技术开发区珠江路22号</x:t>
        </x:is>
      </x:c>
      <x:c r="K1555" s="12" t="str">
        <x:f>LEFT("913706007063003983",18)</x:f>
        <x:v>913706007063004000</x:v>
      </x:c>
    </x:row>
    <x:row r="1556">
      <x:c r="A1556" s="2" t="n">
        <x:v>1555</x:v>
      </x:c>
      <x:c r="B1556" s="2" t="inlineStr">
        <x:is>
          <x:t xml:space="preserve">300233</x:t>
        </x:is>
      </x:c>
      <x:c r="C1556" s="3" t="inlineStr">
        <x:is>
          <x:t xml:space="preserve">金城医药</x:t>
        </x:is>
      </x:c>
      <x:c r="D1556" s="3" t="inlineStr">
        <x:is>
          <x:t xml:space="preserve">山东金城医药集团股份有限公司</x:t>
        </x:is>
      </x:c>
      <x:c r="E1556" s="2" t="inlineStr">
        <x:is>
          <x:t xml:space="preserve">山东省</x:t>
        </x:is>
      </x:c>
      <x:c r="F1556" s="2" t="inlineStr">
        <x:is>
          <x:t xml:space="preserve">淄博市</x:t>
        </x:is>
      </x:c>
      <x:c r="G1556" s="3" t="inlineStr">
        <x:is>
          <x:t xml:space="preserve">山东省-淄博市</x:t>
        </x:is>
      </x:c>
      <x:c r="H1556" s="2" t="inlineStr">
        <x:is>
          <x:t xml:space="preserve">医药制造</x:t>
        </x:is>
      </x:c>
      <x:c r="I1556" s="2" t="inlineStr">
        <x:is>
          <x:t xml:space="preserve">2011-06-22</x:t>
        </x:is>
      </x:c>
      <x:c r="J1556" s="3" t="inlineStr">
        <x:is>
          <x:t xml:space="preserve">山东省淄博市淄川经济开发区双山路1号</x:t>
        </x:is>
      </x:c>
      <x:c r="K1556" s="12" t="str">
        <x:f>LEFT("91370000164238285E",18)</x:f>
        <x:v>91370000164238285E</x:v>
      </x:c>
    </x:row>
    <x:row r="1557">
      <x:c r="A1557" s="4" t="n">
        <x:v>1556</x:v>
      </x:c>
      <x:c r="B1557" s="4" t="inlineStr">
        <x:is>
          <x:t xml:space="preserve">300237</x:t>
        </x:is>
      </x:c>
      <x:c r="C1557" s="5" t="inlineStr">
        <x:is>
          <x:t xml:space="preserve">ST美晨</x:t>
        </x:is>
      </x:c>
      <x:c r="D1557" s="5" t="inlineStr">
        <x:is>
          <x:t xml:space="preserve">山东美晨科技集团股份有限公司</x:t>
        </x:is>
      </x:c>
      <x:c r="E1557" s="4" t="inlineStr">
        <x:is>
          <x:t xml:space="preserve">山东省</x:t>
        </x:is>
      </x:c>
      <x:c r="F1557" s="4" t="inlineStr">
        <x:is>
          <x:t xml:space="preserve">潍坊市</x:t>
        </x:is>
      </x:c>
      <x:c r="G1557" s="5" t="inlineStr">
        <x:is>
          <x:t xml:space="preserve">山东省-潍坊市</x:t>
        </x:is>
      </x:c>
      <x:c r="H1557" s="4" t="inlineStr">
        <x:is>
          <x:t xml:space="preserve">汽车零部件</x:t>
        </x:is>
      </x:c>
      <x:c r="I1557" s="4" t="inlineStr">
        <x:is>
          <x:t xml:space="preserve">2011-06-29</x:t>
        </x:is>
      </x:c>
      <x:c r="J1557" s="5" t="inlineStr">
        <x:is>
          <x:t xml:space="preserve">山东省潍坊市诸城市密州东路12001号</x:t>
        </x:is>
      </x:c>
      <x:c r="K1557" s="12" t="str">
        <x:f>LEFT("91370000768718095E",18)</x:f>
        <x:v>91370000768718095E</x:v>
      </x:c>
    </x:row>
    <x:row r="1558">
      <x:c r="A1558" s="2" t="n">
        <x:v>1557</x:v>
      </x:c>
      <x:c r="B1558" s="2" t="inlineStr">
        <x:is>
          <x:t xml:space="preserve">300243</x:t>
        </x:is>
      </x:c>
      <x:c r="C1558" s="3" t="inlineStr">
        <x:is>
          <x:t xml:space="preserve">瑞丰高材</x:t>
        </x:is>
      </x:c>
      <x:c r="D1558" s="3" t="inlineStr">
        <x:is>
          <x:t xml:space="preserve">山东瑞丰高分子材料股份有限公司</x:t>
        </x:is>
      </x:c>
      <x:c r="E1558" s="2" t="inlineStr">
        <x:is>
          <x:t xml:space="preserve">山东省</x:t>
        </x:is>
      </x:c>
      <x:c r="F1558" s="2" t="inlineStr">
        <x:is>
          <x:t xml:space="preserve">淄博市</x:t>
        </x:is>
      </x:c>
      <x:c r="G1558" s="3" t="inlineStr">
        <x:is>
          <x:t xml:space="preserve">山东省-淄博市</x:t>
        </x:is>
      </x:c>
      <x:c r="H1558" s="2" t="inlineStr">
        <x:is>
          <x:t xml:space="preserve">塑料制品</x:t>
        </x:is>
      </x:c>
      <x:c r="I1558" s="2" t="inlineStr">
        <x:is>
          <x:t xml:space="preserve">2011-07-12</x:t>
        </x:is>
      </x:c>
      <x:c r="J1558" s="3" t="inlineStr">
        <x:is>
          <x:t xml:space="preserve">沂源县经济开发区</x:t>
        </x:is>
      </x:c>
      <x:c r="K1558" s="12" t="str">
        <x:f>LEFT("91370000168617872J",18)</x:f>
        <x:v>91370000168617872J</x:v>
      </x:c>
    </x:row>
    <x:row r="1559">
      <x:c r="A1559" s="4" t="n">
        <x:v>1558</x:v>
      </x:c>
      <x:c r="B1559" s="4" t="inlineStr">
        <x:is>
          <x:t xml:space="preserve">300285</x:t>
        </x:is>
      </x:c>
      <x:c r="C1559" s="5" t="inlineStr">
        <x:is>
          <x:t xml:space="preserve">国瓷材料</x:t>
        </x:is>
      </x:c>
      <x:c r="D1559" s="5" t="inlineStr">
        <x:is>
          <x:t xml:space="preserve">山东国瓷功能材料股份有限公司</x:t>
        </x:is>
      </x:c>
      <x:c r="E1559" s="4" t="inlineStr">
        <x:is>
          <x:t xml:space="preserve">山东省</x:t>
        </x:is>
      </x:c>
      <x:c r="F1559" s="4" t="inlineStr">
        <x:is>
          <x:t xml:space="preserve">东营市</x:t>
        </x:is>
      </x:c>
      <x:c r="G1559" s="5" t="inlineStr">
        <x:is>
          <x:t xml:space="preserve">山东省-东营市</x:t>
        </x:is>
      </x:c>
      <x:c r="H1559" s="4" t="inlineStr">
        <x:is>
          <x:t xml:space="preserve">化工行业</x:t>
        </x:is>
      </x:c>
      <x:c r="I1559" s="4" t="inlineStr">
        <x:is>
          <x:t xml:space="preserve">2012-01-13</x:t>
        </x:is>
      </x:c>
      <x:c r="J1559" s="5" t="inlineStr">
        <x:is>
          <x:t xml:space="preserve">山东省东营市东营区辽河路24号</x:t>
        </x:is>
      </x:c>
      <x:c r="K1559" s="12" t="str">
        <x:f>LEFT("91370000774151590H",18)</x:f>
        <x:v>91370000774151590H</x:v>
      </x:c>
    </x:row>
    <x:row r="1560">
      <x:c r="A1560" s="2" t="n">
        <x:v>1559</x:v>
      </x:c>
      <x:c r="B1560" s="2" t="inlineStr">
        <x:is>
          <x:t xml:space="preserve">300308</x:t>
        </x:is>
      </x:c>
      <x:c r="C1560" s="3" t="inlineStr">
        <x:is>
          <x:t xml:space="preserve">中际旭创</x:t>
        </x:is>
      </x:c>
      <x:c r="D1560" s="3" t="inlineStr">
        <x:is>
          <x:t xml:space="preserve">中际旭创股份有限公司</x:t>
        </x:is>
      </x:c>
      <x:c r="E1560" s="2" t="inlineStr">
        <x:is>
          <x:t xml:space="preserve">山东省</x:t>
        </x:is>
      </x:c>
      <x:c r="F1560" s="2" t="inlineStr">
        <x:is>
          <x:t xml:space="preserve">东省龙口市</x:t>
        </x:is>
      </x:c>
      <x:c r="G1560" s="3" t="inlineStr">
        <x:is>
          <x:t xml:space="preserve">山东省-东省龙口市</x:t>
        </x:is>
      </x:c>
      <x:c r="H1560" s="2" t="inlineStr">
        <x:is>
          <x:t xml:space="preserve">通讯行业</x:t>
        </x:is>
      </x:c>
      <x:c r="I1560" s="2" t="inlineStr">
        <x:is>
          <x:t xml:space="preserve">2012-04-10</x:t>
        </x:is>
      </x:c>
      <x:c r="J1560" s="3" t="inlineStr">
        <x:is>
          <x:t xml:space="preserve">山东省龙口市诸由观镇驻地</x:t>
        </x:is>
      </x:c>
      <x:c r="K1560" s="12" t="str">
        <x:f>LEFT("913706007763110099",18)</x:f>
        <x:v>913706007763110100</x:v>
      </x:c>
    </x:row>
    <x:row r="1561">
      <x:c r="A1561" s="4" t="n">
        <x:v>1560</x:v>
      </x:c>
      <x:c r="B1561" s="4" t="inlineStr">
        <x:is>
          <x:t xml:space="preserve">300321</x:t>
        </x:is>
      </x:c>
      <x:c r="C1561" s="5" t="inlineStr">
        <x:is>
          <x:t xml:space="preserve">同大股份</x:t>
        </x:is>
      </x:c>
      <x:c r="D1561" s="5" t="inlineStr">
        <x:is>
          <x:t xml:space="preserve">山东同大海岛新材料股份有限公司</x:t>
        </x:is>
      </x:c>
      <x:c r="E1561" s="4" t="inlineStr">
        <x:is>
          <x:t xml:space="preserve">山东省</x:t>
        </x:is>
      </x:c>
      <x:c r="F1561" s="4" t="inlineStr">
        <x:is>
          <x:t xml:space="preserve">东省昌邑市</x:t>
        </x:is>
      </x:c>
      <x:c r="G1561" s="5" t="inlineStr">
        <x:is>
          <x:t xml:space="preserve">山东省-东省昌邑市</x:t>
        </x:is>
      </x:c>
      <x:c r="H1561" s="4" t="inlineStr">
        <x:is>
          <x:t xml:space="preserve">化学制品</x:t>
        </x:is>
      </x:c>
      <x:c r="I1561" s="4" t="inlineStr">
        <x:is>
          <x:t xml:space="preserve">2012-05-23</x:t>
        </x:is>
      </x:c>
      <x:c r="J1561" s="5" t="inlineStr">
        <x:is>
          <x:t xml:space="preserve">山东省昌邑市同大街522号</x:t>
        </x:is>
      </x:c>
      <x:c r="K1561" s="12" t="str">
        <x:f>LEFT("9137070073721277XX",18)</x:f>
        <x:v>9137070073721277XX</x:v>
      </x:c>
    </x:row>
    <x:row r="1562">
      <x:c r="A1562" s="2" t="n">
        <x:v>1561</x:v>
      </x:c>
      <x:c r="B1562" s="2" t="inlineStr">
        <x:is>
          <x:t xml:space="preserve">300343</x:t>
        </x:is>
      </x:c>
      <x:c r="C1562" s="3" t="inlineStr">
        <x:is>
          <x:t xml:space="preserve">ST联创</x:t>
        </x:is>
      </x:c>
      <x:c r="D1562" s="3" t="inlineStr">
        <x:is>
          <x:t xml:space="preserve">山东联创产业发展集团股份有限公司</x:t>
        </x:is>
      </x:c>
      <x:c r="E1562" s="2" t="inlineStr">
        <x:is>
          <x:t xml:space="preserve">山东省</x:t>
        </x:is>
      </x:c>
      <x:c r="F1562" s="2" t="inlineStr">
        <x:is>
          <x:t xml:space="preserve">淄博市</x:t>
        </x:is>
      </x:c>
      <x:c r="G1562" s="3" t="inlineStr">
        <x:is>
          <x:t xml:space="preserve">山东省-淄博市</x:t>
        </x:is>
      </x:c>
      <x:c r="H1562" s="2" t="inlineStr">
        <x:is>
          <x:t xml:space="preserve">化学制品</x:t>
        </x:is>
      </x:c>
      <x:c r="I1562" s="2" t="inlineStr">
        <x:is>
          <x:t xml:space="preserve">2012-08-01</x:t>
        </x:is>
      </x:c>
      <x:c r="J1562" s="3" t="inlineStr">
        <x:is>
          <x:t xml:space="preserve">山东省淄博市张店区华光路366号科创大厦B座9层909室</x:t>
        </x:is>
      </x:c>
      <x:c r="K1562" s="12" t="str">
        <x:f>LEFT("913700007465697547",18)</x:f>
        <x:v>913700007465697500</x:v>
      </x:c>
    </x:row>
    <x:row r="1563">
      <x:c r="A1563" s="4" t="n">
        <x:v>1562</x:v>
      </x:c>
      <x:c r="B1563" s="4" t="inlineStr">
        <x:is>
          <x:t xml:space="preserve">300423</x:t>
        </x:is>
      </x:c>
      <x:c r="C1563" s="5" t="inlineStr">
        <x:is>
          <x:t xml:space="preserve">昇辉科技</x:t>
        </x:is>
      </x:c>
      <x:c r="D1563" s="5" t="inlineStr">
        <x:is>
          <x:t xml:space="preserve">昇辉智能科技股份有限公司</x:t>
        </x:is>
      </x:c>
      <x:c r="E1563" s="4" t="inlineStr">
        <x:is>
          <x:t xml:space="preserve">山东省</x:t>
        </x:is>
      </x:c>
      <x:c r="F1563" s="4" t="inlineStr">
        <x:is>
          <x:t xml:space="preserve">烟台市</x:t>
        </x:is>
      </x:c>
      <x:c r="G1563" s="5" t="inlineStr">
        <x:is>
          <x:t xml:space="preserve">山东省-烟台市</x:t>
        </x:is>
      </x:c>
      <x:c r="H1563" s="4" t="inlineStr">
        <x:is>
          <x:t xml:space="preserve">输配电气</x:t>
        </x:is>
      </x:c>
      <x:c r="I1563" s="4" t="inlineStr">
        <x:is>
          <x:t xml:space="preserve">2015-02-17</x:t>
        </x:is>
      </x:c>
      <x:c r="J1563" s="5" t="inlineStr">
        <x:is>
          <x:t xml:space="preserve">山东省烟台莱阳市龙门西路256号</x:t>
        </x:is>
      </x:c>
      <x:c r="K1563" s="12" t="str">
        <x:f>LEFT("913706007574549600",18)</x:f>
        <x:v>913706007574549600</x:v>
      </x:c>
    </x:row>
    <x:row r="1564">
      <x:c r="A1564" s="2" t="n">
        <x:v>1563</x:v>
      </x:c>
      <x:c r="B1564" s="2" t="inlineStr">
        <x:is>
          <x:t xml:space="preserve">300443</x:t>
        </x:is>
      </x:c>
      <x:c r="C1564" s="3" t="inlineStr">
        <x:is>
          <x:t xml:space="preserve">金雷股份</x:t>
        </x:is>
      </x:c>
      <x:c r="D1564" s="3" t="inlineStr">
        <x:is>
          <x:t xml:space="preserve">金雷科技股份公司</x:t>
        </x:is>
      </x:c>
      <x:c r="E1564" s="2" t="inlineStr">
        <x:is>
          <x:t xml:space="preserve">山东省</x:t>
        </x:is>
      </x:c>
      <x:c r="F1564" s="2" t="inlineStr">
        <x:is>
          <x:t xml:space="preserve">济南市</x:t>
        </x:is>
      </x:c>
      <x:c r="G1564" s="3" t="inlineStr">
        <x:is>
          <x:t xml:space="preserve">山东省-济南市</x:t>
        </x:is>
      </x:c>
      <x:c r="H1564" s="2" t="inlineStr">
        <x:is>
          <x:t xml:space="preserve">风电设备</x:t>
        </x:is>
      </x:c>
      <x:c r="I1564" s="2" t="inlineStr">
        <x:is>
          <x:t xml:space="preserve">2015-04-22</x:t>
        </x:is>
      </x:c>
      <x:c r="J1564" s="3" t="inlineStr">
        <x:is>
          <x:t xml:space="preserve">山东省济南市钢城区双元大街3289号</x:t>
        </x:is>
      </x:c>
      <x:c r="K1564" s="12" t="str">
        <x:f>LEFT("91371200787153413N",18)</x:f>
        <x:v>91371200787153413N</x:v>
      </x:c>
    </x:row>
    <x:row r="1565">
      <x:c r="A1565" s="4" t="n">
        <x:v>1564</x:v>
      </x:c>
      <x:c r="B1565" s="4" t="inlineStr">
        <x:is>
          <x:t xml:space="preserve">300479</x:t>
        </x:is>
      </x:c>
      <x:c r="C1565" s="5" t="inlineStr">
        <x:is>
          <x:t xml:space="preserve">神思电子</x:t>
        </x:is>
      </x:c>
      <x:c r="D1565" s="5" t="inlineStr">
        <x:is>
          <x:t xml:space="preserve">神思电子技术股份有限公司</x:t>
        </x:is>
      </x:c>
      <x:c r="E1565" s="4" t="inlineStr">
        <x:is>
          <x:t xml:space="preserve">山东省</x:t>
        </x:is>
      </x:c>
      <x:c r="F1565" s="4" t="inlineStr">
        <x:is>
          <x:t xml:space="preserve">济南市</x:t>
        </x:is>
      </x:c>
      <x:c r="G1565" s="5" t="inlineStr">
        <x:is>
          <x:t xml:space="preserve">山东省-济南市</x:t>
        </x:is>
      </x:c>
      <x:c r="H1565" s="4" t="inlineStr">
        <x:is>
          <x:t xml:space="preserve">计算机设备</x:t>
        </x:is>
      </x:c>
      <x:c r="I1565" s="4" t="inlineStr">
        <x:is>
          <x:t xml:space="preserve">2015-06-12</x:t>
        </x:is>
      </x:c>
      <x:c r="J1565" s="5" t="inlineStr">
        <x:is>
          <x:t xml:space="preserve">山东省济南市高新区舜华西路699号</x:t>
        </x:is>
      </x:c>
      <x:c r="K1565" s="12" t="str">
        <x:f>LEFT("913701007697202184",18)</x:f>
        <x:v>913701007697202200</x:v>
      </x:c>
    </x:row>
    <x:row r="1566">
      <x:c r="A1566" s="2" t="n">
        <x:v>1565</x:v>
      </x:c>
      <x:c r="B1566" s="2" t="inlineStr">
        <x:is>
          <x:t xml:space="preserve">300569</x:t>
        </x:is>
      </x:c>
      <x:c r="C1566" s="3" t="inlineStr">
        <x:is>
          <x:t xml:space="preserve">天能重工</x:t>
        </x:is>
      </x:c>
      <x:c r="D1566" s="3" t="inlineStr">
        <x:is>
          <x:t xml:space="preserve">青岛天能重工股份有限公司</x:t>
        </x:is>
      </x:c>
      <x:c r="E1566" s="2" t="inlineStr">
        <x:is>
          <x:t xml:space="preserve">山东省</x:t>
        </x:is>
      </x:c>
      <x:c r="F1566" s="2" t="inlineStr">
        <x:is>
          <x:t xml:space="preserve">青岛市</x:t>
        </x:is>
      </x:c>
      <x:c r="G1566" s="3" t="inlineStr">
        <x:is>
          <x:t xml:space="preserve">山东省-青岛市</x:t>
        </x:is>
      </x:c>
      <x:c r="H1566" s="2" t="inlineStr">
        <x:is>
          <x:t xml:space="preserve">风电设备</x:t>
        </x:is>
      </x:c>
      <x:c r="I1566" s="2" t="inlineStr">
        <x:is>
          <x:t xml:space="preserve">2016-11-25</x:t>
        </x:is>
      </x:c>
      <x:c r="J1566" s="3" t="inlineStr">
        <x:is>
          <x:t xml:space="preserve">山东省青岛市胶州市李哥庄镇大沽河工业园</x:t>
        </x:is>
      </x:c>
      <x:c r="K1566" s="12" t="str">
        <x:f>LEFT("91370200783729243W",18)</x:f>
        <x:v>91370200783729243W</x:v>
      </x:c>
    </x:row>
    <x:row r="1567">
      <x:c r="A1567" s="4" t="n">
        <x:v>1566</x:v>
      </x:c>
      <x:c r="B1567" s="4" t="inlineStr">
        <x:is>
          <x:t xml:space="preserve">300583</x:t>
        </x:is>
      </x:c>
      <x:c r="C1567" s="5" t="inlineStr">
        <x:is>
          <x:t xml:space="preserve">赛托生物</x:t>
        </x:is>
      </x:c>
      <x:c r="D1567" s="5" t="inlineStr">
        <x:is>
          <x:t xml:space="preserve">山东赛托生物科技股份有限公司</x:t>
        </x:is>
      </x:c>
      <x:c r="E1567" s="4" t="inlineStr">
        <x:is>
          <x:t xml:space="preserve">山东省</x:t>
        </x:is>
      </x:c>
      <x:c r="F1567" s="4" t="inlineStr">
        <x:is>
          <x:t xml:space="preserve">菏泽市</x:t>
        </x:is>
      </x:c>
      <x:c r="G1567" s="5" t="inlineStr">
        <x:is>
          <x:t xml:space="preserve">山东省-菏泽市</x:t>
        </x:is>
      </x:c>
      <x:c r="H1567" s="4" t="inlineStr">
        <x:is>
          <x:t xml:space="preserve">医药制造</x:t>
        </x:is>
      </x:c>
      <x:c r="I1567" s="4" t="inlineStr">
        <x:is>
          <x:t xml:space="preserve">2017-01-06</x:t>
        </x:is>
      </x:c>
      <x:c r="J1567" s="5" t="inlineStr">
        <x:is>
          <x:t xml:space="preserve">山东省菏泽市定陶区东外环路南段</x:t>
        </x:is>
      </x:c>
      <x:c r="K1567" s="12" t="str">
        <x:f>LEFT("91371700550911239Q",18)</x:f>
        <x:v>91371700550911239Q</x:v>
      </x:c>
    </x:row>
    <x:row r="1568">
      <x:c r="A1568" s="2" t="n">
        <x:v>1567</x:v>
      </x:c>
      <x:c r="B1568" s="2" t="inlineStr">
        <x:is>
          <x:t xml:space="preserve">300594</x:t>
        </x:is>
      </x:c>
      <x:c r="C1568" s="3" t="inlineStr">
        <x:is>
          <x:t xml:space="preserve">朗进科技</x:t>
        </x:is>
      </x:c>
      <x:c r="D1568" s="3" t="inlineStr">
        <x:is>
          <x:t xml:space="preserve">山东朗进科技股份有限公司</x:t>
        </x:is>
      </x:c>
      <x:c r="E1568" s="2" t="inlineStr">
        <x:is>
          <x:t xml:space="preserve">山东省</x:t>
        </x:is>
      </x:c>
      <x:c r="F1568" s="2" t="inlineStr">
        <x:is>
          <x:t xml:space="preserve">济南市</x:t>
        </x:is>
      </x:c>
      <x:c r="G1568" s="3" t="inlineStr">
        <x:is>
          <x:t xml:space="preserve">山东省-济南市</x:t>
        </x:is>
      </x:c>
      <x:c r="H1568" s="2" t="inlineStr">
        <x:is>
          <x:t xml:space="preserve">交运设备</x:t>
        </x:is>
      </x:c>
      <x:c r="I1568" s="2" t="inlineStr">
        <x:is>
          <x:t xml:space="preserve">2019-06-21</x:t>
        </x:is>
      </x:c>
      <x:c r="J1568" s="3" t="inlineStr">
        <x:is>
          <x:t xml:space="preserve">济南市莱芜高新区九龙山路006号</x:t>
        </x:is>
      </x:c>
      <x:c r="K1568" s="12" t="str">
        <x:f>LEFT("91371200720796633G",18)</x:f>
        <x:v>91371200720796633G</x:v>
      </x:c>
    </x:row>
    <x:row r="1569">
      <x:c r="A1569" s="4" t="n">
        <x:v>1568</x:v>
      </x:c>
      <x:c r="B1569" s="4" t="inlineStr">
        <x:is>
          <x:t xml:space="preserve">300653</x:t>
        </x:is>
      </x:c>
      <x:c r="C1569" s="5" t="inlineStr">
        <x:is>
          <x:t xml:space="preserve">正海生物</x:t>
        </x:is>
      </x:c>
      <x:c r="D1569" s="5" t="inlineStr">
        <x:is>
          <x:t xml:space="preserve">烟台正海生物科技股份有限公司</x:t>
        </x:is>
      </x:c>
      <x:c r="E1569" s="4" t="inlineStr">
        <x:is>
          <x:t xml:space="preserve">山东省</x:t>
        </x:is>
      </x:c>
      <x:c r="F1569" s="4" t="inlineStr">
        <x:is>
          <x:t xml:space="preserve">烟台市</x:t>
        </x:is>
      </x:c>
      <x:c r="G1569" s="5" t="inlineStr">
        <x:is>
          <x:t xml:space="preserve">山东省-烟台市</x:t>
        </x:is>
      </x:c>
      <x:c r="H1569" s="4" t="inlineStr">
        <x:is>
          <x:t xml:space="preserve">医疗器械</x:t>
        </x:is>
      </x:c>
      <x:c r="I1569" s="4" t="inlineStr">
        <x:is>
          <x:t xml:space="preserve">2017-05-16</x:t>
        </x:is>
      </x:c>
      <x:c r="J1569" s="5" t="inlineStr">
        <x:is>
          <x:t xml:space="preserve">烟台经济技术开发区南京大街7号</x:t>
        </x:is>
      </x:c>
      <x:c r="K1569" s="12" t="str">
        <x:f>LEFT("913706007554199342",18)</x:f>
        <x:v>913706007554199300</x:v>
      </x:c>
    </x:row>
    <x:row r="1570">
      <x:c r="A1570" s="2" t="n">
        <x:v>1569</x:v>
      </x:c>
      <x:c r="B1570" s="2" t="inlineStr">
        <x:is>
          <x:t xml:space="preserve">300654</x:t>
        </x:is>
      </x:c>
      <x:c r="C1570" s="3" t="inlineStr">
        <x:is>
          <x:t xml:space="preserve">世纪天鸿</x:t>
        </x:is>
      </x:c>
      <x:c r="D1570" s="3" t="inlineStr">
        <x:is>
          <x:t xml:space="preserve">世纪天鸿教育科技股份有限公司</x:t>
        </x:is>
      </x:c>
      <x:c r="E1570" s="2" t="inlineStr">
        <x:is>
          <x:t xml:space="preserve">山东省</x:t>
        </x:is>
      </x:c>
      <x:c r="F1570" s="2" t="inlineStr">
        <x:is>
          <x:t xml:space="preserve">淄博市</x:t>
        </x:is>
      </x:c>
      <x:c r="G1570" s="3" t="inlineStr">
        <x:is>
          <x:t xml:space="preserve">山东省-淄博市</x:t>
        </x:is>
      </x:c>
      <x:c r="H1570" s="2" t="inlineStr">
        <x:is>
          <x:t xml:space="preserve">文化传媒</x:t>
        </x:is>
      </x:c>
      <x:c r="I1570" s="2" t="inlineStr">
        <x:is>
          <x:t xml:space="preserve">2017-09-26</x:t>
        </x:is>
      </x:c>
      <x:c r="J1570" s="3" t="inlineStr">
        <x:is>
          <x:t xml:space="preserve">山东省淄博市高新区天鸿路9号</x:t>
        </x:is>
      </x:c>
      <x:c r="K1570" s="12" t="str">
        <x:f>LEFT("913703007618736234",18)</x:f>
        <x:v>913703007618736300</x:v>
      </x:c>
    </x:row>
    <x:row r="1571">
      <x:c r="A1571" s="4" t="n">
        <x:v>1570</x:v>
      </x:c>
      <x:c r="B1571" s="4" t="inlineStr">
        <x:is>
          <x:t xml:space="preserve">300659</x:t>
        </x:is>
      </x:c>
      <x:c r="C1571" s="5" t="inlineStr">
        <x:is>
          <x:t xml:space="preserve">中孚信息</x:t>
        </x:is>
      </x:c>
      <x:c r="D1571" s="5" t="inlineStr">
        <x:is>
          <x:t xml:space="preserve">中孚信息股份有限公司</x:t>
        </x:is>
      </x:c>
      <x:c r="E1571" s="4" t="inlineStr">
        <x:is>
          <x:t xml:space="preserve">山东省</x:t>
        </x:is>
      </x:c>
      <x:c r="F1571" s="4" t="inlineStr">
        <x:is>
          <x:t xml:space="preserve">济南市</x:t>
        </x:is>
      </x:c>
      <x:c r="G1571" s="5" t="inlineStr">
        <x:is>
          <x:t xml:space="preserve">山东省-济南市</x:t>
        </x:is>
      </x:c>
      <x:c r="H1571" s="4" t="inlineStr">
        <x:is>
          <x:t xml:space="preserve">软件服务</x:t>
        </x:is>
      </x:c>
      <x:c r="I1571" s="4" t="inlineStr">
        <x:is>
          <x:t xml:space="preserve">2017-05-26</x:t>
        </x:is>
      </x:c>
      <x:c r="J1571" s="5" t="inlineStr">
        <x:is>
          <x:t xml:space="preserve">山东省济南市高新区舜华路879号山东省大数据产业基地A栋42、43层</x:t>
        </x:is>
      </x:c>
      <x:c r="K1571" s="12" t="str">
        <x:f>LEFT("913700007357889006",18)</x:f>
        <x:v>913700007357889000</x:v>
      </x:c>
    </x:row>
    <x:row r="1572">
      <x:c r="A1572" s="2" t="n">
        <x:v>1571</x:v>
      </x:c>
      <x:c r="B1572" s="2" t="inlineStr">
        <x:is>
          <x:t xml:space="preserve">300677</x:t>
        </x:is>
      </x:c>
      <x:c r="C1572" s="3" t="inlineStr">
        <x:is>
          <x:t xml:space="preserve">英科医疗</x:t>
        </x:is>
      </x:c>
      <x:c r="D1572" s="3" t="inlineStr">
        <x:is>
          <x:t xml:space="preserve">英科医疗科技股份有限公司</x:t>
        </x:is>
      </x:c>
      <x:c r="E1572" s="2" t="inlineStr">
        <x:is>
          <x:t xml:space="preserve">山东省</x:t>
        </x:is>
      </x:c>
      <x:c r="F1572" s="2" t="inlineStr">
        <x:is>
          <x:t xml:space="preserve">淄博市</x:t>
        </x:is>
      </x:c>
      <x:c r="G1572" s="3" t="inlineStr">
        <x:is>
          <x:t xml:space="preserve">山东省-淄博市</x:t>
        </x:is>
      </x:c>
      <x:c r="H1572" s="2" t="inlineStr">
        <x:is>
          <x:t xml:space="preserve">医疗器械</x:t>
        </x:is>
      </x:c>
      <x:c r="I1572" s="2" t="inlineStr">
        <x:is>
          <x:t xml:space="preserve">2017-07-21</x:t>
        </x:is>
      </x:c>
      <x:c r="J1572" s="3" t="inlineStr">
        <x:is>
          <x:t xml:space="preserve">山东省淄博市临淄区齐鲁化学工业园清田路18号</x:t>
        </x:is>
      </x:c>
      <x:c r="K1572" s="12" t="str">
        <x:f>LEFT("9137030068946500X7",18)</x:f>
        <x:v>9137030068946500X7</x:v>
      </x:c>
    </x:row>
    <x:row r="1573">
      <x:c r="A1573" s="4" t="n">
        <x:v>1572</x:v>
      </x:c>
      <x:c r="B1573" s="4" t="inlineStr">
        <x:is>
          <x:t xml:space="preserve">300690</x:t>
        </x:is>
      </x:c>
      <x:c r="C1573" s="5" t="inlineStr">
        <x:is>
          <x:t xml:space="preserve">双一科技</x:t>
        </x:is>
      </x:c>
      <x:c r="D1573" s="5" t="inlineStr">
        <x:is>
          <x:t xml:space="preserve">山东双一科技股份有限公司</x:t>
        </x:is>
      </x:c>
      <x:c r="E1573" s="4" t="inlineStr">
        <x:is>
          <x:t xml:space="preserve">山东省</x:t>
        </x:is>
      </x:c>
      <x:c r="F1573" s="4" t="inlineStr">
        <x:is>
          <x:t xml:space="preserve">德州市</x:t>
        </x:is>
      </x:c>
      <x:c r="G1573" s="5" t="inlineStr">
        <x:is>
          <x:t xml:space="preserve">山东省-德州市</x:t>
        </x:is>
      </x:c>
      <x:c r="H1573" s="4" t="inlineStr">
        <x:is>
          <x:t xml:space="preserve">风电设备</x:t>
        </x:is>
      </x:c>
      <x:c r="I1573" s="4" t="inlineStr">
        <x:is>
          <x:t xml:space="preserve">2017-08-08</x:t>
        </x:is>
      </x:c>
      <x:c r="J1573" s="5" t="inlineStr">
        <x:is>
          <x:t xml:space="preserve">德州市德城区新华工业园双一路1号</x:t>
        </x:is>
      </x:c>
      <x:c r="K1573" s="12" t="str">
        <x:f>LEFT("91370000735787086N",18)</x:f>
        <x:v>91370000735787086N</x:v>
      </x:c>
    </x:row>
    <x:row r="1574">
      <x:c r="A1574" s="2" t="n">
        <x:v>1573</x:v>
      </x:c>
      <x:c r="B1574" s="2" t="inlineStr">
        <x:is>
          <x:t xml:space="preserve">300699</x:t>
        </x:is>
      </x:c>
      <x:c r="C1574" s="3" t="inlineStr">
        <x:is>
          <x:t xml:space="preserve">光威复材</x:t>
        </x:is>
      </x:c>
      <x:c r="D1574" s="3" t="inlineStr">
        <x:is>
          <x:t xml:space="preserve">威海光威复合材料股份有限公司</x:t>
        </x:is>
      </x:c>
      <x:c r="E1574" s="2" t="inlineStr">
        <x:is>
          <x:t xml:space="preserve">山东省</x:t>
        </x:is>
      </x:c>
      <x:c r="F1574" s="2" t="inlineStr">
        <x:is>
          <x:t xml:space="preserve">威海市</x:t>
        </x:is>
      </x:c>
      <x:c r="G1574" s="3" t="inlineStr">
        <x:is>
          <x:t xml:space="preserve">山东省-威海市</x:t>
        </x:is>
      </x:c>
      <x:c r="H1574" s="2" t="inlineStr">
        <x:is>
          <x:t xml:space="preserve">化工行业</x:t>
        </x:is>
      </x:c>
      <x:c r="I1574" s="2" t="inlineStr">
        <x:is>
          <x:t xml:space="preserve">2017-09-01</x:t>
        </x:is>
      </x:c>
      <x:c r="J1574" s="3" t="inlineStr">
        <x:is>
          <x:t xml:space="preserve">威海市高区天津路-130号</x:t>
        </x:is>
      </x:c>
      <x:c r="K1574" s="12" t="str">
        <x:f>LEFT("91371000166734784G",18)</x:f>
        <x:v>91371000166734784G</x:v>
      </x:c>
    </x:row>
    <x:row r="1575">
      <x:c r="A1575" s="4" t="n">
        <x:v>1574</x:v>
      </x:c>
      <x:c r="B1575" s="4" t="inlineStr">
        <x:is>
          <x:t xml:space="preserve">300779</x:t>
        </x:is>
      </x:c>
      <x:c r="C1575" s="5" t="inlineStr">
        <x:is>
          <x:t xml:space="preserve">惠城环保</x:t>
        </x:is>
      </x:c>
      <x:c r="D1575" s="5" t="inlineStr">
        <x:is>
          <x:t xml:space="preserve">青岛惠城环保科技集团股份有限公司</x:t>
        </x:is>
      </x:c>
      <x:c r="E1575" s="4" t="inlineStr">
        <x:is>
          <x:t xml:space="preserve">山东省</x:t>
        </x:is>
      </x:c>
      <x:c r="F1575" s="4" t="inlineStr">
        <x:is>
          <x:t xml:space="preserve">青岛市</x:t>
        </x:is>
      </x:c>
      <x:c r="G1575" s="5" t="inlineStr">
        <x:is>
          <x:t xml:space="preserve">山东省-青岛市</x:t>
        </x:is>
      </x:c>
      <x:c r="H1575" s="4" t="inlineStr">
        <x:is>
          <x:t xml:space="preserve">环保工程</x:t>
        </x:is>
      </x:c>
      <x:c r="I1575" s="4" t="inlineStr">
        <x:is>
          <x:t xml:space="preserve">2019-05-22</x:t>
        </x:is>
      </x:c>
      <x:c r="J1575" s="5" t="inlineStr">
        <x:is>
          <x:t xml:space="preserve">山东省青岛市黄岛区泊里镇港旺大道395号</x:t>
        </x:is>
      </x:c>
      <x:c r="K1575" s="12" t="str">
        <x:f>LEFT("91370200783724899J",18)</x:f>
        <x:v>91370200783724899J</x:v>
      </x:c>
    </x:row>
    <x:row r="1576">
      <x:c r="A1576" s="2" t="n">
        <x:v>1575</x:v>
      </x:c>
      <x:c r="B1576" s="2" t="inlineStr">
        <x:is>
          <x:t xml:space="preserve">300786</x:t>
        </x:is>
      </x:c>
      <x:c r="C1576" s="3" t="inlineStr">
        <x:is>
          <x:t xml:space="preserve">国林科技</x:t>
        </x:is>
      </x:c>
      <x:c r="D1576" s="3" t="inlineStr">
        <x:is>
          <x:t xml:space="preserve">青岛国林科技集团股份有限公司</x:t>
        </x:is>
      </x:c>
      <x:c r="E1576" s="2" t="inlineStr">
        <x:is>
          <x:t xml:space="preserve">山东省</x:t>
        </x:is>
      </x:c>
      <x:c r="F1576" s="2" t="inlineStr">
        <x:is>
          <x:t xml:space="preserve">青岛市</x:t>
        </x:is>
      </x:c>
      <x:c r="G1576" s="3" t="inlineStr">
        <x:is>
          <x:t xml:space="preserve">山东省-青岛市</x:t>
        </x:is>
      </x:c>
      <x:c r="H1576" s="2" t="inlineStr">
        <x:is>
          <x:t xml:space="preserve">环保行业</x:t>
        </x:is>
      </x:c>
      <x:c r="I1576" s="2" t="inlineStr">
        <x:is>
          <x:t xml:space="preserve">2019-07-23</x:t>
        </x:is>
      </x:c>
      <x:c r="J1576" s="3" t="inlineStr">
        <x:is>
          <x:t xml:space="preserve">山东省青岛市崂山区株洲路188号甲1号楼7层</x:t>
        </x:is>
      </x:c>
      <x:c r="K1576" s="12" t="str">
        <x:f>LEFT("913702002645941215",18)</x:f>
        <x:v>913702002645941200</x:v>
      </x:c>
    </x:row>
    <x:row r="1577">
      <x:c r="A1577" s="4" t="n">
        <x:v>1576</x:v>
      </x:c>
      <x:c r="B1577" s="4" t="inlineStr">
        <x:is>
          <x:t xml:space="preserve">300801</x:t>
        </x:is>
      </x:c>
      <x:c r="C1577" s="5" t="inlineStr">
        <x:is>
          <x:t xml:space="preserve">泰和科技</x:t>
        </x:is>
      </x:c>
      <x:c r="D1577" s="5" t="inlineStr">
        <x:is>
          <x:t xml:space="preserve">山东泰和科技股份有限公司</x:t>
        </x:is>
      </x:c>
      <x:c r="E1577" s="4" t="inlineStr">
        <x:is>
          <x:t xml:space="preserve">山东省</x:t>
        </x:is>
      </x:c>
      <x:c r="F1577" s="4" t="inlineStr">
        <x:is>
          <x:t xml:space="preserve">枣庄市</x:t>
        </x:is>
      </x:c>
      <x:c r="G1577" s="5" t="inlineStr">
        <x:is>
          <x:t xml:space="preserve">山东省-枣庄市</x:t>
        </x:is>
      </x:c>
      <x:c r="H1577" s="4" t="inlineStr">
        <x:is>
          <x:t xml:space="preserve">化工行业</x:t>
        </x:is>
      </x:c>
      <x:c r="I1577" s="4" t="inlineStr">
        <x:is>
          <x:t xml:space="preserve">2019-11-28</x:t>
        </x:is>
      </x:c>
      <x:c r="J1577" s="5" t="inlineStr">
        <x:is>
          <x:t xml:space="preserve">山东省枣庄市市中区十里泉东路1号</x:t>
        </x:is>
      </x:c>
      <x:c r="K1577" s="12" t="str">
        <x:f>LEFT("91370400786125648K",18)</x:f>
        <x:v>91370400786125648K</x:v>
      </x:c>
    </x:row>
    <x:row r="1578">
      <x:c r="A1578" s="2" t="n">
        <x:v>1577</x:v>
      </x:c>
      <x:c r="B1578" s="2" t="inlineStr">
        <x:is>
          <x:t xml:space="preserve">300821</x:t>
        </x:is>
      </x:c>
      <x:c r="C1578" s="3" t="inlineStr">
        <x:is>
          <x:t xml:space="preserve">东岳硅材</x:t>
        </x:is>
      </x:c>
      <x:c r="D1578" s="3" t="inlineStr">
        <x:is>
          <x:t xml:space="preserve">山东东岳有机硅材料股份有限公司</x:t>
        </x:is>
      </x:c>
      <x:c r="E1578" s="2" t="inlineStr">
        <x:is>
          <x:t xml:space="preserve">山东省</x:t>
        </x:is>
      </x:c>
      <x:c r="F1578" s="2" t="inlineStr">
        <x:is>
          <x:t xml:space="preserve">淄博市</x:t>
        </x:is>
      </x:c>
      <x:c r="G1578" s="3" t="inlineStr">
        <x:is>
          <x:t xml:space="preserve">山东省-淄博市</x:t>
        </x:is>
      </x:c>
      <x:c r="H1578" s="2" t="inlineStr">
        <x:is>
          <x:t xml:space="preserve">化学制品</x:t>
        </x:is>
      </x:c>
      <x:c r="I1578" s="2" t="inlineStr">
        <x:is>
          <x:t xml:space="preserve">2020-03-12</x:t>
        </x:is>
      </x:c>
      <x:c r="J1578" s="3" t="inlineStr">
        <x:is>
          <x:t xml:space="preserve">淄博市桓台县唐山镇工业路3799号</x:t>
        </x:is>
      </x:c>
      <x:c r="K1578" s="12" t="str">
        <x:f>LEFT("91370300796166056F",18)</x:f>
        <x:v>91370300796166056F</x:v>
      </x:c>
    </x:row>
    <x:row r="1579">
      <x:c r="A1579" s="4" t="n">
        <x:v>1578</x:v>
      </x:c>
      <x:c r="B1579" s="4" t="inlineStr">
        <x:is>
          <x:t xml:space="preserve">300830</x:t>
        </x:is>
      </x:c>
      <x:c r="C1579" s="5" t="inlineStr">
        <x:is>
          <x:t xml:space="preserve">金现代</x:t>
        </x:is>
      </x:c>
      <x:c r="D1579" s="5" t="inlineStr">
        <x:is>
          <x:t xml:space="preserve">金现代信息产业股份有限公司</x:t>
        </x:is>
      </x:c>
      <x:c r="E1579" s="4" t="inlineStr">
        <x:is>
          <x:t xml:space="preserve">山东省</x:t>
        </x:is>
      </x:c>
      <x:c r="F1579" s="4" t="inlineStr">
        <x:is>
          <x:t xml:space="preserve">济南市</x:t>
        </x:is>
      </x:c>
      <x:c r="G1579" s="5" t="inlineStr">
        <x:is>
          <x:t xml:space="preserve">山东省-济南市</x:t>
        </x:is>
      </x:c>
      <x:c r="H1579" s="4" t="inlineStr">
        <x:is>
          <x:t xml:space="preserve">软件服务</x:t>
        </x:is>
      </x:c>
      <x:c r="I1579" s="4" t="inlineStr">
        <x:is>
          <x:t xml:space="preserve">2020-05-06</x:t>
        </x:is>
      </x:c>
      <x:c r="J1579" s="5" t="inlineStr">
        <x:is>
          <x:t xml:space="preserve">山东省济南市高新区舜华路街道天辰路1571号金现代大厦</x:t>
        </x:is>
      </x:c>
      <x:c r="K1579" s="12" t="str">
        <x:f>LEFT("91370100733715775E",18)</x:f>
        <x:v>91370100733715775E</x:v>
      </x:c>
    </x:row>
    <x:row r="1580">
      <x:c r="A1580" s="2" t="n">
        <x:v>1579</x:v>
      </x:c>
      <x:c r="B1580" s="2" t="inlineStr">
        <x:is>
          <x:t xml:space="preserve">300840</x:t>
        </x:is>
      </x:c>
      <x:c r="C1580" s="3" t="inlineStr">
        <x:is>
          <x:t xml:space="preserve">酷特智能</x:t>
        </x:is>
      </x:c>
      <x:c r="D1580" s="3" t="inlineStr">
        <x:is>
          <x:t xml:space="preserve">青岛酷特智能股份有限公司</x:t>
        </x:is>
      </x:c>
      <x:c r="E1580" s="2" t="inlineStr">
        <x:is>
          <x:t xml:space="preserve">山东省</x:t>
        </x:is>
      </x:c>
      <x:c r="F1580" s="2" t="inlineStr">
        <x:is>
          <x:t xml:space="preserve">青岛市</x:t>
        </x:is>
      </x:c>
      <x:c r="G1580" s="3" t="inlineStr">
        <x:is>
          <x:t xml:space="preserve">山东省-青岛市</x:t>
        </x:is>
      </x:c>
      <x:c r="H1580" s="2" t="inlineStr">
        <x:is>
          <x:t xml:space="preserve">纺织服装</x:t>
        </x:is>
      </x:c>
      <x:c r="I1580" s="2" t="inlineStr">
        <x:is>
          <x:t xml:space="preserve">2020-07-08</x:t>
        </x:is>
      </x:c>
      <x:c r="J1580" s="3" t="inlineStr">
        <x:is>
          <x:t xml:space="preserve">山东省青岛市即墨市红领大街17号</x:t>
        </x:is>
      </x:c>
      <x:c r="K1580" s="12" t="str">
        <x:f>LEFT("91370200667889653Y",18)</x:f>
        <x:v>91370200667889653Y</x:v>
      </x:c>
    </x:row>
    <x:row r="1581">
      <x:c r="A1581" s="4" t="n">
        <x:v>1580</x:v>
      </x:c>
      <x:c r="B1581" s="4" t="inlineStr">
        <x:is>
          <x:t xml:space="preserve">300848</x:t>
        </x:is>
      </x:c>
      <x:c r="C1581" s="5" t="inlineStr">
        <x:is>
          <x:t xml:space="preserve">美瑞新材</x:t>
        </x:is>
      </x:c>
      <x:c r="D1581" s="5" t="inlineStr">
        <x:is>
          <x:t xml:space="preserve">美瑞新材料股份有限公司</x:t>
        </x:is>
      </x:c>
      <x:c r="E1581" s="4" t="inlineStr">
        <x:is>
          <x:t xml:space="preserve">山东省</x:t>
        </x:is>
      </x:c>
      <x:c r="F1581" s="4" t="inlineStr">
        <x:is>
          <x:t xml:space="preserve">烟台市</x:t>
        </x:is>
      </x:c>
      <x:c r="G1581" s="5" t="inlineStr">
        <x:is>
          <x:t xml:space="preserve">山东省-烟台市</x:t>
        </x:is>
      </x:c>
      <x:c r="H1581" s="4" t="inlineStr">
        <x:is>
          <x:t xml:space="preserve">化工行业</x:t>
        </x:is>
      </x:c>
      <x:c r="I1581" s="4" t="inlineStr">
        <x:is>
          <x:t xml:space="preserve">2020-07-20</x:t>
        </x:is>
      </x:c>
      <x:c r="J1581" s="5" t="inlineStr">
        <x:is>
          <x:t xml:space="preserve">烟台开发区长沙大街35号</x:t>
        </x:is>
      </x:c>
      <x:c r="K1581" s="12" t="str">
        <x:f>LEFT("91370600694422442C",18)</x:f>
        <x:v>91370600694422442C</x:v>
      </x:c>
    </x:row>
    <x:row r="1582">
      <x:c r="A1582" s="2" t="n">
        <x:v>1581</x:v>
      </x:c>
      <x:c r="B1582" s="2" t="inlineStr">
        <x:is>
          <x:t xml:space="preserve">300918</x:t>
        </x:is>
      </x:c>
      <x:c r="C1582" s="3" t="inlineStr">
        <x:is>
          <x:t xml:space="preserve">南山智尚</x:t>
        </x:is>
      </x:c>
      <x:c r="D1582" s="3" t="inlineStr">
        <x:is>
          <x:t xml:space="preserve">山东南山智尚科技股份有限公司</x:t>
        </x:is>
      </x:c>
      <x:c r="E1582" s="2" t="inlineStr">
        <x:is>
          <x:t xml:space="preserve">山东省</x:t>
        </x:is>
      </x:c>
      <x:c r="F1582" s="2" t="inlineStr">
        <x:is>
          <x:t xml:space="preserve">烟台市</x:t>
        </x:is>
      </x:c>
      <x:c r="G1582" s="3" t="inlineStr">
        <x:is>
          <x:t xml:space="preserve">山东省-烟台市</x:t>
        </x:is>
      </x:c>
      <x:c r="H1582" s="2" t="inlineStr">
        <x:is>
          <x:t xml:space="preserve">纺织服装</x:t>
        </x:is>
      </x:c>
      <x:c r="I1582" s="2" t="inlineStr">
        <x:is>
          <x:t xml:space="preserve">2020-12-22</x:t>
        </x:is>
      </x:c>
      <x:c r="J1582" s="3" t="inlineStr">
        <x:is>
          <x:t xml:space="preserve">山东省烟台市龙口市东江镇南山工业园</x:t>
        </x:is>
      </x:c>
      <x:c r="K1582" s="12" t="str">
        <x:f>LEFT("9137068166139756X1",18)</x:f>
        <x:v>9137068166139756X1</x:v>
      </x:c>
    </x:row>
    <x:row r="1583">
      <x:c r="A1583" s="4" t="n">
        <x:v>1582</x:v>
      </x:c>
      <x:c r="B1583" s="4" t="inlineStr">
        <x:is>
          <x:t xml:space="preserve">300948</x:t>
        </x:is>
      </x:c>
      <x:c r="C1583" s="5" t="inlineStr">
        <x:is>
          <x:t xml:space="preserve">冠中生态</x:t>
        </x:is>
      </x:c>
      <x:c r="D1583" s="5" t="inlineStr">
        <x:is>
          <x:t xml:space="preserve">青岛冠中生态股份有限公司</x:t>
        </x:is>
      </x:c>
      <x:c r="E1583" s="4" t="inlineStr">
        <x:is>
          <x:t xml:space="preserve">山东省</x:t>
        </x:is>
      </x:c>
      <x:c r="F1583" s="4" t="inlineStr">
        <x:is>
          <x:t xml:space="preserve">青岛市</x:t>
        </x:is>
      </x:c>
      <x:c r="G1583" s="5" t="inlineStr">
        <x:is>
          <x:t xml:space="preserve">山东省-青岛市</x:t>
        </x:is>
      </x:c>
      <x:c r="H1583" s="4" t="inlineStr">
        <x:is>
          <x:t xml:space="preserve">环保工程</x:t>
        </x:is>
      </x:c>
      <x:c r="I1583" s="4" t="inlineStr">
        <x:is>
          <x:t xml:space="preserve">2021-02-25</x:t>
        </x:is>
      </x:c>
      <x:c r="J1583" s="5" t="inlineStr">
        <x:is>
          <x:t xml:space="preserve">山东省青岛市崂山区游云路6号</x:t>
        </x:is>
      </x:c>
      <x:c r="K1583" s="12" t="str">
        <x:f>LEFT("913702007240231799",18)</x:f>
        <x:v>913702007240231800</x:v>
      </x:c>
    </x:row>
    <x:row r="1584">
      <x:c r="A1584" s="2" t="n">
        <x:v>1583</x:v>
      </x:c>
      <x:c r="B1584" s="2" t="inlineStr">
        <x:is>
          <x:t xml:space="preserve">300950</x:t>
        </x:is>
      </x:c>
      <x:c r="C1584" s="3" t="inlineStr">
        <x:is>
          <x:t xml:space="preserve">德固特</x:t>
        </x:is>
      </x:c>
      <x:c r="D1584" s="3" t="inlineStr">
        <x:is>
          <x:t xml:space="preserve">青岛德固特节能装备股份有限公司</x:t>
        </x:is>
      </x:c>
      <x:c r="E1584" s="2" t="inlineStr">
        <x:is>
          <x:t xml:space="preserve">山东省</x:t>
        </x:is>
      </x:c>
      <x:c r="F1584" s="2" t="inlineStr">
        <x:is>
          <x:t xml:space="preserve">青岛市</x:t>
        </x:is>
      </x:c>
      <x:c r="G1584" s="3" t="inlineStr">
        <x:is>
          <x:t xml:space="preserve">山东省-青岛市</x:t>
        </x:is>
      </x:c>
      <x:c r="H1584" s="2" t="inlineStr">
        <x:is>
          <x:t xml:space="preserve">专用设备</x:t>
        </x:is>
      </x:c>
      <x:c r="I1584" s="2" t="inlineStr">
        <x:is>
          <x:t xml:space="preserve">2021-03-03</x:t>
        </x:is>
      </x:c>
      <x:c r="J1584" s="3" t="inlineStr">
        <x:is>
          <x:t xml:space="preserve">青岛胶州市尚德大道17号</x:t>
        </x:is>
      </x:c>
      <x:c r="K1584" s="12" t="str">
        <x:f>LEFT("91370200760263524Y",18)</x:f>
        <x:v>91370200760263524Y</x:v>
      </x:c>
    </x:row>
    <x:row r="1585">
      <x:c r="A1585" s="4" t="n">
        <x:v>1584</x:v>
      </x:c>
      <x:c r="B1585" s="4" t="inlineStr">
        <x:is>
          <x:t xml:space="preserve">300993</x:t>
        </x:is>
      </x:c>
      <x:c r="C1585" s="5" t="inlineStr">
        <x:is>
          <x:t xml:space="preserve">玉马科技</x:t>
        </x:is>
      </x:c>
      <x:c r="D1585" s="5" t="inlineStr">
        <x:is>
          <x:t xml:space="preserve">山东玉马遮阳科技股份有限公司</x:t>
        </x:is>
      </x:c>
      <x:c r="E1585" s="4" t="inlineStr">
        <x:is>
          <x:t xml:space="preserve">山东省</x:t>
        </x:is>
      </x:c>
      <x:c r="F1585" s="4" t="inlineStr">
        <x:is>
          <x:t xml:space="preserve">寿光市</x:t>
        </x:is>
      </x:c>
      <x:c r="G1585" s="5" t="inlineStr">
        <x:is>
          <x:t xml:space="preserve">山东省-寿光市</x:t>
        </x:is>
      </x:c>
      <x:c r="H1585" s="4" t="inlineStr">
        <x:is>
          <x:t xml:space="preserve">装修装饰</x:t>
        </x:is>
      </x:c>
      <x:c r="I1585" s="4" t="inlineStr">
        <x:is>
          <x:t xml:space="preserve">2021-05-24</x:t>
        </x:is>
      </x:c>
      <x:c r="J1585" s="5" t="inlineStr">
        <x:is>
          <x:t xml:space="preserve">寿光市金光西街1966号</x:t>
        </x:is>
      </x:c>
      <x:c r="K1585" s="12" t="str">
        <x:f>LEFT("913707833103588336",18)</x:f>
        <x:v>913707833103588400</x:v>
      </x:c>
    </x:row>
    <x:row r="1586">
      <x:c r="A1586" s="2" t="n">
        <x:v>1585</x:v>
      </x:c>
      <x:c r="B1586" s="2" t="inlineStr">
        <x:is>
          <x:t xml:space="preserve">300996</x:t>
        </x:is>
      </x:c>
      <x:c r="C1586" s="3" t="inlineStr">
        <x:is>
          <x:t xml:space="preserve">普联软件</x:t>
        </x:is>
      </x:c>
      <x:c r="D1586" s="3" t="inlineStr">
        <x:is>
          <x:t xml:space="preserve">普联软件股份有限公司</x:t>
        </x:is>
      </x:c>
      <x:c r="E1586" s="2" t="inlineStr">
        <x:is>
          <x:t xml:space="preserve">山东省</x:t>
        </x:is>
      </x:c>
      <x:c r="F1586" s="2" t="inlineStr">
        <x:is>
          <x:t xml:space="preserve">济南市</x:t>
        </x:is>
      </x:c>
      <x:c r="G1586" s="3" t="inlineStr">
        <x:is>
          <x:t xml:space="preserve">山东省-济南市</x:t>
        </x:is>
      </x:c>
      <x:c r="H1586" s="2" t="inlineStr">
        <x:is>
          <x:t xml:space="preserve">软件服务</x:t>
        </x:is>
      </x:c>
      <x:c r="I1586" s="2" t="inlineStr">
        <x:is>
          <x:t xml:space="preserve">2021-06-03</x:t>
        </x:is>
      </x:c>
      <x:c r="J1586" s="3" t="inlineStr">
        <x:is>
          <x:t xml:space="preserve">山东省济南市高新区舜泰北路789号B座20层</x:t>
        </x:is>
      </x:c>
      <x:c r="K1586" s="12" t="str">
        <x:f>LEFT("913701007317289784",18)</x:f>
        <x:v>913701007317289700</x:v>
      </x:c>
    </x:row>
    <x:row r="1587">
      <x:c r="A1587" s="4" t="n">
        <x:v>1586</x:v>
      </x:c>
      <x:c r="B1587" s="4" t="inlineStr">
        <x:is>
          <x:t xml:space="preserve">301015</x:t>
        </x:is>
      </x:c>
      <x:c r="C1587" s="5" t="inlineStr">
        <x:is>
          <x:t xml:space="preserve">百洋医药</x:t>
        </x:is>
      </x:c>
      <x:c r="D1587" s="5" t="inlineStr">
        <x:is>
          <x:t xml:space="preserve">青岛百洋医药股份有限公司</x:t>
        </x:is>
      </x:c>
      <x:c r="E1587" s="4" t="inlineStr">
        <x:is>
          <x:t xml:space="preserve">山东省</x:t>
        </x:is>
      </x:c>
      <x:c r="F1587" s="4" t="inlineStr">
        <x:is>
          <x:t xml:space="preserve">青岛市</x:t>
        </x:is>
      </x:c>
      <x:c r="G1587" s="5" t="inlineStr">
        <x:is>
          <x:t xml:space="preserve">山东省-青岛市</x:t>
        </x:is>
      </x:c>
      <x:c r="H1587" s="4" t="inlineStr">
        <x:is>
          <x:t xml:space="preserve">医药商业</x:t>
        </x:is>
      </x:c>
      <x:c r="I1587" s="4" t="inlineStr">
        <x:is>
          <x:t xml:space="preserve">2021-06-30</x:t>
        </x:is>
      </x:c>
      <x:c r="J1587" s="5" t="inlineStr">
        <x:is>
          <x:t xml:space="preserve">山东省青岛市市北区桐柏路88号1号楼</x:t>
        </x:is>
      </x:c>
      <x:c r="K1587" s="12" t="str">
        <x:f>LEFT("91370200770281005N",18)</x:f>
        <x:v>91370200770281005N</x:v>
      </x:c>
    </x:row>
    <x:row r="1588">
      <x:c r="A1588" s="2" t="n">
        <x:v>1587</x:v>
      </x:c>
      <x:c r="B1588" s="2" t="inlineStr">
        <x:is>
          <x:t xml:space="preserve">301017</x:t>
        </x:is>
      </x:c>
      <x:c r="C1588" s="3" t="inlineStr">
        <x:is>
          <x:t xml:space="preserve">漱玉平民</x:t>
        </x:is>
      </x:c>
      <x:c r="D1588" s="3" t="inlineStr">
        <x:is>
          <x:t xml:space="preserve">漱玉平民大药房连锁股份有限公司</x:t>
        </x:is>
      </x:c>
      <x:c r="E1588" s="2" t="inlineStr">
        <x:is>
          <x:t xml:space="preserve">山东省</x:t>
        </x:is>
      </x:c>
      <x:c r="F1588" s="2" t="inlineStr">
        <x:is>
          <x:t xml:space="preserve">济南市</x:t>
        </x:is>
      </x:c>
      <x:c r="G1588" s="3" t="inlineStr">
        <x:is>
          <x:t xml:space="preserve">山东省-济南市</x:t>
        </x:is>
      </x:c>
      <x:c r="H1588" s="2" t="inlineStr">
        <x:is>
          <x:t xml:space="preserve">医药商业</x:t>
        </x:is>
      </x:c>
      <x:c r="I1588" s="2" t="inlineStr">
        <x:is>
          <x:t xml:space="preserve">2021-07-05</x:t>
        </x:is>
      </x:c>
      <x:c r="J1588" s="3" t="inlineStr">
        <x:is>
          <x:t xml:space="preserve">济南市历城区山大北路56号</x:t>
        </x:is>
      </x:c>
      <x:c r="K1588" s="12" t="str">
        <x:f>LEFT("91370100705882496U",18)</x:f>
        <x:v>91370100705882496U</x:v>
      </x:c>
    </x:row>
    <x:row r="1589">
      <x:c r="A1589" s="4" t="n">
        <x:v>1588</x:v>
      </x:c>
      <x:c r="B1589" s="4" t="inlineStr">
        <x:is>
          <x:t xml:space="preserve">301020</x:t>
        </x:is>
      </x:c>
      <x:c r="C1589" s="5" t="inlineStr">
        <x:is>
          <x:t xml:space="preserve">密封科技</x:t>
        </x:is>
      </x:c>
      <x:c r="D1589" s="5" t="inlineStr">
        <x:is>
          <x:t xml:space="preserve">烟台石川密封科技股份有限公司</x:t>
        </x:is>
      </x:c>
      <x:c r="E1589" s="4" t="inlineStr">
        <x:is>
          <x:t xml:space="preserve">山东省</x:t>
        </x:is>
      </x:c>
      <x:c r="F1589" s="4" t="inlineStr">
        <x:is>
          <x:t xml:space="preserve">烟台市</x:t>
        </x:is>
      </x:c>
      <x:c r="G1589" s="5" t="inlineStr">
        <x:is>
          <x:t xml:space="preserve">山东省-烟台市</x:t>
        </x:is>
      </x:c>
      <x:c r="H1589" s="4" t="inlineStr">
        <x:is>
          <x:t xml:space="preserve">汽车零部件</x:t>
        </x:is>
      </x:c>
      <x:c r="I1589" s="4" t="inlineStr">
        <x:is>
          <x:t xml:space="preserve">2021-07-06</x:t>
        </x:is>
      </x:c>
      <x:c r="J1589" s="5" t="inlineStr">
        <x:is>
          <x:t xml:space="preserve">山东省烟台市芝罘区APEC科技工业园冰轮路5号</x:t>
        </x:is>
      </x:c>
      <x:c r="K1589" s="12" t="str">
        <x:f>LEFT("91370000613410774T",18)</x:f>
        <x:v>91370000613410774T</x:v>
      </x:c>
    </x:row>
    <x:row r="1590">
      <x:c r="A1590" s="2" t="n">
        <x:v>1589</x:v>
      </x:c>
      <x:c r="B1590" s="2" t="inlineStr">
        <x:is>
          <x:t xml:space="preserve">301022</x:t>
        </x:is>
      </x:c>
      <x:c r="C1590" s="3" t="inlineStr">
        <x:is>
          <x:t xml:space="preserve">海泰科</x:t>
        </x:is>
      </x:c>
      <x:c r="D1590" s="3" t="inlineStr">
        <x:is>
          <x:t xml:space="preserve">青岛海泰科模塑科技股份有限公司</x:t>
        </x:is>
      </x:c>
      <x:c r="E1590" s="2" t="inlineStr">
        <x:is>
          <x:t xml:space="preserve">山东省</x:t>
        </x:is>
      </x:c>
      <x:c r="F1590" s="2" t="inlineStr">
        <x:is>
          <x:t xml:space="preserve">青岛市</x:t>
        </x:is>
      </x:c>
      <x:c r="G1590" s="3" t="inlineStr">
        <x:is>
          <x:t xml:space="preserve">山东省-青岛市</x:t>
        </x:is>
      </x:c>
      <x:c r="H1590" s="2" t="inlineStr">
        <x:is>
          <x:t xml:space="preserve">汽车零部件</x:t>
        </x:is>
      </x:c>
      <x:c r="I1590" s="2" t="inlineStr">
        <x:is>
          <x:t xml:space="preserve">2021-07-02</x:t>
        </x:is>
      </x:c>
      <x:c r="J1590" s="3" t="inlineStr">
        <x:is>
          <x:t xml:space="preserve">山东省青岛市城阳区棘洪滩街道锦盛二路66号</x:t>
        </x:is>
      </x:c>
      <x:c r="K1590" s="12" t="str">
        <x:f>LEFT("91370214756900818M",18)</x:f>
        <x:v>91370214756900818M</x:v>
      </x:c>
    </x:row>
    <x:row r="1591">
      <x:c r="A1591" s="4" t="n">
        <x:v>1590</x:v>
      </x:c>
      <x:c r="B1591" s="4" t="inlineStr">
        <x:is>
          <x:t xml:space="preserve">301035</x:t>
        </x:is>
      </x:c>
      <x:c r="C1591" s="5" t="inlineStr">
        <x:is>
          <x:t xml:space="preserve">润丰股份</x:t>
        </x:is>
      </x:c>
      <x:c r="D1591" s="5" t="inlineStr">
        <x:is>
          <x:t xml:space="preserve">山东潍坊润丰化工股份有限公司</x:t>
        </x:is>
      </x:c>
      <x:c r="E1591" s="4" t="inlineStr">
        <x:is>
          <x:t xml:space="preserve">山东省</x:t>
        </x:is>
      </x:c>
      <x:c r="F1591" s="4" t="inlineStr">
        <x:is>
          <x:t xml:space="preserve">潍坊市</x:t>
        </x:is>
      </x:c>
      <x:c r="G1591" s="5" t="inlineStr">
        <x:is>
          <x:t xml:space="preserve">山东省-潍坊市</x:t>
        </x:is>
      </x:c>
      <x:c r="H1591" s="4" t="inlineStr">
        <x:is>
          <x:t xml:space="preserve">农药兽药</x:t>
        </x:is>
      </x:c>
      <x:c r="I1591" s="4" t="inlineStr">
        <x:is>
          <x:t xml:space="preserve">2021-07-28</x:t>
        </x:is>
      </x:c>
      <x:c r="J1591" s="5" t="inlineStr">
        <x:is>
          <x:t xml:space="preserve">山东省潍坊市滨海经济开发区氯碱路03001号</x:t>
        </x:is>
      </x:c>
      <x:c r="K1591" s="12" t="str">
        <x:f>LEFT("91370000776323704Q",18)</x:f>
        <x:v>91370000776323704Q</x:v>
      </x:c>
    </x:row>
    <x:row r="1592">
      <x:c r="A1592" s="2" t="n">
        <x:v>1591</x:v>
      </x:c>
      <x:c r="B1592" s="2" t="inlineStr">
        <x:is>
          <x:t xml:space="preserve">301069</x:t>
        </x:is>
      </x:c>
      <x:c r="C1592" s="3" t="inlineStr">
        <x:is>
          <x:t xml:space="preserve">凯盛新材</x:t>
        </x:is>
      </x:c>
      <x:c r="D1592" s="3" t="inlineStr">
        <x:is>
          <x:t xml:space="preserve">山东凯盛新材料股份有限公司</x:t>
        </x:is>
      </x:c>
      <x:c r="E1592" s="2" t="inlineStr">
        <x:is>
          <x:t xml:space="preserve">山东省</x:t>
        </x:is>
      </x:c>
      <x:c r="F1592" s="2" t="inlineStr">
        <x:is>
          <x:t xml:space="preserve">淄博市</x:t>
        </x:is>
      </x:c>
      <x:c r="G1592" s="3" t="inlineStr">
        <x:is>
          <x:t xml:space="preserve">山东省-淄博市</x:t>
        </x:is>
      </x:c>
      <x:c r="H1592" s="2" t="inlineStr">
        <x:is>
          <x:t xml:space="preserve">化学原料</x:t>
        </x:is>
      </x:c>
      <x:c r="I1592" s="2" t="inlineStr">
        <x:is>
          <x:t xml:space="preserve">2021-09-27</x:t>
        </x:is>
      </x:c>
      <x:c r="J1592" s="3" t="inlineStr">
        <x:is>
          <x:t xml:space="preserve">山东省淄博市淄川区双杨镇(张博公路东侧)</x:t>
        </x:is>
      </x:c>
      <x:c r="K1592" s="12" t="str">
        <x:f>LEFT("913700007834774102",18)</x:f>
        <x:v>913700007834774100</x:v>
      </x:c>
    </x:row>
    <x:row r="1593">
      <x:c r="A1593" s="4" t="n">
        <x:v>1592</x:v>
      </x:c>
      <x:c r="B1593" s="4" t="inlineStr">
        <x:is>
          <x:t xml:space="preserve">301149</x:t>
        </x:is>
      </x:c>
      <x:c r="C1593" s="5" t="inlineStr">
        <x:is>
          <x:t xml:space="preserve">隆华新材</x:t>
        </x:is>
      </x:c>
      <x:c r="D1593" s="5" t="inlineStr">
        <x:is>
          <x:t xml:space="preserve">山东隆华新材料股份有限公司</x:t>
        </x:is>
      </x:c>
      <x:c r="E1593" s="4" t="inlineStr">
        <x:is>
          <x:t xml:space="preserve">山东省</x:t>
        </x:is>
      </x:c>
      <x:c r="F1593" s="4" t="inlineStr">
        <x:is>
          <x:t xml:space="preserve">淄博市</x:t>
        </x:is>
      </x:c>
      <x:c r="G1593" s="5" t="inlineStr">
        <x:is>
          <x:t xml:space="preserve">山东省-淄博市</x:t>
        </x:is>
      </x:c>
      <x:c r="H1593" s="4" t="inlineStr">
        <x:is>
          <x:t xml:space="preserve">化学原料</x:t>
        </x:is>
      </x:c>
      <x:c r="I1593" s="4" t="inlineStr">
        <x:is>
          <x:t xml:space="preserve">2021-11-10</x:t>
        </x:is>
      </x:c>
      <x:c r="J1593" s="5" t="inlineStr">
        <x:is>
          <x:t xml:space="preserve">山东省淄博市高青县潍高路289号</x:t>
        </x:is>
      </x:c>
      <x:c r="K1593" s="12" t="str">
        <x:f>LEFT("91370300571684282M",18)</x:f>
        <x:v>91370300571684282M</x:v>
      </x:c>
    </x:row>
    <x:row r="1594">
      <x:c r="A1594" s="2" t="n">
        <x:v>1593</x:v>
      </x:c>
      <x:c r="B1594" s="2" t="inlineStr">
        <x:is>
          <x:t xml:space="preserve">301158</x:t>
        </x:is>
      </x:c>
      <x:c r="C1594" s="3" t="inlineStr">
        <x:is>
          <x:t xml:space="preserve">德石股份</x:t>
        </x:is>
      </x:c>
      <x:c r="D1594" s="3" t="inlineStr">
        <x:is>
          <x:t xml:space="preserve">德州联合石油科技股份有限公司</x:t>
        </x:is>
      </x:c>
      <x:c r="E1594" s="2" t="inlineStr">
        <x:is>
          <x:t xml:space="preserve">山东省</x:t>
        </x:is>
      </x:c>
      <x:c r="F1594" s="2" t="inlineStr">
        <x:is>
          <x:t xml:space="preserve">德州市</x:t>
        </x:is>
      </x:c>
      <x:c r="G1594" s="3" t="inlineStr">
        <x:is>
          <x:t xml:space="preserve">山东省-德州市</x:t>
        </x:is>
      </x:c>
      <x:c r="H1594" s="2" t="inlineStr">
        <x:is>
          <x:t xml:space="preserve">专用设备</x:t>
        </x:is>
      </x:c>
      <x:c r="I1594" s="2" t="inlineStr">
        <x:is>
          <x:t xml:space="preserve">2022-01-17</x:t>
        </x:is>
      </x:c>
      <x:c r="J1594" s="3" t="inlineStr">
        <x:is>
          <x:t xml:space="preserve">山东省德州市天衢新区宋官屯街道晶华南大道1518号</x:t>
        </x:is>
      </x:c>
      <x:c r="K1594" s="12" t="str">
        <x:f>LEFT("913714007636991982",18)</x:f>
        <x:v>913714007636992000</x:v>
      </x:c>
    </x:row>
    <x:row r="1595">
      <x:c r="A1595" s="4" t="n">
        <x:v>1594</x:v>
      </x:c>
      <x:c r="B1595" s="4" t="inlineStr">
        <x:is>
          <x:t xml:space="preserve">301185</x:t>
        </x:is>
      </x:c>
      <x:c r="C1595" s="5" t="inlineStr">
        <x:is>
          <x:t xml:space="preserve">鸥玛软件</x:t>
        </x:is>
      </x:c>
      <x:c r="D1595" s="5" t="inlineStr">
        <x:is>
          <x:t xml:space="preserve">山东山大鸥玛软件股份有限公司</x:t>
        </x:is>
      </x:c>
      <x:c r="E1595" s="4" t="inlineStr">
        <x:is>
          <x:t xml:space="preserve">山东省</x:t>
        </x:is>
      </x:c>
      <x:c r="F1595" s="4" t="inlineStr">
        <x:is>
          <x:t xml:space="preserve">济南市</x:t>
        </x:is>
      </x:c>
      <x:c r="G1595" s="5" t="inlineStr">
        <x:is>
          <x:t xml:space="preserve">山东省-济南市</x:t>
        </x:is>
      </x:c>
      <x:c r="H1595" s="4" t="inlineStr">
        <x:is>
          <x:t xml:space="preserve">软件服务</x:t>
        </x:is>
      </x:c>
      <x:c r="I1595" s="4" t="inlineStr">
        <x:is>
          <x:t xml:space="preserve">2021-11-19</x:t>
        </x:is>
      </x:c>
      <x:c r="J1595" s="5" t="inlineStr">
        <x:is>
          <x:t xml:space="preserve">山东省济南市高新区伯乐路128号</x:t>
        </x:is>
      </x:c>
      <x:c r="K1595" s="12" t="str">
        <x:f>LEFT("91370000772057998D",18)</x:f>
        <x:v>91370000772057998D</x:v>
      </x:c>
    </x:row>
    <x:row r="1596">
      <x:c r="A1596" s="2" t="n">
        <x:v>1595</x:v>
      </x:c>
      <x:c r="B1596" s="2" t="inlineStr">
        <x:is>
          <x:t xml:space="preserve">301188</x:t>
        </x:is>
      </x:c>
      <x:c r="C1596" s="3" t="inlineStr">
        <x:is>
          <x:t xml:space="preserve">力诺药包</x:t>
        </x:is>
      </x:c>
      <x:c r="D1596" s="3" t="inlineStr">
        <x:is>
          <x:t xml:space="preserve">山东力诺医药包装股份有限公司</x:t>
        </x:is>
      </x:c>
      <x:c r="E1596" s="2" t="inlineStr">
        <x:is>
          <x:t xml:space="preserve">山东省</x:t>
        </x:is>
      </x:c>
      <x:c r="F1596" s="2" t="inlineStr">
        <x:is>
          <x:t xml:space="preserve">济南市</x:t>
        </x:is>
      </x:c>
      <x:c r="G1596" s="3" t="inlineStr">
        <x:is>
          <x:t xml:space="preserve">山东省-济南市</x:t>
        </x:is>
      </x:c>
      <x:c r="H1596" s="2" t="inlineStr">
        <x:is>
          <x:t xml:space="preserve">玻璃陶瓷</x:t>
        </x:is>
      </x:c>
      <x:c r="I1596" s="2" t="inlineStr">
        <x:is>
          <x:t xml:space="preserve">2021-11-11</x:t>
        </x:is>
      </x:c>
      <x:c r="J1596" s="3" t="inlineStr">
        <x:is>
          <x:t xml:space="preserve">山东省济南市商河县玉皇庙镇政府驻地</x:t>
        </x:is>
      </x:c>
      <x:c r="K1596" s="12" t="str">
        <x:f>LEFT("9137012673578730XH",18)</x:f>
        <x:v>9137012673578730XH</x:v>
      </x:c>
    </x:row>
    <x:row r="1597">
      <x:c r="A1597" s="4" t="n">
        <x:v>1596</x:v>
      </x:c>
      <x:c r="B1597" s="4" t="inlineStr">
        <x:is>
          <x:t xml:space="preserve">301199</x:t>
        </x:is>
      </x:c>
      <x:c r="C1597" s="5" t="inlineStr">
        <x:is>
          <x:t xml:space="preserve">迈赫股份</x:t>
        </x:is>
      </x:c>
      <x:c r="D1597" s="5" t="inlineStr">
        <x:is>
          <x:t xml:space="preserve">迈赫机器人自动化股份有限公司</x:t>
        </x:is>
      </x:c>
      <x:c r="E1597" s="4" t="inlineStr">
        <x:is>
          <x:t xml:space="preserve">山东省</x:t>
        </x:is>
      </x:c>
      <x:c r="F1597" s="4" t="inlineStr">
        <x:is>
          <x:t xml:space="preserve">潍坊市</x:t>
        </x:is>
      </x:c>
      <x:c r="G1597" s="5" t="inlineStr">
        <x:is>
          <x:t xml:space="preserve">山东省-潍坊市</x:t>
        </x:is>
      </x:c>
      <x:c r="H1597" s="4" t="inlineStr">
        <x:is>
          <x:t xml:space="preserve">专用设备</x:t>
        </x:is>
      </x:c>
      <x:c r="I1597" s="4" t="inlineStr">
        <x:is>
          <x:t xml:space="preserve">2021-12-07</x:t>
        </x:is>
      </x:c>
      <x:c r="J1597" s="5" t="inlineStr">
        <x:is>
          <x:t xml:space="preserve">山东省潍坊市诸城市舜泰街1398号</x:t>
        </x:is>
      </x:c>
      <x:c r="K1597" s="12" t="str">
        <x:f>LEFT("9137070055090926XF",18)</x:f>
        <x:v>9137070055090926XF</x:v>
      </x:c>
    </x:row>
    <x:row r="1598">
      <x:c r="A1598" s="2" t="n">
        <x:v>1597</x:v>
      </x:c>
      <x:c r="B1598" s="2" t="inlineStr">
        <x:is>
          <x:t xml:space="preserve">301206</x:t>
        </x:is>
      </x:c>
      <x:c r="C1598" s="3" t="inlineStr">
        <x:is>
          <x:t xml:space="preserve">三元生物</x:t>
        </x:is>
      </x:c>
      <x:c r="D1598" s="3" t="inlineStr">
        <x:is>
          <x:t xml:space="preserve">山东三元生物科技股份有限公司</x:t>
        </x:is>
      </x:c>
      <x:c r="E1598" s="2" t="inlineStr">
        <x:is>
          <x:t xml:space="preserve">山东省</x:t>
        </x:is>
      </x:c>
      <x:c r="F1598" s="2" t="inlineStr">
        <x:is>
          <x:t xml:space="preserve">滨州市</x:t>
        </x:is>
      </x:c>
      <x:c r="G1598" s="3" t="inlineStr">
        <x:is>
          <x:t xml:space="preserve">山东省-滨州市</x:t>
        </x:is>
      </x:c>
      <x:c r="H1598" s="2" t="inlineStr">
        <x:is>
          <x:t xml:space="preserve">食品饮料</x:t>
        </x:is>
      </x:c>
      <x:c r="I1598" s="2" t="inlineStr">
        <x:is>
          <x:t xml:space="preserve">2022-02-10</x:t>
        </x:is>
      </x:c>
      <x:c r="J1598" s="3" t="inlineStr">
        <x:is>
          <x:t xml:space="preserve">山东省滨州市滨北张富路89号</x:t>
        </x:is>
      </x:c>
      <x:c r="K1598" s="12" t="str">
        <x:f>LEFT("913716007986665561",18)</x:f>
        <x:v>913716007986665600</x:v>
      </x:c>
    </x:row>
    <x:row r="1599">
      <x:c r="A1599" s="4" t="n">
        <x:v>1598</x:v>
      </x:c>
      <x:c r="B1599" s="4" t="inlineStr">
        <x:is>
          <x:t xml:space="preserve">301209</x:t>
        </x:is>
      </x:c>
      <x:c r="C1599" s="5" t="inlineStr">
        <x:is>
          <x:t xml:space="preserve">联合化学</x:t>
        </x:is>
      </x:c>
      <x:c r="D1599" s="5" t="inlineStr">
        <x:is>
          <x:t xml:space="preserve">龙口联合化学股份有限公司</x:t>
        </x:is>
      </x:c>
      <x:c r="E1599" s="4" t="inlineStr">
        <x:is>
          <x:t xml:space="preserve">山东省</x:t>
        </x:is>
      </x:c>
      <x:c r="F1599" s="4" t="inlineStr">
        <x:is>
          <x:t xml:space="preserve">东省龙口市</x:t>
        </x:is>
      </x:c>
      <x:c r="G1599" s="5" t="inlineStr">
        <x:is>
          <x:t xml:space="preserve">山东省-东省龙口市</x:t>
        </x:is>
      </x:c>
      <x:c r="H1599" s="4" t="inlineStr">
        <x:is>
          <x:t xml:space="preserve">化学原料</x:t>
        </x:is>
      </x:c>
      <x:c r="I1599" s="4" t="inlineStr">
        <x:is>
          <x:t xml:space="preserve">2022-08-25</x:t>
        </x:is>
      </x:c>
      <x:c r="J1599" s="5" t="inlineStr">
        <x:is>
          <x:t xml:space="preserve">山东省龙口市诸由观镇</x:t>
        </x:is>
      </x:c>
      <x:c r="K1599" s="12" t="str">
        <x:f>LEFT("913706817986634439",18)</x:f>
        <x:v>913706817986634500</x:v>
      </x:c>
    </x:row>
    <x:row r="1600">
      <x:c r="A1600" s="2" t="n">
        <x:v>1599</x:v>
      </x:c>
      <x:c r="B1600" s="2" t="inlineStr">
        <x:is>
          <x:t xml:space="preserve">301262</x:t>
        </x:is>
      </x:c>
      <x:c r="C1600" s="3" t="inlineStr">
        <x:is>
          <x:t xml:space="preserve">海看股份</x:t>
        </x:is>
      </x:c>
      <x:c r="D1600" s="3" t="inlineStr">
        <x:is>
          <x:t xml:space="preserve">海看网络科技(山东)股份有限公司</x:t>
        </x:is>
      </x:c>
      <x:c r="E1600" s="2" t="inlineStr">
        <x:is>
          <x:t xml:space="preserve">山东省</x:t>
        </x:is>
      </x:c>
      <x:c r="F1600" s="2" t="inlineStr">
        <x:is>
          <x:t xml:space="preserve">济南市</x:t>
        </x:is>
      </x:c>
      <x:c r="G1600" s="3" t="inlineStr">
        <x:is>
          <x:t xml:space="preserve">山东省-济南市</x:t>
        </x:is>
      </x:c>
      <x:c r="H1600" s="2" t="inlineStr">
        <x:is>
          <x:t xml:space="preserve">文化传媒</x:t>
        </x:is>
      </x:c>
      <x:c r="I1600" s="2" t="inlineStr">
        <x:is>
          <x:t xml:space="preserve">2023-06-20</x:t>
        </x:is>
      </x:c>
      <x:c r="J1600" s="3" t="inlineStr">
        <x:is>
          <x:t xml:space="preserve">山东省济南市经十路18567号新广电中心大楼六楼</x:t>
        </x:is>
      </x:c>
      <x:c r="K1600" s="12" t="str">
        <x:f>LEFT("9137000056670893XT",18)</x:f>
        <x:v>9137000056670893XT</x:v>
      </x:c>
    </x:row>
    <x:row r="1601">
      <x:c r="A1601" s="4" t="n">
        <x:v>1600</x:v>
      </x:c>
      <x:c r="B1601" s="4" t="inlineStr">
        <x:is>
          <x:t xml:space="preserve">301281</x:t>
        </x:is>
      </x:c>
      <x:c r="C1601" s="5" t="inlineStr">
        <x:is>
          <x:t xml:space="preserve">科源制药</x:t>
        </x:is>
      </x:c>
      <x:c r="D1601" s="5" t="inlineStr">
        <x:is>
          <x:t xml:space="preserve">山东科源制药股份有限公司</x:t>
        </x:is>
      </x:c>
      <x:c r="E1601" s="4" t="inlineStr">
        <x:is>
          <x:t xml:space="preserve">山东省</x:t>
        </x:is>
      </x:c>
      <x:c r="F1601" s="4" t="inlineStr">
        <x:is>
          <x:t xml:space="preserve">济南市</x:t>
        </x:is>
      </x:c>
      <x:c r="G1601" s="5" t="inlineStr">
        <x:is>
          <x:t xml:space="preserve">山东省-济南市</x:t>
        </x:is>
      </x:c>
      <x:c r="H1601" s="4" t="inlineStr">
        <x:is>
          <x:t xml:space="preserve">化学制药</x:t>
        </x:is>
      </x:c>
      <x:c r="I1601" s="4" t="inlineStr">
        <x:is>
          <x:t xml:space="preserve">2023-04-04</x:t>
        </x:is>
      </x:c>
      <x:c r="J1601" s="5" t="inlineStr">
        <x:is>
          <x:t xml:space="preserve">山东济南市山东商河经济开发区科源街</x:t>
        </x:is>
      </x:c>
      <x:c r="K1601" s="12" t="str">
        <x:f>LEFT("91370126771003840T",18)</x:f>
        <x:v>91370126771003840T</x:v>
      </x:c>
    </x:row>
    <x:row r="1602">
      <x:c r="A1602" s="2" t="n">
        <x:v>1601</x:v>
      </x:c>
      <x:c r="B1602" s="2" t="inlineStr">
        <x:is>
          <x:t xml:space="preserve">301292</x:t>
        </x:is>
      </x:c>
      <x:c r="C1602" s="3" t="inlineStr">
        <x:is>
          <x:t xml:space="preserve">海科新源</x:t>
        </x:is>
      </x:c>
      <x:c r="D1602" s="3" t="inlineStr">
        <x:is>
          <x:t xml:space="preserve">山东海科新源材料科技股份有限公司</x:t>
        </x:is>
      </x:c>
      <x:c r="E1602" s="2" t="inlineStr">
        <x:is>
          <x:t xml:space="preserve">山东省</x:t>
        </x:is>
      </x:c>
      <x:c r="F1602" s="2" t="inlineStr">
        <x:is>
          <x:t xml:space="preserve">东营市</x:t>
        </x:is>
      </x:c>
      <x:c r="G1602" s="3" t="inlineStr">
        <x:is>
          <x:t xml:space="preserve">山东省-东营市</x:t>
        </x:is>
      </x:c>
      <x:c r="H1602" s="2" t="inlineStr">
        <x:is>
          <x:t xml:space="preserve">化学制品</x:t>
        </x:is>
      </x:c>
      <x:c r="I1602" s="2" t="inlineStr">
        <x:is>
          <x:t xml:space="preserve">2023-07-07</x:t>
        </x:is>
      </x:c>
      <x:c r="J1602" s="3" t="inlineStr">
        <x:is>
          <x:t xml:space="preserve">山东省东营市东营高新技术产业开发区邹城路23号</x:t>
        </x:is>
      </x:c>
      <x:c r="K1602" s="12" t="str">
        <x:f>LEFT("913705007445178545",18)</x:f>
        <x:v>913705007445178500</x:v>
      </x:c>
    </x:row>
    <x:row r="1603">
      <x:c r="A1603" s="4" t="n">
        <x:v>1602</x:v>
      </x:c>
      <x:c r="B1603" s="4" t="inlineStr">
        <x:is>
          <x:t xml:space="preserve">301296</x:t>
        </x:is>
      </x:c>
      <x:c r="C1603" s="5" t="inlineStr">
        <x:is>
          <x:t xml:space="preserve">新巨丰</x:t>
        </x:is>
      </x:c>
      <x:c r="D1603" s="5" t="inlineStr">
        <x:is>
          <x:t xml:space="preserve">山东新巨丰科技包装股份有限公司</x:t>
        </x:is>
      </x:c>
      <x:c r="E1603" s="4" t="inlineStr">
        <x:is>
          <x:t xml:space="preserve">山东省</x:t>
        </x:is>
      </x:c>
      <x:c r="F1603" s="4" t="inlineStr">
        <x:is>
          <x:t xml:space="preserve">新泰市</x:t>
        </x:is>
      </x:c>
      <x:c r="G1603" s="5" t="inlineStr">
        <x:is>
          <x:t xml:space="preserve">山东省-新泰市</x:t>
        </x:is>
      </x:c>
      <x:c r="H1603" s="4" t="inlineStr">
        <x:is>
          <x:t xml:space="preserve">包装材料</x:t>
        </x:is>
      </x:c>
      <x:c r="I1603" s="4" t="inlineStr">
        <x:is>
          <x:t xml:space="preserve">2022-09-02</x:t>
        </x:is>
      </x:c>
      <x:c r="J1603" s="5" t="inlineStr">
        <x:is>
          <x:t xml:space="preserve">新泰市小协镇开发区</x:t>
        </x:is>
      </x:c>
      <x:c r="K1603" s="12" t="str">
        <x:f>LEFT("91370000668063028M",18)</x:f>
        <x:v>91370000668063028M</x:v>
      </x:c>
    </x:row>
    <x:row r="1604">
      <x:c r="A1604" s="2" t="n">
        <x:v>1603</x:v>
      </x:c>
      <x:c r="B1604" s="2" t="inlineStr">
        <x:is>
          <x:t xml:space="preserve">301299</x:t>
        </x:is>
      </x:c>
      <x:c r="C1604" s="3" t="inlineStr">
        <x:is>
          <x:t xml:space="preserve">卓创资讯</x:t>
        </x:is>
      </x:c>
      <x:c r="D1604" s="3" t="inlineStr">
        <x:is>
          <x:t xml:space="preserve">山东卓创资讯股份有限公司</x:t>
        </x:is>
      </x:c>
      <x:c r="E1604" s="2" t="inlineStr">
        <x:is>
          <x:t xml:space="preserve">山东省</x:t>
        </x:is>
      </x:c>
      <x:c r="F1604" s="2" t="inlineStr">
        <x:is>
          <x:t xml:space="preserve">淄博市</x:t>
        </x:is>
      </x:c>
      <x:c r="G1604" s="3" t="inlineStr">
        <x:is>
          <x:t xml:space="preserve">山东省-淄博市</x:t>
        </x:is>
      </x:c>
      <x:c r="H1604" s="2" t="inlineStr">
        <x:is>
          <x:t xml:space="preserve">互联网服务</x:t>
        </x:is>
      </x:c>
      <x:c r="I1604" s="2" t="inlineStr">
        <x:is>
          <x:t xml:space="preserve">2022-10-19</x:t>
        </x:is>
      </x:c>
      <x:c r="J1604" s="3" t="inlineStr">
        <x:is>
          <x:t xml:space="preserve">山东省淄博市张店区北北京路186号</x:t>
        </x:is>
      </x:c>
      <x:c r="K1604" s="12" t="str">
        <x:f>LEFT("91370300761884832C",18)</x:f>
        <x:v>91370300761884832C</x:v>
      </x:c>
    </x:row>
    <x:row r="1605">
      <x:c r="A1605" s="4" t="n">
        <x:v>1604</x:v>
      </x:c>
      <x:c r="B1605" s="4" t="inlineStr">
        <x:is>
          <x:t xml:space="preserve">301320</x:t>
        </x:is>
      </x:c>
      <x:c r="C1605" s="5" t="inlineStr">
        <x:is>
          <x:t xml:space="preserve">豪江智能</x:t>
        </x:is>
      </x:c>
      <x:c r="D1605" s="5" t="inlineStr">
        <x:is>
          <x:t xml:space="preserve">青岛豪江智能科技股份有限公司</x:t>
        </x:is>
      </x:c>
      <x:c r="E1605" s="4" t="inlineStr">
        <x:is>
          <x:t xml:space="preserve">山东省</x:t>
        </x:is>
      </x:c>
      <x:c r="F1605" s="4" t="inlineStr">
        <x:is>
          <x:t xml:space="preserve">青岛市</x:t>
        </x:is>
      </x:c>
      <x:c r="G1605" s="5" t="inlineStr">
        <x:is>
          <x:t xml:space="preserve">山东省-青岛市</x:t>
        </x:is>
      </x:c>
      <x:c r="H1605" s="4" t="inlineStr">
        <x:is>
          <x:t xml:space="preserve">电子元件</x:t>
        </x:is>
      </x:c>
      <x:c r="I1605" s="4" t="inlineStr">
        <x:is>
          <x:t xml:space="preserve">2023-06-09</x:t>
        </x:is>
      </x:c>
      <x:c r="J1605" s="5" t="inlineStr">
        <x:is>
          <x:t xml:space="preserve">山东省青岛市即墨市青岛服装工业园孔雀河四路78号</x:t>
        </x:is>
      </x:c>
      <x:c r="K1605" s="12" t="str">
        <x:f>LEFT("91370200MA3F9GUH9B",18)</x:f>
        <x:v>91370200MA3F9GUH9B</x:v>
      </x:c>
    </x:row>
    <x:row r="1606">
      <x:c r="A1606" s="2" t="n">
        <x:v>1605</x:v>
      </x:c>
      <x:c r="B1606" s="2" t="inlineStr">
        <x:is>
          <x:t xml:space="preserve">301337</x:t>
        </x:is>
      </x:c>
      <x:c r="C1606" s="3" t="inlineStr">
        <x:is>
          <x:t xml:space="preserve">亚华电子</x:t>
        </x:is>
      </x:c>
      <x:c r="D1606" s="3" t="inlineStr">
        <x:is>
          <x:t xml:space="preserve">山东亚华电子股份有限公司</x:t>
        </x:is>
      </x:c>
      <x:c r="E1606" s="2" t="inlineStr">
        <x:is>
          <x:t xml:space="preserve">山东省</x:t>
        </x:is>
      </x:c>
      <x:c r="F1606" s="2" t="inlineStr">
        <x:is>
          <x:t xml:space="preserve">淄博市</x:t>
        </x:is>
      </x:c>
      <x:c r="G1606" s="3" t="inlineStr">
        <x:is>
          <x:t xml:space="preserve">山东省-淄博市</x:t>
        </x:is>
      </x:c>
      <x:c r="H1606" s="2" t="inlineStr">
        <x:is>
          <x:t xml:space="preserve">软件开发</x:t>
        </x:is>
      </x:c>
      <x:c r="I1606" s="2" t="inlineStr">
        <x:is>
          <x:t xml:space="preserve">2023-05-26</x:t>
        </x:is>
      </x:c>
      <x:c r="J1606" s="3" t="inlineStr">
        <x:is>
          <x:t xml:space="preserve">山东省淄博市高新区青龙山路9509号</x:t>
        </x:is>
      </x:c>
      <x:c r="K1606" s="12" t="str">
        <x:f>LEFT("91370300706025381Q",18)</x:f>
        <x:v>91370300706025381Q</x:v>
      </x:c>
    </x:row>
    <x:row r="1607">
      <x:c r="A1607" s="4" t="n">
        <x:v>1606</x:v>
      </x:c>
      <x:c r="B1607" s="4" t="inlineStr">
        <x:is>
          <x:t xml:space="preserve">301439</x:t>
        </x:is>
      </x:c>
      <x:c r="C1607" s="5" t="inlineStr">
        <x:is>
          <x:t xml:space="preserve">泓淋电力</x:t>
        </x:is>
      </x:c>
      <x:c r="D1607" s="5" t="inlineStr">
        <x:is>
          <x:t xml:space="preserve">威海市泓淋电力技术股份有限公司</x:t>
        </x:is>
      </x:c>
      <x:c r="E1607" s="4" t="inlineStr">
        <x:is>
          <x:t xml:space="preserve">山东省</x:t>
        </x:is>
      </x:c>
      <x:c r="F1607" s="4" t="inlineStr">
        <x:is>
          <x:t xml:space="preserve">威海市</x:t>
        </x:is>
      </x:c>
      <x:c r="G1607" s="5" t="inlineStr">
        <x:is>
          <x:t xml:space="preserve">山东省-威海市</x:t>
        </x:is>
      </x:c>
      <x:c r="H1607" s="4" t="inlineStr">
        <x:is>
          <x:t xml:space="preserve">电网设备</x:t>
        </x:is>
      </x:c>
      <x:c r="I1607" s="4" t="inlineStr">
        <x:is>
          <x:t xml:space="preserve">2023-03-17</x:t>
        </x:is>
      </x:c>
      <x:c r="J1607" s="5" t="inlineStr">
        <x:is>
          <x:t xml:space="preserve">威海经技区浦东路9-10(一照多址)</x:t>
        </x:is>
      </x:c>
      <x:c r="K1607" s="12" t="str">
        <x:f>LEFT("9137100061375530XH",18)</x:f>
        <x:v>9137100061375530XH</x:v>
      </x:c>
    </x:row>
    <x:row r="1608">
      <x:c r="A1608" s="2" t="n">
        <x:v>1607</x:v>
      </x:c>
      <x:c r="B1608" s="2" t="inlineStr">
        <x:is>
          <x:t xml:space="preserve">301456</x:t>
        </x:is>
      </x:c>
      <x:c r="C1608" s="3" t="inlineStr">
        <x:is>
          <x:t xml:space="preserve">盘古智能</x:t>
        </x:is>
      </x:c>
      <x:c r="D1608" s="3" t="inlineStr">
        <x:is>
          <x:t xml:space="preserve">青岛盘古智能制造股份有限公司</x:t>
        </x:is>
      </x:c>
      <x:c r="E1608" s="2" t="inlineStr">
        <x:is>
          <x:t xml:space="preserve">山东省</x:t>
        </x:is>
      </x:c>
      <x:c r="F1608" s="2" t="inlineStr">
        <x:is>
          <x:t xml:space="preserve">青岛市</x:t>
        </x:is>
      </x:c>
      <x:c r="G1608" s="3" t="inlineStr">
        <x:is>
          <x:t xml:space="preserve">山东省-青岛市</x:t>
        </x:is>
      </x:c>
      <x:c r="H1608" s="2" t="inlineStr">
        <x:is>
          <x:t xml:space="preserve">风电设备</x:t>
        </x:is>
      </x:c>
      <x:c r="I1608" s="2" t="inlineStr">
        <x:is>
          <x:t xml:space="preserve">2023-07-14</x:t>
        </x:is>
      </x:c>
      <x:c r="J1608" s="3" t="inlineStr">
        <x:is>
          <x:t xml:space="preserve">山东省青岛市高新区科海路77号</x:t>
        </x:is>
      </x:c>
      <x:c r="K1608" s="12" t="str">
        <x:f>LEFT("913702225990216913",18)</x:f>
        <x:v>913702225990217000</x:v>
      </x:c>
    </x:row>
    <x:row r="1609">
      <x:c r="A1609" s="4" t="n">
        <x:v>1608</x:v>
      </x:c>
      <x:c r="B1609" s="4" t="inlineStr">
        <x:is>
          <x:t xml:space="preserve">301498</x:t>
        </x:is>
      </x:c>
      <x:c r="C1609" s="5" t="inlineStr">
        <x:is>
          <x:t xml:space="preserve">乖宝宠物</x:t>
        </x:is>
      </x:c>
      <x:c r="D1609" s="5" t="inlineStr">
        <x:is>
          <x:t xml:space="preserve">乖宝宠物食品集团股份有限公司</x:t>
        </x:is>
      </x:c>
      <x:c r="E1609" s="4" t="inlineStr">
        <x:is>
          <x:t xml:space="preserve">山东省</x:t>
        </x:is>
      </x:c>
      <x:c r="F1609" s="4" t="inlineStr">
        <x:is>
          <x:t xml:space="preserve">聊城市</x:t>
        </x:is>
      </x:c>
      <x:c r="G1609" s="5" t="inlineStr">
        <x:is>
          <x:t xml:space="preserve">山东省-聊城市</x:t>
        </x:is>
      </x:c>
      <x:c r="H1609" s="4" t="inlineStr">
        <x:is>
          <x:t xml:space="preserve">农牧饲渔</x:t>
        </x:is>
      </x:c>
      <x:c r="I1609" s="4" t="inlineStr">
        <x:is>
          <x:t xml:space="preserve">2023-08-16</x:t>
        </x:is>
      </x:c>
      <x:c r="J1609" s="5" t="inlineStr">
        <x:is>
          <x:t xml:space="preserve">聊城市经济技术开发区牡丹江路8号</x:t>
        </x:is>
      </x:c>
      <x:c r="K1609" s="12" t="str">
        <x:f>LEFT("91371500790384538P",18)</x:f>
        <x:v>91371500790384538P</x:v>
      </x:c>
    </x:row>
    <x:row r="1610">
      <x:c r="A1610" s="2" t="n">
        <x:v>1609</x:v>
      </x:c>
      <x:c r="B1610" s="2" t="inlineStr">
        <x:is>
          <x:t xml:space="preserve">301609</x:t>
        </x:is>
      </x:c>
      <x:c r="C1610" s="3" t="inlineStr">
        <x:is>
          <x:t xml:space="preserve">山大电力</x:t>
        </x:is>
      </x:c>
      <x:c r="D1610" s="3" t="inlineStr">
        <x:is>
          <x:t xml:space="preserve">山东山大电力技术股份有限公司</x:t>
        </x:is>
      </x:c>
      <x:c r="E1610" s="2" t="inlineStr">
        <x:is>
          <x:t xml:space="preserve">山东省</x:t>
        </x:is>
      </x:c>
      <x:c r="F1610" s="2" t="inlineStr">
        <x:is>
          <x:t xml:space="preserve">济南市</x:t>
        </x:is>
      </x:c>
      <x:c r="G1610" s="3" t="inlineStr">
        <x:is>
          <x:t xml:space="preserve">山东省-济南市</x:t>
        </x:is>
      </x:c>
      <x:c r="H1610" s="2" t="inlineStr">
        <x:is>
          <x:t xml:space="preserve">电网设备</x:t>
        </x:is>
      </x:c>
      <x:c r="I1610" s="2" t="inlineStr">
        <x:is>
          <x:t xml:space="preserve">2025-07-23</x:t>
        </x:is>
      </x:c>
      <x:c r="J1610" s="3" t="inlineStr">
        <x:is>
          <x:t xml:space="preserve">山东省济南市高新区孙村街道飞跃大道3916号</x:t>
        </x:is>
      </x:c>
      <x:c r="K1610" s="12" t="str">
        <x:f>LEFT("913700007275744940",18)</x:f>
        <x:v>913700007275744900</x:v>
      </x:c>
    </x:row>
    <x:row r="1611">
      <x:c r="A1611" s="4" t="n">
        <x:v>1610</x:v>
      </x:c>
      <x:c r="B1611" s="4" t="inlineStr">
        <x:is>
          <x:t xml:space="preserve">301617</x:t>
        </x:is>
      </x:c>
      <x:c r="C1611" s="5" t="inlineStr">
        <x:is>
          <x:t xml:space="preserve">博苑股份</x:t>
        </x:is>
      </x:c>
      <x:c r="D1611" s="5" t="inlineStr">
        <x:is>
          <x:t xml:space="preserve">山东博苑医药化学股份有限公司</x:t>
        </x:is>
      </x:c>
      <x:c r="E1611" s="4" t="inlineStr">
        <x:is>
          <x:t xml:space="preserve">山东省</x:t>
        </x:is>
      </x:c>
      <x:c r="F1611" s="4" t="inlineStr">
        <x:is>
          <x:t xml:space="preserve">东省寿光市</x:t>
        </x:is>
      </x:c>
      <x:c r="G1611" s="5" t="inlineStr">
        <x:is>
          <x:t xml:space="preserve">山东省-东省寿光市</x:t>
        </x:is>
      </x:c>
      <x:c r="H1611" s="4" t="inlineStr">
        <x:is>
          <x:t xml:space="preserve">化学制品</x:t>
        </x:is>
      </x:c>
      <x:c r="I1611" s="4" t="inlineStr">
        <x:is>
          <x:t xml:space="preserve">2024-12-11</x:t>
        </x:is>
      </x:c>
      <x:c r="J1611" s="5" t="inlineStr">
        <x:is>
          <x:t xml:space="preserve">山东省寿光市侯镇海洋化工园区新海路与大九路路口北200米</x:t>
        </x:is>
      </x:c>
      <x:c r="K1611" s="12" t="str">
        <x:f>LEFT("91370783680650356K",18)</x:f>
        <x:v>91370783680650356K</x:v>
      </x:c>
    </x:row>
    <x:row r="1612">
      <x:c r="A1612" s="2" t="n">
        <x:v>1611</x:v>
      </x:c>
      <x:c r="B1612" s="2" t="inlineStr">
        <x:is>
          <x:t xml:space="preserve">301678</x:t>
        </x:is>
      </x:c>
      <x:c r="C1612" s="3" t="inlineStr">
        <x:is>
          <x:t xml:space="preserve">新恒汇</x:t>
        </x:is>
      </x:c>
      <x:c r="D1612" s="3" t="inlineStr">
        <x:is>
          <x:t xml:space="preserve">新恒汇电子股份有限公司</x:t>
        </x:is>
      </x:c>
      <x:c r="E1612" s="2" t="inlineStr">
        <x:is>
          <x:t xml:space="preserve">山东省</x:t>
        </x:is>
      </x:c>
      <x:c r="F1612" s="2" t="inlineStr">
        <x:is>
          <x:t xml:space="preserve">淄博市</x:t>
        </x:is>
      </x:c>
      <x:c r="G1612" s="3" t="inlineStr">
        <x:is>
          <x:t xml:space="preserve">山东省-淄博市</x:t>
        </x:is>
      </x:c>
      <x:c r="H1612" s="2" t="inlineStr">
        <x:is>
          <x:t xml:space="preserve">半导体</x:t>
        </x:is>
      </x:c>
      <x:c r="I1612" s="2" t="inlineStr">
        <x:is>
          <x:t xml:space="preserve">2025-06-20</x:t>
        </x:is>
      </x:c>
      <x:c r="J1612" s="3" t="inlineStr">
        <x:is>
          <x:t xml:space="preserve">山东省淄博市高新区中润大道187号</x:t>
        </x:is>
      </x:c>
      <x:c r="K1612" s="12" t="str">
        <x:f>LEFT("91370303MA3F0F162A",18)</x:f>
        <x:v>91370303MA3F0F162A</x:v>
      </x:c>
    </x:row>
    <x:row r="1613">
      <x:c r="A1613" s="4" t="n">
        <x:v>1612</x:v>
      </x:c>
      <x:c r="B1613" s="4" t="inlineStr">
        <x:is>
          <x:t xml:space="preserve">600017</x:t>
        </x:is>
      </x:c>
      <x:c r="C1613" s="5" t="inlineStr">
        <x:is>
          <x:t xml:space="preserve">日照港</x:t>
        </x:is>
      </x:c>
      <x:c r="D1613" s="5" t="inlineStr">
        <x:is>
          <x:t xml:space="preserve">日照港股份有限公司</x:t>
        </x:is>
      </x:c>
      <x:c r="E1613" s="4" t="inlineStr">
        <x:is>
          <x:t xml:space="preserve">山东省</x:t>
        </x:is>
      </x:c>
      <x:c r="F1613" s="4" t="inlineStr">
        <x:is>
          <x:t xml:space="preserve">日照市</x:t>
        </x:is>
      </x:c>
      <x:c r="G1613" s="5" t="inlineStr">
        <x:is>
          <x:t xml:space="preserve">山东省-日照市</x:t>
        </x:is>
      </x:c>
      <x:c r="H1613" s="4" t="inlineStr">
        <x:is>
          <x:t xml:space="preserve">港口水运</x:t>
        </x:is>
      </x:c>
      <x:c r="I1613" s="4" t="inlineStr">
        <x:is>
          <x:t xml:space="preserve">2006-10-17</x:t>
        </x:is>
      </x:c>
      <x:c r="J1613" s="5" t="inlineStr">
        <x:is>
          <x:t xml:space="preserve">山东省日照市海滨二路</x:t>
        </x:is>
      </x:c>
      <x:c r="K1613" s="12" t="str">
        <x:f>LEFT("913700007409658444",18)</x:f>
        <x:v>913700007409658500</x:v>
      </x:c>
    </x:row>
    <x:row r="1614">
      <x:c r="A1614" s="2" t="n">
        <x:v>1613</x:v>
      </x:c>
      <x:c r="B1614" s="2" t="inlineStr">
        <x:is>
          <x:t xml:space="preserve">600022</x:t>
        </x:is>
      </x:c>
      <x:c r="C1614" s="3" t="inlineStr">
        <x:is>
          <x:t xml:space="preserve">山东钢铁</x:t>
        </x:is>
      </x:c>
      <x:c r="D1614" s="3" t="inlineStr">
        <x:is>
          <x:t xml:space="preserve">山东钢铁股份有限公司</x:t>
        </x:is>
      </x:c>
      <x:c r="E1614" s="2" t="inlineStr">
        <x:is>
          <x:t xml:space="preserve">山东省</x:t>
        </x:is>
      </x:c>
      <x:c r="F1614" s="2" t="inlineStr">
        <x:is>
          <x:t xml:space="preserve">济南市</x:t>
        </x:is>
      </x:c>
      <x:c r="G1614" s="3" t="inlineStr">
        <x:is>
          <x:t xml:space="preserve">山东省-济南市</x:t>
        </x:is>
      </x:c>
      <x:c r="H1614" s="2" t="inlineStr">
        <x:is>
          <x:t xml:space="preserve">钢铁行业</x:t>
        </x:is>
      </x:c>
      <x:c r="I1614" s="2" t="inlineStr">
        <x:is>
          <x:t xml:space="preserve">2004-06-29</x:t>
        </x:is>
      </x:c>
      <x:c r="J1614" s="3" t="inlineStr">
        <x:is>
          <x:t xml:space="preserve">山东省济南市钢城区府前大街99号</x:t>
        </x:is>
      </x:c>
      <x:c r="K1614" s="12" t="str">
        <x:f>LEFT("91370000726230489L",18)</x:f>
        <x:v>91370000726230489L</x:v>
      </x:c>
    </x:row>
    <x:row r="1615">
      <x:c r="A1615" s="4" t="n">
        <x:v>1614</x:v>
      </x:c>
      <x:c r="B1615" s="4" t="inlineStr">
        <x:is>
          <x:t xml:space="preserve">600027</x:t>
        </x:is>
      </x:c>
      <x:c r="C1615" s="5" t="inlineStr">
        <x:is>
          <x:t xml:space="preserve">华电国际</x:t>
        </x:is>
      </x:c>
      <x:c r="D1615" s="5" t="inlineStr">
        <x:is>
          <x:t xml:space="preserve">华电国际电力股份有限公司</x:t>
        </x:is>
      </x:c>
      <x:c r="E1615" s="4" t="inlineStr">
        <x:is>
          <x:t xml:space="preserve">山东省</x:t>
        </x:is>
      </x:c>
      <x:c r="F1615" s="4" t="inlineStr">
        <x:is>
          <x:t xml:space="preserve">济南市</x:t>
        </x:is>
      </x:c>
      <x:c r="G1615" s="5" t="inlineStr">
        <x:is>
          <x:t xml:space="preserve">山东省-济南市</x:t>
        </x:is>
      </x:c>
      <x:c r="H1615" s="4" t="inlineStr">
        <x:is>
          <x:t xml:space="preserve">电力行业</x:t>
        </x:is>
      </x:c>
      <x:c r="I1615" s="4" t="inlineStr">
        <x:is>
          <x:t xml:space="preserve">2005-02-03</x:t>
        </x:is>
      </x:c>
      <x:c r="J1615" s="5" t="inlineStr">
        <x:is>
          <x:t xml:space="preserve">山东省济南市历下区经十路14800号</x:t>
        </x:is>
      </x:c>
      <x:c r="K1615" s="12" t="str">
        <x:f>LEFT("913700002671702282",18)</x:f>
        <x:v>913700002671702300</x:v>
      </x:c>
    </x:row>
    <x:row r="1616">
      <x:c r="A1616" s="2" t="n">
        <x:v>1615</x:v>
      </x:c>
      <x:c r="B1616" s="2" t="inlineStr">
        <x:is>
          <x:t xml:space="preserve">600060</x:t>
        </x:is>
      </x:c>
      <x:c r="C1616" s="3" t="inlineStr">
        <x:is>
          <x:t xml:space="preserve">海信视像</x:t>
        </x:is>
      </x:c>
      <x:c r="D1616" s="3" t="inlineStr">
        <x:is>
          <x:t xml:space="preserve">海信视像科技股份有限公司</x:t>
        </x:is>
      </x:c>
      <x:c r="E1616" s="2" t="inlineStr">
        <x:is>
          <x:t xml:space="preserve">山东省</x:t>
        </x:is>
      </x:c>
      <x:c r="F1616" s="2" t="inlineStr">
        <x:is>
          <x:t xml:space="preserve">青岛市</x:t>
        </x:is>
      </x:c>
      <x:c r="G1616" s="3" t="inlineStr">
        <x:is>
          <x:t xml:space="preserve">山东省-青岛市</x:t>
        </x:is>
      </x:c>
      <x:c r="H1616" s="2" t="inlineStr">
        <x:is>
          <x:t xml:space="preserve">家电行业</x:t>
        </x:is>
      </x:c>
      <x:c r="I1616" s="2" t="inlineStr">
        <x:is>
          <x:t xml:space="preserve">1997-04-22</x:t>
        </x:is>
      </x:c>
      <x:c r="J1616" s="3" t="inlineStr">
        <x:is>
          <x:t xml:space="preserve">青岛市经济技术开发区前湾港路218号</x:t>
        </x:is>
      </x:c>
      <x:c r="K1616" s="12" t="str">
        <x:f>LEFT("9137020026462882XW",18)</x:f>
        <x:v>9137020026462882XW</x:v>
      </x:c>
    </x:row>
    <x:row r="1617">
      <x:c r="A1617" s="4" t="n">
        <x:v>1616</x:v>
      </x:c>
      <x:c r="B1617" s="4" t="inlineStr">
        <x:is>
          <x:t xml:space="preserve">600076</x:t>
        </x:is>
      </x:c>
      <x:c r="C1617" s="5" t="inlineStr">
        <x:is>
          <x:t xml:space="preserve">康欣新材</x:t>
        </x:is>
      </x:c>
      <x:c r="D1617" s="5" t="inlineStr">
        <x:is>
          <x:t xml:space="preserve">康欣新材料股份有限公司</x:t>
        </x:is>
      </x:c>
      <x:c r="E1617" s="4" t="inlineStr">
        <x:is>
          <x:t xml:space="preserve">山东省</x:t>
        </x:is>
      </x:c>
      <x:c r="F1617" s="4" t="inlineStr">
        <x:is>
          <x:t xml:space="preserve">潍坊市</x:t>
        </x:is>
      </x:c>
      <x:c r="G1617" s="5" t="inlineStr">
        <x:is>
          <x:t xml:space="preserve">山东省-潍坊市</x:t>
        </x:is>
      </x:c>
      <x:c r="H1617" s="4" t="inlineStr">
        <x:is>
          <x:t xml:space="preserve">木业家具</x:t>
        </x:is>
      </x:c>
      <x:c r="I1617" s="4" t="inlineStr">
        <x:is>
          <x:t xml:space="preserve">1997-05-26</x:t>
        </x:is>
      </x:c>
      <x:c r="J1617" s="5" t="inlineStr">
        <x:is>
          <x:t xml:space="preserve">山东省潍坊市高新技术产业开发区北宫东街6号</x:t>
        </x:is>
      </x:c>
      <x:c r="K1617" s="12" t="str">
        <x:f>LEFT("91370000165431458Q",18)</x:f>
        <x:v>91370000165431458Q</x:v>
      </x:c>
    </x:row>
    <x:row r="1618">
      <x:c r="A1618" s="2" t="n">
        <x:v>1617</x:v>
      </x:c>
      <x:c r="B1618" s="2" t="inlineStr">
        <x:is>
          <x:t xml:space="preserve">600180</x:t>
        </x:is>
      </x:c>
      <x:c r="C1618" s="3" t="inlineStr">
        <x:is>
          <x:t xml:space="preserve">瑞茂通</x:t>
        </x:is>
      </x:c>
      <x:c r="D1618" s="3" t="inlineStr">
        <x:is>
          <x:t xml:space="preserve">瑞茂通供应链管理股份有限公司</x:t>
        </x:is>
      </x:c>
      <x:c r="E1618" s="2" t="inlineStr">
        <x:is>
          <x:t xml:space="preserve">山东省</x:t>
        </x:is>
      </x:c>
      <x:c r="F1618" s="2" t="inlineStr">
        <x:is>
          <x:t xml:space="preserve">烟台市</x:t>
        </x:is>
      </x:c>
      <x:c r="G1618" s="3" t="inlineStr">
        <x:is>
          <x:t xml:space="preserve">山东省-烟台市</x:t>
        </x:is>
      </x:c>
      <x:c r="H1618" s="2" t="inlineStr">
        <x:is>
          <x:t xml:space="preserve">交运物流</x:t>
        </x:is>
      </x:c>
      <x:c r="I1618" s="2" t="inlineStr">
        <x:is>
          <x:t xml:space="preserve">1998-07-03</x:t>
        </x:is>
      </x:c>
      <x:c r="J1618" s="3" t="inlineStr">
        <x:is>
          <x:t xml:space="preserve">烟台市牟平区养马岛驼峰路84号</x:t>
        </x:is>
      </x:c>
      <x:c r="K1618" s="12" t="str">
        <x:f>LEFT("9137000070620948X8",18)</x:f>
        <x:v>9137000070620948X8</x:v>
      </x:c>
    </x:row>
    <x:row r="1619">
      <x:c r="A1619" s="4" t="n">
        <x:v>1618</x:v>
      </x:c>
      <x:c r="B1619" s="4" t="inlineStr">
        <x:is>
          <x:t xml:space="preserve">600188</x:t>
        </x:is>
      </x:c>
      <x:c r="C1619" s="5" t="inlineStr">
        <x:is>
          <x:t xml:space="preserve">兖矿能源</x:t>
        </x:is>
      </x:c>
      <x:c r="D1619" s="5" t="inlineStr">
        <x:is>
          <x:t xml:space="preserve">兖矿能源集团股份有限公司</x:t>
        </x:is>
      </x:c>
      <x:c r="E1619" s="4" t="inlineStr">
        <x:is>
          <x:t xml:space="preserve">山东省</x:t>
        </x:is>
      </x:c>
      <x:c r="F1619" s="4" t="inlineStr">
        <x:is>
          <x:t xml:space="preserve">东省邹城市</x:t>
        </x:is>
      </x:c>
      <x:c r="G1619" s="5" t="inlineStr">
        <x:is>
          <x:t xml:space="preserve">山东省-东省邹城市</x:t>
        </x:is>
      </x:c>
      <x:c r="H1619" s="4" t="inlineStr">
        <x:is>
          <x:t xml:space="preserve">煤炭采选</x:t>
        </x:is>
      </x:c>
      <x:c r="I1619" s="4" t="inlineStr">
        <x:is>
          <x:t xml:space="preserve">1998-07-01</x:t>
        </x:is>
      </x:c>
      <x:c r="J1619" s="5" t="inlineStr">
        <x:is>
          <x:t xml:space="preserve">中国山东省邹城市凫山南路949号</x:t>
        </x:is>
      </x:c>
      <x:c r="K1619" s="12" t="str">
        <x:f>LEFT("91370000166122374N",18)</x:f>
        <x:v>91370000166122374N</x:v>
      </x:c>
    </x:row>
    <x:row r="1620">
      <x:c r="A1620" s="2" t="n">
        <x:v>1619</x:v>
      </x:c>
      <x:c r="B1620" s="2" t="inlineStr">
        <x:is>
          <x:t xml:space="preserve">600212</x:t>
        </x:is>
      </x:c>
      <x:c r="C1620" s="3" t="inlineStr">
        <x:is>
          <x:t xml:space="preserve">绿能慧充</x:t>
        </x:is>
      </x:c>
      <x:c r="D1620" s="3" t="inlineStr">
        <x:is>
          <x:t xml:space="preserve">绿能慧充数字能源技术股份有限公司</x:t>
        </x:is>
      </x:c>
      <x:c r="E1620" s="2" t="inlineStr">
        <x:is>
          <x:t xml:space="preserve">山东省</x:t>
        </x:is>
      </x:c>
      <x:c r="F1620" s="2" t="inlineStr">
        <x:is>
          <x:t xml:space="preserve">临沂市</x:t>
        </x:is>
      </x:c>
      <x:c r="G1620" s="3" t="inlineStr">
        <x:is>
          <x:t xml:space="preserve">山东省-临沂市</x:t>
        </x:is>
      </x:c>
      <x:c r="H1620" s="2" t="inlineStr">
        <x:is>
          <x:t xml:space="preserve">电力行业</x:t>
        </x:is>
      </x:c>
      <x:c r="I1620" s="2" t="inlineStr">
        <x:is>
          <x:t xml:space="preserve">1999-08-17</x:t>
        </x:is>
      </x:c>
      <x:c r="J1620" s="3" t="inlineStr">
        <x:is>
          <x:t xml:space="preserve">临沂市罗庄区罗庄镇龙潭路东</x:t>
        </x:is>
      </x:c>
      <x:c r="K1620" s="12" t="str">
        <x:f>LEFT("91370000267179185A",18)</x:f>
        <x:v>91370000267179185A</x:v>
      </x:c>
    </x:row>
    <x:row r="1621">
      <x:c r="A1621" s="4" t="n">
        <x:v>1620</x:v>
      </x:c>
      <x:c r="B1621" s="4" t="inlineStr">
        <x:is>
          <x:t xml:space="preserve">600219</x:t>
        </x:is>
      </x:c>
      <x:c r="C1621" s="5" t="inlineStr">
        <x:is>
          <x:t xml:space="preserve">南山铝业</x:t>
        </x:is>
      </x:c>
      <x:c r="D1621" s="5" t="inlineStr">
        <x:is>
          <x:t xml:space="preserve">山东南山铝业股份有限公司</x:t>
        </x:is>
      </x:c>
      <x:c r="E1621" s="4" t="inlineStr">
        <x:is>
          <x:t xml:space="preserve">山东省</x:t>
        </x:is>
      </x:c>
      <x:c r="F1621" s="4" t="inlineStr">
        <x:is>
          <x:t xml:space="preserve">东省龙口市</x:t>
        </x:is>
      </x:c>
      <x:c r="G1621" s="5" t="inlineStr">
        <x:is>
          <x:t xml:space="preserve">山东省-东省龙口市</x:t>
        </x:is>
      </x:c>
      <x:c r="H1621" s="4" t="inlineStr">
        <x:is>
          <x:t xml:space="preserve">有色金属</x:t>
        </x:is>
      </x:c>
      <x:c r="I1621" s="4" t="inlineStr">
        <x:is>
          <x:t xml:space="preserve">1999-12-23</x:t>
        </x:is>
      </x:c>
      <x:c r="J1621" s="5" t="inlineStr">
        <x:is>
          <x:t xml:space="preserve">山东省龙口市东江镇前宋村</x:t>
        </x:is>
      </x:c>
      <x:c r="K1621" s="12" t="str">
        <x:f>LEFT("913700007058303114",18)</x:f>
        <x:v>913700007058303100</x:v>
      </x:c>
    </x:row>
    <x:row r="1622">
      <x:c r="A1622" s="2" t="n">
        <x:v>1621</x:v>
      </x:c>
      <x:c r="B1622" s="2" t="inlineStr">
        <x:is>
          <x:t xml:space="preserve">600223</x:t>
        </x:is>
      </x:c>
      <x:c r="C1622" s="3" t="inlineStr">
        <x:is>
          <x:t xml:space="preserve">福瑞达</x:t>
        </x:is>
      </x:c>
      <x:c r="D1622" s="3" t="inlineStr">
        <x:is>
          <x:t xml:space="preserve">鲁商福瑞达医药股份有限公司</x:t>
        </x:is>
      </x:c>
      <x:c r="E1622" s="2" t="inlineStr">
        <x:is>
          <x:t xml:space="preserve">山东省</x:t>
        </x:is>
      </x:c>
      <x:c r="F1622" s="2" t="inlineStr">
        <x:is>
          <x:t xml:space="preserve">淄博市</x:t>
        </x:is>
      </x:c>
      <x:c r="G1622" s="3" t="inlineStr">
        <x:is>
          <x:t xml:space="preserve">山东省-淄博市</x:t>
        </x:is>
      </x:c>
      <x:c r="H1622" s="2" t="inlineStr">
        <x:is>
          <x:t xml:space="preserve">生物制品</x:t>
        </x:is>
      </x:c>
      <x:c r="I1622" s="2" t="inlineStr">
        <x:is>
          <x:t xml:space="preserve">2000-01-13</x:t>
        </x:is>
      </x:c>
      <x:c r="J1622" s="3" t="inlineStr">
        <x:is>
          <x:t xml:space="preserve">山东博山经济开发区</x:t>
        </x:is>
      </x:c>
      <x:c r="K1622" s="12" t="str">
        <x:f>LEFT("91370000267156215K",18)</x:f>
        <x:v>91370000267156215K</x:v>
      </x:c>
    </x:row>
    <x:row r="1623">
      <x:c r="A1623" s="4" t="n">
        <x:v>1622</x:v>
      </x:c>
      <x:c r="B1623" s="4" t="inlineStr">
        <x:is>
          <x:t xml:space="preserve">600229</x:t>
        </x:is>
      </x:c>
      <x:c r="C1623" s="5" t="inlineStr">
        <x:is>
          <x:t xml:space="preserve">城市传媒</x:t>
        </x:is>
      </x:c>
      <x:c r="D1623" s="5" t="inlineStr">
        <x:is>
          <x:t xml:space="preserve">青岛城市传媒股份有限公司</x:t>
        </x:is>
      </x:c>
      <x:c r="E1623" s="4" t="inlineStr">
        <x:is>
          <x:t xml:space="preserve">山东省</x:t>
        </x:is>
      </x:c>
      <x:c r="F1623" s="4" t="inlineStr">
        <x:is>
          <x:t xml:space="preserve">青岛市</x:t>
        </x:is>
      </x:c>
      <x:c r="G1623" s="5" t="inlineStr">
        <x:is>
          <x:t xml:space="preserve">山东省-青岛市</x:t>
        </x:is>
      </x:c>
      <x:c r="H1623" s="4" t="inlineStr">
        <x:is>
          <x:t xml:space="preserve">文化传媒</x:t>
        </x:is>
      </x:c>
      <x:c r="I1623" s="4" t="inlineStr">
        <x:is>
          <x:t xml:space="preserve">2000-03-09</x:t>
        </x:is>
      </x:c>
      <x:c r="J1623" s="5" t="inlineStr">
        <x:is>
          <x:t xml:space="preserve">山东省青岛市市南区香港中路67号</x:t>
        </x:is>
      </x:c>
      <x:c r="K1623" s="12" t="str">
        <x:f>LEFT("91370200163577402U",18)</x:f>
        <x:v>91370200163577402U</x:v>
      </x:c>
    </x:row>
    <x:row r="1624">
      <x:c r="A1624" s="2" t="n">
        <x:v>1623</x:v>
      </x:c>
      <x:c r="B1624" s="2" t="inlineStr">
        <x:is>
          <x:t xml:space="preserve">600308</x:t>
        </x:is>
      </x:c>
      <x:c r="C1624" s="3" t="inlineStr">
        <x:is>
          <x:t xml:space="preserve">华泰股份</x:t>
        </x:is>
      </x:c>
      <x:c r="D1624" s="3" t="inlineStr">
        <x:is>
          <x:t xml:space="preserve">山东华泰纸业股份有限公司</x:t>
        </x:is>
      </x:c>
      <x:c r="E1624" s="2" t="inlineStr">
        <x:is>
          <x:t xml:space="preserve">山东省</x:t>
        </x:is>
      </x:c>
      <x:c r="F1624" s="2" t="inlineStr">
        <x:is>
          <x:t xml:space="preserve">东营市</x:t>
        </x:is>
      </x:c>
      <x:c r="G1624" s="3" t="inlineStr">
        <x:is>
          <x:t xml:space="preserve">山东省-东营市</x:t>
        </x:is>
      </x:c>
      <x:c r="H1624" s="2" t="inlineStr">
        <x:is>
          <x:t xml:space="preserve">造纸印刷</x:t>
        </x:is>
      </x:c>
      <x:c r="I1624" s="2" t="inlineStr">
        <x:is>
          <x:t xml:space="preserve">2000-09-28</x:t>
        </x:is>
      </x:c>
      <x:c r="J1624" s="3" t="inlineStr">
        <x:is>
          <x:t xml:space="preserve">山东省东营市广饶县大王镇</x:t>
        </x:is>
      </x:c>
      <x:c r="K1624" s="12" t="str">
        <x:f>LEFT("91370000164960403T",18)</x:f>
        <x:v>91370000164960403T</x:v>
      </x:c>
    </x:row>
    <x:row r="1625">
      <x:c r="A1625" s="4" t="n">
        <x:v>1624</x:v>
      </x:c>
      <x:c r="B1625" s="4" t="inlineStr">
        <x:is>
          <x:t xml:space="preserve">600309</x:t>
        </x:is>
      </x:c>
      <x:c r="C1625" s="5" t="inlineStr">
        <x:is>
          <x:t xml:space="preserve">万华化学</x:t>
        </x:is>
      </x:c>
      <x:c r="D1625" s="5" t="inlineStr">
        <x:is>
          <x:t xml:space="preserve">万华化学集团股份有限公司</x:t>
        </x:is>
      </x:c>
      <x:c r="E1625" s="4" t="inlineStr">
        <x:is>
          <x:t xml:space="preserve">山东省</x:t>
        </x:is>
      </x:c>
      <x:c r="F1625" s="4" t="inlineStr">
        <x:is>
          <x:t xml:space="preserve">烟台市</x:t>
        </x:is>
      </x:c>
      <x:c r="G1625" s="5" t="inlineStr">
        <x:is>
          <x:t xml:space="preserve">山东省-烟台市</x:t>
        </x:is>
      </x:c>
      <x:c r="H1625" s="4" t="inlineStr">
        <x:is>
          <x:t xml:space="preserve">化工行业</x:t>
        </x:is>
      </x:c>
      <x:c r="I1625" s="4" t="inlineStr">
        <x:is>
          <x:t xml:space="preserve">2001-01-05</x:t>
        </x:is>
      </x:c>
      <x:c r="J1625" s="5" t="inlineStr">
        <x:is>
          <x:t xml:space="preserve">山东省烟台市经济技术开发区重庆大街59号</x:t>
        </x:is>
      </x:c>
      <x:c r="K1625" s="12" t="str">
        <x:f>LEFT("91370000163044841F",18)</x:f>
        <x:v>91370000163044841F</x:v>
      </x:c>
    </x:row>
    <x:row r="1626">
      <x:c r="A1626" s="2" t="n">
        <x:v>1625</x:v>
      </x:c>
      <x:c r="B1626" s="2" t="inlineStr">
        <x:is>
          <x:t xml:space="preserve">600319</x:t>
        </x:is>
      </x:c>
      <x:c r="C1626" s="3" t="inlineStr">
        <x:is>
          <x:t xml:space="preserve">亚星化学</x:t>
        </x:is>
      </x:c>
      <x:c r="D1626" s="3" t="inlineStr">
        <x:is>
          <x:t xml:space="preserve">潍坊亚星化学股份有限公司</x:t>
        </x:is>
      </x:c>
      <x:c r="E1626" s="2" t="inlineStr">
        <x:is>
          <x:t xml:space="preserve">山东省</x:t>
        </x:is>
      </x:c>
      <x:c r="F1626" s="2" t="inlineStr">
        <x:is>
          <x:t xml:space="preserve">潍坊市</x:t>
        </x:is>
      </x:c>
      <x:c r="G1626" s="3" t="inlineStr">
        <x:is>
          <x:t xml:space="preserve">山东省-潍坊市</x:t>
        </x:is>
      </x:c>
      <x:c r="H1626" s="2" t="inlineStr">
        <x:is>
          <x:t xml:space="preserve">化学原料</x:t>
        </x:is>
      </x:c>
      <x:c r="I1626" s="2" t="inlineStr">
        <x:is>
          <x:t xml:space="preserve">2001-03-26</x:t>
        </x:is>
      </x:c>
      <x:c r="J1626" s="3" t="inlineStr">
        <x:is>
          <x:t xml:space="preserve">山东省潍坊市昌邑市下营滨海经济开发区新区一路与新区东四路交叉口东南</x:t>
        </x:is>
      </x:c>
      <x:c r="K1626" s="12" t="str">
        <x:f>LEFT("913700006135617321",18)</x:f>
        <x:v>913700006135617300</x:v>
      </x:c>
    </x:row>
    <x:row r="1627">
      <x:c r="A1627" s="4" t="n">
        <x:v>1626</x:v>
      </x:c>
      <x:c r="B1627" s="4" t="inlineStr">
        <x:is>
          <x:t xml:space="preserve">600336</x:t>
        </x:is>
      </x:c>
      <x:c r="C1627" s="5" t="inlineStr">
        <x:is>
          <x:t xml:space="preserve">澳柯玛</x:t>
        </x:is>
      </x:c>
      <x:c r="D1627" s="5" t="inlineStr">
        <x:is>
          <x:t xml:space="preserve">澳柯玛股份有限公司</x:t>
        </x:is>
      </x:c>
      <x:c r="E1627" s="4" t="inlineStr">
        <x:is>
          <x:t xml:space="preserve">山东省</x:t>
        </x:is>
      </x:c>
      <x:c r="F1627" s="4" t="inlineStr">
        <x:is>
          <x:t xml:space="preserve">青岛市</x:t>
        </x:is>
      </x:c>
      <x:c r="G1627" s="5" t="inlineStr">
        <x:is>
          <x:t xml:space="preserve">山东省-青岛市</x:t>
        </x:is>
      </x:c>
      <x:c r="H1627" s="4" t="inlineStr">
        <x:is>
          <x:t xml:space="preserve">家电行业</x:t>
        </x:is>
      </x:c>
      <x:c r="I1627" s="4" t="inlineStr">
        <x:is>
          <x:t xml:space="preserve">2000-12-29</x:t>
        </x:is>
      </x:c>
      <x:c r="J1627" s="5" t="inlineStr">
        <x:is>
          <x:t xml:space="preserve">青岛经济技术开发区前湾港路315号</x:t>
        </x:is>
      </x:c>
      <x:c r="K1627" s="12" t="str">
        <x:f>LEFT("91370200163621493Q",18)</x:f>
        <x:v>91370200163621493Q</x:v>
      </x:c>
    </x:row>
    <x:row r="1628">
      <x:c r="A1628" s="2" t="n">
        <x:v>1627</x:v>
      </x:c>
      <x:c r="B1628" s="2" t="inlineStr">
        <x:is>
          <x:t xml:space="preserve">600350</x:t>
        </x:is>
      </x:c>
      <x:c r="C1628" s="3" t="inlineStr">
        <x:is>
          <x:t xml:space="preserve">山东高速</x:t>
        </x:is>
      </x:c>
      <x:c r="D1628" s="3" t="inlineStr">
        <x:is>
          <x:t xml:space="preserve">山东高速股份有限公司</x:t>
        </x:is>
      </x:c>
      <x:c r="E1628" s="2" t="inlineStr">
        <x:is>
          <x:t xml:space="preserve">山东省</x:t>
        </x:is>
      </x:c>
      <x:c r="F1628" s="2" t="inlineStr">
        <x:is>
          <x:t xml:space="preserve">济南市</x:t>
        </x:is>
      </x:c>
      <x:c r="G1628" s="3" t="inlineStr">
        <x:is>
          <x:t xml:space="preserve">山东省-济南市</x:t>
        </x:is>
      </x:c>
      <x:c r="H1628" s="2" t="inlineStr">
        <x:is>
          <x:t xml:space="preserve">高速公路</x:t>
        </x:is>
      </x:c>
      <x:c r="I1628" s="2" t="inlineStr">
        <x:is>
          <x:t xml:space="preserve">2002-03-18</x:t>
        </x:is>
      </x:c>
      <x:c r="J1628" s="3" t="inlineStr">
        <x:is>
          <x:t xml:space="preserve">山东省济南市文化东路29号七星吉祥大厦A座</x:t>
        </x:is>
      </x:c>
      <x:c r="K1628" s="12" t="str">
        <x:f>LEFT("91370000863134717K",18)</x:f>
        <x:v>91370000863134717K</x:v>
      </x:c>
    </x:row>
    <x:row r="1629">
      <x:c r="A1629" s="4" t="n">
        <x:v>1628</x:v>
      </x:c>
      <x:c r="B1629" s="4" t="inlineStr">
        <x:is>
          <x:t xml:space="preserve">600426</x:t>
        </x:is>
      </x:c>
      <x:c r="C1629" s="5" t="inlineStr">
        <x:is>
          <x:t xml:space="preserve">华鲁恒升</x:t>
        </x:is>
      </x:c>
      <x:c r="D1629" s="5" t="inlineStr">
        <x:is>
          <x:t xml:space="preserve">山东华鲁恒升化工股份有限公司</x:t>
        </x:is>
      </x:c>
      <x:c r="E1629" s="4" t="inlineStr">
        <x:is>
          <x:t xml:space="preserve">山东省</x:t>
        </x:is>
      </x:c>
      <x:c r="F1629" s="4" t="inlineStr">
        <x:is>
          <x:t xml:space="preserve">德州市</x:t>
        </x:is>
      </x:c>
      <x:c r="G1629" s="5" t="inlineStr">
        <x:is>
          <x:t xml:space="preserve">山东省-德州市</x:t>
        </x:is>
      </x:c>
      <x:c r="H1629" s="4" t="inlineStr">
        <x:is>
          <x:t xml:space="preserve">化学原料</x:t>
        </x:is>
      </x:c>
      <x:c r="I1629" s="4" t="inlineStr">
        <x:is>
          <x:t xml:space="preserve">2002-06-20</x:t>
        </x:is>
      </x:c>
      <x:c r="J1629" s="5" t="inlineStr">
        <x:is>
          <x:t xml:space="preserve">山东省德州市德城区天衢西路24号</x:t>
        </x:is>
      </x:c>
      <x:c r="K1629" s="12" t="str">
        <x:f>LEFT("91370000723286858L",18)</x:f>
        <x:v>91370000723286858L</x:v>
      </x:c>
    </x:row>
    <x:row r="1630">
      <x:c r="A1630" s="2" t="n">
        <x:v>1629</x:v>
      </x:c>
      <x:c r="B1630" s="2" t="inlineStr">
        <x:is>
          <x:t xml:space="preserve">600448</x:t>
        </x:is>
      </x:c>
      <x:c r="C1630" s="3" t="inlineStr">
        <x:is>
          <x:t xml:space="preserve">华纺股份</x:t>
        </x:is>
      </x:c>
      <x:c r="D1630" s="3" t="inlineStr">
        <x:is>
          <x:t xml:space="preserve">华纺股份有限公司</x:t>
        </x:is>
      </x:c>
      <x:c r="E1630" s="2" t="inlineStr">
        <x:is>
          <x:t xml:space="preserve">山东省</x:t>
        </x:is>
      </x:c>
      <x:c r="F1630" s="2" t="inlineStr">
        <x:is>
          <x:t xml:space="preserve">滨州市</x:t>
        </x:is>
      </x:c>
      <x:c r="G1630" s="3" t="inlineStr">
        <x:is>
          <x:t xml:space="preserve">山东省-滨州市</x:t>
        </x:is>
      </x:c>
      <x:c r="H1630" s="2" t="inlineStr">
        <x:is>
          <x:t xml:space="preserve">纺织服装</x:t>
        </x:is>
      </x:c>
      <x:c r="I1630" s="2" t="inlineStr">
        <x:is>
          <x:t xml:space="preserve">2001-09-03</x:t>
        </x:is>
      </x:c>
      <x:c r="J1630" s="3" t="inlineStr">
        <x:is>
          <x:t xml:space="preserve">山东省滨州市东海一路118号</x:t>
        </x:is>
      </x:c>
      <x:c r="K1630" s="12" t="str">
        <x:f>LEFT("91370000706385950B",18)</x:f>
        <x:v>91370000706385950B</x:v>
      </x:c>
    </x:row>
    <x:row r="1631">
      <x:c r="A1631" s="4" t="n">
        <x:v>1630</x:v>
      </x:c>
      <x:c r="B1631" s="4" t="inlineStr">
        <x:is>
          <x:t xml:space="preserve">600467</x:t>
        </x:is>
      </x:c>
      <x:c r="C1631" s="5" t="inlineStr">
        <x:is>
          <x:t xml:space="preserve">好当家</x:t>
        </x:is>
      </x:c>
      <x:c r="D1631" s="5" t="inlineStr">
        <x:is>
          <x:t xml:space="preserve">山东好当家海洋发展股份有限公司</x:t>
        </x:is>
      </x:c>
      <x:c r="E1631" s="4" t="inlineStr">
        <x:is>
          <x:t xml:space="preserve">山东省</x:t>
        </x:is>
      </x:c>
      <x:c r="F1631" s="4" t="inlineStr">
        <x:is>
          <x:t xml:space="preserve">威海市</x:t>
        </x:is>
      </x:c>
      <x:c r="G1631" s="5" t="inlineStr">
        <x:is>
          <x:t xml:space="preserve">山东省-威海市</x:t>
        </x:is>
      </x:c>
      <x:c r="H1631" s="4" t="inlineStr">
        <x:is>
          <x:t xml:space="preserve">农牧饲渔</x:t>
        </x:is>
      </x:c>
      <x:c r="I1631" s="4" t="inlineStr">
        <x:is>
          <x:t xml:space="preserve">2004-04-05</x:t>
        </x:is>
      </x:c>
      <x:c r="J1631" s="5" t="inlineStr">
        <x:is>
          <x:t xml:space="preserve">山东省威海荣成市虎山镇沙咀子</x:t>
        </x:is>
      </x:c>
      <x:c r="K1631" s="12" t="str">
        <x:f>LEFT("913700007249980725",18)</x:f>
        <x:v>913700007249980700</x:v>
      </x:c>
    </x:row>
    <x:row r="1632">
      <x:c r="A1632" s="2" t="n">
        <x:v>1631</x:v>
      </x:c>
      <x:c r="B1632" s="2" t="inlineStr">
        <x:is>
          <x:t xml:space="preserve">600529</x:t>
        </x:is>
      </x:c>
      <x:c r="C1632" s="3" t="inlineStr">
        <x:is>
          <x:t xml:space="preserve">山东药玻</x:t>
        </x:is>
      </x:c>
      <x:c r="D1632" s="3" t="inlineStr">
        <x:is>
          <x:t xml:space="preserve">山东省药用玻璃股份有限公司</x:t>
        </x:is>
      </x:c>
      <x:c r="E1632" s="2" t="inlineStr">
        <x:is>
          <x:t xml:space="preserve">山东省</x:t>
        </x:is>
      </x:c>
      <x:c r="F1632" s="2" t="inlineStr">
        <x:is>
          <x:t xml:space="preserve">淄博市</x:t>
        </x:is>
      </x:c>
      <x:c r="G1632" s="3" t="inlineStr">
        <x:is>
          <x:t xml:space="preserve">山东省-淄博市</x:t>
        </x:is>
      </x:c>
      <x:c r="H1632" s="2" t="inlineStr">
        <x:is>
          <x:t xml:space="preserve">医疗器械</x:t>
        </x:is>
      </x:c>
      <x:c r="I1632" s="2" t="inlineStr">
        <x:is>
          <x:t xml:space="preserve">2002-06-03</x:t>
        </x:is>
      </x:c>
      <x:c r="J1632" s="3" t="inlineStr">
        <x:is>
          <x:t xml:space="preserve">山东省淄博市沂源县城</x:t>
        </x:is>
      </x:c>
      <x:c r="K1632" s="12" t="str">
        <x:f>LEFT("91370000168611868Q",18)</x:f>
        <x:v>91370000168611868Q</x:v>
      </x:c>
    </x:row>
    <x:row r="1633">
      <x:c r="A1633" s="4" t="n">
        <x:v>1632</x:v>
      </x:c>
      <x:c r="B1633" s="4" t="inlineStr">
        <x:is>
          <x:t xml:space="preserve">600547</x:t>
        </x:is>
      </x:c>
      <x:c r="C1633" s="5" t="inlineStr">
        <x:is>
          <x:t xml:space="preserve">山东黄金</x:t>
        </x:is>
      </x:c>
      <x:c r="D1633" s="5" t="inlineStr">
        <x:is>
          <x:t xml:space="preserve">山东黄金矿业股份有限公司</x:t>
        </x:is>
      </x:c>
      <x:c r="E1633" s="4" t="inlineStr">
        <x:is>
          <x:t xml:space="preserve">山东省</x:t>
        </x:is>
      </x:c>
      <x:c r="F1633" s="4" t="inlineStr">
        <x:is>
          <x:t xml:space="preserve">济南市</x:t>
        </x:is>
      </x:c>
      <x:c r="G1633" s="5" t="inlineStr">
        <x:is>
          <x:t xml:space="preserve">山东省-济南市</x:t>
        </x:is>
      </x:c>
      <x:c r="H1633" s="4" t="inlineStr">
        <x:is>
          <x:t xml:space="preserve">贵金属</x:t>
        </x:is>
      </x:c>
      <x:c r="I1633" s="4" t="inlineStr">
        <x:is>
          <x:t xml:space="preserve">2003-08-28</x:t>
        </x:is>
      </x:c>
      <x:c r="J1633" s="5" t="inlineStr">
        <x:is>
          <x:t xml:space="preserve">济南市历城区经十路2503号</x:t>
        </x:is>
      </x:c>
      <x:c r="K1633" s="12" t="str">
        <x:f>LEFT("91370000723865016M",18)</x:f>
        <x:v>91370000723865016M</x:v>
      </x:c>
    </x:row>
    <x:row r="1634">
      <x:c r="A1634" s="2" t="n">
        <x:v>1633</x:v>
      </x:c>
      <x:c r="B1634" s="2" t="inlineStr">
        <x:is>
          <x:t xml:space="preserve">600579</x:t>
        </x:is>
      </x:c>
      <x:c r="C1634" s="3" t="inlineStr">
        <x:is>
          <x:t xml:space="preserve">中化装备</x:t>
        </x:is>
      </x:c>
      <x:c r="D1634" s="3" t="inlineStr">
        <x:is>
          <x:t xml:space="preserve">中化装备科技(青岛)股份有限公司</x:t>
        </x:is>
      </x:c>
      <x:c r="E1634" s="2" t="inlineStr">
        <x:is>
          <x:t xml:space="preserve">山东省</x:t>
        </x:is>
      </x:c>
      <x:c r="F1634" s="2" t="inlineStr">
        <x:is>
          <x:t xml:space="preserve">青岛市</x:t>
        </x:is>
      </x:c>
      <x:c r="G1634" s="3" t="inlineStr">
        <x:is>
          <x:t xml:space="preserve">山东省-青岛市</x:t>
        </x:is>
      </x:c>
      <x:c r="H1634" s="2" t="inlineStr">
        <x:is>
          <x:t xml:space="preserve">专用设备</x:t>
        </x:is>
      </x:c>
      <x:c r="I1634" s="2" t="inlineStr">
        <x:is>
          <x:t xml:space="preserve">2002-08-09</x:t>
        </x:is>
      </x:c>
      <x:c r="J1634" s="3" t="inlineStr">
        <x:is>
          <x:t xml:space="preserve">山东省青岛市城阳区棘洪滩金岭工业园3号</x:t>
        </x:is>
      </x:c>
      <x:c r="K1634" s="12" t="str">
        <x:f>LEFT("9137020071802356XK",18)</x:f>
        <x:v>9137020071802356XK</x:v>
      </x:c>
    </x:row>
    <x:row r="1635">
      <x:c r="A1635" s="4" t="n">
        <x:v>1634</x:v>
      </x:c>
      <x:c r="B1635" s="4" t="inlineStr">
        <x:is>
          <x:t xml:space="preserve">600586</x:t>
        </x:is>
      </x:c>
      <x:c r="C1635" s="5" t="inlineStr">
        <x:is>
          <x:t xml:space="preserve">金晶科技</x:t>
        </x:is>
      </x:c>
      <x:c r="D1635" s="5" t="inlineStr">
        <x:is>
          <x:t xml:space="preserve">山东金晶科技股份有限公司</x:t>
        </x:is>
      </x:c>
      <x:c r="E1635" s="4" t="inlineStr">
        <x:is>
          <x:t xml:space="preserve">山东省</x:t>
        </x:is>
      </x:c>
      <x:c r="F1635" s="4" t="inlineStr">
        <x:is>
          <x:t xml:space="preserve">淄博市</x:t>
        </x:is>
      </x:c>
      <x:c r="G1635" s="5" t="inlineStr">
        <x:is>
          <x:t xml:space="preserve">山东省-淄博市</x:t>
        </x:is>
      </x:c>
      <x:c r="H1635" s="4" t="inlineStr">
        <x:is>
          <x:t xml:space="preserve">玻璃陶瓷</x:t>
        </x:is>
      </x:c>
      <x:c r="I1635" s="4" t="inlineStr">
        <x:is>
          <x:t xml:space="preserve">2002-08-15</x:t>
        </x:is>
      </x:c>
      <x:c r="J1635" s="5" t="inlineStr">
        <x:is>
          <x:t xml:space="preserve">山东省淄博高新技术开发区宝石镇王庄</x:t>
        </x:is>
      </x:c>
      <x:c r="K1635" s="12" t="str">
        <x:f>LEFT("913700002651272421",18)</x:f>
        <x:v>913700002651272400</x:v>
      </x:c>
    </x:row>
    <x:row r="1636">
      <x:c r="A1636" s="2" t="n">
        <x:v>1635</x:v>
      </x:c>
      <x:c r="B1636" s="2" t="inlineStr">
        <x:is>
          <x:t xml:space="preserve">600587</x:t>
        </x:is>
      </x:c>
      <x:c r="C1636" s="3" t="inlineStr">
        <x:is>
          <x:t xml:space="preserve">新华医疗</x:t>
        </x:is>
      </x:c>
      <x:c r="D1636" s="3" t="inlineStr">
        <x:is>
          <x:t xml:space="preserve">山东新华医疗器械股份有限公司</x:t>
        </x:is>
      </x:c>
      <x:c r="E1636" s="2" t="inlineStr">
        <x:is>
          <x:t xml:space="preserve">山东省</x:t>
        </x:is>
      </x:c>
      <x:c r="F1636" s="2" t="inlineStr">
        <x:is>
          <x:t xml:space="preserve">淄博市</x:t>
        </x:is>
      </x:c>
      <x:c r="G1636" s="3" t="inlineStr">
        <x:is>
          <x:t xml:space="preserve">山东省-淄博市</x:t>
        </x:is>
      </x:c>
      <x:c r="H1636" s="2" t="inlineStr">
        <x:is>
          <x:t xml:space="preserve">医疗器械</x:t>
        </x:is>
      </x:c>
      <x:c r="I1636" s="2" t="inlineStr">
        <x:is>
          <x:t xml:space="preserve">2002-09-27</x:t>
        </x:is>
      </x:c>
      <x:c r="J1636" s="3" t="inlineStr">
        <x:is>
          <x:t xml:space="preserve">山东省淄博市高新技术产业开发区新华医疗科技园</x:t>
        </x:is>
      </x:c>
      <x:c r="K1636" s="12" t="str">
        <x:f>LEFT("91370000267171351C",18)</x:f>
        <x:v>91370000267171351C</x:v>
      </x:c>
    </x:row>
    <x:row r="1637">
      <x:c r="A1637" s="4" t="n">
        <x:v>1636</x:v>
      </x:c>
      <x:c r="B1637" s="4" t="inlineStr">
        <x:is>
          <x:t xml:space="preserve">600600</x:t>
        </x:is>
      </x:c>
      <x:c r="C1637" s="5" t="inlineStr">
        <x:is>
          <x:t xml:space="preserve">青岛啤酒</x:t>
        </x:is>
      </x:c>
      <x:c r="D1637" s="5" t="inlineStr">
        <x:is>
          <x:t xml:space="preserve">青岛啤酒股份有限公司</x:t>
        </x:is>
      </x:c>
      <x:c r="E1637" s="4" t="inlineStr">
        <x:is>
          <x:t xml:space="preserve">山东省</x:t>
        </x:is>
      </x:c>
      <x:c r="F1637" s="4" t="inlineStr">
        <x:is>
          <x:t xml:space="preserve">青岛市</x:t>
        </x:is>
      </x:c>
      <x:c r="G1637" s="5" t="inlineStr">
        <x:is>
          <x:t xml:space="preserve">山东省-青岛市</x:t>
        </x:is>
      </x:c>
      <x:c r="H1637" s="4" t="inlineStr">
        <x:is>
          <x:t xml:space="preserve">酿酒行业</x:t>
        </x:is>
      </x:c>
      <x:c r="I1637" s="4" t="inlineStr">
        <x:is>
          <x:t xml:space="preserve">1993-08-27</x:t>
        </x:is>
      </x:c>
      <x:c r="J1637" s="5" t="inlineStr">
        <x:is>
          <x:t xml:space="preserve">青岛市市北区登州路56号</x:t>
        </x:is>
      </x:c>
      <x:c r="K1637" s="12" t="str">
        <x:f>LEFT("91370200163615667J",18)</x:f>
        <x:v>91370200163615667J</x:v>
      </x:c>
    </x:row>
    <x:row r="1638">
      <x:c r="A1638" s="2" t="n">
        <x:v>1637</x:v>
      </x:c>
      <x:c r="B1638" s="2" t="inlineStr">
        <x:is>
          <x:t xml:space="preserve">600690</x:t>
        </x:is>
      </x:c>
      <x:c r="C1638" s="3" t="inlineStr">
        <x:is>
          <x:t xml:space="preserve">海尔智家</x:t>
        </x:is>
      </x:c>
      <x:c r="D1638" s="3" t="inlineStr">
        <x:is>
          <x:t xml:space="preserve">海尔智家股份有限公司</x:t>
        </x:is>
      </x:c>
      <x:c r="E1638" s="2" t="inlineStr">
        <x:is>
          <x:t xml:space="preserve">山东省</x:t>
        </x:is>
      </x:c>
      <x:c r="F1638" s="2" t="inlineStr">
        <x:is>
          <x:t xml:space="preserve">青岛市</x:t>
        </x:is>
      </x:c>
      <x:c r="G1638" s="3" t="inlineStr">
        <x:is>
          <x:t xml:space="preserve">山东省-青岛市</x:t>
        </x:is>
      </x:c>
      <x:c r="H1638" s="2" t="inlineStr">
        <x:is>
          <x:t xml:space="preserve">家电行业</x:t>
        </x:is>
      </x:c>
      <x:c r="I1638" s="2" t="inlineStr">
        <x:is>
          <x:t xml:space="preserve">1993-11-19</x:t>
        </x:is>
      </x:c>
      <x:c r="J1638" s="3" t="inlineStr">
        <x:is>
          <x:t xml:space="preserve">青岛市崂山区海尔园内</x:t>
        </x:is>
      </x:c>
      <x:c r="K1638" s="12" t="str">
        <x:f>LEFT("91370200264574251E",18)</x:f>
        <x:v>91370200264574251E</x:v>
      </x:c>
    </x:row>
    <x:row r="1639">
      <x:c r="A1639" s="4" t="n">
        <x:v>1638</x:v>
      </x:c>
      <x:c r="B1639" s="4" t="inlineStr">
        <x:is>
          <x:t xml:space="preserve">600727</x:t>
        </x:is>
      </x:c>
      <x:c r="C1639" s="5" t="inlineStr">
        <x:is>
          <x:t xml:space="preserve">鲁北化工</x:t>
        </x:is>
      </x:c>
      <x:c r="D1639" s="5" t="inlineStr">
        <x:is>
          <x:t xml:space="preserve">山东鲁北化工股份有限公司</x:t>
        </x:is>
      </x:c>
      <x:c r="E1639" s="4" t="inlineStr">
        <x:is>
          <x:t xml:space="preserve">山东省</x:t>
        </x:is>
      </x:c>
      <x:c r="F1639" s="4" t="inlineStr">
        <x:is>
          <x:t xml:space="preserve">滨州市</x:t>
        </x:is>
      </x:c>
      <x:c r="G1639" s="5" t="inlineStr">
        <x:is>
          <x:t xml:space="preserve">山东省-滨州市</x:t>
        </x:is>
      </x:c>
      <x:c r="H1639" s="4" t="inlineStr">
        <x:is>
          <x:t xml:space="preserve">化学原料</x:t>
        </x:is>
      </x:c>
      <x:c r="I1639" s="4" t="inlineStr">
        <x:is>
          <x:t xml:space="preserve">1996-07-02</x:t>
        </x:is>
      </x:c>
      <x:c r="J1639" s="5" t="inlineStr">
        <x:is>
          <x:t xml:space="preserve">山东省无棣县埕口镇</x:t>
        </x:is>
      </x:c>
      <x:c r="K1639" s="12" t="str">
        <x:f>LEFT("913700007254238017",18)</x:f>
        <x:v>913700007254238100</x:v>
      </x:c>
    </x:row>
    <x:row r="1640">
      <x:c r="A1640" s="2" t="n">
        <x:v>1639</x:v>
      </x:c>
      <x:c r="B1640" s="2" t="inlineStr">
        <x:is>
          <x:t xml:space="preserve">600735</x:t>
        </x:is>
      </x:c>
      <x:c r="C1640" s="3" t="inlineStr">
        <x:is>
          <x:t xml:space="preserve">ST新华锦</x:t>
        </x:is>
      </x:c>
      <x:c r="D1640" s="3" t="inlineStr">
        <x:is>
          <x:t xml:space="preserve">山东新华锦国际股份有限公司</x:t>
        </x:is>
      </x:c>
      <x:c r="E1640" s="2" t="inlineStr">
        <x:is>
          <x:t xml:space="preserve">山东省</x:t>
        </x:is>
      </x:c>
      <x:c r="F1640" s="2" t="inlineStr">
        <x:is>
          <x:t xml:space="preserve">青岛市</x:t>
        </x:is>
      </x:c>
      <x:c r="G1640" s="3" t="inlineStr">
        <x:is>
          <x:t xml:space="preserve">山东省-青岛市</x:t>
        </x:is>
      </x:c>
      <x:c r="H1640" s="2" t="inlineStr">
        <x:is>
          <x:t xml:space="preserve">纺织服装</x:t>
        </x:is>
      </x:c>
      <x:c r="I1640" s="2" t="inlineStr">
        <x:is>
          <x:t xml:space="preserve">1996-07-26</x:t>
        </x:is>
      </x:c>
      <x:c r="J1640" s="3" t="inlineStr">
        <x:is>
          <x:t xml:space="preserve">青岛市崂山区松岭路131号</x:t>
        </x:is>
      </x:c>
      <x:c r="K1640" s="12" t="str">
        <x:f>LEFT("91370000168258881C",18)</x:f>
        <x:v>91370000168258881C</x:v>
      </x:c>
    </x:row>
    <x:row r="1641">
      <x:c r="A1641" s="4" t="n">
        <x:v>1640</x:v>
      </x:c>
      <x:c r="B1641" s="4" t="inlineStr">
        <x:is>
          <x:t xml:space="preserve">600756</x:t>
        </x:is>
      </x:c>
      <x:c r="C1641" s="5" t="inlineStr">
        <x:is>
          <x:t xml:space="preserve">浪潮软件</x:t>
        </x:is>
      </x:c>
      <x:c r="D1641" s="5" t="inlineStr">
        <x:is>
          <x:t xml:space="preserve">浪潮软件股份有限公司</x:t>
        </x:is>
      </x:c>
      <x:c r="E1641" s="4" t="inlineStr">
        <x:is>
          <x:t xml:space="preserve">山东省</x:t>
        </x:is>
      </x:c>
      <x:c r="F1641" s="4" t="inlineStr">
        <x:is>
          <x:t xml:space="preserve">泰安市</x:t>
        </x:is>
      </x:c>
      <x:c r="G1641" s="5" t="inlineStr">
        <x:is>
          <x:t xml:space="preserve">山东省-泰安市</x:t>
        </x:is>
      </x:c>
      <x:c r="H1641" s="4" t="inlineStr">
        <x:is>
          <x:t xml:space="preserve">互联网服务</x:t>
        </x:is>
      </x:c>
      <x:c r="I1641" s="4" t="inlineStr">
        <x:is>
          <x:t xml:space="preserve">1996-09-23</x:t>
        </x:is>
      </x:c>
      <x:c r="J1641" s="5" t="inlineStr">
        <x:is>
          <x:t xml:space="preserve">山东省泰安市岱岳区东岳大街527号</x:t>
        </x:is>
      </x:c>
      <x:c r="K1641" s="12" t="str">
        <x:f>LEFT("913700004941904564",18)</x:f>
        <x:v>913700004941904500</x:v>
      </x:c>
    </x:row>
    <x:row r="1642">
      <x:c r="A1642" s="2" t="n">
        <x:v>1641</x:v>
      </x:c>
      <x:c r="B1642" s="2" t="inlineStr">
        <x:is>
          <x:t xml:space="preserve">600760</x:t>
        </x:is>
      </x:c>
      <x:c r="C1642" s="3" t="inlineStr">
        <x:is>
          <x:t xml:space="preserve">中航沈飞</x:t>
        </x:is>
      </x:c>
      <x:c r="D1642" s="3" t="inlineStr">
        <x:is>
          <x:t xml:space="preserve">中航沈飞股份有限公司</x:t>
        </x:is>
      </x:c>
      <x:c r="E1642" s="2" t="inlineStr">
        <x:is>
          <x:t xml:space="preserve">山东省</x:t>
        </x:is>
      </x:c>
      <x:c r="F1642" s="2" t="inlineStr">
        <x:is>
          <x:t xml:space="preserve">威海市</x:t>
        </x:is>
      </x:c>
      <x:c r="G1642" s="3" t="inlineStr">
        <x:is>
          <x:t xml:space="preserve">山东省-威海市</x:t>
        </x:is>
      </x:c>
      <x:c r="H1642" s="2" t="inlineStr">
        <x:is>
          <x:t xml:space="preserve">航天航空</x:t>
        </x:is>
      </x:c>
      <x:c r="I1642" s="2" t="inlineStr">
        <x:is>
          <x:t xml:space="preserve">1996-10-11</x:t>
        </x:is>
      </x:c>
      <x:c r="J1642" s="3" t="inlineStr">
        <x:is>
          <x:t xml:space="preserve">山东省威海市文登区世纪大道甲82号1502室</x:t>
        </x:is>
      </x:c>
      <x:c r="K1642" s="12" t="str">
        <x:f>LEFT("9137000016309489X2",18)</x:f>
        <x:v>9137000016309489X2</x:v>
      </x:c>
    </x:row>
    <x:row r="1643">
      <x:c r="A1643" s="4" t="n">
        <x:v>1642</x:v>
      </x:c>
      <x:c r="B1643" s="4" t="inlineStr">
        <x:is>
          <x:t xml:space="preserve">600777</x:t>
        </x:is>
      </x:c>
      <x:c r="C1643" s="5" t="inlineStr">
        <x:is>
          <x:t xml:space="preserve">*ST新潮</x:t>
        </x:is>
      </x:c>
      <x:c r="D1643" s="5" t="inlineStr">
        <x:is>
          <x:t xml:space="preserve">山东新潮能源股份有限公司</x:t>
        </x:is>
      </x:c>
      <x:c r="E1643" s="4" t="inlineStr">
        <x:is>
          <x:t xml:space="preserve">山东省</x:t>
        </x:is>
      </x:c>
      <x:c r="F1643" s="4" t="inlineStr">
        <x:is>
          <x:t xml:space="preserve">烟台市</x:t>
        </x:is>
      </x:c>
      <x:c r="G1643" s="5" t="inlineStr">
        <x:is>
          <x:t xml:space="preserve">山东省-烟台市</x:t>
        </x:is>
      </x:c>
      <x:c r="H1643" s="4" t="inlineStr">
        <x:is>
          <x:t xml:space="preserve">石油行业</x:t>
        </x:is>
      </x:c>
      <x:c r="I1643" s="4" t="inlineStr">
        <x:is>
          <x:t xml:space="preserve">1996-11-21</x:t>
        </x:is>
      </x:c>
      <x:c r="J1643" s="5" t="inlineStr">
        <x:is>
          <x:t xml:space="preserve">山东省烟台市牟平区滨海东路766号16号楼2层</x:t>
        </x:is>
      </x:c>
      <x:c r="K1643" s="12" t="str">
        <x:f>LEFT("9137000016309497XM",18)</x:f>
        <x:v>9137000016309497XM</x:v>
      </x:c>
    </x:row>
    <x:row r="1644">
      <x:c r="A1644" s="2" t="n">
        <x:v>1643</x:v>
      </x:c>
      <x:c r="B1644" s="2" t="inlineStr">
        <x:is>
          <x:t xml:space="preserve">600783</x:t>
        </x:is>
      </x:c>
      <x:c r="C1644" s="3" t="inlineStr">
        <x:is>
          <x:t xml:space="preserve">鲁信创投</x:t>
        </x:is>
      </x:c>
      <x:c r="D1644" s="3" t="inlineStr">
        <x:is>
          <x:t xml:space="preserve">鲁信创业投资集团股份有限公司</x:t>
        </x:is>
      </x:c>
      <x:c r="E1644" s="2" t="inlineStr">
        <x:is>
          <x:t xml:space="preserve">山东省</x:t>
        </x:is>
      </x:c>
      <x:c r="F1644" s="2" t="inlineStr">
        <x:is>
          <x:t xml:space="preserve">淄博市</x:t>
        </x:is>
      </x:c>
      <x:c r="G1644" s="3" t="inlineStr">
        <x:is>
          <x:t xml:space="preserve">山东省-淄博市</x:t>
        </x:is>
      </x:c>
      <x:c r="H1644" s="2" t="inlineStr">
        <x:is>
          <x:t xml:space="preserve">非金属材料</x:t>
        </x:is>
      </x:c>
      <x:c r="I1644" s="2" t="inlineStr">
        <x:is>
          <x:t xml:space="preserve">1996-12-25</x:t>
        </x:is>
      </x:c>
      <x:c r="J1644" s="3" t="inlineStr">
        <x:is>
          <x:t xml:space="preserve">淄博市高新技术产业开发区裕民路129号</x:t>
        </x:is>
      </x:c>
      <x:c r="K1644" s="12" t="str">
        <x:f>LEFT("91370000164123533M",18)</x:f>
        <x:v>91370000164123533M</x:v>
      </x:c>
    </x:row>
    <x:row r="1645">
      <x:c r="A1645" s="4" t="n">
        <x:v>1644</x:v>
      </x:c>
      <x:c r="B1645" s="4" t="inlineStr">
        <x:is>
          <x:t xml:space="preserve">600784</x:t>
        </x:is>
      </x:c>
      <x:c r="C1645" s="5" t="inlineStr">
        <x:is>
          <x:t xml:space="preserve">鲁银投资</x:t>
        </x:is>
      </x:c>
      <x:c r="D1645" s="5" t="inlineStr">
        <x:is>
          <x:t xml:space="preserve">鲁银投资集团股份有限公司</x:t>
        </x:is>
      </x:c>
      <x:c r="E1645" s="4" t="inlineStr">
        <x:is>
          <x:t xml:space="preserve">山东省</x:t>
        </x:is>
      </x:c>
      <x:c r="F1645" s="4" t="inlineStr">
        <x:is>
          <x:t xml:space="preserve">济南市</x:t>
        </x:is>
      </x:c>
      <x:c r="G1645" s="5" t="inlineStr">
        <x:is>
          <x:t xml:space="preserve">山东省-济南市</x:t>
        </x:is>
      </x:c>
      <x:c r="H1645" s="4" t="inlineStr">
        <x:is>
          <x:t xml:space="preserve">化学原料</x:t>
        </x:is>
      </x:c>
      <x:c r="I1645" s="4" t="inlineStr">
        <x:is>
          <x:t xml:space="preserve">1996-12-25</x:t>
        </x:is>
      </x:c>
      <x:c r="J1645" s="5" t="inlineStr">
        <x:is>
          <x:t xml:space="preserve">济南市高新区旅游路8777号国泰财智广场3号楼26层</x:t>
        </x:is>
      </x:c>
      <x:c r="K1645" s="12" t="str">
        <x:f>LEFT("913700001630684138",18)</x:f>
        <x:v>913700001630684200</x:v>
      </x:c>
    </x:row>
    <x:row r="1646">
      <x:c r="A1646" s="2" t="n">
        <x:v>1645</x:v>
      </x:c>
      <x:c r="B1646" s="2" t="inlineStr">
        <x:is>
          <x:t xml:space="preserve">600789</x:t>
        </x:is>
      </x:c>
      <x:c r="C1646" s="3" t="inlineStr">
        <x:is>
          <x:t xml:space="preserve">鲁抗医药</x:t>
        </x:is>
      </x:c>
      <x:c r="D1646" s="3" t="inlineStr">
        <x:is>
          <x:t xml:space="preserve">山东鲁抗医药股份有限公司</x:t>
        </x:is>
      </x:c>
      <x:c r="E1646" s="2" t="inlineStr">
        <x:is>
          <x:t xml:space="preserve">山东省</x:t>
        </x:is>
      </x:c>
      <x:c r="F1646" s="2" t="inlineStr">
        <x:is>
          <x:t xml:space="preserve">济宁市</x:t>
        </x:is>
      </x:c>
      <x:c r="G1646" s="3" t="inlineStr">
        <x:is>
          <x:t xml:space="preserve">山东省-济宁市</x:t>
        </x:is>
      </x:c>
      <x:c r="H1646" s="2" t="inlineStr">
        <x:is>
          <x:t xml:space="preserve">医药制造</x:t>
        </x:is>
      </x:c>
      <x:c r="I1646" s="2" t="inlineStr">
        <x:is>
          <x:t xml:space="preserve">1997-02-26</x:t>
        </x:is>
      </x:c>
      <x:c r="J1646" s="3" t="inlineStr">
        <x:is>
          <x:t xml:space="preserve">山东省济宁高新区德源路88号</x:t>
        </x:is>
      </x:c>
      <x:c r="K1646" s="12" t="str">
        <x:f>LEFT("913700001659297311",18)</x:f>
        <x:v>913700001659297300</x:v>
      </x:c>
    </x:row>
    <x:row r="1647">
      <x:c r="A1647" s="4" t="n">
        <x:v>1646</x:v>
      </x:c>
      <x:c r="B1647" s="4" t="inlineStr">
        <x:is>
          <x:t xml:space="preserve">600807</x:t>
        </x:is>
      </x:c>
      <x:c r="C1647" s="5" t="inlineStr">
        <x:is>
          <x:t xml:space="preserve">济高发展</x:t>
        </x:is>
      </x:c>
      <x:c r="D1647" s="5" t="inlineStr">
        <x:is>
          <x:t xml:space="preserve">济南高新发展股份有限公司</x:t>
        </x:is>
      </x:c>
      <x:c r="E1647" s="4" t="inlineStr">
        <x:is>
          <x:t xml:space="preserve">山东省</x:t>
        </x:is>
      </x:c>
      <x:c r="F1647" s="4" t="inlineStr">
        <x:is>
          <x:t xml:space="preserve">济南市</x:t>
        </x:is>
      </x:c>
      <x:c r="G1647" s="5" t="inlineStr">
        <x:is>
          <x:t xml:space="preserve">山东省-济南市</x:t>
        </x:is>
      </x:c>
      <x:c r="H1647" s="4" t="inlineStr">
        <x:is>
          <x:t xml:space="preserve">医疗器械</x:t>
        </x:is>
      </x:c>
      <x:c r="I1647" s="4" t="inlineStr">
        <x:is>
          <x:t xml:space="preserve">1994-01-03</x:t>
        </x:is>
      </x:c>
      <x:c r="J1647" s="5" t="inlineStr">
        <x:is>
          <x:t xml:space="preserve">中国(山东)自由贸易试验区济南片区舜华路街道经十东路7000号汉峪金谷A4-4号楼1101室</x:t>
        </x:is>
      </x:c>
      <x:c r="K1647" s="12" t="str">
        <x:f>LEFT("91370000267172303L",18)</x:f>
        <x:v>91370000267172303L</x:v>
      </x:c>
    </x:row>
    <x:row r="1648">
      <x:c r="A1648" s="2" t="n">
        <x:v>1647</x:v>
      </x:c>
      <x:c r="B1648" s="2" t="inlineStr">
        <x:is>
          <x:t xml:space="preserve">600858</x:t>
        </x:is>
      </x:c>
      <x:c r="C1648" s="3" t="inlineStr">
        <x:is>
          <x:t xml:space="preserve">银座股份</x:t>
        </x:is>
      </x:c>
      <x:c r="D1648" s="3" t="inlineStr">
        <x:is>
          <x:t xml:space="preserve">银座集团股份有限公司</x:t>
        </x:is>
      </x:c>
      <x:c r="E1648" s="2" t="inlineStr">
        <x:is>
          <x:t xml:space="preserve">山东省</x:t>
        </x:is>
      </x:c>
      <x:c r="F1648" s="2" t="inlineStr">
        <x:is>
          <x:t xml:space="preserve">济南市</x:t>
        </x:is>
      </x:c>
      <x:c r="G1648" s="3" t="inlineStr">
        <x:is>
          <x:t xml:space="preserve">山东省-济南市</x:t>
        </x:is>
      </x:c>
      <x:c r="H1648" s="2" t="inlineStr">
        <x:is>
          <x:t xml:space="preserve">商业百货</x:t>
        </x:is>
      </x:c>
      <x:c r="I1648" s="2" t="inlineStr">
        <x:is>
          <x:t xml:space="preserve">1994-05-06</x:t>
        </x:is>
      </x:c>
      <x:c r="J1648" s="3" t="inlineStr">
        <x:is>
          <x:t xml:space="preserve">山东省济南市泺源大街中段</x:t>
        </x:is>
      </x:c>
      <x:c r="K1648" s="12" t="str">
        <x:f>LEFT("913700002671701644",18)</x:f>
        <x:v>913700002671701600</x:v>
      </x:c>
    </x:row>
    <x:row r="1649">
      <x:c r="A1649" s="4" t="n">
        <x:v>1648</x:v>
      </x:c>
      <x:c r="B1649" s="4" t="inlineStr">
        <x:is>
          <x:t xml:space="preserve">600918</x:t>
        </x:is>
      </x:c>
      <x:c r="C1649" s="5" t="inlineStr">
        <x:is>
          <x:t xml:space="preserve">中泰证券</x:t>
        </x:is>
      </x:c>
      <x:c r="D1649" s="5" t="inlineStr">
        <x:is>
          <x:t xml:space="preserve">中泰证券股份有限公司</x:t>
        </x:is>
      </x:c>
      <x:c r="E1649" s="4" t="inlineStr">
        <x:is>
          <x:t xml:space="preserve">山东省</x:t>
        </x:is>
      </x:c>
      <x:c r="F1649" s="4" t="inlineStr">
        <x:is>
          <x:t xml:space="preserve">济南市</x:t>
        </x:is>
      </x:c>
      <x:c r="G1649" s="5" t="inlineStr">
        <x:is>
          <x:t xml:space="preserve">山东省-济南市</x:t>
        </x:is>
      </x:c>
      <x:c r="H1649" s="4" t="inlineStr">
        <x:is>
          <x:t xml:space="preserve">券商信托</x:t>
        </x:is>
      </x:c>
      <x:c r="I1649" s="4" t="inlineStr">
        <x:is>
          <x:t xml:space="preserve">2020-06-03</x:t>
        </x:is>
      </x:c>
      <x:c r="J1649" s="5" t="inlineStr">
        <x:is>
          <x:t xml:space="preserve">济南市高新区经十路7000号汉峪金融商务中心五区3号楼</x:t>
        </x:is>
      </x:c>
      <x:c r="K1649" s="12" t="str">
        <x:f>LEFT("91370000729246347A",18)</x:f>
        <x:v>91370000729246347A</x:v>
      </x:c>
    </x:row>
    <x:row r="1650">
      <x:c r="A1650" s="2" t="n">
        <x:v>1649</x:v>
      </x:c>
      <x:c r="B1650" s="2" t="inlineStr">
        <x:is>
          <x:t xml:space="preserve">600955</x:t>
        </x:is>
      </x:c>
      <x:c r="C1650" s="3" t="inlineStr">
        <x:is>
          <x:t xml:space="preserve">维远股份</x:t>
        </x:is>
      </x:c>
      <x:c r="D1650" s="3" t="inlineStr">
        <x:is>
          <x:t xml:space="preserve">利华益维远化学股份有限公司</x:t>
        </x:is>
      </x:c>
      <x:c r="E1650" s="2" t="inlineStr">
        <x:is>
          <x:t xml:space="preserve">山东省</x:t>
        </x:is>
      </x:c>
      <x:c r="F1650" s="2" t="inlineStr">
        <x:is>
          <x:t xml:space="preserve">东营市</x:t>
        </x:is>
      </x:c>
      <x:c r="G1650" s="3" t="inlineStr">
        <x:is>
          <x:t xml:space="preserve">山东省-东营市</x:t>
        </x:is>
      </x:c>
      <x:c r="H1650" s="2" t="inlineStr">
        <x:is>
          <x:t xml:space="preserve">化学原料</x:t>
        </x:is>
      </x:c>
      <x:c r="I1650" s="2" t="inlineStr">
        <x:is>
          <x:t xml:space="preserve">2021-09-15</x:t>
        </x:is>
      </x:c>
      <x:c r="J1650" s="3" t="inlineStr">
        <x:is>
          <x:t xml:space="preserve">山东省东营市利津县利十路208号</x:t>
        </x:is>
      </x:c>
      <x:c r="K1650" s="12" t="str">
        <x:f>LEFT("9137050056674827X0",18)</x:f>
        <x:v>9137050056674827X0</x:v>
      </x:c>
    </x:row>
    <x:row r="1651">
      <x:c r="A1651" s="4" t="n">
        <x:v>1650</x:v>
      </x:c>
      <x:c r="B1651" s="4" t="inlineStr">
        <x:is>
          <x:t xml:space="preserve">600960</x:t>
        </x:is>
      </x:c>
      <x:c r="C1651" s="5" t="inlineStr">
        <x:is>
          <x:t xml:space="preserve">渤海汽车</x:t>
        </x:is>
      </x:c>
      <x:c r="D1651" s="5" t="inlineStr">
        <x:is>
          <x:t xml:space="preserve">渤海汽车系统股份有限公司</x:t>
        </x:is>
      </x:c>
      <x:c r="E1651" s="4" t="inlineStr">
        <x:is>
          <x:t xml:space="preserve">山东省</x:t>
        </x:is>
      </x:c>
      <x:c r="F1651" s="4" t="inlineStr">
        <x:is>
          <x:t xml:space="preserve">滨州市</x:t>
        </x:is>
      </x:c>
      <x:c r="G1651" s="5" t="inlineStr">
        <x:is>
          <x:t xml:space="preserve">山东省-滨州市</x:t>
        </x:is>
      </x:c>
      <x:c r="H1651" s="4" t="inlineStr">
        <x:is>
          <x:t xml:space="preserve">汽车行业</x:t>
        </x:is>
      </x:c>
      <x:c r="I1651" s="4" t="inlineStr">
        <x:is>
          <x:t xml:space="preserve">2004-04-07</x:t>
        </x:is>
      </x:c>
      <x:c r="J1651" s="5" t="inlineStr">
        <x:is>
          <x:t xml:space="preserve">山东省滨州市渤海二十一路569号</x:t>
        </x:is>
      </x:c>
      <x:c r="K1651" s="12" t="str">
        <x:f>LEFT("913700007207576938",18)</x:f>
        <x:v>913700007207577000</x:v>
      </x:c>
    </x:row>
    <x:row r="1652">
      <x:c r="A1652" s="2" t="n">
        <x:v>1651</x:v>
      </x:c>
      <x:c r="B1652" s="2" t="inlineStr">
        <x:is>
          <x:t xml:space="preserve">600966</x:t>
        </x:is>
      </x:c>
      <x:c r="C1652" s="3" t="inlineStr">
        <x:is>
          <x:t xml:space="preserve">博汇纸业</x:t>
        </x:is>
      </x:c>
      <x:c r="D1652" s="3" t="inlineStr">
        <x:is>
          <x:t xml:space="preserve">山东博汇纸业股份有限公司</x:t>
        </x:is>
      </x:c>
      <x:c r="E1652" s="2" t="inlineStr">
        <x:is>
          <x:t xml:space="preserve">山东省</x:t>
        </x:is>
      </x:c>
      <x:c r="F1652" s="2" t="inlineStr">
        <x:is>
          <x:t xml:space="preserve">淄博市</x:t>
        </x:is>
      </x:c>
      <x:c r="G1652" s="3" t="inlineStr">
        <x:is>
          <x:t xml:space="preserve">山东省-淄博市</x:t>
        </x:is>
      </x:c>
      <x:c r="H1652" s="2" t="inlineStr">
        <x:is>
          <x:t xml:space="preserve">造纸印刷</x:t>
        </x:is>
      </x:c>
      <x:c r="I1652" s="2" t="inlineStr">
        <x:is>
          <x:t xml:space="preserve">2004-06-08</x:t>
        </x:is>
      </x:c>
      <x:c r="J1652" s="3" t="inlineStr">
        <x:is>
          <x:t xml:space="preserve">山东省淄博市桓台县马桥镇工业路北首</x:t>
        </x:is>
      </x:c>
      <x:c r="K1652" s="12" t="str">
        <x:f>LEFT("913700007063975130",18)</x:f>
        <x:v>913700007063975200</x:v>
      </x:c>
    </x:row>
    <x:row r="1653">
      <x:c r="A1653" s="4" t="n">
        <x:v>1652</x:v>
      </x:c>
      <x:c r="B1653" s="4" t="inlineStr">
        <x:is>
          <x:t xml:space="preserve">601019</x:t>
        </x:is>
      </x:c>
      <x:c r="C1653" s="5" t="inlineStr">
        <x:is>
          <x:t xml:space="preserve">山东出版</x:t>
        </x:is>
      </x:c>
      <x:c r="D1653" s="5" t="inlineStr">
        <x:is>
          <x:t xml:space="preserve">山东出版传媒股份有限公司</x:t>
        </x:is>
      </x:c>
      <x:c r="E1653" s="4" t="inlineStr">
        <x:is>
          <x:t xml:space="preserve">山东省</x:t>
        </x:is>
      </x:c>
      <x:c r="F1653" s="4" t="inlineStr">
        <x:is>
          <x:t xml:space="preserve">济南市</x:t>
        </x:is>
      </x:c>
      <x:c r="G1653" s="5" t="inlineStr">
        <x:is>
          <x:t xml:space="preserve">山东省-济南市</x:t>
        </x:is>
      </x:c>
      <x:c r="H1653" s="4" t="inlineStr">
        <x:is>
          <x:t xml:space="preserve">文化传媒</x:t>
        </x:is>
      </x:c>
      <x:c r="I1653" s="4" t="inlineStr">
        <x:is>
          <x:t xml:space="preserve">2017-11-22</x:t>
        </x:is>
      </x:c>
      <x:c r="J1653" s="5" t="inlineStr">
        <x:is>
          <x:t xml:space="preserve">山东省济南市英雄山路189号</x:t>
        </x:is>
      </x:c>
      <x:c r="K1653" s="12" t="str">
        <x:f>LEFT("91370000588768482Y",18)</x:f>
        <x:v>91370000588768482Y</x:v>
      </x:c>
    </x:row>
    <x:row r="1654">
      <x:c r="A1654" s="2" t="n">
        <x:v>1653</x:v>
      </x:c>
      <x:c r="B1654" s="2" t="inlineStr">
        <x:is>
          <x:t xml:space="preserve">601058</x:t>
        </x:is>
      </x:c>
      <x:c r="C1654" s="3" t="inlineStr">
        <x:is>
          <x:t xml:space="preserve">赛轮轮胎</x:t>
        </x:is>
      </x:c>
      <x:c r="D1654" s="3" t="inlineStr">
        <x:is>
          <x:t xml:space="preserve">赛轮集团股份有限公司</x:t>
        </x:is>
      </x:c>
      <x:c r="E1654" s="2" t="inlineStr">
        <x:is>
          <x:t xml:space="preserve">山东省</x:t>
        </x:is>
      </x:c>
      <x:c r="F1654" s="2" t="inlineStr">
        <x:is>
          <x:t xml:space="preserve">青岛市</x:t>
        </x:is>
      </x:c>
      <x:c r="G1654" s="3" t="inlineStr">
        <x:is>
          <x:t xml:space="preserve">山东省-青岛市</x:t>
        </x:is>
      </x:c>
      <x:c r="H1654" s="2" t="inlineStr">
        <x:is>
          <x:t xml:space="preserve">橡胶制品</x:t>
        </x:is>
      </x:c>
      <x:c r="I1654" s="2" t="inlineStr">
        <x:is>
          <x:t xml:space="preserve">2011-06-30</x:t>
        </x:is>
      </x:c>
      <x:c r="J1654" s="3" t="inlineStr">
        <x:is>
          <x:t xml:space="preserve">山东省青岛市黄岛区茂山路588号</x:t>
        </x:is>
      </x:c>
      <x:c r="K1654" s="12" t="str">
        <x:f>LEFT("91370200743966332L",18)</x:f>
        <x:v>91370200743966332L</x:v>
      </x:c>
    </x:row>
    <x:row r="1655">
      <x:c r="A1655" s="4" t="n">
        <x:v>1654</x:v>
      </x:c>
      <x:c r="B1655" s="4" t="inlineStr">
        <x:is>
          <x:t xml:space="preserve">601096</x:t>
        </x:is>
      </x:c>
      <x:c r="C1655" s="5" t="inlineStr">
        <x:is>
          <x:t xml:space="preserve">宏盛华源</x:t>
        </x:is>
      </x:c>
      <x:c r="D1655" s="5" t="inlineStr">
        <x:is>
          <x:t xml:space="preserve">宏盛华源铁塔集团股份有限公司</x:t>
        </x:is>
      </x:c>
      <x:c r="E1655" s="4" t="inlineStr">
        <x:is>
          <x:t xml:space="preserve">山东省</x:t>
        </x:is>
      </x:c>
      <x:c r="F1655" s="4" t="inlineStr">
        <x:is>
          <x:t xml:space="preserve">济南市</x:t>
        </x:is>
      </x:c>
      <x:c r="G1655" s="5" t="inlineStr">
        <x:is>
          <x:t xml:space="preserve">山东省-济南市</x:t>
        </x:is>
      </x:c>
      <x:c r="H1655" s="4" t="inlineStr">
        <x:is>
          <x:t xml:space="preserve">电网设备</x:t>
        </x:is>
      </x:c>
      <x:c r="I1655" s="4" t="inlineStr">
        <x:is>
          <x:t xml:space="preserve">2023-12-22</x:t>
        </x:is>
      </x:c>
      <x:c r="J1655" s="5" t="inlineStr">
        <x:is>
          <x:t xml:space="preserve">山东省济南市高新区孙村片区35号路以南2号路以西</x:t>
        </x:is>
      </x:c>
      <x:c r="K1655" s="12" t="str">
        <x:f>LEFT("913400001491618574",18)</x:f>
        <x:v>913400001491618600</x:v>
      </x:c>
    </x:row>
    <x:row r="1656">
      <x:c r="A1656" s="2" t="n">
        <x:v>1655</x:v>
      </x:c>
      <x:c r="B1656" s="2" t="inlineStr">
        <x:is>
          <x:t xml:space="preserve">601163</x:t>
        </x:is>
      </x:c>
      <x:c r="C1656" s="3" t="inlineStr">
        <x:is>
          <x:t xml:space="preserve">三角轮胎</x:t>
        </x:is>
      </x:c>
      <x:c r="D1656" s="3" t="inlineStr">
        <x:is>
          <x:t xml:space="preserve">三角轮胎股份有限公司</x:t>
        </x:is>
      </x:c>
      <x:c r="E1656" s="2" t="inlineStr">
        <x:is>
          <x:t xml:space="preserve">山东省</x:t>
        </x:is>
      </x:c>
      <x:c r="F1656" s="2" t="inlineStr">
        <x:is>
          <x:t xml:space="preserve">青岛市</x:t>
        </x:is>
      </x:c>
      <x:c r="G1656" s="3" t="inlineStr">
        <x:is>
          <x:t xml:space="preserve">山东省-青岛市</x:t>
        </x:is>
      </x:c>
      <x:c r="H1656" s="2" t="inlineStr">
        <x:is>
          <x:t xml:space="preserve">橡胶制品</x:t>
        </x:is>
      </x:c>
      <x:c r="I1656" s="2" t="inlineStr">
        <x:is>
          <x:t xml:space="preserve">2016-09-09</x:t>
        </x:is>
      </x:c>
      <x:c r="J1656" s="3" t="inlineStr">
        <x:is>
          <x:t xml:space="preserve">山东省威海市青岛中路56号</x:t>
        </x:is>
      </x:c>
      <x:c r="K1656" s="12" t="str">
        <x:f>LEFT("91370000726700647B",18)</x:f>
        <x:v>91370000726700647B</x:v>
      </x:c>
    </x:row>
    <x:row r="1657">
      <x:c r="A1657" s="4" t="n">
        <x:v>1656</x:v>
      </x:c>
      <x:c r="B1657" s="4" t="inlineStr">
        <x:is>
          <x:t xml:space="preserve">601298</x:t>
        </x:is>
      </x:c>
      <x:c r="C1657" s="5" t="inlineStr">
        <x:is>
          <x:t xml:space="preserve">青岛港</x:t>
        </x:is>
      </x:c>
      <x:c r="D1657" s="5" t="inlineStr">
        <x:is>
          <x:t xml:space="preserve">青岛港国际股份有限公司</x:t>
        </x:is>
      </x:c>
      <x:c r="E1657" s="4" t="inlineStr">
        <x:is>
          <x:t xml:space="preserve">山东省</x:t>
        </x:is>
      </x:c>
      <x:c r="F1657" s="4" t="inlineStr">
        <x:is>
          <x:t xml:space="preserve">青岛市</x:t>
        </x:is>
      </x:c>
      <x:c r="G1657" s="5" t="inlineStr">
        <x:is>
          <x:t xml:space="preserve">山东省-青岛市</x:t>
        </x:is>
      </x:c>
      <x:c r="H1657" s="4" t="inlineStr">
        <x:is>
          <x:t xml:space="preserve">港口水运</x:t>
        </x:is>
      </x:c>
      <x:c r="I1657" s="4" t="inlineStr">
        <x:is>
          <x:t xml:space="preserve">2019-01-21</x:t>
        </x:is>
      </x:c>
      <x:c r="J1657" s="5" t="inlineStr">
        <x:is>
          <x:t xml:space="preserve">山东省青岛市黄岛区经八路12号</x:t>
        </x:is>
      </x:c>
      <x:c r="K1657" s="12" t="str">
        <x:f>LEFT("91370200081422810C",18)</x:f>
        <x:v>91370200081422810C</x:v>
      </x:c>
    </x:row>
    <x:row r="1658">
      <x:c r="A1658" s="2" t="n">
        <x:v>1657</x:v>
      </x:c>
      <x:c r="B1658" s="2" t="inlineStr">
        <x:is>
          <x:t xml:space="preserve">601366</x:t>
        </x:is>
      </x:c>
      <x:c r="C1658" s="3" t="inlineStr">
        <x:is>
          <x:t xml:space="preserve">利群股份</x:t>
        </x:is>
      </x:c>
      <x:c r="D1658" s="3" t="inlineStr">
        <x:is>
          <x:t xml:space="preserve">利群商业集团股份有限公司</x:t>
        </x:is>
      </x:c>
      <x:c r="E1658" s="2" t="inlineStr">
        <x:is>
          <x:t xml:space="preserve">山东省</x:t>
        </x:is>
      </x:c>
      <x:c r="F1658" s="2" t="inlineStr">
        <x:is>
          <x:t xml:space="preserve">青岛市</x:t>
        </x:is>
      </x:c>
      <x:c r="G1658" s="3" t="inlineStr">
        <x:is>
          <x:t xml:space="preserve">山东省-青岛市</x:t>
        </x:is>
      </x:c>
      <x:c r="H1658" s="2" t="inlineStr">
        <x:is>
          <x:t xml:space="preserve">商业百货</x:t>
        </x:is>
      </x:c>
      <x:c r="I1658" s="2" t="inlineStr">
        <x:is>
          <x:t xml:space="preserve">2017-04-12</x:t>
        </x:is>
      </x:c>
      <x:c r="J1658" s="3" t="inlineStr">
        <x:is>
          <x:t xml:space="preserve">青岛经济技术开发区香江路78号</x:t>
        </x:is>
      </x:c>
      <x:c r="K1658" s="12" t="str">
        <x:f>LEFT("91370200863877764G",18)</x:f>
        <x:v>91370200863877764G</x:v>
      </x:c>
    </x:row>
    <x:row r="1659">
      <x:c r="A1659" s="4" t="n">
        <x:v>1658</x:v>
      </x:c>
      <x:c r="B1659" s="4" t="inlineStr">
        <x:is>
          <x:t xml:space="preserve">601665</x:t>
        </x:is>
      </x:c>
      <x:c r="C1659" s="5" t="inlineStr">
        <x:is>
          <x:t xml:space="preserve">齐鲁银行</x:t>
        </x:is>
      </x:c>
      <x:c r="D1659" s="5" t="inlineStr">
        <x:is>
          <x:t xml:space="preserve">齐鲁银行股份有限公司</x:t>
        </x:is>
      </x:c>
      <x:c r="E1659" s="4" t="inlineStr">
        <x:is>
          <x:t xml:space="preserve">山东省</x:t>
        </x:is>
      </x:c>
      <x:c r="F1659" s="4" t="inlineStr">
        <x:is>
          <x:t xml:space="preserve">济南市</x:t>
        </x:is>
      </x:c>
      <x:c r="G1659" s="5" t="inlineStr">
        <x:is>
          <x:t xml:space="preserve">山东省-济南市</x:t>
        </x:is>
      </x:c>
      <x:c r="H1659" s="4" t="inlineStr">
        <x:is>
          <x:t xml:space="preserve">银行</x:t>
        </x:is>
      </x:c>
      <x:c r="I1659" s="4" t="inlineStr">
        <x:is>
          <x:t xml:space="preserve">2021-06-18</x:t>
        </x:is>
      </x:c>
      <x:c r="J1659" s="5" t="inlineStr">
        <x:is>
          <x:t xml:space="preserve">济南市历下区经十路10817号</x:t>
        </x:is>
      </x:c>
      <x:c r="K1659" s="12" t="str">
        <x:f>LEFT("91370000264352296L",18)</x:f>
        <x:v>91370000264352296L</x:v>
      </x:c>
    </x:row>
    <x:row r="1660">
      <x:c r="A1660" s="2" t="n">
        <x:v>1659</x:v>
      </x:c>
      <x:c r="B1660" s="2" t="inlineStr">
        <x:is>
          <x:t xml:space="preserve">601678</x:t>
        </x:is>
      </x:c>
      <x:c r="C1660" s="3" t="inlineStr">
        <x:is>
          <x:t xml:space="preserve">滨化股份</x:t>
        </x:is>
      </x:c>
      <x:c r="D1660" s="3" t="inlineStr">
        <x:is>
          <x:t xml:space="preserve">滨化集团股份有限公司</x:t>
        </x:is>
      </x:c>
      <x:c r="E1660" s="2" t="inlineStr">
        <x:is>
          <x:t xml:space="preserve">山东省</x:t>
        </x:is>
      </x:c>
      <x:c r="F1660" s="2" t="inlineStr">
        <x:is>
          <x:t xml:space="preserve">滨州市</x:t>
        </x:is>
      </x:c>
      <x:c r="G1660" s="3" t="inlineStr">
        <x:is>
          <x:t xml:space="preserve">山东省-滨州市</x:t>
        </x:is>
      </x:c>
      <x:c r="H1660" s="2" t="inlineStr">
        <x:is>
          <x:t xml:space="preserve">化学原料</x:t>
        </x:is>
      </x:c>
      <x:c r="I1660" s="2" t="inlineStr">
        <x:is>
          <x:t xml:space="preserve">2010-02-23</x:t>
        </x:is>
      </x:c>
      <x:c r="J1660" s="3" t="inlineStr">
        <x:is>
          <x:t xml:space="preserve">山东省滨州市滨城区黄河五路888号</x:t>
        </x:is>
      </x:c>
      <x:c r="K1660" s="12" t="str">
        <x:f>LEFT("91370000166926751K",18)</x:f>
        <x:v>91370000166926751K</x:v>
      </x:c>
    </x:row>
    <x:row r="1661">
      <x:c r="A1661" s="4" t="n">
        <x:v>1660</x:v>
      </x:c>
      <x:c r="B1661" s="4" t="inlineStr">
        <x:is>
          <x:t xml:space="preserve">601966</x:t>
        </x:is>
      </x:c>
      <x:c r="C1661" s="5" t="inlineStr">
        <x:is>
          <x:t xml:space="preserve">玲珑轮胎</x:t>
        </x:is>
      </x:c>
      <x:c r="D1661" s="5" t="inlineStr">
        <x:is>
          <x:t xml:space="preserve">山东玲珑轮胎股份有限公司</x:t>
        </x:is>
      </x:c>
      <x:c r="E1661" s="4" t="inlineStr">
        <x:is>
          <x:t xml:space="preserve">山东省</x:t>
        </x:is>
      </x:c>
      <x:c r="F1661" s="4" t="inlineStr">
        <x:is>
          <x:t xml:space="preserve">东省招远市</x:t>
        </x:is>
      </x:c>
      <x:c r="G1661" s="5" t="inlineStr">
        <x:is>
          <x:t xml:space="preserve">山东省-东省招远市</x:t>
        </x:is>
      </x:c>
      <x:c r="H1661" s="4" t="inlineStr">
        <x:is>
          <x:t xml:space="preserve">橡胶制品</x:t>
        </x:is>
      </x:c>
      <x:c r="I1661" s="4" t="inlineStr">
        <x:is>
          <x:t xml:space="preserve">2016-07-06</x:t>
        </x:is>
      </x:c>
      <x:c r="J1661" s="5" t="inlineStr">
        <x:is>
          <x:t xml:space="preserve">山东省招远市金龙路777号</x:t>
        </x:is>
      </x:c>
      <x:c r="K1661" s="12" t="str">
        <x:f>LEFT("91370000613418880Y",18)</x:f>
        <x:v>91370000613418880Y</x:v>
      </x:c>
    </x:row>
    <x:row r="1662">
      <x:c r="A1662" s="2" t="n">
        <x:v>1661</x:v>
      </x:c>
      <x:c r="B1662" s="2" t="inlineStr">
        <x:is>
          <x:t xml:space="preserve">603014</x:t>
        </x:is>
      </x:c>
      <x:c r="C1662" s="3" t="inlineStr">
        <x:is>
          <x:t xml:space="preserve">威高血净</x:t>
        </x:is>
      </x:c>
      <x:c r="D1662" s="3" t="inlineStr">
        <x:is>
          <x:t xml:space="preserve">山东威高血液净化制品股份有限公司</x:t>
        </x:is>
      </x:c>
      <x:c r="E1662" s="2" t="inlineStr">
        <x:is>
          <x:t xml:space="preserve">山东省</x:t>
        </x:is>
      </x:c>
      <x:c r="F1662" s="2" t="inlineStr">
        <x:is>
          <x:t xml:space="preserve">威海市</x:t>
        </x:is>
      </x:c>
      <x:c r="G1662" s="3" t="inlineStr">
        <x:is>
          <x:t xml:space="preserve">山东省-威海市</x:t>
        </x:is>
      </x:c>
      <x:c r="H1662" s="2" t="inlineStr">
        <x:is>
          <x:t xml:space="preserve">医疗器械</x:t>
        </x:is>
      </x:c>
      <x:c r="I1662" s="2" t="inlineStr">
        <x:is>
          <x:t xml:space="preserve">2025-05-19</x:t>
        </x:is>
      </x:c>
      <x:c r="J1662" s="3" t="inlineStr">
        <x:is>
          <x:t xml:space="preserve">威海火炬高技术产业开发区威高西路7号</x:t>
        </x:is>
      </x:c>
      <x:c r="K1662" s="12" t="str">
        <x:f>LEFT("91371000769746944L",18)</x:f>
        <x:v>91371000769746944L</x:v>
      </x:c>
    </x:row>
    <x:row r="1663">
      <x:c r="A1663" s="4" t="n">
        <x:v>1662</x:v>
      </x:c>
      <x:c r="B1663" s="4" t="inlineStr">
        <x:is>
          <x:t xml:space="preserve">603021</x:t>
        </x:is>
      </x:c>
      <x:c r="C1663" s="5" t="inlineStr">
        <x:is>
          <x:t xml:space="preserve">ST华鹏</x:t>
        </x:is>
      </x:c>
      <x:c r="D1663" s="5" t="inlineStr">
        <x:is>
          <x:t xml:space="preserve">山东华鹏玻璃股份有限公司</x:t>
        </x:is>
      </x:c>
      <x:c r="E1663" s="4" t="inlineStr">
        <x:is>
          <x:t xml:space="preserve">山东省</x:t>
        </x:is>
      </x:c>
      <x:c r="F1663" s="4" t="inlineStr">
        <x:is>
          <x:t xml:space="preserve">东省荣成市</x:t>
        </x:is>
      </x:c>
      <x:c r="G1663" s="5" t="inlineStr">
        <x:is>
          <x:t xml:space="preserve">山东省-东省荣成市</x:t>
        </x:is>
      </x:c>
      <x:c r="H1663" s="4" t="inlineStr">
        <x:is>
          <x:t xml:space="preserve">玻璃陶瓷</x:t>
        </x:is>
      </x:c>
      <x:c r="I1663" s="4" t="inlineStr">
        <x:is>
          <x:t xml:space="preserve">2015-04-23</x:t>
        </x:is>
      </x:c>
      <x:c r="J1663" s="5" t="inlineStr">
        <x:is>
          <x:t xml:space="preserve">山东省荣成市石岛龙云路468号</x:t>
        </x:is>
      </x:c>
      <x:c r="K1663" s="12" t="str">
        <x:f>LEFT("913710007060840744",18)</x:f>
        <x:v>913710007060840700</x:v>
      </x:c>
    </x:row>
    <x:row r="1664">
      <x:c r="A1664" s="2" t="n">
        <x:v>1663</x:v>
      </x:c>
      <x:c r="B1664" s="2" t="inlineStr">
        <x:is>
          <x:t xml:space="preserve">603026</x:t>
        </x:is>
      </x:c>
      <x:c r="C1664" s="3" t="inlineStr">
        <x:is>
          <x:t xml:space="preserve">石大胜华</x:t>
        </x:is>
      </x:c>
      <x:c r="D1664" s="3" t="inlineStr">
        <x:is>
          <x:t xml:space="preserve">石大胜华新材料集团股份有限公司</x:t>
        </x:is>
      </x:c>
      <x:c r="E1664" s="2" t="inlineStr">
        <x:is>
          <x:t xml:space="preserve">山东省</x:t>
        </x:is>
      </x:c>
      <x:c r="F1664" s="2" t="inlineStr">
        <x:is>
          <x:t xml:space="preserve">东营市</x:t>
        </x:is>
      </x:c>
      <x:c r="G1664" s="3" t="inlineStr">
        <x:is>
          <x:t xml:space="preserve">山东省-东营市</x:t>
        </x:is>
      </x:c>
      <x:c r="H1664" s="2" t="inlineStr">
        <x:is>
          <x:t xml:space="preserve">化工行业</x:t>
        </x:is>
      </x:c>
      <x:c r="I1664" s="2" t="inlineStr">
        <x:is>
          <x:t xml:space="preserve">2015-05-29</x:t>
        </x:is>
      </x:c>
      <x:c r="J1664" s="3" t="inlineStr">
        <x:is>
          <x:t xml:space="preserve">山东省东营市垦利区同兴路198号</x:t>
        </x:is>
      </x:c>
      <x:c r="K1664" s="12" t="str">
        <x:f>LEFT("91370000745694238L",18)</x:f>
        <x:v>91370000745694238L</x:v>
      </x:c>
    </x:row>
    <x:row r="1665">
      <x:c r="A1665" s="4" t="n">
        <x:v>1664</x:v>
      </x:c>
      <x:c r="B1665" s="4" t="inlineStr">
        <x:is>
          <x:t xml:space="preserve">603029</x:t>
        </x:is>
      </x:c>
      <x:c r="C1665" s="5" t="inlineStr">
        <x:is>
          <x:t xml:space="preserve">天鹅股份</x:t>
        </x:is>
      </x:c>
      <x:c r="D1665" s="5" t="inlineStr">
        <x:is>
          <x:t xml:space="preserve">山东天鹅棉业机械股份有限公司</x:t>
        </x:is>
      </x:c>
      <x:c r="E1665" s="4" t="inlineStr">
        <x:is>
          <x:t xml:space="preserve">山东省</x:t>
        </x:is>
      </x:c>
      <x:c r="F1665" s="4" t="inlineStr">
        <x:is>
          <x:t xml:space="preserve">济南市</x:t>
        </x:is>
      </x:c>
      <x:c r="G1665" s="5" t="inlineStr">
        <x:is>
          <x:t xml:space="preserve">山东省-济南市</x:t>
        </x:is>
      </x:c>
      <x:c r="H1665" s="4" t="inlineStr">
        <x:is>
          <x:t xml:space="preserve">专用设备</x:t>
        </x:is>
      </x:c>
      <x:c r="I1665" s="4" t="inlineStr">
        <x:is>
          <x:t xml:space="preserve">2016-04-27</x:t>
        </x:is>
      </x:c>
      <x:c r="J1665" s="5" t="inlineStr">
        <x:is>
          <x:t xml:space="preserve">济南市天桥区大魏庄东路99号</x:t>
        </x:is>
      </x:c>
      <x:c r="K1665" s="12" t="str">
        <x:f>LEFT("91370000163042731A",18)</x:f>
        <x:v>91370000163042731A</x:v>
      </x:c>
    </x:row>
    <x:row r="1666">
      <x:c r="A1666" s="2" t="n">
        <x:v>1665</x:v>
      </x:c>
      <x:c r="B1666" s="2" t="inlineStr">
        <x:is>
          <x:t xml:space="preserve">603086</x:t>
        </x:is>
      </x:c>
      <x:c r="C1666" s="3" t="inlineStr">
        <x:is>
          <x:t xml:space="preserve">先达股份</x:t>
        </x:is>
      </x:c>
      <x:c r="D1666" s="3" t="inlineStr">
        <x:is>
          <x:t xml:space="preserve">山东先达农化股份有限公司</x:t>
        </x:is>
      </x:c>
      <x:c r="E1666" s="2" t="inlineStr">
        <x:is>
          <x:t xml:space="preserve">山东省</x:t>
        </x:is>
      </x:c>
      <x:c r="F1666" s="2" t="inlineStr">
        <x:is>
          <x:t xml:space="preserve">滨州市</x:t>
        </x:is>
      </x:c>
      <x:c r="G1666" s="3" t="inlineStr">
        <x:is>
          <x:t xml:space="preserve">山东省-滨州市</x:t>
        </x:is>
      </x:c>
      <x:c r="H1666" s="2" t="inlineStr">
        <x:is>
          <x:t xml:space="preserve">农药兽药</x:t>
        </x:is>
      </x:c>
      <x:c r="I1666" s="2" t="inlineStr">
        <x:is>
          <x:t xml:space="preserve">2017-05-11</x:t>
        </x:is>
      </x:c>
      <x:c r="J1666" s="3" t="inlineStr">
        <x:is>
          <x:t xml:space="preserve">山东省博兴县经济开发区</x:t>
        </x:is>
      </x:c>
      <x:c r="K1666" s="12" t="str">
        <x:f>LEFT("913700007433656097",18)</x:f>
        <x:v>913700007433656000</x:v>
      </x:c>
    </x:row>
    <x:row r="1667">
      <x:c r="A1667" s="4" t="n">
        <x:v>1666</x:v>
      </x:c>
      <x:c r="B1667" s="4" t="inlineStr">
        <x:is>
          <x:t xml:space="preserve">603102</x:t>
        </x:is>
      </x:c>
      <x:c r="C1667" s="5" t="inlineStr">
        <x:is>
          <x:t xml:space="preserve">百合股份</x:t>
        </x:is>
      </x:c>
      <x:c r="D1667" s="5" t="inlineStr">
        <x:is>
          <x:t xml:space="preserve">威海百合生物技术股份有限公司</x:t>
        </x:is>
      </x:c>
      <x:c r="E1667" s="4" t="inlineStr">
        <x:is>
          <x:t xml:space="preserve">山东省</x:t>
        </x:is>
      </x:c>
      <x:c r="F1667" s="4" t="inlineStr">
        <x:is>
          <x:t xml:space="preserve">东省荣成市</x:t>
        </x:is>
      </x:c>
      <x:c r="G1667" s="5" t="inlineStr">
        <x:is>
          <x:t xml:space="preserve">山东省-东省荣成市</x:t>
        </x:is>
      </x:c>
      <x:c r="H1667" s="4" t="inlineStr">
        <x:is>
          <x:t xml:space="preserve">食品饮料</x:t>
        </x:is>
      </x:c>
      <x:c r="I1667" s="4" t="inlineStr">
        <x:is>
          <x:t xml:space="preserve">2022-01-25</x:t>
        </x:is>
      </x:c>
      <x:c r="J1667" s="5" t="inlineStr">
        <x:is>
          <x:t xml:space="preserve">山东省荣成市天鹅湖经济技术开发区成大路552号</x:t>
        </x:is>
      </x:c>
      <x:c r="K1667" s="12" t="str">
        <x:f>LEFT("913710007823210514",18)</x:f>
        <x:v>913710007823210500</x:v>
      </x:c>
    </x:row>
    <x:row r="1668">
      <x:c r="A1668" s="2" t="n">
        <x:v>1667</x:v>
      </x:c>
      <x:c r="B1668" s="2" t="inlineStr">
        <x:is>
          <x:t xml:space="preserve">603113</x:t>
        </x:is>
      </x:c>
      <x:c r="C1668" s="3" t="inlineStr">
        <x:is>
          <x:t xml:space="preserve">金能科技</x:t>
        </x:is>
      </x:c>
      <x:c r="D1668" s="3" t="inlineStr">
        <x:is>
          <x:t xml:space="preserve">金能科技股份有限公司</x:t>
        </x:is>
      </x:c>
      <x:c r="E1668" s="2" t="inlineStr">
        <x:is>
          <x:t xml:space="preserve">山东省</x:t>
        </x:is>
      </x:c>
      <x:c r="F1668" s="2" t="inlineStr">
        <x:is>
          <x:t xml:space="preserve">德州市</x:t>
        </x:is>
      </x:c>
      <x:c r="G1668" s="3" t="inlineStr">
        <x:is>
          <x:t xml:space="preserve">山东省-德州市</x:t>
        </x:is>
      </x:c>
      <x:c r="H1668" s="2" t="inlineStr">
        <x:is>
          <x:t xml:space="preserve">化学原料</x:t>
        </x:is>
      </x:c>
      <x:c r="I1668" s="2" t="inlineStr">
        <x:is>
          <x:t xml:space="preserve">2017-05-11</x:t>
        </x:is>
      </x:c>
      <x:c r="J1668" s="3" t="inlineStr">
        <x:is>
          <x:t xml:space="preserve">山东省齐河县工业园区西路1号</x:t>
        </x:is>
      </x:c>
      <x:c r="K1668" s="12" t="str">
        <x:f>LEFT("91371400768733877C",18)</x:f>
        <x:v>91371400768733877C</x:v>
      </x:c>
    </x:row>
    <x:row r="1669">
      <x:c r="A1669" s="4" t="n">
        <x:v>1668</x:v>
      </x:c>
      <x:c r="B1669" s="4" t="inlineStr">
        <x:is>
          <x:t xml:space="preserve">603151</x:t>
        </x:is>
      </x:c>
      <x:c r="C1669" s="5" t="inlineStr">
        <x:is>
          <x:t xml:space="preserve">邦基科技</x:t>
        </x:is>
      </x:c>
      <x:c r="D1669" s="5" t="inlineStr">
        <x:is>
          <x:t xml:space="preserve">山东邦基科技股份有限公司</x:t>
        </x:is>
      </x:c>
      <x:c r="E1669" s="4" t="inlineStr">
        <x:is>
          <x:t xml:space="preserve">山东省</x:t>
        </x:is>
      </x:c>
      <x:c r="F1669" s="4" t="inlineStr">
        <x:is>
          <x:t xml:space="preserve">淄博市</x:t>
        </x:is>
      </x:c>
      <x:c r="G1669" s="5" t="inlineStr">
        <x:is>
          <x:t xml:space="preserve">山东省-淄博市</x:t>
        </x:is>
      </x:c>
      <x:c r="H1669" s="4" t="inlineStr">
        <x:is>
          <x:t xml:space="preserve">农牧饲渔</x:t>
        </x:is>
      </x:c>
      <x:c r="I1669" s="4" t="inlineStr">
        <x:is>
          <x:t xml:space="preserve">2022-10-19</x:t>
        </x:is>
      </x:c>
      <x:c r="J1669" s="5" t="inlineStr">
        <x:is>
          <x:t xml:space="preserve">淄博市高新区民祥路东首</x:t>
        </x:is>
      </x:c>
      <x:c r="K1669" s="12" t="str">
        <x:f>LEFT("913703036613963808",18)</x:f>
        <x:v>913703036613963800</x:v>
      </x:c>
    </x:row>
    <x:row r="1670">
      <x:c r="A1670" s="2" t="n">
        <x:v>1669</x:v>
      </x:c>
      <x:c r="B1670" s="2" t="inlineStr">
        <x:is>
          <x:t xml:space="preserve">603167</x:t>
        </x:is>
      </x:c>
      <x:c r="C1670" s="3" t="inlineStr">
        <x:is>
          <x:t xml:space="preserve">渤海轮渡</x:t>
        </x:is>
      </x:c>
      <x:c r="D1670" s="3" t="inlineStr">
        <x:is>
          <x:t xml:space="preserve">渤海轮渡集团股份有限公司</x:t>
        </x:is>
      </x:c>
      <x:c r="E1670" s="2" t="inlineStr">
        <x:is>
          <x:t xml:space="preserve">山东省</x:t>
        </x:is>
      </x:c>
      <x:c r="F1670" s="2" t="inlineStr">
        <x:is>
          <x:t xml:space="preserve">烟台市</x:t>
        </x:is>
      </x:c>
      <x:c r="G1670" s="3" t="inlineStr">
        <x:is>
          <x:t xml:space="preserve">山东省-烟台市</x:t>
        </x:is>
      </x:c>
      <x:c r="H1670" s="2" t="inlineStr">
        <x:is>
          <x:t xml:space="preserve">港口水运</x:t>
        </x:is>
      </x:c>
      <x:c r="I1670" s="2" t="inlineStr">
        <x:is>
          <x:t xml:space="preserve">2012-09-06</x:t>
        </x:is>
      </x:c>
      <x:c r="J1670" s="3" t="inlineStr">
        <x:is>
          <x:t xml:space="preserve">山东省烟台市芝罘区环海路2号</x:t>
        </x:is>
      </x:c>
      <x:c r="K1670" s="12" t="str">
        <x:f>LEFT("91370000863046151N",18)</x:f>
        <x:v>91370000863046151N</x:v>
      </x:c>
    </x:row>
    <x:row r="1671">
      <x:c r="A1671" s="4" t="n">
        <x:v>1670</x:v>
      </x:c>
      <x:c r="B1671" s="4" t="inlineStr">
        <x:is>
          <x:t xml:space="preserve">603182</x:t>
        </x:is>
      </x:c>
      <x:c r="C1671" s="5" t="inlineStr">
        <x:is>
          <x:t xml:space="preserve">嘉华股份</x:t>
        </x:is>
      </x:c>
      <x:c r="D1671" s="5" t="inlineStr">
        <x:is>
          <x:t xml:space="preserve">山东嘉华生物科技股份有限公司</x:t>
        </x:is>
      </x:c>
      <x:c r="E1671" s="4" t="inlineStr">
        <x:is>
          <x:t xml:space="preserve">山东省</x:t>
        </x:is>
      </x:c>
      <x:c r="F1671" s="4" t="inlineStr">
        <x:is>
          <x:t xml:space="preserve">聊城市</x:t>
        </x:is>
      </x:c>
      <x:c r="G1671" s="5" t="inlineStr">
        <x:is>
          <x:t xml:space="preserve">山东省-聊城市</x:t>
        </x:is>
      </x:c>
      <x:c r="H1671" s="4" t="inlineStr">
        <x:is>
          <x:t xml:space="preserve">食品饮料</x:t>
        </x:is>
      </x:c>
      <x:c r="I1671" s="4" t="inlineStr">
        <x:is>
          <x:t xml:space="preserve">2022-09-09</x:t>
        </x:is>
      </x:c>
      <x:c r="J1671" s="5" t="inlineStr">
        <x:is>
          <x:t xml:space="preserve">山东省聊城市莘县鸿图街19号</x:t>
        </x:is>
      </x:c>
      <x:c r="K1671" s="12" t="str">
        <x:f>LEFT("913715007262087676",18)</x:f>
        <x:v>913715007262087700</x:v>
      </x:c>
    </x:row>
    <x:row r="1672">
      <x:c r="A1672" s="2" t="n">
        <x:v>1671</x:v>
      </x:c>
      <x:c r="B1672" s="2" t="inlineStr">
        <x:is>
          <x:t xml:space="preserve">603187</x:t>
        </x:is>
      </x:c>
      <x:c r="C1672" s="3" t="inlineStr">
        <x:is>
          <x:t xml:space="preserve">海容冷链</x:t>
        </x:is>
      </x:c>
      <x:c r="D1672" s="3" t="inlineStr">
        <x:is>
          <x:t xml:space="preserve">青岛海容商用冷链股份有限公司</x:t>
        </x:is>
      </x:c>
      <x:c r="E1672" s="2" t="inlineStr">
        <x:is>
          <x:t xml:space="preserve">山东省</x:t>
        </x:is>
      </x:c>
      <x:c r="F1672" s="2" t="inlineStr">
        <x:is>
          <x:t xml:space="preserve">青岛市</x:t>
        </x:is>
      </x:c>
      <x:c r="G1672" s="3" t="inlineStr">
        <x:is>
          <x:t xml:space="preserve">山东省-青岛市</x:t>
        </x:is>
      </x:c>
      <x:c r="H1672" s="2" t="inlineStr">
        <x:is>
          <x:t xml:space="preserve">通用设备</x:t>
        </x:is>
      </x:c>
      <x:c r="I1672" s="2" t="inlineStr">
        <x:is>
          <x:t xml:space="preserve">2018-11-29</x:t>
        </x:is>
      </x:c>
      <x:c r="J1672" s="3" t="inlineStr">
        <x:is>
          <x:t xml:space="preserve">青岛市黄岛区隐珠山路1817号</x:t>
        </x:is>
      </x:c>
      <x:c r="K1672" s="12" t="str">
        <x:f>LEFT("91370200790825073R",18)</x:f>
        <x:v>91370200790825073R</x:v>
      </x:c>
    </x:row>
    <x:row r="1673">
      <x:c r="A1673" s="4" t="n">
        <x:v>1672</x:v>
      </x:c>
      <x:c r="B1673" s="4" t="inlineStr">
        <x:is>
          <x:t xml:space="preserve">603190</x:t>
        </x:is>
      </x:c>
      <x:c r="C1673" s="5" t="inlineStr">
        <x:is>
          <x:t xml:space="preserve">亚通精工</x:t>
        </x:is>
      </x:c>
      <x:c r="D1673" s="5" t="inlineStr">
        <x:is>
          <x:t xml:space="preserve">烟台亚通精工机械股份有限公司</x:t>
        </x:is>
      </x:c>
      <x:c r="E1673" s="4" t="inlineStr">
        <x:is>
          <x:t xml:space="preserve">山东省</x:t>
        </x:is>
      </x:c>
      <x:c r="F1673" s="4" t="inlineStr">
        <x:is>
          <x:t xml:space="preserve">烟台市</x:t>
        </x:is>
      </x:c>
      <x:c r="G1673" s="5" t="inlineStr">
        <x:is>
          <x:t xml:space="preserve">山东省-烟台市</x:t>
        </x:is>
      </x:c>
      <x:c r="H1673" s="4" t="inlineStr">
        <x:is>
          <x:t xml:space="preserve">汽车零部件</x:t>
        </x:is>
      </x:c>
      <x:c r="I1673" s="4" t="inlineStr">
        <x:is>
          <x:t xml:space="preserve">2023-02-17</x:t>
        </x:is>
      </x:c>
      <x:c r="J1673" s="5" t="inlineStr">
        <x:is>
          <x:t xml:space="preserve">山东省烟台市莱州市经济开发区玉海街6898号</x:t>
        </x:is>
      </x:c>
      <x:c r="K1673" s="12" t="str">
        <x:f>LEFT("913706837381687230",18)</x:f>
        <x:v>913706837381687200</x:v>
      </x:c>
    </x:row>
    <x:row r="1674">
      <x:c r="A1674" s="2" t="n">
        <x:v>1673</x:v>
      </x:c>
      <x:c r="B1674" s="2" t="inlineStr">
        <x:is>
          <x:t xml:space="preserve">603217</x:t>
        </x:is>
      </x:c>
      <x:c r="C1674" s="3" t="inlineStr">
        <x:is>
          <x:t xml:space="preserve">元利科技</x:t>
        </x:is>
      </x:c>
      <x:c r="D1674" s="3" t="inlineStr">
        <x:is>
          <x:t xml:space="preserve">元利化学集团股份有限公司</x:t>
        </x:is>
      </x:c>
      <x:c r="E1674" s="2" t="inlineStr">
        <x:is>
          <x:t xml:space="preserve">山东省</x:t>
        </x:is>
      </x:c>
      <x:c r="F1674" s="2" t="inlineStr">
        <x:is>
          <x:t xml:space="preserve">潍坊市</x:t>
        </x:is>
      </x:c>
      <x:c r="G1674" s="3" t="inlineStr">
        <x:is>
          <x:t xml:space="preserve">山东省-潍坊市</x:t>
        </x:is>
      </x:c>
      <x:c r="H1674" s="2" t="inlineStr">
        <x:is>
          <x:t xml:space="preserve">化工行业</x:t>
        </x:is>
      </x:c>
      <x:c r="I1674" s="2" t="inlineStr">
        <x:is>
          <x:t xml:space="preserve">2019-06-20</x:t>
        </x:is>
      </x:c>
      <x:c r="J1674" s="3" t="inlineStr">
        <x:is>
          <x:t xml:space="preserve">山东省潍坊市昌乐县朱刘街道新城街277号5幢</x:t>
        </x:is>
      </x:c>
      <x:c r="K1674" s="12" t="str">
        <x:f>LEFT("913707007465823505",18)</x:f>
        <x:v>913707007465823500</x:v>
      </x:c>
    </x:row>
    <x:row r="1675">
      <x:c r="A1675" s="4" t="n">
        <x:v>1674</x:v>
      </x:c>
      <x:c r="B1675" s="4" t="inlineStr">
        <x:is>
          <x:t xml:space="preserve">603223</x:t>
        </x:is>
      </x:c>
      <x:c r="C1675" s="5" t="inlineStr">
        <x:is>
          <x:t xml:space="preserve">恒通股份</x:t>
        </x:is>
      </x:c>
      <x:c r="D1675" s="5" t="inlineStr">
        <x:is>
          <x:t xml:space="preserve">恒通物流股份有限公司</x:t>
        </x:is>
      </x:c>
      <x:c r="E1675" s="4" t="inlineStr">
        <x:is>
          <x:t xml:space="preserve">山东省</x:t>
        </x:is>
      </x:c>
      <x:c r="F1675" s="4" t="inlineStr">
        <x:is>
          <x:t xml:space="preserve">烟台市</x:t>
        </x:is>
      </x:c>
      <x:c r="G1675" s="5" t="inlineStr">
        <x:is>
          <x:t xml:space="preserve">山东省-烟台市</x:t>
        </x:is>
      </x:c>
      <x:c r="H1675" s="4" t="inlineStr">
        <x:is>
          <x:t xml:space="preserve">交运物流</x:t>
        </x:is>
      </x:c>
      <x:c r="I1675" s="4" t="inlineStr">
        <x:is>
          <x:t xml:space="preserve">2015-06-30</x:t>
        </x:is>
      </x:c>
      <x:c r="J1675" s="5" t="inlineStr">
        <x:is>
          <x:t xml:space="preserve">山东省烟台市龙口市经济开发区河抱村烟威路东恒通物流股份有限公司综合物流园</x:t>
        </x:is>
      </x:c>
      <x:c r="K1675" s="12" t="str">
        <x:f>LEFT("91370600661975235R",18)</x:f>
        <x:v>91370600661975235R</x:v>
      </x:c>
    </x:row>
    <x:row r="1676">
      <x:c r="A1676" s="2" t="n">
        <x:v>1675</x:v>
      </x:c>
      <x:c r="B1676" s="2" t="inlineStr">
        <x:is>
          <x:t xml:space="preserve">603270</x:t>
        </x:is>
      </x:c>
      <x:c r="C1676" s="3" t="inlineStr">
        <x:is>
          <x:t xml:space="preserve">金帝股份</x:t>
        </x:is>
      </x:c>
      <x:c r="D1676" s="3" t="inlineStr">
        <x:is>
          <x:t xml:space="preserve">山东金帝精密机械科技股份有限公司</x:t>
        </x:is>
      </x:c>
      <x:c r="E1676" s="2" t="inlineStr">
        <x:is>
          <x:t xml:space="preserve">山东省</x:t>
        </x:is>
      </x:c>
      <x:c r="F1676" s="2" t="inlineStr">
        <x:is>
          <x:t xml:space="preserve">聊城市</x:t>
        </x:is>
      </x:c>
      <x:c r="G1676" s="3" t="inlineStr">
        <x:is>
          <x:t xml:space="preserve">山东省-聊城市</x:t>
        </x:is>
      </x:c>
      <x:c r="H1676" s="2" t="inlineStr">
        <x:is>
          <x:t xml:space="preserve">通用设备</x:t>
        </x:is>
      </x:c>
      <x:c r="I1676" s="2" t="inlineStr">
        <x:is>
          <x:t xml:space="preserve">2023-09-01</x:t>
        </x:is>
      </x:c>
      <x:c r="J1676" s="3" t="inlineStr">
        <x:is>
          <x:t xml:space="preserve">聊城市东昌府区郑家镇工业区66号</x:t>
        </x:is>
      </x:c>
      <x:c r="K1676" s="12" t="str">
        <x:f>LEFT("91371500MA3CJ2B45B",18)</x:f>
        <x:v>91371500MA3CJ2B45B</x:v>
      </x:c>
    </x:row>
    <x:row r="1677">
      <x:c r="A1677" s="4" t="n">
        <x:v>1676</x:v>
      </x:c>
      <x:c r="B1677" s="4" t="inlineStr">
        <x:is>
          <x:t xml:space="preserve">603278</x:t>
        </x:is>
      </x:c>
      <x:c r="C1677" s="5" t="inlineStr">
        <x:is>
          <x:t xml:space="preserve">大业股份</x:t>
        </x:is>
      </x:c>
      <x:c r="D1677" s="5" t="inlineStr">
        <x:is>
          <x:t xml:space="preserve">山东大业股份有限公司</x:t>
        </x:is>
      </x:c>
      <x:c r="E1677" s="4" t="inlineStr">
        <x:is>
          <x:t xml:space="preserve">山东省</x:t>
        </x:is>
      </x:c>
      <x:c r="F1677" s="4" t="inlineStr">
        <x:is>
          <x:t xml:space="preserve">诸城市</x:t>
        </x:is>
      </x:c>
      <x:c r="G1677" s="5" t="inlineStr">
        <x:is>
          <x:t xml:space="preserve">山东省-诸城市</x:t>
        </x:is>
      </x:c>
      <x:c r="H1677" s="4" t="inlineStr">
        <x:is>
          <x:t xml:space="preserve">通用设备</x:t>
        </x:is>
      </x:c>
      <x:c r="I1677" s="4" t="inlineStr">
        <x:is>
          <x:t xml:space="preserve">2017-11-13</x:t>
        </x:is>
      </x:c>
      <x:c r="J1677" s="5" t="inlineStr">
        <x:is>
          <x:t xml:space="preserve">诸城市朱诸路北辛兴经济工业园</x:t>
        </x:is>
      </x:c>
      <x:c r="K1677" s="12" t="str">
        <x:f>LEFT("91370700758260017E",18)</x:f>
        <x:v>91370700758260017E</x:v>
      </x:c>
    </x:row>
    <x:row r="1678">
      <x:c r="A1678" s="2" t="n">
        <x:v>1677</x:v>
      </x:c>
      <x:c r="B1678" s="2" t="inlineStr">
        <x:is>
          <x:t xml:space="preserve">603279</x:t>
        </x:is>
      </x:c>
      <x:c r="C1678" s="3" t="inlineStr">
        <x:is>
          <x:t xml:space="preserve">景津装备</x:t>
        </x:is>
      </x:c>
      <x:c r="D1678" s="3" t="inlineStr">
        <x:is>
          <x:t xml:space="preserve">景津装备股份有限公司</x:t>
        </x:is>
      </x:c>
      <x:c r="E1678" s="2" t="inlineStr">
        <x:is>
          <x:t xml:space="preserve">山东省</x:t>
        </x:is>
      </x:c>
      <x:c r="F1678" s="2" t="inlineStr">
        <x:is>
          <x:t xml:space="preserve">德州市</x:t>
        </x:is>
      </x:c>
      <x:c r="G1678" s="3" t="inlineStr">
        <x:is>
          <x:t xml:space="preserve">山东省-德州市</x:t>
        </x:is>
      </x:c>
      <x:c r="H1678" s="2" t="inlineStr">
        <x:is>
          <x:t xml:space="preserve">通用设备</x:t>
        </x:is>
      </x:c>
      <x:c r="I1678" s="2" t="inlineStr">
        <x:is>
          <x:t xml:space="preserve">2019-07-29</x:t>
        </x:is>
      </x:c>
      <x:c r="J1678" s="3" t="inlineStr">
        <x:is>
          <x:t xml:space="preserve">德州经济开发区德城区晶华路北首</x:t>
        </x:is>
      </x:c>
      <x:c r="K1678" s="12" t="str">
        <x:f>LEFT("9137140056770173X4",18)</x:f>
        <x:v>9137140056770173X4</x:v>
      </x:c>
    </x:row>
    <x:row r="1679">
      <x:c r="A1679" s="4" t="n">
        <x:v>1678</x:v>
      </x:c>
      <x:c r="B1679" s="4" t="inlineStr">
        <x:is>
          <x:t xml:space="preserve">603285</x:t>
        </x:is>
      </x:c>
      <x:c r="C1679" s="5" t="inlineStr">
        <x:is>
          <x:t xml:space="preserve">键邦股份</x:t>
        </x:is>
      </x:c>
      <x:c r="D1679" s="5" t="inlineStr">
        <x:is>
          <x:t xml:space="preserve">山东键邦新材料股份有限公司</x:t>
        </x:is>
      </x:c>
      <x:c r="E1679" s="4" t="inlineStr">
        <x:is>
          <x:t xml:space="preserve">山东省</x:t>
        </x:is>
      </x:c>
      <x:c r="F1679" s="4" t="inlineStr">
        <x:is>
          <x:t xml:space="preserve">济宁市</x:t>
        </x:is>
      </x:c>
      <x:c r="G1679" s="5" t="inlineStr">
        <x:is>
          <x:t xml:space="preserve">山东省-济宁市</x:t>
        </x:is>
      </x:c>
      <x:c r="H1679" s="4" t="inlineStr">
        <x:is>
          <x:t xml:space="preserve">化学制品</x:t>
        </x:is>
      </x:c>
      <x:c r="I1679" s="4" t="inlineStr">
        <x:is>
          <x:t xml:space="preserve">2024-07-05</x:t>
        </x:is>
      </x:c>
      <x:c r="J1679" s="5" t="inlineStr">
        <x:is>
          <x:t xml:space="preserve">山东省济宁市金乡县胡集镇济宁新材料产业园区</x:t>
        </x:is>
      </x:c>
      <x:c r="K1679" s="12" t="str">
        <x:f>LEFT("9137082831039392XN",18)</x:f>
        <x:v>9137082831039392XN</x:v>
      </x:c>
    </x:row>
    <x:row r="1680">
      <x:c r="A1680" s="2" t="n">
        <x:v>1679</x:v>
      </x:c>
      <x:c r="B1680" s="2" t="inlineStr">
        <x:is>
          <x:t xml:space="preserve">603367</x:t>
        </x:is>
      </x:c>
      <x:c r="C1680" s="3" t="inlineStr">
        <x:is>
          <x:t xml:space="preserve">辰欣药业</x:t>
        </x:is>
      </x:c>
      <x:c r="D1680" s="3" t="inlineStr">
        <x:is>
          <x:t xml:space="preserve">辰欣药业股份有限公司</x:t>
        </x:is>
      </x:c>
      <x:c r="E1680" s="2" t="inlineStr">
        <x:is>
          <x:t xml:space="preserve">山东省</x:t>
        </x:is>
      </x:c>
      <x:c r="F1680" s="2" t="inlineStr">
        <x:is>
          <x:t xml:space="preserve">济宁市</x:t>
        </x:is>
      </x:c>
      <x:c r="G1680" s="3" t="inlineStr">
        <x:is>
          <x:t xml:space="preserve">山东省-济宁市</x:t>
        </x:is>
      </x:c>
      <x:c r="H1680" s="2" t="inlineStr">
        <x:is>
          <x:t xml:space="preserve">医药制造</x:t>
        </x:is>
      </x:c>
      <x:c r="I1680" s="2" t="inlineStr">
        <x:is>
          <x:t xml:space="preserve">2017-09-29</x:t>
        </x:is>
      </x:c>
      <x:c r="J1680" s="3" t="inlineStr">
        <x:is>
          <x:t xml:space="preserve">济宁高新区同济科技工业园</x:t>
        </x:is>
      </x:c>
      <x:c r="K1680" s="12" t="str">
        <x:f>LEFT("91370800706117999P",18)</x:f>
        <x:v>91370800706117999P</x:v>
      </x:c>
    </x:row>
    <x:row r="1681">
      <x:c r="A1681" s="4" t="n">
        <x:v>1680</x:v>
      </x:c>
      <x:c r="B1681" s="4" t="inlineStr">
        <x:is>
          <x:t xml:space="preserve">603421</x:t>
        </x:is>
      </x:c>
      <x:c r="C1681" s="5" t="inlineStr">
        <x:is>
          <x:t xml:space="preserve">鼎信通讯</x:t>
        </x:is>
      </x:c>
      <x:c r="D1681" s="5" t="inlineStr">
        <x:is>
          <x:t xml:space="preserve">青岛鼎信通讯股份有限公司</x:t>
        </x:is>
      </x:c>
      <x:c r="E1681" s="4" t="inlineStr">
        <x:is>
          <x:t xml:space="preserve">山东省</x:t>
        </x:is>
      </x:c>
      <x:c r="F1681" s="4" t="inlineStr">
        <x:is>
          <x:t xml:space="preserve">青岛市</x:t>
        </x:is>
      </x:c>
      <x:c r="G1681" s="5" t="inlineStr">
        <x:is>
          <x:t xml:space="preserve">山东省-青岛市</x:t>
        </x:is>
      </x:c>
      <x:c r="H1681" s="4" t="inlineStr">
        <x:is>
          <x:t xml:space="preserve">通信服务</x:t>
        </x:is>
      </x:c>
      <x:c r="I1681" s="4" t="inlineStr">
        <x:is>
          <x:t xml:space="preserve">2016-10-11</x:t>
        </x:is>
      </x:c>
      <x:c r="J1681" s="5" t="inlineStr">
        <x:is>
          <x:t xml:space="preserve">山东省青岛市市南区宁夏路288号6号楼5楼B区(一照多址)</x:t>
        </x:is>
      </x:c>
      <x:c r="K1681" s="12" t="str">
        <x:f>LEFT("91370200671775202M",18)</x:f>
        <x:v>91370200671775202M</x:v>
      </x:c>
    </x:row>
    <x:row r="1682">
      <x:c r="A1682" s="2" t="n">
        <x:v>1681</x:v>
      </x:c>
      <x:c r="B1682" s="2" t="inlineStr">
        <x:is>
          <x:t xml:space="preserve">603536</x:t>
        </x:is>
      </x:c>
      <x:c r="C1682" s="3" t="inlineStr">
        <x:is>
          <x:t xml:space="preserve">惠发食品</x:t>
        </x:is>
      </x:c>
      <x:c r="D1682" s="3" t="inlineStr">
        <x:is>
          <x:t xml:space="preserve">山东惠发食品股份有限公司</x:t>
        </x:is>
      </x:c>
      <x:c r="E1682" s="2" t="inlineStr">
        <x:is>
          <x:t xml:space="preserve">山东省</x:t>
        </x:is>
      </x:c>
      <x:c r="F1682" s="2" t="inlineStr">
        <x:is>
          <x:t xml:space="preserve">诸城市</x:t>
        </x:is>
      </x:c>
      <x:c r="G1682" s="3" t="inlineStr">
        <x:is>
          <x:t xml:space="preserve">山东省-诸城市</x:t>
        </x:is>
      </x:c>
      <x:c r="H1682" s="2" t="inlineStr">
        <x:is>
          <x:t xml:space="preserve">食品饮料</x:t>
        </x:is>
      </x:c>
      <x:c r="I1682" s="2" t="inlineStr">
        <x:is>
          <x:t xml:space="preserve">2017-06-13</x:t>
        </x:is>
      </x:c>
      <x:c r="J1682" s="3" t="inlineStr">
        <x:is>
          <x:t xml:space="preserve">诸城市舜耕路139号;诸城市舜德路159号</x:t>
        </x:is>
      </x:c>
      <x:c r="K1682" s="12" t="str">
        <x:f>LEFT("91370700735779916D",18)</x:f>
        <x:v>91370700735779916D</x:v>
      </x:c>
    </x:row>
    <x:row r="1683">
      <x:c r="A1683" s="4" t="n">
        <x:v>1682</x:v>
      </x:c>
      <x:c r="B1683" s="4" t="inlineStr">
        <x:is>
          <x:t xml:space="preserve">603577</x:t>
        </x:is>
      </x:c>
      <x:c r="C1683" s="5" t="inlineStr">
        <x:is>
          <x:t xml:space="preserve">汇金通</x:t>
        </x:is>
      </x:c>
      <x:c r="D1683" s="5" t="inlineStr">
        <x:is>
          <x:t xml:space="preserve">青岛汇金通电力设备股份有限公司</x:t>
        </x:is>
      </x:c>
      <x:c r="E1683" s="4" t="inlineStr">
        <x:is>
          <x:t xml:space="preserve">山东省</x:t>
        </x:is>
      </x:c>
      <x:c r="F1683" s="4" t="inlineStr">
        <x:is>
          <x:t xml:space="preserve">青岛市</x:t>
        </x:is>
      </x:c>
      <x:c r="G1683" s="5" t="inlineStr">
        <x:is>
          <x:t xml:space="preserve">山东省-青岛市</x:t>
        </x:is>
      </x:c>
      <x:c r="H1683" s="4" t="inlineStr">
        <x:is>
          <x:t xml:space="preserve">输配电气</x:t>
        </x:is>
      </x:c>
      <x:c r="I1683" s="4" t="inlineStr">
        <x:is>
          <x:t xml:space="preserve">2016-12-22</x:t>
        </x:is>
      </x:c>
      <x:c r="J1683" s="5" t="inlineStr">
        <x:is>
          <x:t xml:space="preserve">青岛胶州市杜村镇寺后村</x:t>
        </x:is>
      </x:c>
      <x:c r="K1683" s="12" t="str">
        <x:f>LEFT("913702007602635757",18)</x:f>
        <x:v>913702007602635800</x:v>
      </x:c>
    </x:row>
    <x:row r="1684">
      <x:c r="A1684" s="2" t="n">
        <x:v>1683</x:v>
      </x:c>
      <x:c r="B1684" s="2" t="inlineStr">
        <x:is>
          <x:t xml:space="preserve">603586</x:t>
        </x:is>
      </x:c>
      <x:c r="C1684" s="3" t="inlineStr">
        <x:is>
          <x:t xml:space="preserve">金麒麟</x:t>
        </x:is>
      </x:c>
      <x:c r="D1684" s="3" t="inlineStr">
        <x:is>
          <x:t xml:space="preserve">山东金麒麟股份有限公司</x:t>
        </x:is>
      </x:c>
      <x:c r="E1684" s="2" t="inlineStr">
        <x:is>
          <x:t xml:space="preserve">山东省</x:t>
        </x:is>
      </x:c>
      <x:c r="F1684" s="2" t="inlineStr">
        <x:is>
          <x:t xml:space="preserve">东省乐陵市</x:t>
        </x:is>
      </x:c>
      <x:c r="G1684" s="3" t="inlineStr">
        <x:is>
          <x:t xml:space="preserve">山东省-东省乐陵市</x:t>
        </x:is>
      </x:c>
      <x:c r="H1684" s="2" t="inlineStr">
        <x:is>
          <x:t xml:space="preserve">汽车行业</x:t>
        </x:is>
      </x:c>
      <x:c r="I1684" s="2" t="inlineStr">
        <x:is>
          <x:t xml:space="preserve">2017-04-06</x:t>
        </x:is>
      </x:c>
      <x:c r="J1684" s="3" t="inlineStr">
        <x:is>
          <x:t xml:space="preserve">山东省乐陵市阜乐路999号</x:t>
        </x:is>
      </x:c>
      <x:c r="K1684" s="12" t="str">
        <x:f>LEFT("91370000706347567T",18)</x:f>
        <x:v>91370000706347567T</x:v>
      </x:c>
    </x:row>
    <x:row r="1685">
      <x:c r="A1685" s="4" t="n">
        <x:v>1684</x:v>
      </x:c>
      <x:c r="B1685" s="4" t="inlineStr">
        <x:is>
          <x:t xml:space="preserve">603612</x:t>
        </x:is>
      </x:c>
      <x:c r="C1685" s="5" t="inlineStr">
        <x:is>
          <x:t xml:space="preserve">索通发展</x:t>
        </x:is>
      </x:c>
      <x:c r="D1685" s="5" t="inlineStr">
        <x:is>
          <x:t xml:space="preserve">索通发展股份有限公司</x:t>
        </x:is>
      </x:c>
      <x:c r="E1685" s="4" t="inlineStr">
        <x:is>
          <x:t xml:space="preserve">山东省</x:t>
        </x:is>
      </x:c>
      <x:c r="F1685" s="4" t="inlineStr">
        <x:is>
          <x:t xml:space="preserve">德州市</x:t>
        </x:is>
      </x:c>
      <x:c r="G1685" s="5" t="inlineStr">
        <x:is>
          <x:t xml:space="preserve">山东省-德州市</x:t>
        </x:is>
      </x:c>
      <x:c r="H1685" s="4" t="inlineStr">
        <x:is>
          <x:t xml:space="preserve">非金属材料</x:t>
        </x:is>
      </x:c>
      <x:c r="I1685" s="4" t="inlineStr">
        <x:is>
          <x:t xml:space="preserve">2017-07-18</x:t>
        </x:is>
      </x:c>
      <x:c r="J1685" s="5" t="inlineStr">
        <x:is>
          <x:t xml:space="preserve">临邑县恒源经济开发区新104国道北侧</x:t>
        </x:is>
      </x:c>
      <x:c r="K1685" s="12" t="str">
        <x:f>LEFT("913714007535441177",18)</x:f>
        <x:v>913714007535441200</x:v>
      </x:c>
    </x:row>
    <x:row r="1686">
      <x:c r="A1686" s="2" t="n">
        <x:v>1685</x:v>
      </x:c>
      <x:c r="B1686" s="2" t="inlineStr">
        <x:is>
          <x:t xml:space="preserve">603638</x:t>
        </x:is>
      </x:c>
      <x:c r="C1686" s="3" t="inlineStr">
        <x:is>
          <x:t xml:space="preserve">艾迪精密</x:t>
        </x:is>
      </x:c>
      <x:c r="D1686" s="3" t="inlineStr">
        <x:is>
          <x:t xml:space="preserve">烟台艾迪精密机械股份有限公司</x:t>
        </x:is>
      </x:c>
      <x:c r="E1686" s="2" t="inlineStr">
        <x:is>
          <x:t xml:space="preserve">山东省</x:t>
        </x:is>
      </x:c>
      <x:c r="F1686" s="2" t="inlineStr">
        <x:is>
          <x:t xml:space="preserve">烟台市</x:t>
        </x:is>
      </x:c>
      <x:c r="G1686" s="3" t="inlineStr">
        <x:is>
          <x:t xml:space="preserve">山东省-烟台市</x:t>
        </x:is>
      </x:c>
      <x:c r="H1686" s="2" t="inlineStr">
        <x:is>
          <x:t xml:space="preserve">工程机械</x:t>
        </x:is>
      </x:c>
      <x:c r="I1686" s="2" t="inlineStr">
        <x:is>
          <x:t xml:space="preserve">2017-01-20</x:t>
        </x:is>
      </x:c>
      <x:c r="J1686" s="3" t="inlineStr">
        <x:is>
          <x:t xml:space="preserve">山东省烟台经济技术开发区秦淮河路189号</x:t>
        </x:is>
      </x:c>
      <x:c r="K1686" s="12" t="str">
        <x:f>LEFT("91370600752684994W",18)</x:f>
        <x:v>91370600752684994W</x:v>
      </x:c>
    </x:row>
    <x:row r="1687">
      <x:c r="A1687" s="4" t="n">
        <x:v>1686</x:v>
      </x:c>
      <x:c r="B1687" s="4" t="inlineStr">
        <x:is>
          <x:t xml:space="preserve">603639</x:t>
        </x:is>
      </x:c>
      <x:c r="C1687" s="5" t="inlineStr">
        <x:is>
          <x:t xml:space="preserve">海利尔</x:t>
        </x:is>
      </x:c>
      <x:c r="D1687" s="5" t="inlineStr">
        <x:is>
          <x:t xml:space="preserve">海利尔药业集团股份有限公司</x:t>
        </x:is>
      </x:c>
      <x:c r="E1687" s="4" t="inlineStr">
        <x:is>
          <x:t xml:space="preserve">山东省</x:t>
        </x:is>
      </x:c>
      <x:c r="F1687" s="4" t="inlineStr">
        <x:is>
          <x:t xml:space="preserve">青岛市</x:t>
        </x:is>
      </x:c>
      <x:c r="G1687" s="5" t="inlineStr">
        <x:is>
          <x:t xml:space="preserve">山东省-青岛市</x:t>
        </x:is>
      </x:c>
      <x:c r="H1687" s="4" t="inlineStr">
        <x:is>
          <x:t xml:space="preserve">农药兽药</x:t>
        </x:is>
      </x:c>
      <x:c r="I1687" s="4" t="inlineStr">
        <x:is>
          <x:t xml:space="preserve">2017-01-12</x:t>
        </x:is>
      </x:c>
      <x:c r="J1687" s="5" t="inlineStr">
        <x:is>
          <x:t xml:space="preserve">山东省青岛市城阳区城东工业园内</x:t>
        </x:is>
      </x:c>
      <x:c r="K1687" s="12" t="str">
        <x:f>LEFT("913702007180212494",18)</x:f>
        <x:v>913702007180212500</x:v>
      </x:c>
    </x:row>
    <x:row r="1688">
      <x:c r="A1688" s="2" t="n">
        <x:v>1687</x:v>
      </x:c>
      <x:c r="B1688" s="2" t="inlineStr">
        <x:is>
          <x:t xml:space="preserve">603708</x:t>
        </x:is>
      </x:c>
      <x:c r="C1688" s="3" t="inlineStr">
        <x:is>
          <x:t xml:space="preserve">家家悦</x:t>
        </x:is>
      </x:c>
      <x:c r="D1688" s="3" t="inlineStr">
        <x:is>
          <x:t xml:space="preserve">家家悦集团股份有限公司</x:t>
        </x:is>
      </x:c>
      <x:c r="E1688" s="2" t="inlineStr">
        <x:is>
          <x:t xml:space="preserve">山东省</x:t>
        </x:is>
      </x:c>
      <x:c r="F1688" s="2" t="inlineStr">
        <x:is>
          <x:t xml:space="preserve">威海市</x:t>
        </x:is>
      </x:c>
      <x:c r="G1688" s="3" t="inlineStr">
        <x:is>
          <x:t xml:space="preserve">山东省-威海市</x:t>
        </x:is>
      </x:c>
      <x:c r="H1688" s="2" t="inlineStr">
        <x:is>
          <x:t xml:space="preserve">商业百货</x:t>
        </x:is>
      </x:c>
      <x:c r="I1688" s="2" t="inlineStr">
        <x:is>
          <x:t xml:space="preserve">2016-12-13</x:t>
        </x:is>
      </x:c>
      <x:c r="J1688" s="3" t="inlineStr">
        <x:is>
          <x:t xml:space="preserve">威海市昆明路45号</x:t>
        </x:is>
      </x:c>
      <x:c r="K1688" s="12" t="str">
        <x:f>LEFT("91371000166697725Y",18)</x:f>
        <x:v>91371000166697725Y</x:v>
      </x:c>
    </x:row>
    <x:row r="1689">
      <x:c r="A1689" s="4" t="n">
        <x:v>1688</x:v>
      </x:c>
      <x:c r="B1689" s="4" t="inlineStr">
        <x:is>
          <x:t xml:space="preserve">603739</x:t>
        </x:is>
      </x:c>
      <x:c r="C1689" s="5" t="inlineStr">
        <x:is>
          <x:t xml:space="preserve">蔚蓝生物</x:t>
        </x:is>
      </x:c>
      <x:c r="D1689" s="5" t="inlineStr">
        <x:is>
          <x:t xml:space="preserve">青岛蔚蓝生物股份有限公司</x:t>
        </x:is>
      </x:c>
      <x:c r="E1689" s="4" t="inlineStr">
        <x:is>
          <x:t xml:space="preserve">山东省</x:t>
        </x:is>
      </x:c>
      <x:c r="F1689" s="4" t="inlineStr">
        <x:is>
          <x:t xml:space="preserve">青岛市</x:t>
        </x:is>
      </x:c>
      <x:c r="G1689" s="5" t="inlineStr">
        <x:is>
          <x:t xml:space="preserve">山东省-青岛市</x:t>
        </x:is>
      </x:c>
      <x:c r="H1689" s="4" t="inlineStr">
        <x:is>
          <x:t xml:space="preserve">农牧饲渔</x:t>
        </x:is>
      </x:c>
      <x:c r="I1689" s="4" t="inlineStr">
        <x:is>
          <x:t xml:space="preserve">2019-01-16</x:t>
        </x:is>
      </x:c>
      <x:c r="J1689" s="5" t="inlineStr">
        <x:is>
          <x:t xml:space="preserve">青岛城阳区王沙路1318号企业服务中心108室</x:t>
        </x:is>
      </x:c>
      <x:c r="K1689" s="12" t="str">
        <x:f>LEFT("913702007702752624",18)</x:f>
        <x:v>913702007702752600</x:v>
      </x:c>
    </x:row>
    <x:row r="1690">
      <x:c r="A1690" s="2" t="n">
        <x:v>1689</x:v>
      </x:c>
      <x:c r="B1690" s="2" t="inlineStr">
        <x:is>
          <x:t xml:space="preserve">603755</x:t>
        </x:is>
      </x:c>
      <x:c r="C1690" s="3" t="inlineStr">
        <x:is>
          <x:t xml:space="preserve">日辰股份</x:t>
        </x:is>
      </x:c>
      <x:c r="D1690" s="3" t="inlineStr">
        <x:is>
          <x:t xml:space="preserve">青岛日辰食品股份有限公司</x:t>
        </x:is>
      </x:c>
      <x:c r="E1690" s="2" t="inlineStr">
        <x:is>
          <x:t xml:space="preserve">山东省</x:t>
        </x:is>
      </x:c>
      <x:c r="F1690" s="2" t="inlineStr">
        <x:is>
          <x:t xml:space="preserve">青岛市</x:t>
        </x:is>
      </x:c>
      <x:c r="G1690" s="3" t="inlineStr">
        <x:is>
          <x:t xml:space="preserve">山东省-青岛市</x:t>
        </x:is>
      </x:c>
      <x:c r="H1690" s="2" t="inlineStr">
        <x:is>
          <x:t xml:space="preserve">食品饮料</x:t>
        </x:is>
      </x:c>
      <x:c r="I1690" s="2" t="inlineStr">
        <x:is>
          <x:t xml:space="preserve">2019-08-28</x:t>
        </x:is>
      </x:c>
      <x:c r="J1690" s="3" t="inlineStr">
        <x:is>
          <x:t xml:space="preserve">青岛市即墨区青岛环保产业园(即发龙山路20号)</x:t>
        </x:is>
      </x:c>
      <x:c r="K1690" s="12" t="str">
        <x:f>LEFT("91370282725584090B",18)</x:f>
        <x:v>91370282725584090B</x:v>
      </x:c>
    </x:row>
    <x:row r="1691">
      <x:c r="A1691" s="4" t="n">
        <x:v>1690</x:v>
      </x:c>
      <x:c r="B1691" s="4" t="inlineStr">
        <x:is>
          <x:t xml:space="preserve">603779</x:t>
        </x:is>
      </x:c>
      <x:c r="C1691" s="5" t="inlineStr">
        <x:is>
          <x:t xml:space="preserve">威龙股份</x:t>
        </x:is>
      </x:c>
      <x:c r="D1691" s="5" t="inlineStr">
        <x:is>
          <x:t xml:space="preserve">威龙葡萄酒股份有限公司</x:t>
        </x:is>
      </x:c>
      <x:c r="E1691" s="4" t="inlineStr">
        <x:is>
          <x:t xml:space="preserve">山东省</x:t>
        </x:is>
      </x:c>
      <x:c r="F1691" s="4" t="inlineStr">
        <x:is>
          <x:t xml:space="preserve">烟台市</x:t>
        </x:is>
      </x:c>
      <x:c r="G1691" s="5" t="inlineStr">
        <x:is>
          <x:t xml:space="preserve">山东省-烟台市</x:t>
        </x:is>
      </x:c>
      <x:c r="H1691" s="4" t="inlineStr">
        <x:is>
          <x:t xml:space="preserve">酿酒行业</x:t>
        </x:is>
      </x:c>
      <x:c r="I1691" s="4" t="inlineStr">
        <x:is>
          <x:t xml:space="preserve">2016-05-16</x:t>
        </x:is>
      </x:c>
      <x:c r="J1691" s="5" t="inlineStr">
        <x:is>
          <x:t xml:space="preserve">山东省烟台市龙口市芦头镇威龙大道567号</x:t>
        </x:is>
      </x:c>
      <x:c r="K1691" s="12" t="str">
        <x:f>LEFT("91370600669347065T",18)</x:f>
        <x:v>91370600669347065T</x:v>
      </x:c>
    </x:row>
    <x:row r="1692">
      <x:c r="A1692" s="2" t="n">
        <x:v>1691</x:v>
      </x:c>
      <x:c r="B1692" s="2" t="inlineStr">
        <x:is>
          <x:t xml:space="preserve">603798</x:t>
        </x:is>
      </x:c>
      <x:c r="C1692" s="3" t="inlineStr">
        <x:is>
          <x:t xml:space="preserve">康普顿</x:t>
        </x:is>
      </x:c>
      <x:c r="D1692" s="3" t="inlineStr">
        <x:is>
          <x:t xml:space="preserve">青岛康普顿科技股份有限公司</x:t>
        </x:is>
      </x:c>
      <x:c r="E1692" s="2" t="inlineStr">
        <x:is>
          <x:t xml:space="preserve">山东省</x:t>
        </x:is>
      </x:c>
      <x:c r="F1692" s="2" t="inlineStr">
        <x:is>
          <x:t xml:space="preserve">青岛市</x:t>
        </x:is>
      </x:c>
      <x:c r="G1692" s="3" t="inlineStr">
        <x:is>
          <x:t xml:space="preserve">山东省-青岛市</x:t>
        </x:is>
      </x:c>
      <x:c r="H1692" s="2" t="inlineStr">
        <x:is>
          <x:t xml:space="preserve">石油行业</x:t>
        </x:is>
      </x:c>
      <x:c r="I1692" s="2" t="inlineStr">
        <x:is>
          <x:t xml:space="preserve">2016-04-06</x:t>
        </x:is>
      </x:c>
      <x:c r="J1692" s="3" t="inlineStr">
        <x:is>
          <x:t xml:space="preserve">山东省青岛市崂山区深圳路18号</x:t>
        </x:is>
      </x:c>
      <x:c r="K1692" s="12" t="str">
        <x:f>LEFT("913702007569030236",18)</x:f>
        <x:v>913702007569030300</x:v>
      </x:c>
    </x:row>
    <x:row r="1693">
      <x:c r="A1693" s="4" t="n">
        <x:v>1692</x:v>
      </x:c>
      <x:c r="B1693" s="4" t="inlineStr">
        <x:is>
          <x:t xml:space="preserve">603836</x:t>
        </x:is>
      </x:c>
      <x:c r="C1693" s="5" t="inlineStr">
        <x:is>
          <x:t xml:space="preserve">海程邦达</x:t>
        </x:is>
      </x:c>
      <x:c r="D1693" s="5" t="inlineStr">
        <x:is>
          <x:t xml:space="preserve">海程邦达供应链管理股份有限公司</x:t>
        </x:is>
      </x:c>
      <x:c r="E1693" s="4" t="inlineStr">
        <x:is>
          <x:t xml:space="preserve">山东省</x:t>
        </x:is>
      </x:c>
      <x:c r="F1693" s="4" t="inlineStr">
        <x:is>
          <x:t xml:space="preserve">青岛市</x:t>
        </x:is>
      </x:c>
      <x:c r="G1693" s="5" t="inlineStr">
        <x:is>
          <x:t xml:space="preserve">山东省-青岛市</x:t>
        </x:is>
      </x:c>
      <x:c r="H1693" s="4" t="inlineStr">
        <x:is>
          <x:t xml:space="preserve">交运物流</x:t>
        </x:is>
      </x:c>
      <x:c r="I1693" s="4" t="inlineStr">
        <x:is>
          <x:t xml:space="preserve">2021-05-26</x:t>
        </x:is>
      </x:c>
      <x:c r="J1693" s="5" t="inlineStr">
        <x:is>
          <x:t xml:space="preserve">山东省青岛市市南区山东路6号华润大厦B座10层1008室</x:t>
        </x:is>
      </x:c>
      <x:c r="K1693" s="12" t="str">
        <x:f>LEFT("91370200697182392G",18)</x:f>
        <x:v>91370200697182392G</x:v>
      </x:c>
    </x:row>
    <x:row r="1694">
      <x:c r="A1694" s="2" t="n">
        <x:v>1693</x:v>
      </x:c>
      <x:c r="B1694" s="2" t="inlineStr">
        <x:is>
          <x:t xml:space="preserve">603856</x:t>
        </x:is>
      </x:c>
      <x:c r="C1694" s="3" t="inlineStr">
        <x:is>
          <x:t xml:space="preserve">东宏股份</x:t>
        </x:is>
      </x:c>
      <x:c r="D1694" s="3" t="inlineStr">
        <x:is>
          <x:t xml:space="preserve">山东东宏管业股份有限公司</x:t>
        </x:is>
      </x:c>
      <x:c r="E1694" s="2" t="inlineStr">
        <x:is>
          <x:t xml:space="preserve">山东省</x:t>
        </x:is>
      </x:c>
      <x:c r="F1694" s="2" t="inlineStr">
        <x:is>
          <x:t xml:space="preserve">东省曲阜市</x:t>
        </x:is>
      </x:c>
      <x:c r="G1694" s="3" t="inlineStr">
        <x:is>
          <x:t xml:space="preserve">山东省-东省曲阜市</x:t>
        </x:is>
      </x:c>
      <x:c r="H1694" s="2" t="inlineStr">
        <x:is>
          <x:t xml:space="preserve">装修建材</x:t>
        </x:is>
      </x:c>
      <x:c r="I1694" s="2" t="inlineStr">
        <x:is>
          <x:t xml:space="preserve">2017-11-06</x:t>
        </x:is>
      </x:c>
      <x:c r="J1694" s="3" t="inlineStr">
        <x:is>
          <x:t xml:space="preserve">山东省曲阜市东宏路1号</x:t>
        </x:is>
      </x:c>
      <x:c r="K1694" s="12" t="str">
        <x:f>LEFT("913708006722078217",18)</x:f>
        <x:v>913708006722078200</x:v>
      </x:c>
    </x:row>
    <x:row r="1695">
      <x:c r="A1695" s="4" t="n">
        <x:v>1694</x:v>
      </x:c>
      <x:c r="B1695" s="4" t="inlineStr">
        <x:is>
          <x:t xml:space="preserve">603858</x:t>
        </x:is>
      </x:c>
      <x:c r="C1695" s="5" t="inlineStr">
        <x:is>
          <x:t xml:space="preserve">步长制药</x:t>
        </x:is>
      </x:c>
      <x:c r="D1695" s="5" t="inlineStr">
        <x:is>
          <x:t xml:space="preserve">山东步长制药股份有限公司</x:t>
        </x:is>
      </x:c>
      <x:c r="E1695" s="4" t="inlineStr">
        <x:is>
          <x:t xml:space="preserve">山东省</x:t>
        </x:is>
      </x:c>
      <x:c r="F1695" s="4" t="inlineStr">
        <x:is>
          <x:t xml:space="preserve">菏泽市</x:t>
        </x:is>
      </x:c>
      <x:c r="G1695" s="5" t="inlineStr">
        <x:is>
          <x:t xml:space="preserve">山东省-菏泽市</x:t>
        </x:is>
      </x:c>
      <x:c r="H1695" s="4" t="inlineStr">
        <x:is>
          <x:t xml:space="preserve">中药</x:t>
        </x:is>
      </x:c>
      <x:c r="I1695" s="4" t="inlineStr">
        <x:is>
          <x:t xml:space="preserve">2016-11-18</x:t>
        </x:is>
      </x:c>
      <x:c r="J1695" s="5" t="inlineStr">
        <x:is>
          <x:t xml:space="preserve">山东省菏泽市牡丹区中华西路369号</x:t>
        </x:is>
      </x:c>
      <x:c r="K1695" s="12" t="str">
        <x:f>LEFT("91370000728611939A",18)</x:f>
        <x:v>91370000728611939A</x:v>
      </x:c>
    </x:row>
    <x:row r="1696">
      <x:c r="A1696" s="2" t="n">
        <x:v>1695</x:v>
      </x:c>
      <x:c r="B1696" s="2" t="inlineStr">
        <x:is>
          <x:t xml:space="preserve">603967</x:t>
        </x:is>
      </x:c>
      <x:c r="C1696" s="3" t="inlineStr">
        <x:is>
          <x:t xml:space="preserve">中创物流</x:t>
        </x:is>
      </x:c>
      <x:c r="D1696" s="3" t="inlineStr">
        <x:is>
          <x:t xml:space="preserve">中创物流股份有限公司</x:t>
        </x:is>
      </x:c>
      <x:c r="E1696" s="2" t="inlineStr">
        <x:is>
          <x:t xml:space="preserve">山东省</x:t>
        </x:is>
      </x:c>
      <x:c r="F1696" s="2" t="inlineStr">
        <x:is>
          <x:t xml:space="preserve">青岛市</x:t>
        </x:is>
      </x:c>
      <x:c r="G1696" s="3" t="inlineStr">
        <x:is>
          <x:t xml:space="preserve">山东省-青岛市</x:t>
        </x:is>
      </x:c>
      <x:c r="H1696" s="2" t="inlineStr">
        <x:is>
          <x:t xml:space="preserve">交运物流</x:t>
        </x:is>
      </x:c>
      <x:c r="I1696" s="2" t="inlineStr">
        <x:is>
          <x:t xml:space="preserve">2019-04-29</x:t>
        </x:is>
      </x:c>
      <x:c r="J1696" s="3" t="inlineStr">
        <x:is>
          <x:t xml:space="preserve">山东省青岛市崂山区深圳路169号中创大厦23层</x:t>
        </x:is>
      </x:c>
      <x:c r="K1696" s="12" t="str">
        <x:f>LEFT("91370200794041532M",18)</x:f>
        <x:v>91370200794041532M</x:v>
      </x:c>
    </x:row>
    <x:row r="1697">
      <x:c r="A1697" s="4" t="n">
        <x:v>1696</x:v>
      </x:c>
      <x:c r="B1697" s="4" t="inlineStr">
        <x:is>
          <x:t xml:space="preserve">605001</x:t>
        </x:is>
      </x:c>
      <x:c r="C1697" s="5" t="inlineStr">
        <x:is>
          <x:t xml:space="preserve">威奥股份</x:t>
        </x:is>
      </x:c>
      <x:c r="D1697" s="5" t="inlineStr">
        <x:is>
          <x:t xml:space="preserve">青岛威奥轨道股份有限公司</x:t>
        </x:is>
      </x:c>
      <x:c r="E1697" s="4" t="inlineStr">
        <x:is>
          <x:t xml:space="preserve">山东省</x:t>
        </x:is>
      </x:c>
      <x:c r="F1697" s="4" t="inlineStr">
        <x:is>
          <x:t xml:space="preserve">青岛市</x:t>
        </x:is>
      </x:c>
      <x:c r="G1697" s="5" t="inlineStr">
        <x:is>
          <x:t xml:space="preserve">山东省-青岛市</x:t>
        </x:is>
      </x:c>
      <x:c r="H1697" s="4" t="inlineStr">
        <x:is>
          <x:t xml:space="preserve">交运设备</x:t>
        </x:is>
      </x:c>
      <x:c r="I1697" s="4" t="inlineStr">
        <x:is>
          <x:t xml:space="preserve">2020-05-22</x:t>
        </x:is>
      </x:c>
      <x:c r="J1697" s="5" t="inlineStr">
        <x:is>
          <x:t xml:space="preserve">山东省青岛市城阳区兴海支路3号</x:t>
        </x:is>
      </x:c>
      <x:c r="K1697" s="12" t="str">
        <x:f>LEFT("91370214664547623D",18)</x:f>
        <x:v>91370214664547623D</x:v>
      </x:c>
    </x:row>
    <x:row r="1698">
      <x:c r="A1698" s="2" t="n">
        <x:v>1697</x:v>
      </x:c>
      <x:c r="B1698" s="2" t="inlineStr">
        <x:is>
          <x:t xml:space="preserve">605006</x:t>
        </x:is>
      </x:c>
      <x:c r="C1698" s="3" t="inlineStr">
        <x:is>
          <x:t xml:space="preserve">山东玻纤</x:t>
        </x:is>
      </x:c>
      <x:c r="D1698" s="3" t="inlineStr">
        <x:is>
          <x:t xml:space="preserve">山东玻纤集团股份有限公司</x:t>
        </x:is>
      </x:c>
      <x:c r="E1698" s="2" t="inlineStr">
        <x:is>
          <x:t xml:space="preserve">山东省</x:t>
        </x:is>
      </x:c>
      <x:c r="F1698" s="2" t="inlineStr">
        <x:is>
          <x:t xml:space="preserve">临沂市</x:t>
        </x:is>
      </x:c>
      <x:c r="G1698" s="3" t="inlineStr">
        <x:is>
          <x:t xml:space="preserve">山东省-临沂市</x:t>
        </x:is>
      </x:c>
      <x:c r="H1698" s="2" t="inlineStr">
        <x:is>
          <x:t xml:space="preserve">玻璃陶瓷</x:t>
        </x:is>
      </x:c>
      <x:c r="I1698" s="2" t="inlineStr">
        <x:is>
          <x:t xml:space="preserve">2020-09-03</x:t>
        </x:is>
      </x:c>
      <x:c r="J1698" s="3" t="inlineStr">
        <x:is>
          <x:t xml:space="preserve">临沂市沂水县工业园</x:t>
        </x:is>
      </x:c>
      <x:c r="K1698" s="12" t="str">
        <x:f>LEFT("91371300672231450Y",18)</x:f>
        <x:v>91371300672231450Y</x:v>
      </x:c>
    </x:row>
    <x:row r="1699">
      <x:c r="A1699" s="4" t="n">
        <x:v>1698</x:v>
      </x:c>
      <x:c r="B1699" s="4" t="inlineStr">
        <x:is>
          <x:t xml:space="preserve">605016</x:t>
        </x:is>
      </x:c>
      <x:c r="C1699" s="5" t="inlineStr">
        <x:is>
          <x:t xml:space="preserve">百龙创园</x:t>
        </x:is>
      </x:c>
      <x:c r="D1699" s="5" t="inlineStr">
        <x:is>
          <x:t xml:space="preserve">山东百龙创园生物科技股份有限公司</x:t>
        </x:is>
      </x:c>
      <x:c r="E1699" s="4" t="inlineStr">
        <x:is>
          <x:t xml:space="preserve">山东省</x:t>
        </x:is>
      </x:c>
      <x:c r="F1699" s="4" t="inlineStr">
        <x:is>
          <x:t xml:space="preserve">德州市</x:t>
        </x:is>
      </x:c>
      <x:c r="G1699" s="5" t="inlineStr">
        <x:is>
          <x:t xml:space="preserve">山东省-德州市</x:t>
        </x:is>
      </x:c>
      <x:c r="H1699" s="4" t="inlineStr">
        <x:is>
          <x:t xml:space="preserve">食品饮料</x:t>
        </x:is>
      </x:c>
      <x:c r="I1699" s="4" t="inlineStr">
        <x:is>
          <x:t xml:space="preserve">2021-04-21</x:t>
        </x:is>
      </x:c>
      <x:c r="J1699" s="5" t="inlineStr">
        <x:is>
          <x:t xml:space="preserve">山东省德州(禹城)国家高新技术产业开发区德信大街</x:t>
        </x:is>
      </x:c>
      <x:c r="K1699" s="12" t="str">
        <x:f>LEFT("9137148278349486XB",18)</x:f>
        <x:v>9137148278349486XB</x:v>
      </x:c>
    </x:row>
    <x:row r="1700">
      <x:c r="A1700" s="2" t="n">
        <x:v>1699</x:v>
      </x:c>
      <x:c r="B1700" s="2" t="inlineStr">
        <x:is>
          <x:t xml:space="preserve">605100</x:t>
        </x:is>
      </x:c>
      <x:c r="C1700" s="3" t="inlineStr">
        <x:is>
          <x:t xml:space="preserve">华丰股份</x:t>
        </x:is>
      </x:c>
      <x:c r="D1700" s="3" t="inlineStr">
        <x:is>
          <x:t xml:space="preserve">华丰动力股份有限公司</x:t>
        </x:is>
      </x:c>
      <x:c r="E1700" s="2" t="inlineStr">
        <x:is>
          <x:t xml:space="preserve">山东省</x:t>
        </x:is>
      </x:c>
      <x:c r="F1700" s="2" t="inlineStr">
        <x:is>
          <x:t xml:space="preserve">潍坊市</x:t>
        </x:is>
      </x:c>
      <x:c r="G1700" s="3" t="inlineStr">
        <x:is>
          <x:t xml:space="preserve">山东省-潍坊市</x:t>
        </x:is>
      </x:c>
      <x:c r="H1700" s="2" t="inlineStr">
        <x:is>
          <x:t xml:space="preserve">机械行业</x:t>
        </x:is>
      </x:c>
      <x:c r="I1700" s="2" t="inlineStr">
        <x:is>
          <x:t xml:space="preserve">2020-08-11</x:t>
        </x:is>
      </x:c>
      <x:c r="J1700" s="3" t="inlineStr">
        <x:is>
          <x:t xml:space="preserve">潍坊市高新区樱前街7879号</x:t>
        </x:is>
      </x:c>
      <x:c r="K1700" s="12" t="str">
        <x:f>LEFT("91370000760966019E",18)</x:f>
        <x:v>91370000760966019E</x:v>
      </x:c>
    </x:row>
    <x:row r="1701">
      <x:c r="A1701" s="4" t="n">
        <x:v>1700</x:v>
      </x:c>
      <x:c r="B1701" s="4" t="inlineStr">
        <x:is>
          <x:t xml:space="preserve">605198</x:t>
        </x:is>
      </x:c>
      <x:c r="C1701" s="5" t="inlineStr">
        <x:is>
          <x:t xml:space="preserve">安德利</x:t>
        </x:is>
      </x:c>
      <x:c r="D1701" s="5" t="inlineStr">
        <x:is>
          <x:t xml:space="preserve">烟台北方安德利果汁股份有限公司</x:t>
        </x:is>
      </x:c>
      <x:c r="E1701" s="4" t="inlineStr">
        <x:is>
          <x:t xml:space="preserve">山东省</x:t>
        </x:is>
      </x:c>
      <x:c r="F1701" s="4" t="inlineStr">
        <x:is>
          <x:t xml:space="preserve">烟台市</x:t>
        </x:is>
      </x:c>
      <x:c r="G1701" s="5" t="inlineStr">
        <x:is>
          <x:t xml:space="preserve">山东省-烟台市</x:t>
        </x:is>
      </x:c>
      <x:c r="H1701" s="4" t="inlineStr">
        <x:is>
          <x:t xml:space="preserve">食品饮料</x:t>
        </x:is>
      </x:c>
      <x:c r="I1701" s="4" t="inlineStr">
        <x:is>
          <x:t xml:space="preserve">2020-09-18</x:t>
        </x:is>
      </x:c>
      <x:c r="J1701" s="5" t="inlineStr">
        <x:is>
          <x:t xml:space="preserve">中国山东省烟台市牟平经济开发区安德利大街18号</x:t>
        </x:is>
      </x:c>
      <x:c r="K1701" s="12" t="str">
        <x:f>LEFT("91370000613431903J",18)</x:f>
        <x:v>91370000613431903J</x:v>
      </x:c>
    </x:row>
    <x:row r="1702">
      <x:c r="A1702" s="2" t="n">
        <x:v>1701</x:v>
      </x:c>
      <x:c r="B1702" s="2" t="inlineStr">
        <x:is>
          <x:t xml:space="preserve">605287</x:t>
        </x:is>
      </x:c>
      <x:c r="C1702" s="3" t="inlineStr">
        <x:is>
          <x:t xml:space="preserve">德才股份</x:t>
        </x:is>
      </x:c>
      <x:c r="D1702" s="3" t="inlineStr">
        <x:is>
          <x:t xml:space="preserve">德才装饰股份有限公司</x:t>
        </x:is>
      </x:c>
      <x:c r="E1702" s="2" t="inlineStr">
        <x:is>
          <x:t xml:space="preserve">山东省</x:t>
        </x:is>
      </x:c>
      <x:c r="F1702" s="2" t="inlineStr">
        <x:is>
          <x:t xml:space="preserve">青岛市</x:t>
        </x:is>
      </x:c>
      <x:c r="G1702" s="3" t="inlineStr">
        <x:is>
          <x:t xml:space="preserve">山东省-青岛市</x:t>
        </x:is>
      </x:c>
      <x:c r="H1702" s="2" t="inlineStr">
        <x:is>
          <x:t xml:space="preserve">装修装饰</x:t>
        </x:is>
      </x:c>
      <x:c r="I1702" s="2" t="inlineStr">
        <x:is>
          <x:t xml:space="preserve">2021-07-06</x:t>
        </x:is>
      </x:c>
      <x:c r="J1702" s="3" t="inlineStr">
        <x:is>
          <x:t xml:space="preserve">青岛市市南区香港中路169号</x:t>
        </x:is>
      </x:c>
      <x:c r="K1702" s="12" t="str">
        <x:f>LEFT("913702007180133454",18)</x:f>
        <x:v>913702007180133500</x:v>
      </x:c>
    </x:row>
    <x:row r="1703">
      <x:c r="A1703" s="4" t="n">
        <x:v>1702</x:v>
      </x:c>
      <x:c r="B1703" s="4" t="inlineStr">
        <x:is>
          <x:t xml:space="preserve">605567</x:t>
        </x:is>
      </x:c>
      <x:c r="C1703" s="5" t="inlineStr">
        <x:is>
          <x:t xml:space="preserve">春雪食品</x:t>
        </x:is>
      </x:c>
      <x:c r="D1703" s="5" t="inlineStr">
        <x:is>
          <x:t xml:space="preserve">春雪食品集团股份有限公司</x:t>
        </x:is>
      </x:c>
      <x:c r="E1703" s="4" t="inlineStr">
        <x:is>
          <x:t xml:space="preserve">山东省</x:t>
        </x:is>
      </x:c>
      <x:c r="F1703" s="4" t="inlineStr">
        <x:is>
          <x:t xml:space="preserve">东省莱阳市</x:t>
        </x:is>
      </x:c>
      <x:c r="G1703" s="5" t="inlineStr">
        <x:is>
          <x:t xml:space="preserve">山东省-东省莱阳市</x:t>
        </x:is>
      </x:c>
      <x:c r="H1703" s="4" t="inlineStr">
        <x:is>
          <x:t xml:space="preserve">食品饮料</x:t>
        </x:is>
      </x:c>
      <x:c r="I1703" s="4" t="inlineStr">
        <x:is>
          <x:t xml:space="preserve">2021-10-13</x:t>
        </x:is>
      </x:c>
      <x:c r="J1703" s="5" t="inlineStr">
        <x:is>
          <x:t xml:space="preserve">山东省莱阳市富山路382号</x:t>
        </x:is>
      </x:c>
      <x:c r="K1703" s="12" t="str">
        <x:f>LEFT("9137068205791484X9",18)</x:f>
        <x:v>9137068205791484X9</x:v>
      </x:c>
    </x:row>
    <x:row r="1704">
      <x:c r="A1704" s="2" t="n">
        <x:v>1703</x:v>
      </x:c>
      <x:c r="B1704" s="2" t="inlineStr">
        <x:is>
          <x:t xml:space="preserve">605589</x:t>
        </x:is>
      </x:c>
      <x:c r="C1704" s="3" t="inlineStr">
        <x:is>
          <x:t xml:space="preserve">圣泉集团</x:t>
        </x:is>
      </x:c>
      <x:c r="D1704" s="3" t="inlineStr">
        <x:is>
          <x:t xml:space="preserve">济南圣泉集团股份有限公司</x:t>
        </x:is>
      </x:c>
      <x:c r="E1704" s="2" t="inlineStr">
        <x:is>
          <x:t xml:space="preserve">山东省</x:t>
        </x:is>
      </x:c>
      <x:c r="F1704" s="2" t="inlineStr">
        <x:is>
          <x:t xml:space="preserve">济南市</x:t>
        </x:is>
      </x:c>
      <x:c r="G1704" s="3" t="inlineStr">
        <x:is>
          <x:t xml:space="preserve">山东省-济南市</x:t>
        </x:is>
      </x:c>
      <x:c r="H1704" s="2" t="inlineStr">
        <x:is>
          <x:t xml:space="preserve">化工行业</x:t>
        </x:is>
      </x:c>
      <x:c r="I1704" s="2" t="inlineStr">
        <x:is>
          <x:t xml:space="preserve">2021-08-10</x:t>
        </x:is>
      </x:c>
      <x:c r="J1704" s="3" t="inlineStr">
        <x:is>
          <x:t xml:space="preserve">山东省济南市章丘区刁镇工业经济开发区</x:t>
        </x:is>
      </x:c>
      <x:c r="K1704" s="12" t="str">
        <x:f>LEFT("913700001634592463",18)</x:f>
        <x:v>913700001634592500</x:v>
      </x:c>
    </x:row>
    <x:row r="1705">
      <x:c r="A1705" s="4" t="n">
        <x:v>1704</x:v>
      </x:c>
      <x:c r="B1705" s="4" t="inlineStr">
        <x:is>
          <x:t xml:space="preserve">688002</x:t>
        </x:is>
      </x:c>
      <x:c r="C1705" s="5" t="inlineStr">
        <x:is>
          <x:t xml:space="preserve">睿创微纳</x:t>
        </x:is>
      </x:c>
      <x:c r="D1705" s="5" t="inlineStr">
        <x:is>
          <x:t xml:space="preserve">烟台睿创微纳技术股份有限公司</x:t>
        </x:is>
      </x:c>
      <x:c r="E1705" s="4" t="inlineStr">
        <x:is>
          <x:t xml:space="preserve">山东省</x:t>
        </x:is>
      </x:c>
      <x:c r="F1705" s="4" t="inlineStr">
        <x:is>
          <x:t xml:space="preserve">烟台市</x:t>
        </x:is>
      </x:c>
      <x:c r="G1705" s="5" t="inlineStr">
        <x:is>
          <x:t xml:space="preserve">山东省-烟台市</x:t>
        </x:is>
      </x:c>
      <x:c r="H1705" s="4" t="inlineStr">
        <x:is>
          <x:t xml:space="preserve">半导体</x:t>
        </x:is>
      </x:c>
      <x:c r="I1705" s="4" t="inlineStr">
        <x:is>
          <x:t xml:space="preserve">2019-07-22</x:t>
        </x:is>
      </x:c>
      <x:c r="J1705" s="5" t="inlineStr">
        <x:is>
          <x:t xml:space="preserve">中国(山东)自由贸易试验区烟台片区南昌大街3号八角湾中央创新区国际科创中心C楼</x:t>
        </x:is>
      </x:c>
      <x:c r="K1705" s="12" t="str">
        <x:f>LEFT("91370600699650399E",18)</x:f>
        <x:v>91370600699650399E</x:v>
      </x:c>
    </x:row>
    <x:row r="1706">
      <x:c r="A1706" s="2" t="n">
        <x:v>1705</x:v>
      </x:c>
      <x:c r="B1706" s="2" t="inlineStr">
        <x:is>
          <x:t xml:space="preserve">688021</x:t>
        </x:is>
      </x:c>
      <x:c r="C1706" s="3" t="inlineStr">
        <x:is>
          <x:t xml:space="preserve">奥福科技</x:t>
        </x:is>
      </x:c>
      <x:c r="D1706" s="3" t="inlineStr">
        <x:is>
          <x:t xml:space="preserve">山东奥福环保科技股份有限公司</x:t>
        </x:is>
      </x:c>
      <x:c r="E1706" s="2" t="inlineStr">
        <x:is>
          <x:t xml:space="preserve">山东省</x:t>
        </x:is>
      </x:c>
      <x:c r="F1706" s="2" t="inlineStr">
        <x:is>
          <x:t xml:space="preserve">德州市</x:t>
        </x:is>
      </x:c>
      <x:c r="G1706" s="3" t="inlineStr">
        <x:is>
          <x:t xml:space="preserve">山东省-德州市</x:t>
        </x:is>
      </x:c>
      <x:c r="H1706" s="2" t="inlineStr">
        <x:is>
          <x:t xml:space="preserve">环保行业</x:t>
        </x:is>
      </x:c>
      <x:c r="I1706" s="2" t="inlineStr">
        <x:is>
          <x:t xml:space="preserve">2019-11-06</x:t>
        </x:is>
      </x:c>
      <x:c r="J1706" s="3" t="inlineStr">
        <x:is>
          <x:t xml:space="preserve">德州市临邑县花园大街东段路北平昌路西邻131号</x:t>
        </x:is>
      </x:c>
      <x:c r="K1706" s="12" t="str">
        <x:f>LEFT("91371400692032176X",18)</x:f>
        <x:v>91371400692032176X</x:v>
      </x:c>
    </x:row>
    <x:row r="1707">
      <x:c r="A1707" s="4" t="n">
        <x:v>1706</x:v>
      </x:c>
      <x:c r="B1707" s="4" t="inlineStr">
        <x:is>
          <x:t xml:space="preserve">688035</x:t>
        </x:is>
      </x:c>
      <x:c r="C1707" s="5" t="inlineStr">
        <x:is>
          <x:t xml:space="preserve">德邦科技</x:t>
        </x:is>
      </x:c>
      <x:c r="D1707" s="5" t="inlineStr">
        <x:is>
          <x:t xml:space="preserve">烟台德邦科技股份有限公司</x:t>
        </x:is>
      </x:c>
      <x:c r="E1707" s="4" t="inlineStr">
        <x:is>
          <x:t xml:space="preserve">山东省</x:t>
        </x:is>
      </x:c>
      <x:c r="F1707" s="4" t="inlineStr">
        <x:is>
          <x:t xml:space="preserve">烟台市</x:t>
        </x:is>
      </x:c>
      <x:c r="G1707" s="5" t="inlineStr">
        <x:is>
          <x:t xml:space="preserve">山东省-烟台市</x:t>
        </x:is>
      </x:c>
      <x:c r="H1707" s="4" t="inlineStr">
        <x:is>
          <x:t xml:space="preserve">电子元件</x:t>
        </x:is>
      </x:c>
      <x:c r="I1707" s="4" t="inlineStr">
        <x:is>
          <x:t xml:space="preserve">2022-09-19</x:t>
        </x:is>
      </x:c>
      <x:c r="J1707" s="5" t="inlineStr">
        <x:is>
          <x:t xml:space="preserve">山东省烟台市经济技术开发区开封路3-3号(C-41小区)</x:t>
        </x:is>
      </x:c>
      <x:c r="K1707" s="12" t="str">
        <x:f>LEFT("91370600746569906J",18)</x:f>
        <x:v>91370600746569906J</x:v>
      </x:c>
    </x:row>
    <x:row r="1708">
      <x:c r="A1708" s="2" t="n">
        <x:v>1707</x:v>
      </x:c>
      <x:c r="B1708" s="2" t="inlineStr">
        <x:is>
          <x:t xml:space="preserve">688087</x:t>
        </x:is>
      </x:c>
      <x:c r="C1708" s="3" t="inlineStr">
        <x:is>
          <x:t xml:space="preserve">英科再生</x:t>
        </x:is>
      </x:c>
      <x:c r="D1708" s="3" t="inlineStr">
        <x:is>
          <x:t xml:space="preserve">英科再生资源股份有限公司</x:t>
        </x:is>
      </x:c>
      <x:c r="E1708" s="2" t="inlineStr">
        <x:is>
          <x:t xml:space="preserve">山东省</x:t>
        </x:is>
      </x:c>
      <x:c r="F1708" s="2" t="inlineStr">
        <x:is>
          <x:t xml:space="preserve">淄博市</x:t>
        </x:is>
      </x:c>
      <x:c r="G1708" s="3" t="inlineStr">
        <x:is>
          <x:t xml:space="preserve">山东省-淄博市</x:t>
        </x:is>
      </x:c>
      <x:c r="H1708" s="2" t="inlineStr">
        <x:is>
          <x:t xml:space="preserve">塑胶制品</x:t>
        </x:is>
      </x:c>
      <x:c r="I1708" s="2" t="inlineStr">
        <x:is>
          <x:t xml:space="preserve">2021-07-09</x:t>
        </x:is>
      </x:c>
      <x:c r="J1708" s="3" t="inlineStr">
        <x:is>
          <x:t xml:space="preserve">山东省淄博市临淄区齐鲁化学工业园清田路</x:t>
        </x:is>
      </x:c>
      <x:c r="K1708" s="12" t="str">
        <x:f>LEFT("9137000077102422XC",18)</x:f>
        <x:v>9137000077102422XC</x:v>
      </x:c>
    </x:row>
    <x:row r="1709">
      <x:c r="A1709" s="4" t="n">
        <x:v>1708</x:v>
      </x:c>
      <x:c r="B1709" s="4" t="inlineStr">
        <x:is>
          <x:t xml:space="preserve">688136</x:t>
        </x:is>
      </x:c>
      <x:c r="C1709" s="5" t="inlineStr">
        <x:is>
          <x:t xml:space="preserve">科兴制药</x:t>
        </x:is>
      </x:c>
      <x:c r="D1709" s="5" t="inlineStr">
        <x:is>
          <x:t xml:space="preserve">科兴生物制药股份有限公司</x:t>
        </x:is>
      </x:c>
      <x:c r="E1709" s="4" t="inlineStr">
        <x:is>
          <x:t xml:space="preserve">山东省</x:t>
        </x:is>
      </x:c>
      <x:c r="F1709" s="4" t="inlineStr">
        <x:is>
          <x:t xml:space="preserve">济南市</x:t>
        </x:is>
      </x:c>
      <x:c r="G1709" s="5" t="inlineStr">
        <x:is>
          <x:t xml:space="preserve">山东省-济南市</x:t>
        </x:is>
      </x:c>
      <x:c r="H1709" s="4" t="inlineStr">
        <x:is>
          <x:t xml:space="preserve">生物制品</x:t>
        </x:is>
      </x:c>
      <x:c r="I1709" s="4" t="inlineStr">
        <x:is>
          <x:t xml:space="preserve">2020-12-14</x:t>
        </x:is>
      </x:c>
      <x:c r="J1709" s="5" t="inlineStr">
        <x:is>
          <x:t xml:space="preserve">山东省济南市章丘区埠村街道创业路2666号</x:t>
        </x:is>
      </x:c>
      <x:c r="K1709" s="12" t="str">
        <x:f>LEFT("91370181613243451M",18)</x:f>
        <x:v>91370181613243451M</x:v>
      </x:c>
    </x:row>
    <x:row r="1710">
      <x:c r="A1710" s="2" t="n">
        <x:v>1709</x:v>
      </x:c>
      <x:c r="B1710" s="2" t="inlineStr">
        <x:is>
          <x:t xml:space="preserve">688139</x:t>
        </x:is>
      </x:c>
      <x:c r="C1710" s="3" t="inlineStr">
        <x:is>
          <x:t xml:space="preserve">海尔生物</x:t>
        </x:is>
      </x:c>
      <x:c r="D1710" s="3" t="inlineStr">
        <x:is>
          <x:t xml:space="preserve">青岛海尔生物医疗股份有限公司</x:t>
        </x:is>
      </x:c>
      <x:c r="E1710" s="2" t="inlineStr">
        <x:is>
          <x:t xml:space="preserve">山东省</x:t>
        </x:is>
      </x:c>
      <x:c r="F1710" s="2" t="inlineStr">
        <x:is>
          <x:t xml:space="preserve">青岛市</x:t>
        </x:is>
      </x:c>
      <x:c r="G1710" s="3" t="inlineStr">
        <x:is>
          <x:t xml:space="preserve">山东省-青岛市</x:t>
        </x:is>
      </x:c>
      <x:c r="H1710" s="2" t="inlineStr">
        <x:is>
          <x:t xml:space="preserve">医疗器械</x:t>
        </x:is>
      </x:c>
      <x:c r="I1710" s="2" t="inlineStr">
        <x:is>
          <x:t xml:space="preserve">2019-10-25</x:t>
        </x:is>
      </x:c>
      <x:c r="J1710" s="3" t="inlineStr">
        <x:is>
          <x:t xml:space="preserve">山东省青岛市高新区丰源路280号</x:t>
        </x:is>
      </x:c>
      <x:c r="K1710" s="12" t="str">
        <x:f>LEFT("91370211780374731M",18)</x:f>
        <x:v>91370211780374731M</x:v>
      </x:c>
    </x:row>
    <x:row r="1711">
      <x:c r="A1711" s="4" t="n">
        <x:v>1710</x:v>
      </x:c>
      <x:c r="B1711" s="4" t="inlineStr">
        <x:is>
          <x:t xml:space="preserve">688161</x:t>
        </x:is>
      </x:c>
      <x:c r="C1711" s="5" t="inlineStr">
        <x:is>
          <x:t xml:space="preserve">威高骨科</x:t>
        </x:is>
      </x:c>
      <x:c r="D1711" s="5" t="inlineStr">
        <x:is>
          <x:t xml:space="preserve">山东威高骨科材料股份有限公司</x:t>
        </x:is>
      </x:c>
      <x:c r="E1711" s="4" t="inlineStr">
        <x:is>
          <x:t xml:space="preserve">山东省</x:t>
        </x:is>
      </x:c>
      <x:c r="F1711" s="4" t="inlineStr">
        <x:is>
          <x:t xml:space="preserve">威海市</x:t>
        </x:is>
      </x:c>
      <x:c r="G1711" s="5" t="inlineStr">
        <x:is>
          <x:t xml:space="preserve">山东省-威海市</x:t>
        </x:is>
      </x:c>
      <x:c r="H1711" s="4" t="inlineStr">
        <x:is>
          <x:t xml:space="preserve">医疗器械</x:t>
        </x:is>
      </x:c>
      <x:c r="I1711" s="4" t="inlineStr">
        <x:is>
          <x:t xml:space="preserve">2021-06-30</x:t>
        </x:is>
      </x:c>
      <x:c r="J1711" s="5" t="inlineStr">
        <x:is>
          <x:t xml:space="preserve">威海市旅游度假区香江街26号</x:t>
        </x:is>
      </x:c>
      <x:c r="K1711" s="12" t="str">
        <x:f>LEFT("91370000773168024E",18)</x:f>
        <x:v>91370000773168024E</x:v>
      </x:c>
    </x:row>
    <x:row r="1712">
      <x:c r="A1712" s="2" t="n">
        <x:v>1711</x:v>
      </x:c>
      <x:c r="B1712" s="2" t="inlineStr">
        <x:is>
          <x:t xml:space="preserve">688190</x:t>
        </x:is>
      </x:c>
      <x:c r="C1712" s="3" t="inlineStr">
        <x:is>
          <x:t xml:space="preserve">云路股份</x:t>
        </x:is>
      </x:c>
      <x:c r="D1712" s="3" t="inlineStr">
        <x:is>
          <x:t xml:space="preserve">青岛云路先进材料技术股份有限公司</x:t>
        </x:is>
      </x:c>
      <x:c r="E1712" s="2" t="inlineStr">
        <x:is>
          <x:t xml:space="preserve">山东省</x:t>
        </x:is>
      </x:c>
      <x:c r="F1712" s="2" t="inlineStr">
        <x:is>
          <x:t xml:space="preserve">青岛市</x:t>
        </x:is>
      </x:c>
      <x:c r="G1712" s="3" t="inlineStr">
        <x:is>
          <x:t xml:space="preserve">山东省-青岛市</x:t>
        </x:is>
      </x:c>
      <x:c r="H1712" s="2" t="inlineStr">
        <x:is>
          <x:t xml:space="preserve">小金属</x:t>
        </x:is>
      </x:c>
      <x:c r="I1712" s="2" t="inlineStr">
        <x:is>
          <x:t xml:space="preserve">2021-11-26</x:t>
        </x:is>
      </x:c>
      <x:c r="J1712" s="3" t="inlineStr">
        <x:is>
          <x:t xml:space="preserve">山东省青岛市即墨市蓝村镇鑫源东路7号</x:t>
        </x:is>
      </x:c>
      <x:c r="K1712" s="12" t="str">
        <x:f>LEFT("91370282MA3C4GW617",18)</x:f>
        <x:v>91370282MA3C4GW617</x:v>
      </x:c>
    </x:row>
    <x:row r="1713">
      <x:c r="A1713" s="4" t="n">
        <x:v>1712</x:v>
      </x:c>
      <x:c r="B1713" s="4" t="inlineStr">
        <x:is>
          <x:t xml:space="preserve">688191</x:t>
        </x:is>
      </x:c>
      <x:c r="C1713" s="5" t="inlineStr">
        <x:is>
          <x:t xml:space="preserve">智洋创新</x:t>
        </x:is>
      </x:c>
      <x:c r="D1713" s="5" t="inlineStr">
        <x:is>
          <x:t xml:space="preserve">智洋创新科技股份有限公司</x:t>
        </x:is>
      </x:c>
      <x:c r="E1713" s="4" t="inlineStr">
        <x:is>
          <x:t xml:space="preserve">山东省</x:t>
        </x:is>
      </x:c>
      <x:c r="F1713" s="4" t="inlineStr">
        <x:is>
          <x:t xml:space="preserve">淄博市</x:t>
        </x:is>
      </x:c>
      <x:c r="G1713" s="5" t="inlineStr">
        <x:is>
          <x:t xml:space="preserve">山东省-淄博市</x:t>
        </x:is>
      </x:c>
      <x:c r="H1713" s="4" t="inlineStr">
        <x:is>
          <x:t xml:space="preserve">电网设备</x:t>
        </x:is>
      </x:c>
      <x:c r="I1713" s="4" t="inlineStr">
        <x:is>
          <x:t xml:space="preserve">2021-04-08</x:t>
        </x:is>
      </x:c>
      <x:c r="J1713" s="5" t="inlineStr">
        <x:is>
          <x:t xml:space="preserve">山东省淄博市高新区青龙山路9009号仪器仪表产业园10号楼</x:t>
        </x:is>
      </x:c>
      <x:c r="K1713" s="12" t="str">
        <x:f>LEFT("91370300787160568U",18)</x:f>
        <x:v>91370300787160568U</x:v>
      </x:c>
    </x:row>
    <x:row r="1714">
      <x:c r="A1714" s="2" t="n">
        <x:v>1713</x:v>
      </x:c>
      <x:c r="B1714" s="2" t="inlineStr">
        <x:is>
          <x:t xml:space="preserve">688234</x:t>
        </x:is>
      </x:c>
      <x:c r="C1714" s="3" t="inlineStr">
        <x:is>
          <x:t xml:space="preserve">天岳先进</x:t>
        </x:is>
      </x:c>
      <x:c r="D1714" s="3" t="inlineStr">
        <x:is>
          <x:t xml:space="preserve">山东天岳先进科技股份有限公司</x:t>
        </x:is>
      </x:c>
      <x:c r="E1714" s="2" t="inlineStr">
        <x:is>
          <x:t xml:space="preserve">山东省</x:t>
        </x:is>
      </x:c>
      <x:c r="F1714" s="2" t="inlineStr">
        <x:is>
          <x:t xml:space="preserve">济南市</x:t>
        </x:is>
      </x:c>
      <x:c r="G1714" s="3" t="inlineStr">
        <x:is>
          <x:t xml:space="preserve">山东省-济南市</x:t>
        </x:is>
      </x:c>
      <x:c r="H1714" s="2" t="inlineStr">
        <x:is>
          <x:t xml:space="preserve">半导体</x:t>
        </x:is>
      </x:c>
      <x:c r="I1714" s="2" t="inlineStr">
        <x:is>
          <x:t xml:space="preserve">2022-01-12</x:t>
        </x:is>
      </x:c>
      <x:c r="J1714" s="3" t="inlineStr">
        <x:is>
          <x:t xml:space="preserve">中国山东省济南市槐荫区天岳南路99号</x:t>
        </x:is>
      </x:c>
      <x:c r="K1714" s="12" t="str">
        <x:f>LEFT("9137010056077790XN",18)</x:f>
        <x:v>9137010056077790XN</x:v>
      </x:c>
    </x:row>
    <x:row r="1715">
      <x:c r="A1715" s="4" t="n">
        <x:v>1714</x:v>
      </x:c>
      <x:c r="B1715" s="4" t="inlineStr">
        <x:is>
          <x:t xml:space="preserve">688309</x:t>
        </x:is>
      </x:c>
      <x:c r="C1715" s="5" t="inlineStr">
        <x:is>
          <x:t xml:space="preserve">恒誉环保</x:t>
        </x:is>
      </x:c>
      <x:c r="D1715" s="5" t="inlineStr">
        <x:is>
          <x:t xml:space="preserve">济南恒誉环保科技股份有限公司</x:t>
        </x:is>
      </x:c>
      <x:c r="E1715" s="4" t="inlineStr">
        <x:is>
          <x:t xml:space="preserve">山东省</x:t>
        </x:is>
      </x:c>
      <x:c r="F1715" s="4" t="inlineStr">
        <x:is>
          <x:t xml:space="preserve">济南市</x:t>
        </x:is>
      </x:c>
      <x:c r="G1715" s="5" t="inlineStr">
        <x:is>
          <x:t xml:space="preserve">山东省-济南市</x:t>
        </x:is>
      </x:c>
      <x:c r="H1715" s="4" t="inlineStr">
        <x:is>
          <x:t xml:space="preserve">环保工程</x:t>
        </x:is>
      </x:c>
      <x:c r="I1715" s="4" t="inlineStr">
        <x:is>
          <x:t xml:space="preserve">2020-07-14</x:t>
        </x:is>
      </x:c>
      <x:c r="J1715" s="5" t="inlineStr">
        <x:is>
          <x:t xml:space="preserve">山东省济南市长清区海棠路9889号</x:t>
        </x:is>
      </x:c>
      <x:c r="K1715" s="12" t="str">
        <x:f>LEFT("913701007874072767",18)</x:f>
        <x:v>913701007874072700</x:v>
      </x:c>
    </x:row>
    <x:row r="1716">
      <x:c r="A1716" s="2" t="n">
        <x:v>1715</x:v>
      </x:c>
      <x:c r="B1716" s="2" t="inlineStr">
        <x:is>
          <x:t xml:space="preserve">688331</x:t>
        </x:is>
      </x:c>
      <x:c r="C1716" s="3" t="inlineStr">
        <x:is>
          <x:t xml:space="preserve">荣昌生物</x:t>
        </x:is>
      </x:c>
      <x:c r="D1716" s="3" t="inlineStr">
        <x:is>
          <x:t xml:space="preserve">荣昌生物制药(烟台)股份有限公司</x:t>
        </x:is>
      </x:c>
      <x:c r="E1716" s="2" t="inlineStr">
        <x:is>
          <x:t xml:space="preserve">山东省</x:t>
        </x:is>
      </x:c>
      <x:c r="F1716" s="2" t="inlineStr">
        <x:is>
          <x:t xml:space="preserve">烟台市</x:t>
        </x:is>
      </x:c>
      <x:c r="G1716" s="3" t="inlineStr">
        <x:is>
          <x:t xml:space="preserve">山东省-烟台市</x:t>
        </x:is>
      </x:c>
      <x:c r="H1716" s="2" t="inlineStr">
        <x:is>
          <x:t xml:space="preserve">生物制品</x:t>
        </x:is>
      </x:c>
      <x:c r="I1716" s="2" t="inlineStr">
        <x:is>
          <x:t xml:space="preserve">2022-03-31</x:t>
        </x:is>
      </x:c>
      <x:c r="J1716" s="3" t="inlineStr">
        <x:is>
          <x:t xml:space="preserve">中国山东省自由贸易试验区烟台片区烟台开发区北京中路58号</x:t>
        </x:is>
      </x:c>
      <x:c r="K1716" s="12" t="str">
        <x:f>LEFT("91370600676820877R",18)</x:f>
        <x:v>91370600676820877R</x:v>
      </x:c>
    </x:row>
    <x:row r="1717">
      <x:c r="A1717" s="4" t="n">
        <x:v>1716</x:v>
      </x:c>
      <x:c r="B1717" s="4" t="inlineStr">
        <x:is>
          <x:t xml:space="preserve">688363</x:t>
        </x:is>
      </x:c>
      <x:c r="C1717" s="5" t="inlineStr">
        <x:is>
          <x:t xml:space="preserve">华熙生物</x:t>
        </x:is>
      </x:c>
      <x:c r="D1717" s="5" t="inlineStr">
        <x:is>
          <x:t xml:space="preserve">华熙生物科技股份有限公司</x:t>
        </x:is>
      </x:c>
      <x:c r="E1717" s="4" t="inlineStr">
        <x:is>
          <x:t xml:space="preserve">山东省</x:t>
        </x:is>
      </x:c>
      <x:c r="F1717" s="4" t="inlineStr">
        <x:is>
          <x:t xml:space="preserve">济南市</x:t>
        </x:is>
      </x:c>
      <x:c r="G1717" s="5" t="inlineStr">
        <x:is>
          <x:t xml:space="preserve">山东省-济南市</x:t>
        </x:is>
      </x:c>
      <x:c r="H1717" s="4" t="inlineStr">
        <x:is>
          <x:t xml:space="preserve">美容护理</x:t>
        </x:is>
      </x:c>
      <x:c r="I1717" s="4" t="inlineStr">
        <x:is>
          <x:t xml:space="preserve">2019-11-06</x:t>
        </x:is>
      </x:c>
      <x:c r="J1717" s="5" t="inlineStr">
        <x:is>
          <x:t xml:space="preserve">山东省济南市高新技术开发区天辰大街678号</x:t>
        </x:is>
      </x:c>
      <x:c r="K1717" s="12" t="str">
        <x:f>LEFT("913701007207237766",18)</x:f>
        <x:v>913701007207237800</x:v>
      </x:c>
    </x:row>
    <x:row r="1718">
      <x:c r="A1718" s="2" t="n">
        <x:v>1717</x:v>
      </x:c>
      <x:c r="B1718" s="2" t="inlineStr">
        <x:is>
          <x:t xml:space="preserve">688455</x:t>
        </x:is>
      </x:c>
      <x:c r="C1718" s="3" t="inlineStr">
        <x:is>
          <x:t xml:space="preserve">科捷智能</x:t>
        </x:is>
      </x:c>
      <x:c r="D1718" s="3" t="inlineStr">
        <x:is>
          <x:t xml:space="preserve">科捷智能科技股份有限公司</x:t>
        </x:is>
      </x:c>
      <x:c r="E1718" s="2" t="inlineStr">
        <x:is>
          <x:t xml:space="preserve">山东省</x:t>
        </x:is>
      </x:c>
      <x:c r="F1718" s="2" t="inlineStr">
        <x:is>
          <x:t xml:space="preserve">青岛市</x:t>
        </x:is>
      </x:c>
      <x:c r="G1718" s="3" t="inlineStr">
        <x:is>
          <x:t xml:space="preserve">山东省-青岛市</x:t>
        </x:is>
      </x:c>
      <x:c r="H1718" s="2" t="inlineStr">
        <x:is>
          <x:t xml:space="preserve">通用设备</x:t>
        </x:is>
      </x:c>
      <x:c r="I1718" s="2" t="inlineStr">
        <x:is>
          <x:t xml:space="preserve">2022-09-15</x:t>
        </x:is>
      </x:c>
      <x:c r="J1718" s="3" t="inlineStr">
        <x:is>
          <x:t xml:space="preserve">山东省青岛市高新区锦业路21号</x:t>
        </x:is>
      </x:c>
      <x:c r="K1718" s="12" t="str">
        <x:f>LEFT("913702033214329121",18)</x:f>
        <x:v>913702033214329100</x:v>
      </x:c>
    </x:row>
    <x:row r="1719">
      <x:c r="A1719" s="4" t="n">
        <x:v>1718</x:v>
      </x:c>
      <x:c r="B1719" s="4" t="inlineStr">
        <x:is>
          <x:t xml:space="preserve">688501</x:t>
        </x:is>
      </x:c>
      <x:c r="C1719" s="5" t="inlineStr">
        <x:is>
          <x:t xml:space="preserve">青达环保</x:t>
        </x:is>
      </x:c>
      <x:c r="D1719" s="5" t="inlineStr">
        <x:is>
          <x:t xml:space="preserve">青岛达能环保设备股份有限公司</x:t>
        </x:is>
      </x:c>
      <x:c r="E1719" s="4" t="inlineStr">
        <x:is>
          <x:t xml:space="preserve">山东省</x:t>
        </x:is>
      </x:c>
      <x:c r="F1719" s="4" t="inlineStr">
        <x:is>
          <x:t xml:space="preserve">青岛市</x:t>
        </x:is>
      </x:c>
      <x:c r="G1719" s="5" t="inlineStr">
        <x:is>
          <x:t xml:space="preserve">山东省-青岛市</x:t>
        </x:is>
      </x:c>
      <x:c r="H1719" s="4" t="inlineStr">
        <x:is>
          <x:t xml:space="preserve">专用设备</x:t>
        </x:is>
      </x:c>
      <x:c r="I1719" s="4" t="inlineStr">
        <x:is>
          <x:t xml:space="preserve">2021-07-16</x:t>
        </x:is>
      </x:c>
      <x:c r="J1719" s="5" t="inlineStr">
        <x:is>
          <x:t xml:space="preserve">山东省青岛市胶州市胶北办事处工业园达能路3号</x:t>
        </x:is>
      </x:c>
      <x:c r="K1719" s="12" t="str">
        <x:f>LEFT("91370200794008847T",18)</x:f>
        <x:v>91370200794008847T</x:v>
      </x:c>
    </x:row>
    <x:row r="1720">
      <x:c r="A1720" s="2" t="n">
        <x:v>1719</x:v>
      </x:c>
      <x:c r="B1720" s="2" t="inlineStr">
        <x:is>
          <x:t xml:space="preserve">688556</x:t>
        </x:is>
      </x:c>
      <x:c r="C1720" s="3" t="inlineStr">
        <x:is>
          <x:t xml:space="preserve">高测股份</x:t>
        </x:is>
      </x:c>
      <x:c r="D1720" s="3" t="inlineStr">
        <x:is>
          <x:t xml:space="preserve">青岛高测科技股份有限公司</x:t>
        </x:is>
      </x:c>
      <x:c r="E1720" s="2" t="inlineStr">
        <x:is>
          <x:t xml:space="preserve">山东省</x:t>
        </x:is>
      </x:c>
      <x:c r="F1720" s="2" t="inlineStr">
        <x:is>
          <x:t xml:space="preserve">青岛市</x:t>
        </x:is>
      </x:c>
      <x:c r="G1720" s="3" t="inlineStr">
        <x:is>
          <x:t xml:space="preserve">山东省-青岛市</x:t>
        </x:is>
      </x:c>
      <x:c r="H1720" s="2" t="inlineStr">
        <x:is>
          <x:t xml:space="preserve">光伏设备</x:t>
        </x:is>
      </x:c>
      <x:c r="I1720" s="2" t="inlineStr">
        <x:is>
          <x:t xml:space="preserve">2020-08-07</x:t>
        </x:is>
      </x:c>
      <x:c r="J1720" s="3" t="inlineStr">
        <x:is>
          <x:t xml:space="preserve">山东省青岛市高新区崇盛路66号</x:t>
        </x:is>
      </x:c>
      <x:c r="K1720" s="12" t="str">
        <x:f>LEFT("913702007940138810",18)</x:f>
        <x:v>913702007940138800</x:v>
      </x:c>
    </x:row>
    <x:row r="1721">
      <x:c r="A1721" s="4" t="n">
        <x:v>1720</x:v>
      </x:c>
      <x:c r="B1721" s="4" t="inlineStr">
        <x:is>
          <x:t xml:space="preserve">688557</x:t>
        </x:is>
      </x:c>
      <x:c r="C1721" s="5" t="inlineStr">
        <x:is>
          <x:t xml:space="preserve">兰剑智能</x:t>
        </x:is>
      </x:c>
      <x:c r="D1721" s="5" t="inlineStr">
        <x:is>
          <x:t xml:space="preserve">兰剑智能科技股份有限公司</x:t>
        </x:is>
      </x:c>
      <x:c r="E1721" s="4" t="inlineStr">
        <x:is>
          <x:t xml:space="preserve">山东省</x:t>
        </x:is>
      </x:c>
      <x:c r="F1721" s="4" t="inlineStr">
        <x:is>
          <x:t xml:space="preserve">济南市</x:t>
        </x:is>
      </x:c>
      <x:c r="G1721" s="5" t="inlineStr">
        <x:is>
          <x:t xml:space="preserve">山东省-济南市</x:t>
        </x:is>
      </x:c>
      <x:c r="H1721" s="4" t="inlineStr">
        <x:is>
          <x:t xml:space="preserve">通用设备</x:t>
        </x:is>
      </x:c>
      <x:c r="I1721" s="4" t="inlineStr">
        <x:is>
          <x:t xml:space="preserve">2020-12-02</x:t>
        </x:is>
      </x:c>
      <x:c r="J1721" s="5" t="inlineStr">
        <x:is>
          <x:t xml:space="preserve">山东省济南市高新区龙奥北路909号海信龙奥九号1号楼19层</x:t>
        </x:is>
      </x:c>
      <x:c r="K1721" s="12" t="str">
        <x:f>LEFT("91370100264287770A",18)</x:f>
        <x:v>91370100264287770A</x:v>
      </x:c>
    </x:row>
    <x:row r="1722">
      <x:c r="A1722" s="2" t="n">
        <x:v>1721</x:v>
      </x:c>
      <x:c r="B1722" s="2" t="inlineStr">
        <x:is>
          <x:t xml:space="preserve">688579</x:t>
        </x:is>
      </x:c>
      <x:c r="C1722" s="3" t="inlineStr">
        <x:is>
          <x:t xml:space="preserve">山大地纬</x:t>
        </x:is>
      </x:c>
      <x:c r="D1722" s="3" t="inlineStr">
        <x:is>
          <x:t xml:space="preserve">地纬智能科技股份有限公司</x:t>
        </x:is>
      </x:c>
      <x:c r="E1722" s="2" t="inlineStr">
        <x:is>
          <x:t xml:space="preserve">山东省</x:t>
        </x:is>
      </x:c>
      <x:c r="F1722" s="2" t="inlineStr">
        <x:is>
          <x:t xml:space="preserve">济南市</x:t>
        </x:is>
      </x:c>
      <x:c r="G1722" s="3" t="inlineStr">
        <x:is>
          <x:t xml:space="preserve">山东省-济南市</x:t>
        </x:is>
      </x:c>
      <x:c r="H1722" s="2" t="inlineStr">
        <x:is>
          <x:t xml:space="preserve">软件服务</x:t>
        </x:is>
      </x:c>
      <x:c r="I1722" s="2" t="inlineStr">
        <x:is>
          <x:t xml:space="preserve">2020-07-17</x:t>
        </x:is>
      </x:c>
      <x:c r="J1722" s="3" t="inlineStr">
        <x:is>
          <x:t xml:space="preserve">山东省济南市章丘区文博路1579号</x:t>
        </x:is>
      </x:c>
      <x:c r="K1722" s="12" t="str">
        <x:f>LEFT("91370000614070564Q",18)</x:f>
        <x:v>91370000614070564Q</x:v>
      </x:c>
    </x:row>
    <x:row r="1723">
      <x:c r="A1723" s="4" t="n">
        <x:v>1722</x:v>
      </x:c>
      <x:c r="B1723" s="4" t="inlineStr">
        <x:is>
          <x:t xml:space="preserve">688663</x:t>
        </x:is>
      </x:c>
      <x:c r="C1723" s="5" t="inlineStr">
        <x:is>
          <x:t xml:space="preserve">新风光</x:t>
        </x:is>
      </x:c>
      <x:c r="D1723" s="5" t="inlineStr">
        <x:is>
          <x:t xml:space="preserve">新风光电子科技股份有限公司</x:t>
        </x:is>
      </x:c>
      <x:c r="E1723" s="4" t="inlineStr">
        <x:is>
          <x:t xml:space="preserve">山东省</x:t>
        </x:is>
      </x:c>
      <x:c r="F1723" s="4" t="inlineStr">
        <x:is>
          <x:t xml:space="preserve">济宁市</x:t>
        </x:is>
      </x:c>
      <x:c r="G1723" s="5" t="inlineStr">
        <x:is>
          <x:t xml:space="preserve">山东省-济宁市</x:t>
        </x:is>
      </x:c>
      <x:c r="H1723" s="4" t="inlineStr">
        <x:is>
          <x:t xml:space="preserve">电网设备</x:t>
        </x:is>
      </x:c>
      <x:c r="I1723" s="4" t="inlineStr">
        <x:is>
          <x:t xml:space="preserve">2021-04-13</x:t>
        </x:is>
      </x:c>
      <x:c r="J1723" s="5" t="inlineStr">
        <x:is>
          <x:t xml:space="preserve">山东省汶上县经济开发区金成路中段路北</x:t>
        </x:is>
      </x:c>
      <x:c r="K1723" s="12" t="str">
        <x:f>LEFT("913708007657630504",18)</x:f>
        <x:v>913708007657630500</x:v>
      </x:c>
    </x:row>
    <x:row r="1724">
      <x:c r="A1724" s="2" t="n">
        <x:v>1723</x:v>
      </x:c>
      <x:c r="B1724" s="2" t="inlineStr">
        <x:is>
          <x:t xml:space="preserve">688677</x:t>
        </x:is>
      </x:c>
      <x:c r="C1724" s="3" t="inlineStr">
        <x:is>
          <x:t xml:space="preserve">海泰新光</x:t>
        </x:is>
      </x:c>
      <x:c r="D1724" s="3" t="inlineStr">
        <x:is>
          <x:t xml:space="preserve">青岛海泰新光科技股份有限公司</x:t>
        </x:is>
      </x:c>
      <x:c r="E1724" s="2" t="inlineStr">
        <x:is>
          <x:t xml:space="preserve">山东省</x:t>
        </x:is>
      </x:c>
      <x:c r="F1724" s="2" t="inlineStr">
        <x:is>
          <x:t xml:space="preserve">青岛市</x:t>
        </x:is>
      </x:c>
      <x:c r="G1724" s="3" t="inlineStr">
        <x:is>
          <x:t xml:space="preserve">山东省-青岛市</x:t>
        </x:is>
      </x:c>
      <x:c r="H1724" s="2" t="inlineStr">
        <x:is>
          <x:t xml:space="preserve">医疗器械</x:t>
        </x:is>
      </x:c>
      <x:c r="I1724" s="2" t="inlineStr">
        <x:is>
          <x:t xml:space="preserve">2021-02-26</x:t>
        </x:is>
      </x:c>
      <x:c r="J1724" s="3" t="inlineStr">
        <x:is>
          <x:t xml:space="preserve">青岛市崂山区科苑纬四路100号</x:t>
        </x:is>
      </x:c>
      <x:c r="K1724" s="12" t="str">
        <x:f>LEFT("91370200747243684J",18)</x:f>
        <x:v>91370200747243684J</x:v>
      </x:c>
    </x:row>
    <x:row r="1725">
      <x:c r="A1725" s="4" t="n">
        <x:v>1724</x:v>
      </x:c>
      <x:c r="B1725" s="4" t="inlineStr">
        <x:is>
          <x:t xml:space="preserve">688681</x:t>
        </x:is>
      </x:c>
      <x:c r="C1725" s="5" t="inlineStr">
        <x:is>
          <x:t xml:space="preserve">科汇股份</x:t>
        </x:is>
      </x:c>
      <x:c r="D1725" s="5" t="inlineStr">
        <x:is>
          <x:t xml:space="preserve">山东科汇电力自动化股份有限公司</x:t>
        </x:is>
      </x:c>
      <x:c r="E1725" s="4" t="inlineStr">
        <x:is>
          <x:t xml:space="preserve">山东省</x:t>
        </x:is>
      </x:c>
      <x:c r="F1725" s="4" t="inlineStr">
        <x:is>
          <x:t xml:space="preserve">淄博市</x:t>
        </x:is>
      </x:c>
      <x:c r="G1725" s="5" t="inlineStr">
        <x:is>
          <x:t xml:space="preserve">山东省-淄博市</x:t>
        </x:is>
      </x:c>
      <x:c r="H1725" s="4" t="inlineStr">
        <x:is>
          <x:t xml:space="preserve">输配电气</x:t>
        </x:is>
      </x:c>
      <x:c r="I1725" s="4" t="inlineStr">
        <x:is>
          <x:t xml:space="preserve">2021-06-16</x:t>
        </x:is>
      </x:c>
      <x:c r="J1725" s="5" t="inlineStr">
        <x:is>
          <x:t xml:space="preserve">淄博市张店区房镇三赢路16号</x:t>
        </x:is>
      </x:c>
      <x:c r="K1725" s="12" t="str">
        <x:f>LEFT("91370300613290477B",18)</x:f>
        <x:v>91370300613290477B</x:v>
      </x:c>
    </x:row>
    <x:row r="1726">
      <x:c r="A1726" s="2" t="n">
        <x:v>1725</x:v>
      </x:c>
      <x:c r="B1726" s="2" t="inlineStr">
        <x:is>
          <x:t xml:space="preserve">688695</x:t>
        </x:is>
      </x:c>
      <x:c r="C1726" s="3" t="inlineStr">
        <x:is>
          <x:t xml:space="preserve">中创股份</x:t>
        </x:is>
      </x:c>
      <x:c r="D1726" s="3" t="inlineStr">
        <x:is>
          <x:t xml:space="preserve">山东中创软件商用中间件股份有限公司</x:t>
        </x:is>
      </x:c>
      <x:c r="E1726" s="2" t="inlineStr">
        <x:is>
          <x:t xml:space="preserve">山东省</x:t>
        </x:is>
      </x:c>
      <x:c r="F1726" s="2" t="inlineStr">
        <x:is>
          <x:t xml:space="preserve">济南市</x:t>
        </x:is>
      </x:c>
      <x:c r="G1726" s="3" t="inlineStr">
        <x:is>
          <x:t xml:space="preserve">山东省-济南市</x:t>
        </x:is>
      </x:c>
      <x:c r="H1726" s="2" t="inlineStr">
        <x:is>
          <x:t xml:space="preserve">软件开发</x:t>
        </x:is>
      </x:c>
      <x:c r="I1726" s="2" t="inlineStr">
        <x:is>
          <x:t xml:space="preserve">2024-03-13</x:t>
        </x:is>
      </x:c>
      <x:c r="J1726" s="3" t="inlineStr">
        <x:is>
          <x:t xml:space="preserve">济南市历下区千佛山东路41-1号</x:t>
        </x:is>
      </x:c>
      <x:c r="K1726" s="12" t="str">
        <x:f>LEFT("91370000745684048J",18)</x:f>
        <x:v>91370000745684048J</x:v>
      </x:c>
    </x:row>
    <x:row r="1727">
      <x:c r="A1727" s="4" t="n">
        <x:v>1726</x:v>
      </x:c>
      <x:c r="B1727" s="4" t="inlineStr">
        <x:is>
          <x:t xml:space="preserve">000403</x:t>
        </x:is>
      </x:c>
      <x:c r="C1727" s="5" t="inlineStr">
        <x:is>
          <x:t xml:space="preserve">派林生物</x:t>
        </x:is>
      </x:c>
      <x:c r="D1727" s="5" t="inlineStr">
        <x:is>
          <x:t xml:space="preserve">派斯双林生物制药股份有限公司</x:t>
        </x:is>
      </x:c>
      <x:c r="E1727" s="4" t="inlineStr">
        <x:is>
          <x:t xml:space="preserve">山西省</x:t>
        </x:is>
      </x:c>
      <x:c r="F1727" s="4" t="inlineStr">
        <x:is>
          <x:t xml:space="preserve">太原市</x:t>
        </x:is>
      </x:c>
      <x:c r="G1727" s="5" t="inlineStr">
        <x:is>
          <x:t xml:space="preserve">山西省-太原市</x:t>
        </x:is>
      </x:c>
      <x:c r="H1727" s="4" t="inlineStr">
        <x:is>
          <x:t xml:space="preserve">生物制品</x:t>
        </x:is>
      </x:c>
      <x:c r="I1727" s="4" t="inlineStr">
        <x:is>
          <x:t xml:space="preserve">1996-06-28</x:t>
        </x:is>
      </x:c>
      <x:c r="J1727" s="5" t="inlineStr">
        <x:is>
          <x:t xml:space="preserve">山西省太原市晋源区长兴南街8号阳光城环球金融中心3004室</x:t>
        </x:is>
      </x:c>
      <x:c r="K1727" s="12" t="str">
        <x:f>LEFT("91140000160963703Y",18)</x:f>
        <x:v>91140000160963703Y</x:v>
      </x:c>
    </x:row>
    <x:row r="1728">
      <x:c r="A1728" s="2" t="n">
        <x:v>1727</x:v>
      </x:c>
      <x:c r="B1728" s="2" t="inlineStr">
        <x:is>
          <x:t xml:space="preserve">000723</x:t>
        </x:is>
      </x:c>
      <x:c r="C1728" s="3" t="inlineStr">
        <x:is>
          <x:t xml:space="preserve">美锦能源</x:t>
        </x:is>
      </x:c>
      <x:c r="D1728" s="3" t="inlineStr">
        <x:is>
          <x:t xml:space="preserve">山西美锦能源股份有限公司</x:t>
        </x:is>
      </x:c>
      <x:c r="E1728" s="2" t="inlineStr">
        <x:is>
          <x:t xml:space="preserve">山西省</x:t>
        </x:is>
      </x:c>
      <x:c r="F1728" s="2" t="inlineStr">
        <x:is>
          <x:t xml:space="preserve">太原市</x:t>
        </x:is>
      </x:c>
      <x:c r="G1728" s="3" t="inlineStr">
        <x:is>
          <x:t xml:space="preserve">山西省-太原市</x:t>
        </x:is>
      </x:c>
      <x:c r="H1728" s="2" t="inlineStr">
        <x:is>
          <x:t xml:space="preserve">煤炭采选</x:t>
        </x:is>
      </x:c>
      <x:c r="I1728" s="2" t="inlineStr">
        <x:is>
          <x:t xml:space="preserve">1997-05-15</x:t>
        </x:is>
      </x:c>
      <x:c r="J1728" s="3" t="inlineStr">
        <x:is>
          <x:t xml:space="preserve">山西省太原市清徐县贯中大厦</x:t>
        </x:is>
      </x:c>
      <x:c r="K1728" s="12" t="str">
        <x:f>LEFT("91140000158164363G",18)</x:f>
        <x:v>91140000158164363G</x:v>
      </x:c>
    </x:row>
    <x:row r="1729">
      <x:c r="A1729" s="4" t="n">
        <x:v>1728</x:v>
      </x:c>
      <x:c r="B1729" s="4" t="inlineStr">
        <x:is>
          <x:t xml:space="preserve">000737</x:t>
        </x:is>
      </x:c>
      <x:c r="C1729" s="5" t="inlineStr">
        <x:is>
          <x:t xml:space="preserve">北方铜业</x:t>
        </x:is>
      </x:c>
      <x:c r="D1729" s="5" t="inlineStr">
        <x:is>
          <x:t xml:space="preserve">北方铜业股份有限公司</x:t>
        </x:is>
      </x:c>
      <x:c r="E1729" s="4" t="inlineStr">
        <x:is>
          <x:t xml:space="preserve">山西省</x:t>
        </x:is>
      </x:c>
      <x:c r="F1729" s="4" t="inlineStr">
        <x:is>
          <x:t xml:space="preserve">运城市</x:t>
        </x:is>
      </x:c>
      <x:c r="G1729" s="5" t="inlineStr">
        <x:is>
          <x:t xml:space="preserve">山西省-运城市</x:t>
        </x:is>
      </x:c>
      <x:c r="H1729" s="4" t="inlineStr">
        <x:is>
          <x:t xml:space="preserve">有色金属</x:t>
        </x:is>
      </x:c>
      <x:c r="I1729" s="4" t="inlineStr">
        <x:is>
          <x:t xml:space="preserve">1997-04-28</x:t>
        </x:is>
      </x:c>
      <x:c r="J1729" s="5" t="inlineStr">
        <x:is>
          <x:t xml:space="preserve">山西省运城市盐湖区河东东街17600号</x:t>
        </x:is>
      </x:c>
      <x:c r="K1729" s="12" t="str">
        <x:f>LEFT("91140000113638887N",18)</x:f>
        <x:v>91140000113638887N</x:v>
      </x:c>
    </x:row>
    <x:row r="1730">
      <x:c r="A1730" s="2" t="n">
        <x:v>1729</x:v>
      </x:c>
      <x:c r="B1730" s="2" t="inlineStr">
        <x:is>
          <x:t xml:space="preserve">000755</x:t>
        </x:is>
      </x:c>
      <x:c r="C1730" s="3" t="inlineStr">
        <x:is>
          <x:t xml:space="preserve">山西高速</x:t>
        </x:is>
      </x:c>
      <x:c r="D1730" s="3" t="inlineStr">
        <x:is>
          <x:t xml:space="preserve">山西高速集团股份有限公司</x:t>
        </x:is>
      </x:c>
      <x:c r="E1730" s="2" t="inlineStr">
        <x:is>
          <x:t xml:space="preserve">山西省</x:t>
        </x:is>
      </x:c>
      <x:c r="F1730" s="2" t="inlineStr">
        <x:is>
          <x:t xml:space="preserve">临汾市</x:t>
        </x:is>
      </x:c>
      <x:c r="G1730" s="3" t="inlineStr">
        <x:is>
          <x:t xml:space="preserve">山西省-临汾市</x:t>
        </x:is>
      </x:c>
      <x:c r="H1730" s="2" t="inlineStr">
        <x:is>
          <x:t xml:space="preserve">高速公路</x:t>
        </x:is>
      </x:c>
      <x:c r="I1730" s="2" t="inlineStr">
        <x:is>
          <x:t xml:space="preserve">1997-06-27</x:t>
        </x:is>
      </x:c>
      <x:c r="J1730" s="3" t="inlineStr">
        <x:is>
          <x:t xml:space="preserve">山西省洪洞县赵城镇</x:t>
        </x:is>
      </x:c>
      <x:c r="K1730" s="12" t="str">
        <x:f>LEFT("91140000110055862W",18)</x:f>
        <x:v>91140000110055862W</x:v>
      </x:c>
    </x:row>
    <x:row r="1731">
      <x:c r="A1731" s="4" t="n">
        <x:v>1730</x:v>
      </x:c>
      <x:c r="B1731" s="4" t="inlineStr">
        <x:is>
          <x:t xml:space="preserve">000767</x:t>
        </x:is>
      </x:c>
      <x:c r="C1731" s="5" t="inlineStr">
        <x:is>
          <x:t xml:space="preserve">晋控电力</x:t>
        </x:is>
      </x:c>
      <x:c r="D1731" s="5" t="inlineStr">
        <x:is>
          <x:t xml:space="preserve">晋能控股山西电力股份有限公司</x:t>
        </x:is>
      </x:c>
      <x:c r="E1731" s="4" t="inlineStr">
        <x:is>
          <x:t xml:space="preserve">山西省</x:t>
        </x:is>
      </x:c>
      <x:c r="F1731" s="4" t="inlineStr">
        <x:is>
          <x:t xml:space="preserve">太原市</x:t>
        </x:is>
      </x:c>
      <x:c r="G1731" s="5" t="inlineStr">
        <x:is>
          <x:t xml:space="preserve">山西省-太原市</x:t>
        </x:is>
      </x:c>
      <x:c r="H1731" s="4" t="inlineStr">
        <x:is>
          <x:t xml:space="preserve">电力行业</x:t>
        </x:is>
      </x:c>
      <x:c r="I1731" s="4" t="inlineStr">
        <x:is>
          <x:t xml:space="preserve">1997-06-09</x:t>
        </x:is>
      </x:c>
      <x:c r="J1731" s="5" t="inlineStr">
        <x:is>
          <x:t xml:space="preserve">山西示范区晋阳街南一条10号1幢-1-22层</x:t>
        </x:is>
      </x:c>
      <x:c r="K1731" s="12" t="str">
        <x:f>LEFT("911400007159303324",18)</x:f>
        <x:v>911400007159303300</x:v>
      </x:c>
    </x:row>
    <x:row r="1732">
      <x:c r="A1732" s="2" t="n">
        <x:v>1731</x:v>
      </x:c>
      <x:c r="B1732" s="2" t="inlineStr">
        <x:is>
          <x:t xml:space="preserve">000825</x:t>
        </x:is>
      </x:c>
      <x:c r="C1732" s="3" t="inlineStr">
        <x:is>
          <x:t xml:space="preserve">太钢不锈</x:t>
        </x:is>
      </x:c>
      <x:c r="D1732" s="3" t="inlineStr">
        <x:is>
          <x:t xml:space="preserve">山西太钢不锈钢股份有限公司</x:t>
        </x:is>
      </x:c>
      <x:c r="E1732" s="2" t="inlineStr">
        <x:is>
          <x:t xml:space="preserve">山西省</x:t>
        </x:is>
      </x:c>
      <x:c r="F1732" s="2" t="inlineStr">
        <x:is>
          <x:t xml:space="preserve">太原市</x:t>
        </x:is>
      </x:c>
      <x:c r="G1732" s="3" t="inlineStr">
        <x:is>
          <x:t xml:space="preserve">山西省-太原市</x:t>
        </x:is>
      </x:c>
      <x:c r="H1732" s="2" t="inlineStr">
        <x:is>
          <x:t xml:space="preserve">钢铁行业</x:t>
        </x:is>
      </x:c>
      <x:c r="I1732" s="2" t="inlineStr">
        <x:is>
          <x:t xml:space="preserve">1998-10-21</x:t>
        </x:is>
      </x:c>
      <x:c r="J1732" s="3" t="inlineStr">
        <x:is>
          <x:t xml:space="preserve">山西省太原市尖草坪区尖草坪街2号</x:t>
        </x:is>
      </x:c>
      <x:c r="K1732" s="12" t="str">
        <x:f>LEFT("91140000701011888X",18)</x:f>
        <x:v>91140000701011888X</x:v>
      </x:c>
    </x:row>
    <x:row r="1733">
      <x:c r="A1733" s="4" t="n">
        <x:v>1732</x:v>
      </x:c>
      <x:c r="B1733" s="4" t="inlineStr">
        <x:is>
          <x:t xml:space="preserve">000968</x:t>
        </x:is>
      </x:c>
      <x:c r="C1733" s="5" t="inlineStr">
        <x:is>
          <x:t xml:space="preserve">蓝焰控股</x:t>
        </x:is>
      </x:c>
      <x:c r="D1733" s="5" t="inlineStr">
        <x:is>
          <x:t xml:space="preserve">山西蓝焰控股股份有限公司</x:t>
        </x:is>
      </x:c>
      <x:c r="E1733" s="4" t="inlineStr">
        <x:is>
          <x:t xml:space="preserve">山西省</x:t>
        </x:is>
      </x:c>
      <x:c r="F1733" s="4" t="inlineStr">
        <x:is>
          <x:t xml:space="preserve">太原市</x:t>
        </x:is>
      </x:c>
      <x:c r="G1733" s="5" t="inlineStr">
        <x:is>
          <x:t xml:space="preserve">山西省-太原市</x:t>
        </x:is>
      </x:c>
      <x:c r="H1733" s="4" t="inlineStr">
        <x:is>
          <x:t xml:space="preserve">燃气</x:t>
        </x:is>
      </x:c>
      <x:c r="I1733" s="4" t="inlineStr">
        <x:is>
          <x:t xml:space="preserve">2000-06-22</x:t>
        </x:is>
      </x:c>
      <x:c r="J1733" s="5" t="inlineStr">
        <x:is>
          <x:t xml:space="preserve">山西转型综合改革示范区学府产业园中心街6号</x:t>
        </x:is>
      </x:c>
      <x:c r="K1733" s="12" t="str">
        <x:f>LEFT("911400007011380105",18)</x:f>
        <x:v>911400007011380100</x:v>
      </x:c>
    </x:row>
    <x:row r="1734">
      <x:c r="A1734" s="2" t="n">
        <x:v>1733</x:v>
      </x:c>
      <x:c r="B1734" s="2" t="inlineStr">
        <x:is>
          <x:t xml:space="preserve">000983</x:t>
        </x:is>
      </x:c>
      <x:c r="C1734" s="3" t="inlineStr">
        <x:is>
          <x:t xml:space="preserve">山西焦煤</x:t>
        </x:is>
      </x:c>
      <x:c r="D1734" s="3" t="inlineStr">
        <x:is>
          <x:t xml:space="preserve">山西焦煤能源集团股份有限公司</x:t>
        </x:is>
      </x:c>
      <x:c r="E1734" s="2" t="inlineStr">
        <x:is>
          <x:t xml:space="preserve">山西省</x:t>
        </x:is>
      </x:c>
      <x:c r="F1734" s="2" t="inlineStr">
        <x:is>
          <x:t xml:space="preserve">太原市</x:t>
        </x:is>
      </x:c>
      <x:c r="G1734" s="3" t="inlineStr">
        <x:is>
          <x:t xml:space="preserve">山西省-太原市</x:t>
        </x:is>
      </x:c>
      <x:c r="H1734" s="2" t="inlineStr">
        <x:is>
          <x:t xml:space="preserve">煤炭采选</x:t>
        </x:is>
      </x:c>
      <x:c r="I1734" s="2" t="inlineStr">
        <x:is>
          <x:t xml:space="preserve">2000-07-26</x:t>
        </x:is>
      </x:c>
      <x:c r="J1734" s="3" t="inlineStr">
        <x:is>
          <x:t xml:space="preserve">山西省太原市西矿街318号</x:t>
        </x:is>
      </x:c>
      <x:c r="K1734" s="12" t="str">
        <x:f>LEFT("91140000713676510D",18)</x:f>
        <x:v>91140000713676510D</x:v>
      </x:c>
    </x:row>
    <x:row r="1735">
      <x:c r="A1735" s="4" t="n">
        <x:v>1734</x:v>
      </x:c>
      <x:c r="B1735" s="4" t="inlineStr">
        <x:is>
          <x:t xml:space="preserve">002360</x:t>
        </x:is>
      </x:c>
      <x:c r="C1735" s="5" t="inlineStr">
        <x:is>
          <x:t xml:space="preserve">同德化工</x:t>
        </x:is>
      </x:c>
      <x:c r="D1735" s="5" t="inlineStr">
        <x:is>
          <x:t xml:space="preserve">山西同德化工股份有限公司</x:t>
        </x:is>
      </x:c>
      <x:c r="E1735" s="4" t="inlineStr">
        <x:is>
          <x:t xml:space="preserve">山西省</x:t>
        </x:is>
      </x:c>
      <x:c r="F1735" s="4" t="inlineStr">
        <x:is>
          <x:t xml:space="preserve">忻州市</x:t>
        </x:is>
      </x:c>
      <x:c r="G1735" s="5" t="inlineStr">
        <x:is>
          <x:t xml:space="preserve">山西省-忻州市</x:t>
        </x:is>
      </x:c>
      <x:c r="H1735" s="4" t="inlineStr">
        <x:is>
          <x:t xml:space="preserve">化工行业</x:t>
        </x:is>
      </x:c>
      <x:c r="I1735" s="4" t="inlineStr">
        <x:is>
          <x:t xml:space="preserve">2010-03-03</x:t>
        </x:is>
      </x:c>
      <x:c r="J1735" s="5" t="inlineStr">
        <x:is>
          <x:t xml:space="preserve">山西省河曲县文笔镇焦尾城大茂口</x:t>
        </x:is>
      </x:c>
      <x:c r="K1735" s="12" t="str">
        <x:f>LEFT("91140000112220278L",18)</x:f>
        <x:v>91140000112220278L</x:v>
      </x:c>
    </x:row>
    <x:row r="1736">
      <x:c r="A1736" s="2" t="n">
        <x:v>1735</x:v>
      </x:c>
      <x:c r="B1736" s="2" t="inlineStr">
        <x:is>
          <x:t xml:space="preserve">002500</x:t>
        </x:is>
      </x:c>
      <x:c r="C1736" s="3" t="inlineStr">
        <x:is>
          <x:t xml:space="preserve">山西证券</x:t>
        </x:is>
      </x:c>
      <x:c r="D1736" s="3" t="inlineStr">
        <x:is>
          <x:t xml:space="preserve">山西证券股份有限公司</x:t>
        </x:is>
      </x:c>
      <x:c r="E1736" s="2" t="inlineStr">
        <x:is>
          <x:t xml:space="preserve">山西省</x:t>
        </x:is>
      </x:c>
      <x:c r="F1736" s="2" t="inlineStr">
        <x:is>
          <x:t xml:space="preserve">太原市</x:t>
        </x:is>
      </x:c>
      <x:c r="G1736" s="3" t="inlineStr">
        <x:is>
          <x:t xml:space="preserve">山西省-太原市</x:t>
        </x:is>
      </x:c>
      <x:c r="H1736" s="2" t="inlineStr">
        <x:is>
          <x:t xml:space="preserve">券商信托</x:t>
        </x:is>
      </x:c>
      <x:c r="I1736" s="2" t="inlineStr">
        <x:is>
          <x:t xml:space="preserve">2010-11-15</x:t>
        </x:is>
      </x:c>
      <x:c r="J1736" s="3" t="inlineStr">
        <x:is>
          <x:t xml:space="preserve">山西省太原市府西街69号山西国际贸易中心东塔楼</x:t>
        </x:is>
      </x:c>
      <x:c r="K1736" s="12" t="str">
        <x:f>LEFT("91140000110013881E",18)</x:f>
        <x:v>91140000110013881E</x:v>
      </x:c>
    </x:row>
    <x:row r="1737">
      <x:c r="A1737" s="4" t="n">
        <x:v>1736</x:v>
      </x:c>
      <x:c r="B1737" s="4" t="inlineStr">
        <x:is>
          <x:t xml:space="preserve">002640</x:t>
        </x:is>
      </x:c>
      <x:c r="C1737" s="5" t="inlineStr">
        <x:is>
          <x:t xml:space="preserve">跨境通</x:t>
        </x:is>
      </x:c>
      <x:c r="D1737" s="5" t="inlineStr">
        <x:is>
          <x:t xml:space="preserve">跨境通宝电子商务股份有限公司</x:t>
        </x:is>
      </x:c>
      <x:c r="E1737" s="4" t="inlineStr">
        <x:is>
          <x:t xml:space="preserve">山西省</x:t>
        </x:is>
      </x:c>
      <x:c r="F1737" s="4" t="inlineStr">
        <x:is>
          <x:t xml:space="preserve">太原市</x:t>
        </x:is>
      </x:c>
      <x:c r="G1737" s="5" t="inlineStr">
        <x:is>
          <x:t xml:space="preserve">山西省-太原市</x:t>
        </x:is>
      </x:c>
      <x:c r="H1737" s="4" t="inlineStr">
        <x:is>
          <x:t xml:space="preserve">国际贸易</x:t>
        </x:is>
      </x:c>
      <x:c r="I1737" s="4" t="inlineStr">
        <x:is>
          <x:t xml:space="preserve">2011-12-08</x:t>
        </x:is>
      </x:c>
      <x:c r="J1737" s="5" t="inlineStr">
        <x:is>
          <x:t xml:space="preserve">太原市迎泽区建设南路632号</x:t>
        </x:is>
      </x:c>
      <x:c r="K1737" s="12" t="str">
        <x:f>LEFT("911400007460463205",18)</x:f>
        <x:v>911400007460463200</x:v>
      </x:c>
    </x:row>
    <x:row r="1738">
      <x:c r="A1738" s="2" t="n">
        <x:v>1737</x:v>
      </x:c>
      <x:c r="B1738" s="2" t="inlineStr">
        <x:is>
          <x:t xml:space="preserve">002753</x:t>
        </x:is>
      </x:c>
      <x:c r="C1738" s="3" t="inlineStr">
        <x:is>
          <x:t xml:space="preserve">永东股份</x:t>
        </x:is>
      </x:c>
      <x:c r="D1738" s="3" t="inlineStr">
        <x:is>
          <x:t xml:space="preserve">山西永东化工股份有限公司</x:t>
        </x:is>
      </x:c>
      <x:c r="E1738" s="2" t="inlineStr">
        <x:is>
          <x:t xml:space="preserve">山西省</x:t>
        </x:is>
      </x:c>
      <x:c r="F1738" s="2" t="inlineStr">
        <x:is>
          <x:t xml:space="preserve">运城市</x:t>
        </x:is>
      </x:c>
      <x:c r="G1738" s="3" t="inlineStr">
        <x:is>
          <x:t xml:space="preserve">山西省-运城市</x:t>
        </x:is>
      </x:c>
      <x:c r="H1738" s="2" t="inlineStr">
        <x:is>
          <x:t xml:space="preserve">橡胶制品</x:t>
        </x:is>
      </x:c>
      <x:c r="I1738" s="2" t="inlineStr">
        <x:is>
          <x:t xml:space="preserve">2015-05-19</x:t>
        </x:is>
      </x:c>
      <x:c r="J1738" s="3" t="inlineStr">
        <x:is>
          <x:t xml:space="preserve">山西省运城市稷山县稷山经济技术开发区振西大街东</x:t>
        </x:is>
      </x:c>
      <x:c r="K1738" s="12" t="str">
        <x:f>LEFT("91140800719861645D",18)</x:f>
        <x:v>91140800719861645D</x:v>
      </x:c>
    </x:row>
    <x:row r="1739">
      <x:c r="A1739" s="4" t="n">
        <x:v>1738</x:v>
      </x:c>
      <x:c r="B1739" s="4" t="inlineStr">
        <x:is>
          <x:t xml:space="preserve">003002</x:t>
        </x:is>
      </x:c>
      <x:c r="C1739" s="5" t="inlineStr">
        <x:is>
          <x:t xml:space="preserve">壶化股份</x:t>
        </x:is>
      </x:c>
      <x:c r="D1739" s="5" t="inlineStr">
        <x:is>
          <x:t xml:space="preserve">山西壶化集团股份有限公司</x:t>
        </x:is>
      </x:c>
      <x:c r="E1739" s="4" t="inlineStr">
        <x:is>
          <x:t xml:space="preserve">山西省</x:t>
        </x:is>
      </x:c>
      <x:c r="F1739" s="4" t="inlineStr">
        <x:is>
          <x:t xml:space="preserve">长治市</x:t>
        </x:is>
      </x:c>
      <x:c r="G1739" s="5" t="inlineStr">
        <x:is>
          <x:t xml:space="preserve">山西省-长治市</x:t>
        </x:is>
      </x:c>
      <x:c r="H1739" s="4" t="inlineStr">
        <x:is>
          <x:t xml:space="preserve">化工行业</x:t>
        </x:is>
      </x:c>
      <x:c r="I1739" s="4" t="inlineStr">
        <x:is>
          <x:t xml:space="preserve">2020-09-22</x:t>
        </x:is>
      </x:c>
      <x:c r="J1739" s="5" t="inlineStr">
        <x:is>
          <x:t xml:space="preserve">山西省长治市壶关经济开发区化工路1号</x:t>
        </x:is>
      </x:c>
      <x:c r="K1739" s="12" t="str">
        <x:f>LEFT("91140400111050393D",18)</x:f>
        <x:v>91140400111050393D</x:v>
      </x:c>
    </x:row>
    <x:row r="1740">
      <x:c r="A1740" s="2" t="n">
        <x:v>1739</x:v>
      </x:c>
      <x:c r="B1740" s="2" t="inlineStr">
        <x:is>
          <x:t xml:space="preserve">300069</x:t>
        </x:is>
      </x:c>
      <x:c r="C1740" s="3" t="inlineStr">
        <x:is>
          <x:t xml:space="preserve">金利华电</x:t>
        </x:is>
      </x:c>
      <x:c r="D1740" s="3" t="inlineStr">
        <x:is>
          <x:t xml:space="preserve">金利华电气股份有限公司</x:t>
        </x:is>
      </x:c>
      <x:c r="E1740" s="2" t="inlineStr">
        <x:is>
          <x:t xml:space="preserve">山西省</x:t>
        </x:is>
      </x:c>
      <x:c r="F1740" s="2" t="inlineStr">
        <x:is>
          <x:t xml:space="preserve">长治市</x:t>
        </x:is>
      </x:c>
      <x:c r="G1740" s="3" t="inlineStr">
        <x:is>
          <x:t xml:space="preserve">山西省-长治市</x:t>
        </x:is>
      </x:c>
      <x:c r="H1740" s="2" t="inlineStr">
        <x:is>
          <x:t xml:space="preserve">电网设备</x:t>
        </x:is>
      </x:c>
      <x:c r="I1740" s="2" t="inlineStr">
        <x:is>
          <x:t xml:space="preserve">2010-04-21</x:t>
        </x:is>
      </x:c>
      <x:c r="J1740" s="3" t="inlineStr">
        <x:is>
          <x:t xml:space="preserve">山西省长治市长治高新技术产业开发区捉马西大街北一环路9号314-01</x:t>
        </x:is>
      </x:c>
      <x:c r="K1740" s="12" t="str">
        <x:f>LEFT("9133000074903064XT",18)</x:f>
        <x:v>9133000074903064XT</x:v>
      </x:c>
    </x:row>
    <x:row r="1741">
      <x:c r="A1741" s="4" t="n">
        <x:v>1740</x:v>
      </x:c>
      <x:c r="B1741" s="4" t="inlineStr">
        <x:is>
          <x:t xml:space="preserve">300158</x:t>
        </x:is>
      </x:c>
      <x:c r="C1741" s="5" t="inlineStr">
        <x:is>
          <x:t xml:space="preserve">振东制药</x:t>
        </x:is>
      </x:c>
      <x:c r="D1741" s="5" t="inlineStr">
        <x:is>
          <x:t xml:space="preserve">山西振东制药股份有限公司</x:t>
        </x:is>
      </x:c>
      <x:c r="E1741" s="4" t="inlineStr">
        <x:is>
          <x:t xml:space="preserve">山西省</x:t>
        </x:is>
      </x:c>
      <x:c r="F1741" s="4" t="inlineStr">
        <x:is>
          <x:t xml:space="preserve">长治市</x:t>
        </x:is>
      </x:c>
      <x:c r="G1741" s="5" t="inlineStr">
        <x:is>
          <x:t xml:space="preserve">山西省-长治市</x:t>
        </x:is>
      </x:c>
      <x:c r="H1741" s="4" t="inlineStr">
        <x:is>
          <x:t xml:space="preserve">医药制造</x:t>
        </x:is>
      </x:c>
      <x:c r="I1741" s="4" t="inlineStr">
        <x:is>
          <x:t xml:space="preserve">2011-01-07</x:t>
        </x:is>
      </x:c>
      <x:c r="J1741" s="5" t="inlineStr">
        <x:is>
          <x:t xml:space="preserve">山西省长治市上党区光明南路振东科技园</x:t>
        </x:is>
      </x:c>
      <x:c r="K1741" s="12" t="str">
        <x:f>LEFT("91140400729655415C",18)</x:f>
        <x:v>91140400729655415C</x:v>
      </x:c>
    </x:row>
    <x:row r="1742">
      <x:c r="A1742" s="2" t="n">
        <x:v>1741</x:v>
      </x:c>
      <x:c r="B1742" s="2" t="inlineStr">
        <x:is>
          <x:t xml:space="preserve">300254</x:t>
        </x:is>
      </x:c>
      <x:c r="C1742" s="3" t="inlineStr">
        <x:is>
          <x:t xml:space="preserve">仟源医药</x:t>
        </x:is>
      </x:c>
      <x:c r="D1742" s="3" t="inlineStr">
        <x:is>
          <x:t xml:space="preserve">山西仟源医药集团股份有限公司</x:t>
        </x:is>
      </x:c>
      <x:c r="E1742" s="2" t="inlineStr">
        <x:is>
          <x:t xml:space="preserve">山西省</x:t>
        </x:is>
      </x:c>
      <x:c r="F1742" s="2" t="inlineStr">
        <x:is>
          <x:t xml:space="preserve">大同市</x:t>
        </x:is>
      </x:c>
      <x:c r="G1742" s="3" t="inlineStr">
        <x:is>
          <x:t xml:space="preserve">山西省-大同市</x:t>
        </x:is>
      </x:c>
      <x:c r="H1742" s="2" t="inlineStr">
        <x:is>
          <x:t xml:space="preserve">医药制造</x:t>
        </x:is>
      </x:c>
      <x:c r="I1742" s="2" t="inlineStr">
        <x:is>
          <x:t xml:space="preserve">2011-08-19</x:t>
        </x:is>
      </x:c>
      <x:c r="J1742" s="3" t="inlineStr">
        <x:is>
          <x:t xml:space="preserve">山西省大同经济技术开发区生物科技创新产业园翠微街2号</x:t>
        </x:is>
      </x:c>
      <x:c r="K1742" s="12" t="str">
        <x:f>LEFT("91140200770127753X",18)</x:f>
        <x:v>91140200770127753X</x:v>
      </x:c>
    </x:row>
    <x:row r="1743">
      <x:c r="A1743" s="4" t="n">
        <x:v>1742</x:v>
      </x:c>
      <x:c r="B1743" s="4" t="inlineStr">
        <x:is>
          <x:t xml:space="preserve">300486</x:t>
        </x:is>
      </x:c>
      <x:c r="C1743" s="5" t="inlineStr">
        <x:is>
          <x:t xml:space="preserve">东杰智能</x:t>
        </x:is>
      </x:c>
      <x:c r="D1743" s="5" t="inlineStr">
        <x:is>
          <x:t xml:space="preserve">东杰智能科技集团股份有限公司</x:t>
        </x:is>
      </x:c>
      <x:c r="E1743" s="4" t="inlineStr">
        <x:is>
          <x:t xml:space="preserve">山西省</x:t>
        </x:is>
      </x:c>
      <x:c r="F1743" s="4" t="inlineStr">
        <x:is>
          <x:t xml:space="preserve">太原市</x:t>
        </x:is>
      </x:c>
      <x:c r="G1743" s="5" t="inlineStr">
        <x:is>
          <x:t xml:space="preserve">山西省-太原市</x:t>
        </x:is>
      </x:c>
      <x:c r="H1743" s="4" t="inlineStr">
        <x:is>
          <x:t xml:space="preserve">专用设备</x:t>
        </x:is>
      </x:c>
      <x:c r="I1743" s="4" t="inlineStr">
        <x:is>
          <x:t xml:space="preserve">2015-06-30</x:t>
        </x:is>
      </x:c>
      <x:c r="J1743" s="5" t="inlineStr">
        <x:is>
          <x:t xml:space="preserve">山西省太原市中北高新技术产业开发区丰源路59号</x:t>
        </x:is>
      </x:c>
      <x:c r="K1743" s="12" t="str">
        <x:f>LEFT("91140000602064271C",18)</x:f>
        <x:v>91140000602064271C</x:v>
      </x:c>
    </x:row>
    <x:row r="1744">
      <x:c r="A1744" s="2" t="n">
        <x:v>1743</x:v>
      </x:c>
      <x:c r="B1744" s="2" t="inlineStr">
        <x:is>
          <x:t xml:space="preserve">600123</x:t>
        </x:is>
      </x:c>
      <x:c r="C1744" s="3" t="inlineStr">
        <x:is>
          <x:t xml:space="preserve">兰花科创</x:t>
        </x:is>
      </x:c>
      <x:c r="D1744" s="3" t="inlineStr">
        <x:is>
          <x:t xml:space="preserve">山西兰花科技创业股份有限公司</x:t>
        </x:is>
      </x:c>
      <x:c r="E1744" s="2" t="inlineStr">
        <x:is>
          <x:t xml:space="preserve">山西省</x:t>
        </x:is>
      </x:c>
      <x:c r="F1744" s="2" t="inlineStr">
        <x:is>
          <x:t xml:space="preserve">晋城市</x:t>
        </x:is>
      </x:c>
      <x:c r="G1744" s="3" t="inlineStr">
        <x:is>
          <x:t xml:space="preserve">山西省-晋城市</x:t>
        </x:is>
      </x:c>
      <x:c r="H1744" s="2" t="inlineStr">
        <x:is>
          <x:t xml:space="preserve">煤炭采选</x:t>
        </x:is>
      </x:c>
      <x:c r="I1744" s="2" t="inlineStr">
        <x:is>
          <x:t xml:space="preserve">1998-12-17</x:t>
        </x:is>
      </x:c>
      <x:c r="J1744" s="3" t="inlineStr">
        <x:is>
          <x:t xml:space="preserve">山西省晋城市城区钟家庄街道凤台东街2288号</x:t>
        </x:is>
      </x:c>
      <x:c r="K1744" s="12" t="str">
        <x:f>LEFT("91140000713630037E",18)</x:f>
        <x:v>91140000713630037E</x:v>
      </x:c>
    </x:row>
    <x:row r="1745">
      <x:c r="A1745" s="4" t="n">
        <x:v>1744</x:v>
      </x:c>
      <x:c r="B1745" s="4" t="inlineStr">
        <x:is>
          <x:t xml:space="preserve">600157</x:t>
        </x:is>
      </x:c>
      <x:c r="C1745" s="5" t="inlineStr">
        <x:is>
          <x:t xml:space="preserve">永泰能源</x:t>
        </x:is>
      </x:c>
      <x:c r="D1745" s="5" t="inlineStr">
        <x:is>
          <x:t xml:space="preserve">永泰能源集团股份有限公司</x:t>
        </x:is>
      </x:c>
      <x:c r="E1745" s="4" t="inlineStr">
        <x:is>
          <x:t xml:space="preserve">山西省</x:t>
        </x:is>
      </x:c>
      <x:c r="F1745" s="4" t="inlineStr">
        <x:is>
          <x:t xml:space="preserve">晋中市</x:t>
        </x:is>
      </x:c>
      <x:c r="G1745" s="5" t="inlineStr">
        <x:is>
          <x:t xml:space="preserve">山西省-晋中市</x:t>
        </x:is>
      </x:c>
      <x:c r="H1745" s="4" t="inlineStr">
        <x:is>
          <x:t xml:space="preserve">电力行业</x:t>
        </x:is>
      </x:c>
      <x:c r="I1745" s="4" t="inlineStr">
        <x:is>
          <x:t xml:space="preserve">1998-05-13</x:t>
        </x:is>
      </x:c>
      <x:c r="J1745" s="5" t="inlineStr">
        <x:is>
          <x:t xml:space="preserve">山西省晋中市灵石县翠峰路79号</x:t>
        </x:is>
      </x:c>
      <x:c r="K1745" s="12" t="str">
        <x:f>LEFT("91140000267171001C",18)</x:f>
        <x:v>91140000267171001C</x:v>
      </x:c>
    </x:row>
    <x:row r="1746">
      <x:c r="A1746" s="2" t="n">
        <x:v>1745</x:v>
      </x:c>
      <x:c r="B1746" s="2" t="inlineStr">
        <x:is>
          <x:t xml:space="preserve">600169</x:t>
        </x:is>
      </x:c>
      <x:c r="C1746" s="3" t="inlineStr">
        <x:is>
          <x:t xml:space="preserve">ST太重</x:t>
        </x:is>
      </x:c>
      <x:c r="D1746" s="3" t="inlineStr">
        <x:is>
          <x:t xml:space="preserve">太原重工股份有限公司</x:t>
        </x:is>
      </x:c>
      <x:c r="E1746" s="2" t="inlineStr">
        <x:is>
          <x:t xml:space="preserve">山西省</x:t>
        </x:is>
      </x:c>
      <x:c r="F1746" s="2" t="inlineStr">
        <x:is>
          <x:t xml:space="preserve">太原市</x:t>
        </x:is>
      </x:c>
      <x:c r="G1746" s="3" t="inlineStr">
        <x:is>
          <x:t xml:space="preserve">山西省-太原市</x:t>
        </x:is>
      </x:c>
      <x:c r="H1746" s="2" t="inlineStr">
        <x:is>
          <x:t xml:space="preserve">专用设备</x:t>
        </x:is>
      </x:c>
      <x:c r="I1746" s="2" t="inlineStr">
        <x:is>
          <x:t xml:space="preserve">1998-09-04</x:t>
        </x:is>
      </x:c>
      <x:c r="J1746" s="3" t="inlineStr">
        <x:is>
          <x:t xml:space="preserve">山西省太原市万柏林区玉河街53号</x:t>
        </x:is>
      </x:c>
      <x:c r="K1746" s="12" t="str">
        <x:f>LEFT("91140000701013306H",18)</x:f>
        <x:v>91140000701013306H</x:v>
      </x:c>
    </x:row>
    <x:row r="1747">
      <x:c r="A1747" s="4" t="n">
        <x:v>1746</x:v>
      </x:c>
      <x:c r="B1747" s="4" t="inlineStr">
        <x:is>
          <x:t xml:space="preserve">600234</x:t>
        </x:is>
      </x:c>
      <x:c r="C1747" s="5" t="inlineStr">
        <x:is>
          <x:t xml:space="preserve">科新发展</x:t>
        </x:is>
      </x:c>
      <x:c r="D1747" s="5" t="inlineStr">
        <x:is>
          <x:t xml:space="preserve">山西科新发展股份有限公司</x:t>
        </x:is>
      </x:c>
      <x:c r="E1747" s="4" t="inlineStr">
        <x:is>
          <x:t xml:space="preserve">山西省</x:t>
        </x:is>
      </x:c>
      <x:c r="F1747" s="4" t="inlineStr">
        <x:is>
          <x:t xml:space="preserve">太原市</x:t>
        </x:is>
      </x:c>
      <x:c r="G1747" s="5" t="inlineStr">
        <x:is>
          <x:t xml:space="preserve">山西省-太原市</x:t>
        </x:is>
      </x:c>
      <x:c r="H1747" s="4" t="inlineStr">
        <x:is>
          <x:t xml:space="preserve">房地产</x:t>
        </x:is>
      </x:c>
      <x:c r="I1747" s="4" t="inlineStr">
        <x:is>
          <x:t xml:space="preserve">2000-06-15</x:t>
        </x:is>
      </x:c>
      <x:c r="J1747" s="5" t="inlineStr">
        <x:is>
          <x:t xml:space="preserve">太原市迎泽大街289号</x:t>
        </x:is>
      </x:c>
      <x:c r="K1747" s="12" t="str">
        <x:f>LEFT("9114000011002787XQ",18)</x:f>
        <x:v>9114000011002787XQ</x:v>
      </x:c>
    </x:row>
    <x:row r="1748">
      <x:c r="A1748" s="2" t="n">
        <x:v>1747</x:v>
      </x:c>
      <x:c r="B1748" s="2" t="inlineStr">
        <x:is>
          <x:t xml:space="preserve">600281</x:t>
        </x:is>
      </x:c>
      <x:c r="C1748" s="3" t="inlineStr">
        <x:is>
          <x:t xml:space="preserve">华阳新材</x:t>
        </x:is>
      </x:c>
      <x:c r="D1748" s="3" t="inlineStr">
        <x:is>
          <x:t xml:space="preserve">山西华阳新材料股份有限公司</x:t>
        </x:is>
      </x:c>
      <x:c r="E1748" s="2" t="inlineStr">
        <x:is>
          <x:t xml:space="preserve">山西省</x:t>
        </x:is>
      </x:c>
      <x:c r="F1748" s="2" t="inlineStr">
        <x:is>
          <x:t xml:space="preserve">太原市</x:t>
        </x:is>
      </x:c>
      <x:c r="G1748" s="3" t="inlineStr">
        <x:is>
          <x:t xml:space="preserve">山西省-太原市</x:t>
        </x:is>
      </x:c>
      <x:c r="H1748" s="2" t="inlineStr">
        <x:is>
          <x:t xml:space="preserve">小金属</x:t>
        </x:is>
      </x:c>
      <x:c r="I1748" s="2" t="inlineStr">
        <x:is>
          <x:t xml:space="preserve">2000-11-09</x:t>
        </x:is>
      </x:c>
      <x:c r="J1748" s="3" t="inlineStr">
        <x:is>
          <x:t xml:space="preserve">山西转型综合改革示范区科技创新城正阳街87号</x:t>
        </x:is>
      </x:c>
      <x:c r="K1748" s="12" t="str">
        <x:f>LEFT("911400007136720695",18)</x:f>
        <x:v>911400007136720600</x:v>
      </x:c>
    </x:row>
    <x:row r="1749">
      <x:c r="A1749" s="4" t="n">
        <x:v>1748</x:v>
      </x:c>
      <x:c r="B1749" s="4" t="inlineStr">
        <x:is>
          <x:t xml:space="preserve">600348</x:t>
        </x:is>
      </x:c>
      <x:c r="C1749" s="5" t="inlineStr">
        <x:is>
          <x:t xml:space="preserve">华阳股份</x:t>
        </x:is>
      </x:c>
      <x:c r="D1749" s="5" t="inlineStr">
        <x:is>
          <x:t xml:space="preserve">山西华阳集团新能股份有限公司</x:t>
        </x:is>
      </x:c>
      <x:c r="E1749" s="4" t="inlineStr">
        <x:is>
          <x:t xml:space="preserve">山西省</x:t>
        </x:is>
      </x:c>
      <x:c r="F1749" s="4" t="inlineStr">
        <x:is>
          <x:t xml:space="preserve">阳泉市</x:t>
        </x:is>
      </x:c>
      <x:c r="G1749" s="5" t="inlineStr">
        <x:is>
          <x:t xml:space="preserve">山西省-阳泉市</x:t>
        </x:is>
      </x:c>
      <x:c r="H1749" s="4" t="inlineStr">
        <x:is>
          <x:t xml:space="preserve">煤炭采选</x:t>
        </x:is>
      </x:c>
      <x:c r="I1749" s="4" t="inlineStr">
        <x:is>
          <x:t xml:space="preserve">2003-08-21</x:t>
        </x:is>
      </x:c>
      <x:c r="J1749" s="5" t="inlineStr">
        <x:is>
          <x:t xml:space="preserve">山西省阳泉市矿区桃北西街2号</x:t>
        </x:is>
      </x:c>
      <x:c r="K1749" s="12" t="str">
        <x:f>LEFT("9114000071599263XM",18)</x:f>
        <x:v>9114000071599263XM</x:v>
      </x:c>
    </x:row>
    <x:row r="1750">
      <x:c r="A1750" s="2" t="n">
        <x:v>1749</x:v>
      </x:c>
      <x:c r="B1750" s="2" t="inlineStr">
        <x:is>
          <x:t xml:space="preserve">600351</x:t>
        </x:is>
      </x:c>
      <x:c r="C1750" s="3" t="inlineStr">
        <x:is>
          <x:t xml:space="preserve">亚宝药业</x:t>
        </x:is>
      </x:c>
      <x:c r="D1750" s="3" t="inlineStr">
        <x:is>
          <x:t xml:space="preserve">亚宝药业集团股份有限公司</x:t>
        </x:is>
      </x:c>
      <x:c r="E1750" s="2" t="inlineStr">
        <x:is>
          <x:t xml:space="preserve">山西省</x:t>
        </x:is>
      </x:c>
      <x:c r="F1750" s="2" t="inlineStr">
        <x:is>
          <x:t xml:space="preserve">运城市</x:t>
        </x:is>
      </x:c>
      <x:c r="G1750" s="3" t="inlineStr">
        <x:is>
          <x:t xml:space="preserve">山西省-运城市</x:t>
        </x:is>
      </x:c>
      <x:c r="H1750" s="2" t="inlineStr">
        <x:is>
          <x:t xml:space="preserve">中药</x:t>
        </x:is>
      </x:c>
      <x:c r="I1750" s="2" t="inlineStr">
        <x:is>
          <x:t xml:space="preserve">2002-09-26</x:t>
        </x:is>
      </x:c>
      <x:c r="J1750" s="3" t="inlineStr">
        <x:is>
          <x:t xml:space="preserve">山西省芮城县富民路43号</x:t>
        </x:is>
      </x:c>
      <x:c r="K1750" s="12" t="str">
        <x:f>LEFT("91140000701108049W",18)</x:f>
        <x:v>91140000701108049W</x:v>
      </x:c>
    </x:row>
    <x:row r="1751">
      <x:c r="A1751" s="4" t="n">
        <x:v>1750</x:v>
      </x:c>
      <x:c r="B1751" s="4" t="inlineStr">
        <x:is>
          <x:t xml:space="preserve">600408</x:t>
        </x:is>
      </x:c>
      <x:c r="C1751" s="5" t="inlineStr">
        <x:is>
          <x:t xml:space="preserve">安泰集团</x:t>
        </x:is>
      </x:c>
      <x:c r="D1751" s="5" t="inlineStr">
        <x:is>
          <x:t xml:space="preserve">山西安泰集团股份有限公司</x:t>
        </x:is>
      </x:c>
      <x:c r="E1751" s="4" t="inlineStr">
        <x:is>
          <x:t xml:space="preserve">山西省</x:t>
        </x:is>
      </x:c>
      <x:c r="F1751" s="4" t="inlineStr">
        <x:is>
          <x:t xml:space="preserve">晋中市</x:t>
        </x:is>
      </x:c>
      <x:c r="G1751" s="5" t="inlineStr">
        <x:is>
          <x:t xml:space="preserve">山西省-晋中市</x:t>
        </x:is>
      </x:c>
      <x:c r="H1751" s="4" t="inlineStr">
        <x:is>
          <x:t xml:space="preserve">煤炭采选</x:t>
        </x:is>
      </x:c>
      <x:c r="I1751" s="4" t="inlineStr">
        <x:is>
          <x:t xml:space="preserve">2003-02-12</x:t>
        </x:is>
      </x:c>
      <x:c r="J1751" s="5" t="inlineStr">
        <x:is>
          <x:t xml:space="preserve">山西省晋中市介休市义安镇义安村义安镇政府西100米</x:t>
        </x:is>
      </x:c>
      <x:c r="K1751" s="12" t="str">
        <x:f>LEFT("91140000113036931N",18)</x:f>
        <x:v>91140000113036931N</x:v>
      </x:c>
    </x:row>
    <x:row r="1752">
      <x:c r="A1752" s="2" t="n">
        <x:v>1751</x:v>
      </x:c>
      <x:c r="B1752" s="2" t="inlineStr">
        <x:is>
          <x:t xml:space="preserve">600495</x:t>
        </x:is>
      </x:c>
      <x:c r="C1752" s="3" t="inlineStr">
        <x:is>
          <x:t xml:space="preserve">晋西车轴</x:t>
        </x:is>
      </x:c>
      <x:c r="D1752" s="3" t="inlineStr">
        <x:is>
          <x:t xml:space="preserve">晋西车轴股份有限公司</x:t>
        </x:is>
      </x:c>
      <x:c r="E1752" s="2" t="inlineStr">
        <x:is>
          <x:t xml:space="preserve">山西省</x:t>
        </x:is>
      </x:c>
      <x:c r="F1752" s="2" t="inlineStr">
        <x:is>
          <x:t xml:space="preserve">长治市</x:t>
        </x:is>
      </x:c>
      <x:c r="G1752" s="3" t="inlineStr">
        <x:is>
          <x:t xml:space="preserve">山西省-长治市</x:t>
        </x:is>
      </x:c>
      <x:c r="H1752" s="2" t="inlineStr">
        <x:is>
          <x:t xml:space="preserve">交运设备</x:t>
        </x:is>
      </x:c>
      <x:c r="I1752" s="2" t="inlineStr">
        <x:is>
          <x:t xml:space="preserve">2004-05-26</x:t>
        </x:is>
      </x:c>
      <x:c r="J1752" s="3" t="inlineStr">
        <x:is>
          <x:t xml:space="preserve">山西示范区长治路436号科祥大厦</x:t>
        </x:is>
      </x:c>
      <x:c r="K1752" s="12" t="str">
        <x:f>LEFT("91140000725909617E",18)</x:f>
        <x:v>91140000725909617E</x:v>
      </x:c>
    </x:row>
    <x:row r="1753">
      <x:c r="A1753" s="4" t="n">
        <x:v>1752</x:v>
      </x:c>
      <x:c r="B1753" s="4" t="inlineStr">
        <x:is>
          <x:t xml:space="preserve">600539</x:t>
        </x:is>
      </x:c>
      <x:c r="C1753" s="5" t="inlineStr">
        <x:is>
          <x:t xml:space="preserve">狮头股份</x:t>
        </x:is>
      </x:c>
      <x:c r="D1753" s="5" t="inlineStr">
        <x:is>
          <x:t xml:space="preserve">狮头科技发展股份有限公司</x:t>
        </x:is>
      </x:c>
      <x:c r="E1753" s="4" t="inlineStr">
        <x:is>
          <x:t xml:space="preserve">山西省</x:t>
        </x:is>
      </x:c>
      <x:c r="F1753" s="4" t="inlineStr">
        <x:is>
          <x:t xml:space="preserve">太原市</x:t>
        </x:is>
      </x:c>
      <x:c r="G1753" s="5" t="inlineStr">
        <x:is>
          <x:t xml:space="preserve">山西省-太原市</x:t>
        </x:is>
      </x:c>
      <x:c r="H1753" s="4" t="inlineStr">
        <x:is>
          <x:t xml:space="preserve">环保行业</x:t>
        </x:is>
      </x:c>
      <x:c r="I1753" s="4" t="inlineStr">
        <x:is>
          <x:t xml:space="preserve">2001-08-24</x:t>
        </x:is>
      </x:c>
      <x:c r="J1753" s="5" t="inlineStr">
        <x:is>
          <x:t xml:space="preserve">太原市万柏林区滨河西路51号3幢1-2层0201号</x:t>
        </x:is>
      </x:c>
      <x:c r="K1753" s="12" t="str">
        <x:f>LEFT("91140000715931861P",18)</x:f>
        <x:v>91140000715931861P</x:v>
      </x:c>
    </x:row>
    <x:row r="1754">
      <x:c r="A1754" s="2" t="n">
        <x:v>1753</x:v>
      </x:c>
      <x:c r="B1754" s="2" t="inlineStr">
        <x:is>
          <x:t xml:space="preserve">600546</x:t>
        </x:is>
      </x:c>
      <x:c r="C1754" s="3" t="inlineStr">
        <x:is>
          <x:t xml:space="preserve">山煤国际</x:t>
        </x:is>
      </x:c>
      <x:c r="D1754" s="3" t="inlineStr">
        <x:is>
          <x:t xml:space="preserve">山煤国际能源集团股份有限公司</x:t>
        </x:is>
      </x:c>
      <x:c r="E1754" s="2" t="inlineStr">
        <x:is>
          <x:t xml:space="preserve">山西省</x:t>
        </x:is>
      </x:c>
      <x:c r="F1754" s="2" t="inlineStr">
        <x:is>
          <x:t xml:space="preserve">太原市</x:t>
        </x:is>
      </x:c>
      <x:c r="G1754" s="3" t="inlineStr">
        <x:is>
          <x:t xml:space="preserve">山西省-太原市</x:t>
        </x:is>
      </x:c>
      <x:c r="H1754" s="2" t="inlineStr">
        <x:is>
          <x:t xml:space="preserve">煤炭采选</x:t>
        </x:is>
      </x:c>
      <x:c r="I1754" s="2" t="inlineStr">
        <x:is>
          <x:t xml:space="preserve">2003-07-31</x:t>
        </x:is>
      </x:c>
      <x:c r="J1754" s="3" t="inlineStr">
        <x:is>
          <x:t xml:space="preserve">太原市小店区晋阳街162号</x:t>
        </x:is>
      </x:c>
      <x:c r="K1754" s="12" t="str">
        <x:f>LEFT("911400007248849727",18)</x:f>
        <x:v>911400007248849700</x:v>
      </x:c>
    </x:row>
    <x:row r="1755">
      <x:c r="A1755" s="4" t="n">
        <x:v>1754</x:v>
      </x:c>
      <x:c r="B1755" s="4" t="inlineStr">
        <x:is>
          <x:t xml:space="preserve">600617</x:t>
        </x:is>
      </x:c>
      <x:c r="C1755" s="5" t="inlineStr">
        <x:is>
          <x:t xml:space="preserve">国新能源</x:t>
        </x:is>
      </x:c>
      <x:c r="D1755" s="5" t="inlineStr">
        <x:is>
          <x:t xml:space="preserve">山西省国新能源股份有限公司</x:t>
        </x:is>
      </x:c>
      <x:c r="E1755" s="4" t="inlineStr">
        <x:is>
          <x:t xml:space="preserve">山西省</x:t>
        </x:is>
      </x:c>
      <x:c r="F1755" s="4" t="inlineStr">
        <x:is>
          <x:t xml:space="preserve">太原市</x:t>
        </x:is>
      </x:c>
      <x:c r="G1755" s="5" t="inlineStr">
        <x:is>
          <x:t xml:space="preserve">山西省-太原市</x:t>
        </x:is>
      </x:c>
      <x:c r="H1755" s="4" t="inlineStr">
        <x:is>
          <x:t xml:space="preserve">燃气</x:t>
        </x:is>
      </x:c>
      <x:c r="I1755" s="4" t="inlineStr">
        <x:is>
          <x:t xml:space="preserve">1992-10-13</x:t>
        </x:is>
      </x:c>
      <x:c r="J1755" s="5" t="inlineStr">
        <x:is>
          <x:t xml:space="preserve">山西示范区中心街6号</x:t>
        </x:is>
      </x:c>
      <x:c r="K1755" s="12" t="str">
        <x:f>LEFT("91140000607220384L",18)</x:f>
        <x:v>91140000607220384L</x:v>
      </x:c>
    </x:row>
    <x:row r="1756">
      <x:c r="A1756" s="2" t="n">
        <x:v>1755</x:v>
      </x:c>
      <x:c r="B1756" s="2" t="inlineStr">
        <x:is>
          <x:t xml:space="preserve">600691</x:t>
        </x:is>
      </x:c>
      <x:c r="C1756" s="3" t="inlineStr">
        <x:is>
          <x:t xml:space="preserve">潞化科技</x:t>
        </x:is>
      </x:c>
      <x:c r="D1756" s="3" t="inlineStr">
        <x:is>
          <x:t xml:space="preserve">山西潞安化工科技股份有限公司</x:t>
        </x:is>
      </x:c>
      <x:c r="E1756" s="2" t="inlineStr">
        <x:is>
          <x:t xml:space="preserve">山西省</x:t>
        </x:is>
      </x:c>
      <x:c r="F1756" s="2" t="inlineStr">
        <x:is>
          <x:t xml:space="preserve">阳泉市</x:t>
        </x:is>
      </x:c>
      <x:c r="G1756" s="3" t="inlineStr">
        <x:is>
          <x:t xml:space="preserve">山西省-阳泉市</x:t>
        </x:is>
      </x:c>
      <x:c r="H1756" s="2" t="inlineStr">
        <x:is>
          <x:t xml:space="preserve">化肥行业</x:t>
        </x:is>
      </x:c>
      <x:c r="I1756" s="2" t="inlineStr">
        <x:is>
          <x:t xml:space="preserve">1993-11-19</x:t>
        </x:is>
      </x:c>
      <x:c r="J1756" s="3" t="inlineStr">
        <x:is>
          <x:t xml:space="preserve">山西省阳泉市矿区桃北西街2号</x:t>
        </x:is>
      </x:c>
      <x:c r="K1756" s="12" t="str">
        <x:f>LEFT("91510300203956766U",18)</x:f>
        <x:v>91510300203956766U</x:v>
      </x:c>
    </x:row>
    <x:row r="1757">
      <x:c r="A1757" s="4" t="n">
        <x:v>1756</x:v>
      </x:c>
      <x:c r="B1757" s="4" t="inlineStr">
        <x:is>
          <x:t xml:space="preserve">600740</x:t>
        </x:is>
      </x:c>
      <x:c r="C1757" s="5" t="inlineStr">
        <x:is>
          <x:t xml:space="preserve">山西焦化</x:t>
        </x:is>
      </x:c>
      <x:c r="D1757" s="5" t="inlineStr">
        <x:is>
          <x:t xml:space="preserve">山西焦化股份有限公司</x:t>
        </x:is>
      </x:c>
      <x:c r="E1757" s="4" t="inlineStr">
        <x:is>
          <x:t xml:space="preserve">山西省</x:t>
        </x:is>
      </x:c>
      <x:c r="F1757" s="4" t="inlineStr">
        <x:is>
          <x:t xml:space="preserve">临汾市</x:t>
        </x:is>
      </x:c>
      <x:c r="G1757" s="5" t="inlineStr">
        <x:is>
          <x:t xml:space="preserve">山西省-临汾市</x:t>
        </x:is>
      </x:c>
      <x:c r="H1757" s="4" t="inlineStr">
        <x:is>
          <x:t xml:space="preserve">煤炭采选</x:t>
        </x:is>
      </x:c>
      <x:c r="I1757" s="4" t="inlineStr">
        <x:is>
          <x:t xml:space="preserve">1996-08-08</x:t>
        </x:is>
      </x:c>
      <x:c r="J1757" s="5" t="inlineStr">
        <x:is>
          <x:t xml:space="preserve">山西省洪洞县广胜寺镇</x:t>
        </x:is>
      </x:c>
      <x:c r="K1757" s="12" t="str">
        <x:f>LEFT("91140000113273064E",18)</x:f>
        <x:v>91140000113273064E</x:v>
      </x:c>
    </x:row>
    <x:row r="1758">
      <x:c r="A1758" s="2" t="n">
        <x:v>1757</x:v>
      </x:c>
      <x:c r="B1758" s="2" t="inlineStr">
        <x:is>
          <x:t xml:space="preserve">600771</x:t>
        </x:is>
      </x:c>
      <x:c r="C1758" s="3" t="inlineStr">
        <x:is>
          <x:t xml:space="preserve">广誉远</x:t>
        </x:is>
      </x:c>
      <x:c r="D1758" s="3" t="inlineStr">
        <x:is>
          <x:t xml:space="preserve">广誉远中药股份有限公司</x:t>
        </x:is>
      </x:c>
      <x:c r="E1758" s="2" t="inlineStr">
        <x:is>
          <x:t xml:space="preserve">山西省</x:t>
        </x:is>
      </x:c>
      <x:c r="F1758" s="2" t="inlineStr">
        <x:is>
          <x:t xml:space="preserve">晋中市</x:t>
        </x:is>
      </x:c>
      <x:c r="G1758" s="3" t="inlineStr">
        <x:is>
          <x:t xml:space="preserve">山西省-晋中市</x:t>
        </x:is>
      </x:c>
      <x:c r="H1758" s="2" t="inlineStr">
        <x:is>
          <x:t xml:space="preserve">中药</x:t>
        </x:is>
      </x:c>
      <x:c r="I1758" s="2" t="inlineStr">
        <x:is>
          <x:t xml:space="preserve">1996-11-05</x:t>
        </x:is>
      </x:c>
      <x:c r="J1758" s="3" t="inlineStr">
        <x:is>
          <x:t xml:space="preserve">山西省晋中市太谷区广誉远路1号</x:t>
        </x:is>
      </x:c>
      <x:c r="K1758" s="12" t="str">
        <x:f>LEFT("916300007104039124",18)</x:f>
        <x:v>916300007104039200</x:v>
      </x:c>
    </x:row>
    <x:row r="1759">
      <x:c r="A1759" s="4" t="n">
        <x:v>1758</x:v>
      </x:c>
      <x:c r="B1759" s="4" t="inlineStr">
        <x:is>
          <x:t xml:space="preserve">600780</x:t>
        </x:is>
      </x:c>
      <x:c r="C1759" s="5" t="inlineStr">
        <x:is>
          <x:t xml:space="preserve">通宝能源</x:t>
        </x:is>
      </x:c>
      <x:c r="D1759" s="5" t="inlineStr">
        <x:is>
          <x:t xml:space="preserve">山西通宝能源股份有限公司</x:t>
        </x:is>
      </x:c>
      <x:c r="E1759" s="4" t="inlineStr">
        <x:is>
          <x:t xml:space="preserve">山西省</x:t>
        </x:is>
      </x:c>
      <x:c r="F1759" s="4" t="inlineStr">
        <x:is>
          <x:t xml:space="preserve">太原市</x:t>
        </x:is>
      </x:c>
      <x:c r="G1759" s="5" t="inlineStr">
        <x:is>
          <x:t xml:space="preserve">山西省-太原市</x:t>
        </x:is>
      </x:c>
      <x:c r="H1759" s="4" t="inlineStr">
        <x:is>
          <x:t xml:space="preserve">电力行业</x:t>
        </x:is>
      </x:c>
      <x:c r="I1759" s="4" t="inlineStr">
        <x:is>
          <x:t xml:space="preserve">1996-12-05</x:t>
        </x:is>
      </x:c>
      <x:c r="J1759" s="5" t="inlineStr">
        <x:is>
          <x:t xml:space="preserve">山西省太原市长治路272号</x:t>
        </x:is>
      </x:c>
      <x:c r="K1759" s="12" t="str">
        <x:f>LEFT("911400001100190014",18)</x:f>
        <x:v>911400001100190000</x:v>
      </x:c>
    </x:row>
    <x:row r="1760">
      <x:c r="A1760" s="2" t="n">
        <x:v>1759</x:v>
      </x:c>
      <x:c r="B1760" s="2" t="inlineStr">
        <x:is>
          <x:t xml:space="preserve">600809</x:t>
        </x:is>
      </x:c>
      <x:c r="C1760" s="3" t="inlineStr">
        <x:is>
          <x:t xml:space="preserve">山西汾酒</x:t>
        </x:is>
      </x:c>
      <x:c r="D1760" s="3" t="inlineStr">
        <x:is>
          <x:t xml:space="preserve">山西杏花村汾酒厂股份有限公司</x:t>
        </x:is>
      </x:c>
      <x:c r="E1760" s="2" t="inlineStr">
        <x:is>
          <x:t xml:space="preserve">山西省</x:t>
        </x:is>
      </x:c>
      <x:c r="F1760" s="2" t="inlineStr">
        <x:is>
          <x:t xml:space="preserve">西省汾阳市</x:t>
        </x:is>
      </x:c>
      <x:c r="G1760" s="3" t="inlineStr">
        <x:is>
          <x:t xml:space="preserve">山西省-西省汾阳市</x:t>
        </x:is>
      </x:c>
      <x:c r="H1760" s="2" t="inlineStr">
        <x:is>
          <x:t xml:space="preserve">酿酒行业</x:t>
        </x:is>
      </x:c>
      <x:c r="I1760" s="2" t="inlineStr">
        <x:is>
          <x:t xml:space="preserve">1994-01-06</x:t>
        </x:is>
      </x:c>
      <x:c r="J1760" s="3" t="inlineStr">
        <x:is>
          <x:t xml:space="preserve">山西省汾阳市杏花村</x:t>
        </x:is>
      </x:c>
      <x:c r="K1760" s="12" t="str">
        <x:f>LEFT("911400001123599660",18)</x:f>
        <x:v>911400001123599600</x:v>
      </x:c>
    </x:row>
    <x:row r="1761">
      <x:c r="A1761" s="4" t="n">
        <x:v>1760</x:v>
      </x:c>
      <x:c r="B1761" s="4" t="inlineStr">
        <x:is>
          <x:t xml:space="preserve">601001</x:t>
        </x:is>
      </x:c>
      <x:c r="C1761" s="5" t="inlineStr">
        <x:is>
          <x:t xml:space="preserve">晋控煤业</x:t>
        </x:is>
      </x:c>
      <x:c r="D1761" s="5" t="inlineStr">
        <x:is>
          <x:t xml:space="preserve">晋能控股山西煤业股份有限公司</x:t>
        </x:is>
      </x:c>
      <x:c r="E1761" s="4" t="inlineStr">
        <x:is>
          <x:t xml:space="preserve">山西省</x:t>
        </x:is>
      </x:c>
      <x:c r="F1761" s="4" t="inlineStr">
        <x:is>
          <x:t xml:space="preserve">大同市</x:t>
        </x:is>
      </x:c>
      <x:c r="G1761" s="5" t="inlineStr">
        <x:is>
          <x:t xml:space="preserve">山西省-大同市</x:t>
        </x:is>
      </x:c>
      <x:c r="H1761" s="4" t="inlineStr">
        <x:is>
          <x:t xml:space="preserve">煤炭采选</x:t>
        </x:is>
      </x:c>
      <x:c r="I1761" s="4" t="inlineStr">
        <x:is>
          <x:t xml:space="preserve">2006-06-23</x:t>
        </x:is>
      </x:c>
      <x:c r="J1761" s="5" t="inlineStr">
        <x:is>
          <x:t xml:space="preserve">山西省大同市云冈区新平旺</x:t>
        </x:is>
      </x:c>
      <x:c r="K1761" s="12" t="str">
        <x:f>LEFT("91140000729670025D",18)</x:f>
        <x:v>91140000729670025D</x:v>
      </x:c>
    </x:row>
    <x:row r="1762">
      <x:c r="A1762" s="2" t="n">
        <x:v>1761</x:v>
      </x:c>
      <x:c r="B1762" s="2" t="inlineStr">
        <x:is>
          <x:t xml:space="preserve">601006</x:t>
        </x:is>
      </x:c>
      <x:c r="C1762" s="3" t="inlineStr">
        <x:is>
          <x:t xml:space="preserve">大秦铁路</x:t>
        </x:is>
      </x:c>
      <x:c r="D1762" s="3" t="inlineStr">
        <x:is>
          <x:t xml:space="preserve">大秦铁路股份有限公司</x:t>
        </x:is>
      </x:c>
      <x:c r="E1762" s="2" t="inlineStr">
        <x:is>
          <x:t xml:space="preserve">山西省</x:t>
        </x:is>
      </x:c>
      <x:c r="F1762" s="2" t="inlineStr">
        <x:is>
          <x:t xml:space="preserve">大同市</x:t>
        </x:is>
      </x:c>
      <x:c r="G1762" s="3" t="inlineStr">
        <x:is>
          <x:t xml:space="preserve">山西省-大同市</x:t>
        </x:is>
      </x:c>
      <x:c r="H1762" s="2" t="inlineStr">
        <x:is>
          <x:t xml:space="preserve">交运物流</x:t>
        </x:is>
      </x:c>
      <x:c r="I1762" s="2" t="inlineStr">
        <x:is>
          <x:t xml:space="preserve">2006-08-01</x:t>
        </x:is>
      </x:c>
      <x:c r="J1762" s="3" t="inlineStr">
        <x:is>
          <x:t xml:space="preserve">山西省大同市站北街14号</x:t>
        </x:is>
      </x:c>
      <x:c r="K1762" s="12" t="str">
        <x:f>LEFT("91140000710932953T",18)</x:f>
        <x:v>91140000710932953T</x:v>
      </x:c>
    </x:row>
    <x:row r="1763">
      <x:c r="A1763" s="4" t="n">
        <x:v>1762</x:v>
      </x:c>
      <x:c r="B1763" s="4" t="inlineStr">
        <x:is>
          <x:t xml:space="preserve">601699</x:t>
        </x:is>
      </x:c>
      <x:c r="C1763" s="5" t="inlineStr">
        <x:is>
          <x:t xml:space="preserve">潞安环能</x:t>
        </x:is>
      </x:c>
      <x:c r="D1763" s="5" t="inlineStr">
        <x:is>
          <x:t xml:space="preserve">山西潞安环保能源开发股份有限公司</x:t>
        </x:is>
      </x:c>
      <x:c r="E1763" s="4" t="inlineStr">
        <x:is>
          <x:t xml:space="preserve">山西省</x:t>
        </x:is>
      </x:c>
      <x:c r="F1763" s="4" t="inlineStr">
        <x:is>
          <x:t xml:space="preserve">长治市</x:t>
        </x:is>
      </x:c>
      <x:c r="G1763" s="5" t="inlineStr">
        <x:is>
          <x:t xml:space="preserve">山西省-长治市</x:t>
        </x:is>
      </x:c>
      <x:c r="H1763" s="4" t="inlineStr">
        <x:is>
          <x:t xml:space="preserve">煤炭采选</x:t>
        </x:is>
      </x:c>
      <x:c r="I1763" s="4" t="inlineStr">
        <x:is>
          <x:t xml:space="preserve">2006-09-22</x:t>
        </x:is>
      </x:c>
      <x:c r="J1763" s="5" t="inlineStr">
        <x:is>
          <x:t xml:space="preserve">山西省长治市城北东街65号</x:t>
        </x:is>
      </x:c>
      <x:c r="K1763" s="12" t="str">
        <x:f>LEFT("91140000729666771H",18)</x:f>
        <x:v>91140000729666771H</x:v>
      </x:c>
    </x:row>
    <x:row r="1764">
      <x:c r="A1764" s="2" t="n">
        <x:v>1763</x:v>
      </x:c>
      <x:c r="B1764" s="2" t="inlineStr">
        <x:is>
          <x:t xml:space="preserve">603112</x:t>
        </x:is>
      </x:c>
      <x:c r="C1764" s="3" t="inlineStr">
        <x:is>
          <x:t xml:space="preserve">华翔股份</x:t>
        </x:is>
      </x:c>
      <x:c r="D1764" s="3" t="inlineStr">
        <x:is>
          <x:t xml:space="preserve">山西华翔集团股份有限公司</x:t>
        </x:is>
      </x:c>
      <x:c r="E1764" s="2" t="inlineStr">
        <x:is>
          <x:t xml:space="preserve">山西省</x:t>
        </x:is>
      </x:c>
      <x:c r="F1764" s="2" t="inlineStr">
        <x:is>
          <x:t xml:space="preserve">临汾市</x:t>
        </x:is>
      </x:c>
      <x:c r="G1764" s="3" t="inlineStr">
        <x:is>
          <x:t xml:space="preserve">山西省-临汾市</x:t>
        </x:is>
      </x:c>
      <x:c r="H1764" s="2" t="inlineStr">
        <x:is>
          <x:t xml:space="preserve">家电行业</x:t>
        </x:is>
      </x:c>
      <x:c r="I1764" s="2" t="inlineStr">
        <x:is>
          <x:t xml:space="preserve">2020-09-17</x:t>
        </x:is>
      </x:c>
      <x:c r="J1764" s="3" t="inlineStr">
        <x:is>
          <x:t xml:space="preserve">山西省临汾市洪洞县甘亭镇华林村</x:t>
        </x:is>
      </x:c>
      <x:c r="K1764" s="12" t="str">
        <x:f>LEFT("911410006838069266",18)</x:f>
        <x:v>911410006838069200</x:v>
      </x:c>
    </x:row>
    <x:row r="1765">
      <x:c r="A1765" s="4" t="n">
        <x:v>1764</x:v>
      </x:c>
      <x:c r="B1765" s="4" t="inlineStr">
        <x:is>
          <x:t xml:space="preserve">000001</x:t>
        </x:is>
      </x:c>
      <x:c r="C1765" s="5" t="inlineStr">
        <x:is>
          <x:t xml:space="preserve">平安银行</x:t>
        </x:is>
      </x:c>
      <x:c r="D1765" s="5" t="inlineStr">
        <x:is>
          <x:t xml:space="preserve">平安银行股份有限公司</x:t>
        </x:is>
      </x:c>
      <x:c r="E1765" s="4" t="inlineStr">
        <x:is>
          <x:t xml:space="preserve">广东省</x:t>
        </x:is>
      </x:c>
      <x:c r="F1765" s="4" t="inlineStr">
        <x:is>
          <x:t xml:space="preserve">深圳市</x:t>
        </x:is>
      </x:c>
      <x:c r="G1765" s="5" t="inlineStr">
        <x:is>
          <x:t xml:space="preserve">广东省-深圳市</x:t>
        </x:is>
      </x:c>
      <x:c r="H1765" s="4" t="inlineStr">
        <x:is>
          <x:t xml:space="preserve">银行</x:t>
        </x:is>
      </x:c>
      <x:c r="I1765" s="4" t="inlineStr">
        <x:is>
          <x:t xml:space="preserve">1991-04-03</x:t>
        </x:is>
      </x:c>
      <x:c r="J1765" s="5" t="inlineStr">
        <x:is>
          <x:t xml:space="preserve">中华人民共和国广东省深圳市罗湖区深南东路5047号</x:t>
        </x:is>
      </x:c>
      <x:c r="K1765" s="12" t="str">
        <x:f>LEFT("91440300192185379H",18)</x:f>
        <x:v>91440300192185379H</x:v>
      </x:c>
    </x:row>
    <x:row r="1766">
      <x:c r="A1766" s="2" t="n">
        <x:v>1765</x:v>
      </x:c>
      <x:c r="B1766" s="2" t="inlineStr">
        <x:is>
          <x:t xml:space="preserve">000002</x:t>
        </x:is>
      </x:c>
      <x:c r="C1766" s="3" t="inlineStr">
        <x:is>
          <x:t xml:space="preserve">万科A</x:t>
        </x:is>
      </x:c>
      <x:c r="D1766" s="3" t="inlineStr">
        <x:is>
          <x:t xml:space="preserve">万科企业股份有限公司</x:t>
        </x:is>
      </x:c>
      <x:c r="E1766" s="2" t="inlineStr">
        <x:is>
          <x:t xml:space="preserve">广东省</x:t>
        </x:is>
      </x:c>
      <x:c r="F1766" s="2" t="inlineStr">
        <x:is>
          <x:t xml:space="preserve">深圳市</x:t>
        </x:is>
      </x:c>
      <x:c r="G1766" s="3" t="inlineStr">
        <x:is>
          <x:t xml:space="preserve">广东省-深圳市</x:t>
        </x:is>
      </x:c>
      <x:c r="H1766" s="2" t="inlineStr">
        <x:is>
          <x:t xml:space="preserve">房地产</x:t>
        </x:is>
      </x:c>
      <x:c r="I1766" s="2" t="inlineStr">
        <x:is>
          <x:t xml:space="preserve">1991-01-29</x:t>
        </x:is>
      </x:c>
      <x:c r="J1766" s="3" t="inlineStr">
        <x:is>
          <x:t xml:space="preserve">中国深圳市盐田区大梅沙环梅路33号万科中心</x:t>
        </x:is>
      </x:c>
      <x:c r="K1766" s="12" t="str">
        <x:f>LEFT("91440300192181490G",18)</x:f>
        <x:v>91440300192181490G</x:v>
      </x:c>
    </x:row>
    <x:row r="1767">
      <x:c r="A1767" s="4" t="n">
        <x:v>1766</x:v>
      </x:c>
      <x:c r="B1767" s="4" t="inlineStr">
        <x:is>
          <x:t xml:space="preserve">000004</x:t>
        </x:is>
      </x:c>
      <x:c r="C1767" s="5" t="inlineStr">
        <x:is>
          <x:t xml:space="preserve">国华网安</x:t>
        </x:is>
      </x:c>
      <x:c r="D1767" s="5" t="inlineStr">
        <x:is>
          <x:t xml:space="preserve">深圳国华网安科技股份有限公司</x:t>
        </x:is>
      </x:c>
      <x:c r="E1767" s="4" t="inlineStr">
        <x:is>
          <x:t xml:space="preserve">广东省</x:t>
        </x:is>
      </x:c>
      <x:c r="F1767" s="4" t="inlineStr">
        <x:is>
          <x:t xml:space="preserve">深圳市</x:t>
        </x:is>
      </x:c>
      <x:c r="G1767" s="5" t="inlineStr">
        <x:is>
          <x:t xml:space="preserve">广东省-深圳市</x:t>
        </x:is>
      </x:c>
      <x:c r="H1767" s="4" t="inlineStr">
        <x:is>
          <x:t xml:space="preserve">软件服务</x:t>
        </x:is>
      </x:c>
      <x:c r="I1767" s="4" t="inlineStr">
        <x:is>
          <x:t xml:space="preserve">1991-01-14</x:t>
        </x:is>
      </x:c>
      <x:c r="J1767" s="5" t="inlineStr">
        <x:is>
          <x:t xml:space="preserve">深圳市福田区梅林街道孖岭社区凯丰路10号翠林大厦12层</x:t>
        </x:is>
      </x:c>
      <x:c r="K1767" s="12" t="str">
        <x:f>LEFT("91440300192441969E",18)</x:f>
        <x:v>91440300192441969E</x:v>
      </x:c>
    </x:row>
    <x:row r="1768">
      <x:c r="A1768" s="2" t="n">
        <x:v>1767</x:v>
      </x:c>
      <x:c r="B1768" s="2" t="inlineStr">
        <x:is>
          <x:t xml:space="preserve">000006</x:t>
        </x:is>
      </x:c>
      <x:c r="C1768" s="3" t="inlineStr">
        <x:is>
          <x:t xml:space="preserve">深振业A</x:t>
        </x:is>
      </x:c>
      <x:c r="D1768" s="3" t="inlineStr">
        <x:is>
          <x:t xml:space="preserve">深圳市振业(集团)股份有限公司</x:t>
        </x:is>
      </x:c>
      <x:c r="E1768" s="2" t="inlineStr">
        <x:is>
          <x:t xml:space="preserve">广东省</x:t>
        </x:is>
      </x:c>
      <x:c r="F1768" s="2" t="inlineStr">
        <x:is>
          <x:t xml:space="preserve">深圳市</x:t>
        </x:is>
      </x:c>
      <x:c r="G1768" s="3" t="inlineStr">
        <x:is>
          <x:t xml:space="preserve">广东省-深圳市</x:t>
        </x:is>
      </x:c>
      <x:c r="H1768" s="2" t="inlineStr">
        <x:is>
          <x:t xml:space="preserve">房地产</x:t>
        </x:is>
      </x:c>
      <x:c r="I1768" s="2" t="inlineStr">
        <x:is>
          <x:t xml:space="preserve">1992-04-27</x:t>
        </x:is>
      </x:c>
      <x:c r="J1768" s="3" t="inlineStr">
        <x:is>
          <x:t xml:space="preserve">深圳市罗湖区宝安南路2014号振业大厦A座31层</x:t>
        </x:is>
      </x:c>
      <x:c r="K1768" s="12" t="str">
        <x:f>LEFT("91440300618831041G",18)</x:f>
        <x:v>91440300618831041G</x:v>
      </x:c>
    </x:row>
    <x:row r="1769">
      <x:c r="A1769" s="4" t="n">
        <x:v>1768</x:v>
      </x:c>
      <x:c r="B1769" s="4" t="inlineStr">
        <x:is>
          <x:t xml:space="preserve">000007</x:t>
        </x:is>
      </x:c>
      <x:c r="C1769" s="5" t="inlineStr">
        <x:is>
          <x:t xml:space="preserve">全新好</x:t>
        </x:is>
      </x:c>
      <x:c r="D1769" s="5" t="inlineStr">
        <x:is>
          <x:t xml:space="preserve">深圳市全新好股份有限公司</x:t>
        </x:is>
      </x:c>
      <x:c r="E1769" s="4" t="inlineStr">
        <x:is>
          <x:t xml:space="preserve">广东省</x:t>
        </x:is>
      </x:c>
      <x:c r="F1769" s="4" t="inlineStr">
        <x:is>
          <x:t xml:space="preserve">深圳市</x:t>
        </x:is>
      </x:c>
      <x:c r="G1769" s="5" t="inlineStr">
        <x:is>
          <x:t xml:space="preserve">广东省-深圳市</x:t>
        </x:is>
      </x:c>
      <x:c r="H1769" s="4" t="inlineStr">
        <x:is>
          <x:t xml:space="preserve">房地产服务</x:t>
        </x:is>
      </x:c>
      <x:c r="I1769" s="4" t="inlineStr">
        <x:is>
          <x:t xml:space="preserve">1992-04-13</x:t>
        </x:is>
      </x:c>
      <x:c r="J1769" s="5" t="inlineStr">
        <x:is>
          <x:t xml:space="preserve">广东省深圳市福田区华强北街道福强社区华强北路1078号现代之窗A座25层</x:t>
        </x:is>
      </x:c>
      <x:c r="K1769" s="12" t="str">
        <x:f>LEFT("9144030019217870XW",18)</x:f>
        <x:v>9144030019217870XW</x:v>
      </x:c>
    </x:row>
    <x:row r="1770">
      <x:c r="A1770" s="2" t="n">
        <x:v>1769</x:v>
      </x:c>
      <x:c r="B1770" s="2" t="inlineStr">
        <x:is>
          <x:t xml:space="preserve">000009</x:t>
        </x:is>
      </x:c>
      <x:c r="C1770" s="3" t="inlineStr">
        <x:is>
          <x:t xml:space="preserve">中国宝安</x:t>
        </x:is>
      </x:c>
      <x:c r="D1770" s="3" t="inlineStr">
        <x:is>
          <x:t xml:space="preserve">中国宝安集团股份有限公司</x:t>
        </x:is>
      </x:c>
      <x:c r="E1770" s="2" t="inlineStr">
        <x:is>
          <x:t xml:space="preserve">广东省</x:t>
        </x:is>
      </x:c>
      <x:c r="F1770" s="2" t="inlineStr">
        <x:is>
          <x:t xml:space="preserve">深圳市</x:t>
        </x:is>
      </x:c>
      <x:c r="G1770" s="3" t="inlineStr">
        <x:is>
          <x:t xml:space="preserve">广东省-深圳市</x:t>
        </x:is>
      </x:c>
      <x:c r="H1770" s="2" t="inlineStr">
        <x:is>
          <x:t xml:space="preserve">综合行业</x:t>
        </x:is>
      </x:c>
      <x:c r="I1770" s="2" t="inlineStr">
        <x:is>
          <x:t xml:space="preserve">1991-06-25</x:t>
        </x:is>
      </x:c>
      <x:c r="J1770" s="3" t="inlineStr">
        <x:is>
          <x:t xml:space="preserve">深圳市罗湖区笋岗东路1002号宝安广场A座28、29层</x:t>
        </x:is>
      </x:c>
      <x:c r="K1770" s="12" t="str">
        <x:f>LEFT("9144030019219665XD",18)</x:f>
        <x:v>9144030019219665XD</x:v>
      </x:c>
    </x:row>
    <x:row r="1771">
      <x:c r="A1771" s="4" t="n">
        <x:v>1770</x:v>
      </x:c>
      <x:c r="B1771" s="4" t="inlineStr">
        <x:is>
          <x:t xml:space="preserve">000010</x:t>
        </x:is>
      </x:c>
      <x:c r="C1771" s="5" t="inlineStr">
        <x:is>
          <x:t xml:space="preserve">美丽生态</x:t>
        </x:is>
      </x:c>
      <x:c r="D1771" s="5" t="inlineStr">
        <x:is>
          <x:t xml:space="preserve">深圳美丽生态股份有限公司</x:t>
        </x:is>
      </x:c>
      <x:c r="E1771" s="4" t="inlineStr">
        <x:is>
          <x:t xml:space="preserve">广东省</x:t>
        </x:is>
      </x:c>
      <x:c r="F1771" s="4" t="inlineStr">
        <x:is>
          <x:t xml:space="preserve">深圳市</x:t>
        </x:is>
      </x:c>
      <x:c r="G1771" s="5" t="inlineStr">
        <x:is>
          <x:t xml:space="preserve">广东省-深圳市</x:t>
        </x:is>
      </x:c>
      <x:c r="H1771" s="4" t="inlineStr">
        <x:is>
          <x:t xml:space="preserve">工程建设</x:t>
        </x:is>
      </x:c>
      <x:c r="I1771" s="4" t="inlineStr">
        <x:is>
          <x:t xml:space="preserve">1995-10-27</x:t>
        </x:is>
      </x:c>
      <x:c r="J1771" s="5" t="inlineStr">
        <x:is>
          <x:t xml:space="preserve">深圳市宝安中心区宝兴路6号海纳百川总部大厦B座B1701-B1703室</x:t>
        </x:is>
      </x:c>
      <x:c r="K1771" s="12" t="str">
        <x:f>LEFT("91110000192181597U",18)</x:f>
        <x:v>91110000192181597U</x:v>
      </x:c>
    </x:row>
    <x:row r="1772">
      <x:c r="A1772" s="2" t="n">
        <x:v>1771</x:v>
      </x:c>
      <x:c r="B1772" s="2" t="inlineStr">
        <x:is>
          <x:t xml:space="preserve">000011</x:t>
        </x:is>
      </x:c>
      <x:c r="C1772" s="3" t="inlineStr">
        <x:is>
          <x:t xml:space="preserve">深物业A</x:t>
        </x:is>
      </x:c>
      <x:c r="D1772" s="3" t="inlineStr">
        <x:is>
          <x:t xml:space="preserve">深圳市物业发展(集团)股份有限公司</x:t>
        </x:is>
      </x:c>
      <x:c r="E1772" s="2" t="inlineStr">
        <x:is>
          <x:t xml:space="preserve">广东省</x:t>
        </x:is>
      </x:c>
      <x:c r="F1772" s="2" t="inlineStr">
        <x:is>
          <x:t xml:space="preserve">深圳市</x:t>
        </x:is>
      </x:c>
      <x:c r="G1772" s="3" t="inlineStr">
        <x:is>
          <x:t xml:space="preserve">广东省-深圳市</x:t>
        </x:is>
      </x:c>
      <x:c r="H1772" s="2" t="inlineStr">
        <x:is>
          <x:t xml:space="preserve">房地产</x:t>
        </x:is>
      </x:c>
      <x:c r="I1772" s="2" t="inlineStr">
        <x:is>
          <x:t xml:space="preserve">1992-03-30</x:t>
        </x:is>
      </x:c>
      <x:c r="J1772" s="3" t="inlineStr">
        <x:is>
          <x:t xml:space="preserve">广东省深圳市罗湖区人民南路国贸大厦39层、42层</x:t>
        </x:is>
      </x:c>
      <x:c r="K1772" s="12" t="str">
        <x:f>LEFT("91440300192174135N",18)</x:f>
        <x:v>91440300192174135N</x:v>
      </x:c>
    </x:row>
    <x:row r="1773">
      <x:c r="A1773" s="4" t="n">
        <x:v>1772</x:v>
      </x:c>
      <x:c r="B1773" s="4" t="inlineStr">
        <x:is>
          <x:t xml:space="preserve">000012</x:t>
        </x:is>
      </x:c>
      <x:c r="C1773" s="5" t="inlineStr">
        <x:is>
          <x:t xml:space="preserve">南玻A</x:t>
        </x:is>
      </x:c>
      <x:c r="D1773" s="5" t="inlineStr">
        <x:is>
          <x:t xml:space="preserve">中国南玻集团股份有限公司</x:t>
        </x:is>
      </x:c>
      <x:c r="E1773" s="4" t="inlineStr">
        <x:is>
          <x:t xml:space="preserve">广东省</x:t>
        </x:is>
      </x:c>
      <x:c r="F1773" s="4" t="inlineStr">
        <x:is>
          <x:t xml:space="preserve">深圳市</x:t>
        </x:is>
      </x:c>
      <x:c r="G1773" s="5" t="inlineStr">
        <x:is>
          <x:t xml:space="preserve">广东省-深圳市</x:t>
        </x:is>
      </x:c>
      <x:c r="H1773" s="4" t="inlineStr">
        <x:is>
          <x:t xml:space="preserve">玻璃陶瓷</x:t>
        </x:is>
      </x:c>
      <x:c r="I1773" s="4" t="inlineStr">
        <x:is>
          <x:t xml:space="preserve">1992-02-28</x:t>
        </x:is>
      </x:c>
      <x:c r="J1773" s="5" t="inlineStr">
        <x:is>
          <x:t xml:space="preserve">中国深圳市蛇口工业六路一号南玻大厦</x:t>
        </x:is>
      </x:c>
      <x:c r="K1773" s="12" t="str">
        <x:f>LEFT("914403006188385775",18)</x:f>
        <x:v>914403006188385800</x:v>
      </x:c>
    </x:row>
    <x:row r="1774">
      <x:c r="A1774" s="2" t="n">
        <x:v>1773</x:v>
      </x:c>
      <x:c r="B1774" s="2" t="inlineStr">
        <x:is>
          <x:t xml:space="preserve">000014</x:t>
        </x:is>
      </x:c>
      <x:c r="C1774" s="3" t="inlineStr">
        <x:is>
          <x:t xml:space="preserve">沙河股份</x:t>
        </x:is>
      </x:c>
      <x:c r="D1774" s="3" t="inlineStr">
        <x:is>
          <x:t xml:space="preserve">沙河实业股份有限公司</x:t>
        </x:is>
      </x:c>
      <x:c r="E1774" s="2" t="inlineStr">
        <x:is>
          <x:t xml:space="preserve">广东省</x:t>
        </x:is>
      </x:c>
      <x:c r="F1774" s="2" t="inlineStr">
        <x:is>
          <x:t xml:space="preserve">深圳市</x:t>
        </x:is>
      </x:c>
      <x:c r="G1774" s="3" t="inlineStr">
        <x:is>
          <x:t xml:space="preserve">广东省-深圳市</x:t>
        </x:is>
      </x:c>
      <x:c r="H1774" s="2" t="inlineStr">
        <x:is>
          <x:t xml:space="preserve">房地产</x:t>
        </x:is>
      </x:c>
      <x:c r="I1774" s="2" t="inlineStr">
        <x:is>
          <x:t xml:space="preserve">1992-06-02</x:t>
        </x:is>
      </x:c>
      <x:c r="J1774" s="3" t="inlineStr">
        <x:is>
          <x:t xml:space="preserve">广东省深圳市南山区白石路2222号沙河世纪楼</x:t>
        </x:is>
      </x:c>
      <x:c r="K1774" s="12" t="str">
        <x:f>LEFT("914403006188016784",18)</x:f>
        <x:v>914403006188016800</x:v>
      </x:c>
    </x:row>
    <x:row r="1775">
      <x:c r="A1775" s="4" t="n">
        <x:v>1774</x:v>
      </x:c>
      <x:c r="B1775" s="4" t="inlineStr">
        <x:is>
          <x:t xml:space="preserve">000016</x:t>
        </x:is>
      </x:c>
      <x:c r="C1775" s="5" t="inlineStr">
        <x:is>
          <x:t xml:space="preserve">深康佳A</x:t>
        </x:is>
      </x:c>
      <x:c r="D1775" s="5" t="inlineStr">
        <x:is>
          <x:t xml:space="preserve">康佳集团股份有限公司</x:t>
        </x:is>
      </x:c>
      <x:c r="E1775" s="4" t="inlineStr">
        <x:is>
          <x:t xml:space="preserve">广东省</x:t>
        </x:is>
      </x:c>
      <x:c r="F1775" s="4" t="inlineStr">
        <x:is>
          <x:t xml:space="preserve">深圳市</x:t>
        </x:is>
      </x:c>
      <x:c r="G1775" s="5" t="inlineStr">
        <x:is>
          <x:t xml:space="preserve">广东省-深圳市</x:t>
        </x:is>
      </x:c>
      <x:c r="H1775" s="4" t="inlineStr">
        <x:is>
          <x:t xml:space="preserve">家电行业</x:t>
        </x:is>
      </x:c>
      <x:c r="I1775" s="4" t="inlineStr">
        <x:is>
          <x:t xml:space="preserve">1992-03-27</x:t>
        </x:is>
      </x:c>
      <x:c r="J1775" s="5" t="inlineStr">
        <x:is>
          <x:t xml:space="preserve">深圳市南山区粤海街道科技园科技南十二路28号康佳研发大厦15-24层</x:t>
        </x:is>
      </x:c>
      <x:c r="K1775" s="12" t="str">
        <x:f>LEFT("914403006188155783",18)</x:f>
        <x:v>914403006188155800</x:v>
      </x:c>
    </x:row>
    <x:row r="1776">
      <x:c r="A1776" s="2" t="n">
        <x:v>1775</x:v>
      </x:c>
      <x:c r="B1776" s="2" t="inlineStr">
        <x:is>
          <x:t xml:space="preserve">000017</x:t>
        </x:is>
      </x:c>
      <x:c r="C1776" s="3" t="inlineStr">
        <x:is>
          <x:t xml:space="preserve">深中华A</x:t>
        </x:is>
      </x:c>
      <x:c r="D1776" s="3" t="inlineStr">
        <x:is>
          <x:t xml:space="preserve">深圳中华自行车(集团)股份有限公司</x:t>
        </x:is>
      </x:c>
      <x:c r="E1776" s="2" t="inlineStr">
        <x:is>
          <x:t xml:space="preserve">广东省</x:t>
        </x:is>
      </x:c>
      <x:c r="F1776" s="2" t="inlineStr">
        <x:is>
          <x:t xml:space="preserve">深圳市</x:t>
        </x:is>
      </x:c>
      <x:c r="G1776" s="3" t="inlineStr">
        <x:is>
          <x:t xml:space="preserve">广东省-深圳市</x:t>
        </x:is>
      </x:c>
      <x:c r="H1776" s="2" t="inlineStr">
        <x:is>
          <x:t xml:space="preserve">珠宝首饰</x:t>
        </x:is>
      </x:c>
      <x:c r="I1776" s="2" t="inlineStr">
        <x:is>
          <x:t xml:space="preserve">1992-03-31</x:t>
        </x:is>
      </x:c>
      <x:c r="J1776" s="3" t="inlineStr">
        <x:is>
          <x:t xml:space="preserve">深圳市罗湖区布心路3008号</x:t>
        </x:is>
      </x:c>
      <x:c r="K1776" s="12" t="str">
        <x:f>LEFT("914403006188304524",18)</x:f>
        <x:v>914403006188304500</x:v>
      </x:c>
    </x:row>
    <x:row r="1777">
      <x:c r="A1777" s="4" t="n">
        <x:v>1776</x:v>
      </x:c>
      <x:c r="B1777" s="4" t="inlineStr">
        <x:is>
          <x:t xml:space="preserve">000019</x:t>
        </x:is>
      </x:c>
      <x:c r="C1777" s="5" t="inlineStr">
        <x:is>
          <x:t xml:space="preserve">深粮控股</x:t>
        </x:is>
      </x:c>
      <x:c r="D1777" s="5" t="inlineStr">
        <x:is>
          <x:t xml:space="preserve">深圳市深粮控股股份有限公司</x:t>
        </x:is>
      </x:c>
      <x:c r="E1777" s="4" t="inlineStr">
        <x:is>
          <x:t xml:space="preserve">广东省</x:t>
        </x:is>
      </x:c>
      <x:c r="F1777" s="4" t="inlineStr">
        <x:is>
          <x:t xml:space="preserve">深圳市</x:t>
        </x:is>
      </x:c>
      <x:c r="G1777" s="5" t="inlineStr">
        <x:is>
          <x:t xml:space="preserve">广东省-深圳市</x:t>
        </x:is>
      </x:c>
      <x:c r="H1777" s="4" t="inlineStr">
        <x:is>
          <x:t xml:space="preserve">贸易行业</x:t>
        </x:is>
      </x:c>
      <x:c r="I1777" s="4" t="inlineStr">
        <x:is>
          <x:t xml:space="preserve">1992-10-12</x:t>
        </x:is>
      </x:c>
      <x:c r="J1777" s="5" t="inlineStr">
        <x:is>
          <x:t xml:space="preserve">深圳市南山区粤海街道学府路科技园南区软件产业基地4栋B座8层</x:t>
        </x:is>
      </x:c>
      <x:c r="K1777" s="12" t="str">
        <x:f>LEFT("91440300192180754J",18)</x:f>
        <x:v>91440300192180754J</x:v>
      </x:c>
    </x:row>
    <x:row r="1778">
      <x:c r="A1778" s="2" t="n">
        <x:v>1777</x:v>
      </x:c>
      <x:c r="B1778" s="2" t="inlineStr">
        <x:is>
          <x:t xml:space="preserve">000020</x:t>
        </x:is>
      </x:c>
      <x:c r="C1778" s="3" t="inlineStr">
        <x:is>
          <x:t xml:space="preserve">深华发A</x:t>
        </x:is>
      </x:c>
      <x:c r="D1778" s="3" t="inlineStr">
        <x:is>
          <x:t xml:space="preserve">深圳中恒华发股份有限公司</x:t>
        </x:is>
      </x:c>
      <x:c r="E1778" s="2" t="inlineStr">
        <x:is>
          <x:t xml:space="preserve">广东省</x:t>
        </x:is>
      </x:c>
      <x:c r="F1778" s="2" t="inlineStr">
        <x:is>
          <x:t xml:space="preserve">深圳市</x:t>
        </x:is>
      </x:c>
      <x:c r="G1778" s="3" t="inlineStr">
        <x:is>
          <x:t xml:space="preserve">广东省-深圳市</x:t>
        </x:is>
      </x:c>
      <x:c r="H1778" s="2" t="inlineStr">
        <x:is>
          <x:t xml:space="preserve">光学光电子</x:t>
        </x:is>
      </x:c>
      <x:c r="I1778" s="2" t="inlineStr">
        <x:is>
          <x:t xml:space="preserve">1992-04-28</x:t>
        </x:is>
      </x:c>
      <x:c r="J1778" s="3" t="inlineStr">
        <x:is>
          <x:t xml:space="preserve">中国广东省深圳市福田区华发北路411栋</x:t>
        </x:is>
      </x:c>
      <x:c r="K1778" s="12" t="str">
        <x:f>LEFT("91440300618830372G",18)</x:f>
        <x:v>91440300618830372G</x:v>
      </x:c>
    </x:row>
    <x:row r="1779">
      <x:c r="A1779" s="4" t="n">
        <x:v>1778</x:v>
      </x:c>
      <x:c r="B1779" s="4" t="inlineStr">
        <x:is>
          <x:t xml:space="preserve">000021</x:t>
        </x:is>
      </x:c>
      <x:c r="C1779" s="5" t="inlineStr">
        <x:is>
          <x:t xml:space="preserve">深科技</x:t>
        </x:is>
      </x:c>
      <x:c r="D1779" s="5" t="inlineStr">
        <x:is>
          <x:t xml:space="preserve">深圳长城开发科技股份有限公司</x:t>
        </x:is>
      </x:c>
      <x:c r="E1779" s="4" t="inlineStr">
        <x:is>
          <x:t xml:space="preserve">广东省</x:t>
        </x:is>
      </x:c>
      <x:c r="F1779" s="4" t="inlineStr">
        <x:is>
          <x:t xml:space="preserve">深圳市</x:t>
        </x:is>
      </x:c>
      <x:c r="G1779" s="5" t="inlineStr">
        <x:is>
          <x:t xml:space="preserve">广东省-深圳市</x:t>
        </x:is>
      </x:c>
      <x:c r="H1779" s="4" t="inlineStr">
        <x:is>
          <x:t xml:space="preserve">消费电子</x:t>
        </x:is>
      </x:c>
      <x:c r="I1779" s="4" t="inlineStr">
        <x:is>
          <x:t xml:space="preserve">1994-02-02</x:t>
        </x:is>
      </x:c>
      <x:c r="J1779" s="5" t="inlineStr">
        <x:is>
          <x:t xml:space="preserve">深圳市福田区彩田路7006号</x:t>
        </x:is>
      </x:c>
      <x:c r="K1779" s="12" t="str">
        <x:f>LEFT("91440300618873567Y",18)</x:f>
        <x:v>91440300618873567Y</x:v>
      </x:c>
    </x:row>
    <x:row r="1780">
      <x:c r="A1780" s="2" t="n">
        <x:v>1779</x:v>
      </x:c>
      <x:c r="B1780" s="2" t="inlineStr">
        <x:is>
          <x:t xml:space="preserve">000025</x:t>
        </x:is>
      </x:c>
      <x:c r="C1780" s="3" t="inlineStr">
        <x:is>
          <x:t xml:space="preserve">特力A</x:t>
        </x:is>
      </x:c>
      <x:c r="D1780" s="3" t="inlineStr">
        <x:is>
          <x:t xml:space="preserve">深圳市特力(集团)股份有限公司</x:t>
        </x:is>
      </x:c>
      <x:c r="E1780" s="2" t="inlineStr">
        <x:is>
          <x:t xml:space="preserve">广东省</x:t>
        </x:is>
      </x:c>
      <x:c r="F1780" s="2" t="inlineStr">
        <x:is>
          <x:t xml:space="preserve">深圳市</x:t>
        </x:is>
      </x:c>
      <x:c r="G1780" s="3" t="inlineStr">
        <x:is>
          <x:t xml:space="preserve">广东省-深圳市</x:t>
        </x:is>
      </x:c>
      <x:c r="H1780" s="2" t="inlineStr">
        <x:is>
          <x:t xml:space="preserve">珠宝首饰</x:t>
        </x:is>
      </x:c>
      <x:c r="I1780" s="2" t="inlineStr">
        <x:is>
          <x:t xml:space="preserve">1993-06-21</x:t>
        </x:is>
      </x:c>
      <x:c r="J1780" s="3" t="inlineStr">
        <x:is>
          <x:t xml:space="preserve">深圳市罗湖区水贝二路五十六号特力大厦三楼</x:t>
        </x:is>
      </x:c>
      <x:c r="K1780" s="12" t="str">
        <x:f>LEFT("91440300192192210U",18)</x:f>
        <x:v>91440300192192210U</x:v>
      </x:c>
    </x:row>
    <x:row r="1781">
      <x:c r="A1781" s="4" t="n">
        <x:v>1780</x:v>
      </x:c>
      <x:c r="B1781" s="4" t="inlineStr">
        <x:is>
          <x:t xml:space="preserve">000026</x:t>
        </x:is>
      </x:c>
      <x:c r="C1781" s="5" t="inlineStr">
        <x:is>
          <x:t xml:space="preserve">飞亚达</x:t>
        </x:is>
      </x:c>
      <x:c r="D1781" s="5" t="inlineStr">
        <x:is>
          <x:t xml:space="preserve">飞亚达精密科技股份有限公司</x:t>
        </x:is>
      </x:c>
      <x:c r="E1781" s="4" t="inlineStr">
        <x:is>
          <x:t xml:space="preserve">广东省</x:t>
        </x:is>
      </x:c>
      <x:c r="F1781" s="4" t="inlineStr">
        <x:is>
          <x:t xml:space="preserve">深圳市</x:t>
        </x:is>
      </x:c>
      <x:c r="G1781" s="5" t="inlineStr">
        <x:is>
          <x:t xml:space="preserve">广东省-深圳市</x:t>
        </x:is>
      </x:c>
      <x:c r="H1781" s="4" t="inlineStr">
        <x:is>
          <x:t xml:space="preserve">珠宝首饰</x:t>
        </x:is>
      </x:c>
      <x:c r="I1781" s="4" t="inlineStr">
        <x:is>
          <x:t xml:space="preserve">1993-06-03</x:t>
        </x:is>
      </x:c>
      <x:c r="J1781" s="5" t="inlineStr">
        <x:is>
          <x:t xml:space="preserve">深圳市南山区高新南一道飞亚达科技大厦</x:t>
        </x:is>
      </x:c>
      <x:c r="K1781" s="12" t="str">
        <x:f>LEFT("91440300192189783K",18)</x:f>
        <x:v>91440300192189783K</x:v>
      </x:c>
    </x:row>
    <x:row r="1782">
      <x:c r="A1782" s="2" t="n">
        <x:v>1781</x:v>
      </x:c>
      <x:c r="B1782" s="2" t="inlineStr">
        <x:is>
          <x:t xml:space="preserve">000027</x:t>
        </x:is>
      </x:c>
      <x:c r="C1782" s="3" t="inlineStr">
        <x:is>
          <x:t xml:space="preserve">深圳能源</x:t>
        </x:is>
      </x:c>
      <x:c r="D1782" s="3" t="inlineStr">
        <x:is>
          <x:t xml:space="preserve">深圳能源集团股份有限公司</x:t>
        </x:is>
      </x:c>
      <x:c r="E1782" s="2" t="inlineStr">
        <x:is>
          <x:t xml:space="preserve">广东省</x:t>
        </x:is>
      </x:c>
      <x:c r="F1782" s="2" t="inlineStr">
        <x:is>
          <x:t xml:space="preserve">深圳市</x:t>
        </x:is>
      </x:c>
      <x:c r="G1782" s="3" t="inlineStr">
        <x:is>
          <x:t xml:space="preserve">广东省-深圳市</x:t>
        </x:is>
      </x:c>
      <x:c r="H1782" s="2" t="inlineStr">
        <x:is>
          <x:t xml:space="preserve">电力行业</x:t>
        </x:is>
      </x:c>
      <x:c r="I1782" s="2" t="inlineStr">
        <x:is>
          <x:t xml:space="preserve">1993-09-03</x:t>
        </x:is>
      </x:c>
      <x:c r="J1782" s="3" t="inlineStr">
        <x:is>
          <x:t xml:space="preserve">深圳市福田区福田街道金田路2026号能源大厦北塔楼9层、29-31层、34-41层</x:t>
        </x:is>
      </x:c>
      <x:c r="K1782" s="12" t="str">
        <x:f>LEFT("91440300192241158P",18)</x:f>
        <x:v>91440300192241158P</x:v>
      </x:c>
    </x:row>
    <x:row r="1783">
      <x:c r="A1783" s="4" t="n">
        <x:v>1782</x:v>
      </x:c>
      <x:c r="B1783" s="4" t="inlineStr">
        <x:is>
          <x:t xml:space="preserve">000028</x:t>
        </x:is>
      </x:c>
      <x:c r="C1783" s="5" t="inlineStr">
        <x:is>
          <x:t xml:space="preserve">国药一致</x:t>
        </x:is>
      </x:c>
      <x:c r="D1783" s="5" t="inlineStr">
        <x:is>
          <x:t xml:space="preserve">国药集团一致药业股份有限公司</x:t>
        </x:is>
      </x:c>
      <x:c r="E1783" s="4" t="inlineStr">
        <x:is>
          <x:t xml:space="preserve">广东省</x:t>
        </x:is>
      </x:c>
      <x:c r="F1783" s="4" t="inlineStr">
        <x:is>
          <x:t xml:space="preserve">深圳市</x:t>
        </x:is>
      </x:c>
      <x:c r="G1783" s="5" t="inlineStr">
        <x:is>
          <x:t xml:space="preserve">广东省-深圳市</x:t>
        </x:is>
      </x:c>
      <x:c r="H1783" s="4" t="inlineStr">
        <x:is>
          <x:t xml:space="preserve">医药商业</x:t>
        </x:is>
      </x:c>
      <x:c r="I1783" s="4" t="inlineStr">
        <x:is>
          <x:t xml:space="preserve">1993-08-09</x:t>
        </x:is>
      </x:c>
      <x:c r="J1783" s="5" t="inlineStr">
        <x:is>
          <x:t xml:space="preserve">广东省深圳市福田区八卦四路15号一致药业大厦</x:t>
        </x:is>
      </x:c>
      <x:c r="K1783" s="12" t="str">
        <x:f>LEFT("91440300192186267U",18)</x:f>
        <x:v>91440300192186267U</x:v>
      </x:c>
    </x:row>
    <x:row r="1784">
      <x:c r="A1784" s="2" t="n">
        <x:v>1783</x:v>
      </x:c>
      <x:c r="B1784" s="2" t="inlineStr">
        <x:is>
          <x:t xml:space="preserve">000029</x:t>
        </x:is>
      </x:c>
      <x:c r="C1784" s="3" t="inlineStr">
        <x:is>
          <x:t xml:space="preserve">深深房A</x:t>
        </x:is>
      </x:c>
      <x:c r="D1784" s="3" t="inlineStr">
        <x:is>
          <x:t xml:space="preserve">深圳经济特区房地产(集团)股份有限公司</x:t>
        </x:is>
      </x:c>
      <x:c r="E1784" s="2" t="inlineStr">
        <x:is>
          <x:t xml:space="preserve">广东省</x:t>
        </x:is>
      </x:c>
      <x:c r="F1784" s="2" t="inlineStr">
        <x:is>
          <x:t xml:space="preserve">深圳市</x:t>
        </x:is>
      </x:c>
      <x:c r="G1784" s="3" t="inlineStr">
        <x:is>
          <x:t xml:space="preserve">广东省-深圳市</x:t>
        </x:is>
      </x:c>
      <x:c r="H1784" s="2" t="inlineStr">
        <x:is>
          <x:t xml:space="preserve">房地产</x:t>
        </x:is>
      </x:c>
      <x:c r="I1784" s="2" t="inlineStr">
        <x:is>
          <x:t xml:space="preserve">1993-09-15</x:t>
        </x:is>
      </x:c>
      <x:c r="J1784" s="3" t="inlineStr">
        <x:is>
          <x:t xml:space="preserve">深圳市罗湖区南湖街道嘉北社区人民南路3005号深房广场A46层-A48层B46层-B48层</x:t>
        </x:is>
      </x:c>
      <x:c r="K1784" s="12" t="str">
        <x:f>LEFT("91440300192179585N",18)</x:f>
        <x:v>91440300192179585N</x:v>
      </x:c>
    </x:row>
    <x:row r="1785">
      <x:c r="A1785" s="4" t="n">
        <x:v>1784</x:v>
      </x:c>
      <x:c r="B1785" s="4" t="inlineStr">
        <x:is>
          <x:t xml:space="preserve">000031</x:t>
        </x:is>
      </x:c>
      <x:c r="C1785" s="5" t="inlineStr">
        <x:is>
          <x:t xml:space="preserve">大悦城</x:t>
        </x:is>
      </x:c>
      <x:c r="D1785" s="5" t="inlineStr">
        <x:is>
          <x:t xml:space="preserve">大悦城控股集团股份有限公司</x:t>
        </x:is>
      </x:c>
      <x:c r="E1785" s="4" t="inlineStr">
        <x:is>
          <x:t xml:space="preserve">广东省</x:t>
        </x:is>
      </x:c>
      <x:c r="F1785" s="4" t="inlineStr">
        <x:is>
          <x:t xml:space="preserve">深圳市</x:t>
        </x:is>
      </x:c>
      <x:c r="G1785" s="5" t="inlineStr">
        <x:is>
          <x:t xml:space="preserve">广东省-深圳市</x:t>
        </x:is>
      </x:c>
      <x:c r="H1785" s="4" t="inlineStr">
        <x:is>
          <x:t xml:space="preserve">房地产</x:t>
        </x:is>
      </x:c>
      <x:c r="I1785" s="4" t="inlineStr">
        <x:is>
          <x:t xml:space="preserve">1993-10-08</x:t>
        </x:is>
      </x:c>
      <x:c r="J1785" s="5" t="inlineStr">
        <x:is>
          <x:t xml:space="preserve">深圳市宝安区新安街道3区龙井二路3号中粮地产集团中心第1层101室</x:t>
        </x:is>
      </x:c>
      <x:c r="K1785" s="12" t="str">
        <x:f>LEFT("914403001922471899",18)</x:f>
        <x:v>914403001922472000</x:v>
      </x:c>
    </x:row>
    <x:row r="1786">
      <x:c r="A1786" s="2" t="n">
        <x:v>1785</x:v>
      </x:c>
      <x:c r="B1786" s="2" t="inlineStr">
        <x:is>
          <x:t xml:space="preserve">000032</x:t>
        </x:is>
      </x:c>
      <x:c r="C1786" s="3" t="inlineStr">
        <x:is>
          <x:t xml:space="preserve">深桑达A</x:t>
        </x:is>
      </x:c>
      <x:c r="D1786" s="3" t="inlineStr">
        <x:is>
          <x:t xml:space="preserve">深圳市桑达实业股份有限公司</x:t>
        </x:is>
      </x:c>
      <x:c r="E1786" s="2" t="inlineStr">
        <x:is>
          <x:t xml:space="preserve">广东省</x:t>
        </x:is>
      </x:c>
      <x:c r="F1786" s="2" t="inlineStr">
        <x:is>
          <x:t xml:space="preserve">深圳市</x:t>
        </x:is>
      </x:c>
      <x:c r="G1786" s="3" t="inlineStr">
        <x:is>
          <x:t xml:space="preserve">广东省-深圳市</x:t>
        </x:is>
      </x:c>
      <x:c r="H1786" s="2" t="inlineStr">
        <x:is>
          <x:t xml:space="preserve">工程建设</x:t>
        </x:is>
      </x:c>
      <x:c r="I1786" s="2" t="inlineStr">
        <x:is>
          <x:t xml:space="preserve">1993-10-28</x:t>
        </x:is>
      </x:c>
      <x:c r="J1786" s="3" t="inlineStr">
        <x:is>
          <x:t xml:space="preserve">广东省深圳市南山区科技园科技路1号桑达科技大厦15-17层</x:t>
        </x:is>
      </x:c>
      <x:c r="K1786" s="12" t="str">
        <x:f>LEFT("914403001922517431",18)</x:f>
        <x:v>914403001922517400</x:v>
      </x:c>
    </x:row>
    <x:row r="1787">
      <x:c r="A1787" s="4" t="n">
        <x:v>1786</x:v>
      </x:c>
      <x:c r="B1787" s="4" t="inlineStr">
        <x:is>
          <x:t xml:space="preserve">000034</x:t>
        </x:is>
      </x:c>
      <x:c r="C1787" s="5" t="inlineStr">
        <x:is>
          <x:t xml:space="preserve">神州数码</x:t>
        </x:is>
      </x:c>
      <x:c r="D1787" s="5" t="inlineStr">
        <x:is>
          <x:t xml:space="preserve">神州数码集团股份有限公司</x:t>
        </x:is>
      </x:c>
      <x:c r="E1787" s="4" t="inlineStr">
        <x:is>
          <x:t xml:space="preserve">广东省</x:t>
        </x:is>
      </x:c>
      <x:c r="F1787" s="4" t="inlineStr">
        <x:is>
          <x:t xml:space="preserve">深圳市</x:t>
        </x:is>
      </x:c>
      <x:c r="G1787" s="5" t="inlineStr">
        <x:is>
          <x:t xml:space="preserve">广东省-深圳市</x:t>
        </x:is>
      </x:c>
      <x:c r="H1787" s="4" t="inlineStr">
        <x:is>
          <x:t xml:space="preserve">计算机设备</x:t>
        </x:is>
      </x:c>
      <x:c r="I1787" s="4" t="inlineStr">
        <x:is>
          <x:t xml:space="preserve">1994-05-09</x:t>
        </x:is>
      </x:c>
      <x:c r="J1787" s="5" t="inlineStr">
        <x:is>
          <x:t xml:space="preserve">深圳市南山区沙河街道东方社区深湾二路82号神州数码国际创新中心东塔3801</x:t>
        </x:is>
      </x:c>
      <x:c r="K1787" s="12" t="str">
        <x:f>LEFT("9144030019218259X7",18)</x:f>
        <x:v>9144030019218259X7</x:v>
      </x:c>
    </x:row>
    <x:row r="1788">
      <x:c r="A1788" s="2" t="n">
        <x:v>1787</x:v>
      </x:c>
      <x:c r="B1788" s="2" t="inlineStr">
        <x:is>
          <x:t xml:space="preserve">000036</x:t>
        </x:is>
      </x:c>
      <x:c r="C1788" s="3" t="inlineStr">
        <x:is>
          <x:t xml:space="preserve">华联控股</x:t>
        </x:is>
      </x:c>
      <x:c r="D1788" s="3" t="inlineStr">
        <x:is>
          <x:t xml:space="preserve">华联控股股份有限公司</x:t>
        </x:is>
      </x:c>
      <x:c r="E1788" s="2" t="inlineStr">
        <x:is>
          <x:t xml:space="preserve">广东省</x:t>
        </x:is>
      </x:c>
      <x:c r="F1788" s="2" t="inlineStr">
        <x:is>
          <x:t xml:space="preserve">深圳市</x:t>
        </x:is>
      </x:c>
      <x:c r="G1788" s="3" t="inlineStr">
        <x:is>
          <x:t xml:space="preserve">广东省-深圳市</x:t>
        </x:is>
      </x:c>
      <x:c r="H1788" s="2" t="inlineStr">
        <x:is>
          <x:t xml:space="preserve">房地产</x:t>
        </x:is>
      </x:c>
      <x:c r="I1788" s="2" t="inlineStr">
        <x:is>
          <x:t xml:space="preserve">1994-06-17</x:t>
        </x:is>
      </x:c>
      <x:c r="J1788" s="3" t="inlineStr">
        <x:is>
          <x:t xml:space="preserve">深圳市福田区深南中路2008号华联大厦16层</x:t>
        </x:is>
      </x:c>
      <x:c r="K1788" s="12" t="str">
        <x:f>LEFT("91440300192471500W",18)</x:f>
        <x:v>91440300192471500W</x:v>
      </x:c>
    </x:row>
    <x:row r="1789">
      <x:c r="A1789" s="4" t="n">
        <x:v>1788</x:v>
      </x:c>
      <x:c r="B1789" s="4" t="inlineStr">
        <x:is>
          <x:t xml:space="preserve">000037</x:t>
        </x:is>
      </x:c>
      <x:c r="C1789" s="5" t="inlineStr">
        <x:is>
          <x:t xml:space="preserve">深南电A</x:t>
        </x:is>
      </x:c>
      <x:c r="D1789" s="5" t="inlineStr">
        <x:is>
          <x:t xml:space="preserve">深圳南山热电股份有限公司</x:t>
        </x:is>
      </x:c>
      <x:c r="E1789" s="4" t="inlineStr">
        <x:is>
          <x:t xml:space="preserve">广东省</x:t>
        </x:is>
      </x:c>
      <x:c r="F1789" s="4" t="inlineStr">
        <x:is>
          <x:t xml:space="preserve">深圳市</x:t>
        </x:is>
      </x:c>
      <x:c r="G1789" s="5" t="inlineStr">
        <x:is>
          <x:t xml:space="preserve">广东省-深圳市</x:t>
        </x:is>
      </x:c>
      <x:c r="H1789" s="4" t="inlineStr">
        <x:is>
          <x:t xml:space="preserve">电力行业</x:t>
        </x:is>
      </x:c>
      <x:c r="I1789" s="4" t="inlineStr">
        <x:is>
          <x:t xml:space="preserve">1994-07-01</x:t>
        </x:is>
      </x:c>
      <x:c r="J1789" s="5" t="inlineStr">
        <x:is>
          <x:t xml:space="preserve">广东省深圳市南山区月亮湾大道2097号</x:t>
        </x:is>
      </x:c>
      <x:c r="K1789" s="12" t="str">
        <x:f>LEFT("91440300618815121H",18)</x:f>
        <x:v>91440300618815121H</x:v>
      </x:c>
    </x:row>
    <x:row r="1790">
      <x:c r="A1790" s="2" t="n">
        <x:v>1789</x:v>
      </x:c>
      <x:c r="B1790" s="2" t="inlineStr">
        <x:is>
          <x:t xml:space="preserve">000039</x:t>
        </x:is>
      </x:c>
      <x:c r="C1790" s="3" t="inlineStr">
        <x:is>
          <x:t xml:space="preserve">中集集团</x:t>
        </x:is>
      </x:c>
      <x:c r="D1790" s="3" t="inlineStr">
        <x:is>
          <x:t xml:space="preserve">中国国际海运集装箱(集团)股份有限公司</x:t>
        </x:is>
      </x:c>
      <x:c r="E1790" s="2" t="inlineStr">
        <x:is>
          <x:t xml:space="preserve">广东省</x:t>
        </x:is>
      </x:c>
      <x:c r="F1790" s="2" t="inlineStr">
        <x:is>
          <x:t xml:space="preserve">深圳市</x:t>
        </x:is>
      </x:c>
      <x:c r="G1790" s="3" t="inlineStr">
        <x:is>
          <x:t xml:space="preserve">广东省-深圳市</x:t>
        </x:is>
      </x:c>
      <x:c r="H1790" s="2" t="inlineStr">
        <x:is>
          <x:t xml:space="preserve">通用设备</x:t>
        </x:is>
      </x:c>
      <x:c r="I1790" s="2" t="inlineStr">
        <x:is>
          <x:t xml:space="preserve">1994-04-08</x:t>
        </x:is>
      </x:c>
      <x:c r="J1790" s="3" t="inlineStr">
        <x:is>
          <x:t xml:space="preserve">中国广东省深圳市南山区蛇口港湾大道2号中集集团研发中心8楼</x:t>
        </x:is>
      </x:c>
      <x:c r="K1790" s="12" t="str">
        <x:f>LEFT("91440300618869509J",18)</x:f>
        <x:v>91440300618869509J</x:v>
      </x:c>
    </x:row>
    <x:row r="1791">
      <x:c r="A1791" s="4" t="n">
        <x:v>1790</x:v>
      </x:c>
      <x:c r="B1791" s="4" t="inlineStr">
        <x:is>
          <x:t xml:space="preserve">000042</x:t>
        </x:is>
      </x:c>
      <x:c r="C1791" s="5" t="inlineStr">
        <x:is>
          <x:t xml:space="preserve">中洲控股</x:t>
        </x:is>
      </x:c>
      <x:c r="D1791" s="5" t="inlineStr">
        <x:is>
          <x:t xml:space="preserve">深圳市中洲投资控股股份有限公司</x:t>
        </x:is>
      </x:c>
      <x:c r="E1791" s="4" t="inlineStr">
        <x:is>
          <x:t xml:space="preserve">广东省</x:t>
        </x:is>
      </x:c>
      <x:c r="F1791" s="4" t="inlineStr">
        <x:is>
          <x:t xml:space="preserve">深圳市</x:t>
        </x:is>
      </x:c>
      <x:c r="G1791" s="5" t="inlineStr">
        <x:is>
          <x:t xml:space="preserve">广东省-深圳市</x:t>
        </x:is>
      </x:c>
      <x:c r="H1791" s="4" t="inlineStr">
        <x:is>
          <x:t xml:space="preserve">房地产</x:t>
        </x:is>
      </x:c>
      <x:c r="I1791" s="4" t="inlineStr">
        <x:is>
          <x:t xml:space="preserve">1994-09-21</x:t>
        </x:is>
      </x:c>
      <x:c r="J1791" s="5" t="inlineStr">
        <x:is>
          <x:t xml:space="preserve">深圳市福田区福田街道岗厦社区金田路3088号中洲大厦3802</x:t>
        </x:is>
      </x:c>
      <x:c r="K1791" s="12" t="str">
        <x:f>LEFT("91440300192190768P",18)</x:f>
        <x:v>91440300192190768P</x:v>
      </x:c>
    </x:row>
    <x:row r="1792">
      <x:c r="A1792" s="2" t="n">
        <x:v>1791</x:v>
      </x:c>
      <x:c r="B1792" s="2" t="inlineStr">
        <x:is>
          <x:t xml:space="preserve">000045</x:t>
        </x:is>
      </x:c>
      <x:c r="C1792" s="3" t="inlineStr">
        <x:is>
          <x:t xml:space="preserve">深纺织A</x:t>
        </x:is>
      </x:c>
      <x:c r="D1792" s="3" t="inlineStr">
        <x:is>
          <x:t xml:space="preserve">深圳市纺织(集团)股份有限公司</x:t>
        </x:is>
      </x:c>
      <x:c r="E1792" s="2" t="inlineStr">
        <x:is>
          <x:t xml:space="preserve">广东省</x:t>
        </x:is>
      </x:c>
      <x:c r="F1792" s="2" t="inlineStr">
        <x:is>
          <x:t xml:space="preserve">深圳市</x:t>
        </x:is>
      </x:c>
      <x:c r="G1792" s="3" t="inlineStr">
        <x:is>
          <x:t xml:space="preserve">广东省-深圳市</x:t>
        </x:is>
      </x:c>
      <x:c r="H1792" s="2" t="inlineStr">
        <x:is>
          <x:t xml:space="preserve">光学光电子</x:t>
        </x:is>
      </x:c>
      <x:c r="I1792" s="2" t="inlineStr">
        <x:is>
          <x:t xml:space="preserve">1994-08-15</x:t>
        </x:is>
      </x:c>
      <x:c r="J1792" s="3" t="inlineStr">
        <x:is>
          <x:t xml:space="preserve">深圳市前海深港合作区南山街道恒升街2号中国国有资本风投大厦A塔A1203</x:t>
        </x:is>
      </x:c>
      <x:c r="K1792" s="12" t="str">
        <x:f>LEFT("91440300192173749Y",18)</x:f>
        <x:v>91440300192173749Y</x:v>
      </x:c>
    </x:row>
    <x:row r="1793">
      <x:c r="A1793" s="4" t="n">
        <x:v>1792</x:v>
      </x:c>
      <x:c r="B1793" s="4" t="inlineStr">
        <x:is>
          <x:t xml:space="preserve">000048</x:t>
        </x:is>
      </x:c>
      <x:c r="C1793" s="5" t="inlineStr">
        <x:is>
          <x:t xml:space="preserve">京基智农</x:t>
        </x:is>
      </x:c>
      <x:c r="D1793" s="5" t="inlineStr">
        <x:is>
          <x:t xml:space="preserve">深圳市京基智农时代股份有限公司</x:t>
        </x:is>
      </x:c>
      <x:c r="E1793" s="4" t="inlineStr">
        <x:is>
          <x:t xml:space="preserve">广东省</x:t>
        </x:is>
      </x:c>
      <x:c r="F1793" s="4" t="inlineStr">
        <x:is>
          <x:t xml:space="preserve">深圳市</x:t>
        </x:is>
      </x:c>
      <x:c r="G1793" s="5" t="inlineStr">
        <x:is>
          <x:t xml:space="preserve">广东省-深圳市</x:t>
        </x:is>
      </x:c>
      <x:c r="H1793" s="4" t="inlineStr">
        <x:is>
          <x:t xml:space="preserve">农牧饲渔</x:t>
        </x:is>
      </x:c>
      <x:c r="I1793" s="4" t="inlineStr">
        <x:is>
          <x:t xml:space="preserve">1994-11-01</x:t>
        </x:is>
      </x:c>
      <x:c r="J1793" s="5" t="inlineStr">
        <x:is>
          <x:t xml:space="preserve">深圳市罗湖区桂园街道老围社区蔡屋围京基一百大厦A座7101</x:t>
        </x:is>
      </x:c>
      <x:c r="K1793" s="12" t="str">
        <x:f>LEFT("914403001921809577",18)</x:f>
        <x:v>914403001921809500</x:v>
      </x:c>
    </x:row>
    <x:row r="1794">
      <x:c r="A1794" s="2" t="n">
        <x:v>1793</x:v>
      </x:c>
      <x:c r="B1794" s="2" t="inlineStr">
        <x:is>
          <x:t xml:space="preserve">000049</x:t>
        </x:is>
      </x:c>
      <x:c r="C1794" s="3" t="inlineStr">
        <x:is>
          <x:t xml:space="preserve">德赛电池</x:t>
        </x:is>
      </x:c>
      <x:c r="D1794" s="3" t="inlineStr">
        <x:is>
          <x:t xml:space="preserve">深圳市德赛电池科技股份有限公司</x:t>
        </x:is>
      </x:c>
      <x:c r="E1794" s="2" t="inlineStr">
        <x:is>
          <x:t xml:space="preserve">广东省</x:t>
        </x:is>
      </x:c>
      <x:c r="F1794" s="2" t="inlineStr">
        <x:is>
          <x:t xml:space="preserve">深圳市</x:t>
        </x:is>
      </x:c>
      <x:c r="G1794" s="3" t="inlineStr">
        <x:is>
          <x:t xml:space="preserve">广东省-深圳市</x:t>
        </x:is>
      </x:c>
      <x:c r="H1794" s="2" t="inlineStr">
        <x:is>
          <x:t xml:space="preserve">电池</x:t>
        </x:is>
      </x:c>
      <x:c r="I1794" s="2" t="inlineStr">
        <x:is>
          <x:t xml:space="preserve">1995-03-20</x:t>
        </x:is>
      </x:c>
      <x:c r="J1794" s="3" t="inlineStr">
        <x:is>
          <x:t xml:space="preserve">深圳市南山区高新科技园南区高新南一道德赛科技大厦东座26楼</x:t>
        </x:is>
      </x:c>
      <x:c r="K1794" s="12" t="str">
        <x:f>LEFT("914403001921920932",18)</x:f>
        <x:v>914403001921920900</x:v>
      </x:c>
    </x:row>
    <x:row r="1795">
      <x:c r="A1795" s="4" t="n">
        <x:v>1794</x:v>
      </x:c>
      <x:c r="B1795" s="4" t="inlineStr">
        <x:is>
          <x:t xml:space="preserve">000050</x:t>
        </x:is>
      </x:c>
      <x:c r="C1795" s="5" t="inlineStr">
        <x:is>
          <x:t xml:space="preserve">深天马A</x:t>
        </x:is>
      </x:c>
      <x:c r="D1795" s="5" t="inlineStr">
        <x:is>
          <x:t xml:space="preserve">天马微电子股份有限公司</x:t>
        </x:is>
      </x:c>
      <x:c r="E1795" s="4" t="inlineStr">
        <x:is>
          <x:t xml:space="preserve">广东省</x:t>
        </x:is>
      </x:c>
      <x:c r="F1795" s="4" t="inlineStr">
        <x:is>
          <x:t xml:space="preserve">深圳市</x:t>
        </x:is>
      </x:c>
      <x:c r="G1795" s="5" t="inlineStr">
        <x:is>
          <x:t xml:space="preserve">广东省-深圳市</x:t>
        </x:is>
      </x:c>
      <x:c r="H1795" s="4" t="inlineStr">
        <x:is>
          <x:t xml:space="preserve">光学光电子</x:t>
        </x:is>
      </x:c>
      <x:c r="I1795" s="4" t="inlineStr">
        <x:is>
          <x:t xml:space="preserve">1995-03-15</x:t>
        </x:is>
      </x:c>
      <x:c r="J1795" s="5" t="inlineStr">
        <x:is>
          <x:t xml:space="preserve">深圳市龙华区民治街道北站社区留仙大道天马大厦1918</x:t>
        </x:is>
      </x:c>
      <x:c r="K1795" s="12" t="str">
        <x:f>LEFT("914403001921834459",18)</x:f>
        <x:v>914403001921834500</x:v>
      </x:c>
    </x:row>
    <x:row r="1796">
      <x:c r="A1796" s="2" t="n">
        <x:v>1795</x:v>
      </x:c>
      <x:c r="B1796" s="2" t="inlineStr">
        <x:is>
          <x:t xml:space="preserve">000055</x:t>
        </x:is>
      </x:c>
      <x:c r="C1796" s="3" t="inlineStr">
        <x:is>
          <x:t xml:space="preserve">方大集团</x:t>
        </x:is>
      </x:c>
      <x:c r="D1796" s="3" t="inlineStr">
        <x:is>
          <x:t xml:space="preserve">方大集团股份有限公司</x:t>
        </x:is>
      </x:c>
      <x:c r="E1796" s="2" t="inlineStr">
        <x:is>
          <x:t xml:space="preserve">广东省</x:t>
        </x:is>
      </x:c>
      <x:c r="F1796" s="2" t="inlineStr">
        <x:is>
          <x:t xml:space="preserve">深圳市</x:t>
        </x:is>
      </x:c>
      <x:c r="G1796" s="3" t="inlineStr">
        <x:is>
          <x:t xml:space="preserve">广东省-深圳市</x:t>
        </x:is>
      </x:c>
      <x:c r="H1796" s="2" t="inlineStr">
        <x:is>
          <x:t xml:space="preserve">装修装饰</x:t>
        </x:is>
      </x:c>
      <x:c r="I1796" s="2" t="inlineStr">
        <x:is>
          <x:t xml:space="preserve">1996-04-15</x:t>
        </x:is>
      </x:c>
      <x:c r="J1796" s="3" t="inlineStr">
        <x:is>
          <x:t xml:space="preserve">深圳市南山区粤海街道高新区社区科技南十二路011号方大大厦20层</x:t>
        </x:is>
      </x:c>
      <x:c r="K1796" s="12" t="str">
        <x:f>LEFT("91440300192448589C",18)</x:f>
        <x:v>91440300192448589C</x:v>
      </x:c>
    </x:row>
    <x:row r="1797">
      <x:c r="A1797" s="4" t="n">
        <x:v>1796</x:v>
      </x:c>
      <x:c r="B1797" s="4" t="inlineStr">
        <x:is>
          <x:t xml:space="preserve">000056</x:t>
        </x:is>
      </x:c>
      <x:c r="C1797" s="5" t="inlineStr">
        <x:is>
          <x:t xml:space="preserve">皇庭国际</x:t>
        </x:is>
      </x:c>
      <x:c r="D1797" s="5" t="inlineStr">
        <x:is>
          <x:t xml:space="preserve">深圳市皇庭国际企业股份有限公司</x:t>
        </x:is>
      </x:c>
      <x:c r="E1797" s="4" t="inlineStr">
        <x:is>
          <x:t xml:space="preserve">广东省</x:t>
        </x:is>
      </x:c>
      <x:c r="F1797" s="4" t="inlineStr">
        <x:is>
          <x:t xml:space="preserve">深圳市</x:t>
        </x:is>
      </x:c>
      <x:c r="G1797" s="5" t="inlineStr">
        <x:is>
          <x:t xml:space="preserve">广东省-深圳市</x:t>
        </x:is>
      </x:c>
      <x:c r="H1797" s="4" t="inlineStr">
        <x:is>
          <x:t xml:space="preserve">房地产服务</x:t>
        </x:is>
      </x:c>
      <x:c r="I1797" s="4" t="inlineStr">
        <x:is>
          <x:t xml:space="preserve">1996-07-08</x:t>
        </x:is>
      </x:c>
      <x:c r="J1797" s="5" t="inlineStr">
        <x:is>
          <x:t xml:space="preserve">深圳市福田区福田街道岗厦社区福华路350号岗厦皇庭大厦28A01单元</x:t>
        </x:is>
      </x:c>
      <x:c r="K1797" s="12" t="str">
        <x:f>LEFT("914403001921790834",18)</x:f>
        <x:v>914403001921790800</x:v>
      </x:c>
    </x:row>
    <x:row r="1798">
      <x:c r="A1798" s="2" t="n">
        <x:v>1797</x:v>
      </x:c>
      <x:c r="B1798" s="2" t="inlineStr">
        <x:is>
          <x:t xml:space="preserve">000058</x:t>
        </x:is>
      </x:c>
      <x:c r="C1798" s="3" t="inlineStr">
        <x:is>
          <x:t xml:space="preserve">深赛格</x:t>
        </x:is>
      </x:c>
      <x:c r="D1798" s="3" t="inlineStr">
        <x:is>
          <x:t xml:space="preserve">深圳赛格股份有限公司</x:t>
        </x:is>
      </x:c>
      <x:c r="E1798" s="2" t="inlineStr">
        <x:is>
          <x:t xml:space="preserve">广东省</x:t>
        </x:is>
      </x:c>
      <x:c r="F1798" s="2" t="inlineStr">
        <x:is>
          <x:t xml:space="preserve">深圳市</x:t>
        </x:is>
      </x:c>
      <x:c r="G1798" s="3" t="inlineStr">
        <x:is>
          <x:t xml:space="preserve">广东省-深圳市</x:t>
        </x:is>
      </x:c>
      <x:c r="H1798" s="2" t="inlineStr">
        <x:is>
          <x:t xml:space="preserve">商业百货</x:t>
        </x:is>
      </x:c>
      <x:c r="I1798" s="2" t="inlineStr">
        <x:is>
          <x:t xml:space="preserve">1996-12-26</x:t>
        </x:is>
      </x:c>
      <x:c r="J1798" s="3" t="inlineStr">
        <x:is>
          <x:t xml:space="preserve">深圳市福田区华强北路群星广场A座31楼</x:t>
        </x:is>
      </x:c>
      <x:c r="K1798" s="12" t="str">
        <x:f>LEFT("91440300279253776E",18)</x:f>
        <x:v>91440300279253776E</x:v>
      </x:c>
    </x:row>
    <x:row r="1799">
      <x:c r="A1799" s="4" t="n">
        <x:v>1798</x:v>
      </x:c>
      <x:c r="B1799" s="4" t="inlineStr">
        <x:is>
          <x:t xml:space="preserve">000060</x:t>
        </x:is>
      </x:c>
      <x:c r="C1799" s="5" t="inlineStr">
        <x:is>
          <x:t xml:space="preserve">中金岭南</x:t>
        </x:is>
      </x:c>
      <x:c r="D1799" s="5" t="inlineStr">
        <x:is>
          <x:t xml:space="preserve">深圳市中金岭南有色金属股份有限公司</x:t>
        </x:is>
      </x:c>
      <x:c r="E1799" s="4" t="inlineStr">
        <x:is>
          <x:t xml:space="preserve">广东省</x:t>
        </x:is>
      </x:c>
      <x:c r="F1799" s="4" t="inlineStr">
        <x:is>
          <x:t xml:space="preserve">深圳市</x:t>
        </x:is>
      </x:c>
      <x:c r="G1799" s="5" t="inlineStr">
        <x:is>
          <x:t xml:space="preserve">广东省-深圳市</x:t>
        </x:is>
      </x:c>
      <x:c r="H1799" s="4" t="inlineStr">
        <x:is>
          <x:t xml:space="preserve">有色金属</x:t>
        </x:is>
      </x:c>
      <x:c r="I1799" s="4" t="inlineStr">
        <x:is>
          <x:t xml:space="preserve">1997-01-23</x:t>
        </x:is>
      </x:c>
      <x:c r="J1799" s="5" t="inlineStr">
        <x:is>
          <x:t xml:space="preserve">深圳市罗湖区清水河街道清水河社区清水河一路112号深业进元大厦塔楼2座303C</x:t>
        </x:is>
      </x:c>
      <x:c r="K1799" s="12" t="str">
        <x:f>LEFT("914403001922063360",18)</x:f>
        <x:v>914403001922063400</x:v>
      </x:c>
    </x:row>
    <x:row r="1800">
      <x:c r="A1800" s="2" t="n">
        <x:v>1799</x:v>
      </x:c>
      <x:c r="B1800" s="2" t="inlineStr">
        <x:is>
          <x:t xml:space="preserve">000061</x:t>
        </x:is>
      </x:c>
      <x:c r="C1800" s="3" t="inlineStr">
        <x:is>
          <x:t xml:space="preserve">农产品</x:t>
        </x:is>
      </x:c>
      <x:c r="D1800" s="3" t="inlineStr">
        <x:is>
          <x:t xml:space="preserve">深圳市农产品集团股份有限公司</x:t>
        </x:is>
      </x:c>
      <x:c r="E1800" s="2" t="inlineStr">
        <x:is>
          <x:t xml:space="preserve">广东省</x:t>
        </x:is>
      </x:c>
      <x:c r="F1800" s="2" t="inlineStr">
        <x:is>
          <x:t xml:space="preserve">深圳市</x:t>
        </x:is>
      </x:c>
      <x:c r="G1800" s="3" t="inlineStr">
        <x:is>
          <x:t xml:space="preserve">广东省-深圳市</x:t>
        </x:is>
      </x:c>
      <x:c r="H1800" s="2" t="inlineStr">
        <x:is>
          <x:t xml:space="preserve">贸易行业</x:t>
        </x:is>
      </x:c>
      <x:c r="I1800" s="2" t="inlineStr">
        <x:is>
          <x:t xml:space="preserve">1997-01-10</x:t>
        </x:is>
      </x:c>
      <x:c r="J1800" s="3" t="inlineStr">
        <x:is>
          <x:t xml:space="preserve">深圳市光明区马田街道根竹园社区公明南环大道1688号海吉星农产品光明物流园2栋8层</x:t>
        </x:is>
      </x:c>
      <x:c r="K1800" s="12" t="str">
        <x:f>LEFT("91440300192179163P",18)</x:f>
        <x:v>91440300192179163P</x:v>
      </x:c>
    </x:row>
    <x:row r="1801">
      <x:c r="A1801" s="4" t="n">
        <x:v>1800</x:v>
      </x:c>
      <x:c r="B1801" s="4" t="inlineStr">
        <x:is>
          <x:t xml:space="preserve">000062</x:t>
        </x:is>
      </x:c>
      <x:c r="C1801" s="5" t="inlineStr">
        <x:is>
          <x:t xml:space="preserve">深圳华强</x:t>
        </x:is>
      </x:c>
      <x:c r="D1801" s="5" t="inlineStr">
        <x:is>
          <x:t xml:space="preserve">深圳华强实业股份有限公司</x:t>
        </x:is>
      </x:c>
      <x:c r="E1801" s="4" t="inlineStr">
        <x:is>
          <x:t xml:space="preserve">广东省</x:t>
        </x:is>
      </x:c>
      <x:c r="F1801" s="4" t="inlineStr">
        <x:is>
          <x:t xml:space="preserve">深圳市</x:t>
        </x:is>
      </x:c>
      <x:c r="G1801" s="5" t="inlineStr">
        <x:is>
          <x:t xml:space="preserve">广东省-深圳市</x:t>
        </x:is>
      </x:c>
      <x:c r="H1801" s="4" t="inlineStr">
        <x:is>
          <x:t xml:space="preserve">电子元件</x:t>
        </x:is>
      </x:c>
      <x:c r="I1801" s="4" t="inlineStr">
        <x:is>
          <x:t xml:space="preserve">1997-01-30</x:t>
        </x:is>
      </x:c>
      <x:c r="J1801" s="5" t="inlineStr">
        <x:is>
          <x:t xml:space="preserve">深圳市福田区梅林街道梅丰社区北环大道6018号华强科创广场1栋43楼</x:t>
        </x:is>
      </x:c>
      <x:c r="K1801" s="12" t="str">
        <x:f>LEFT("91440300192255939T",18)</x:f>
        <x:v>91440300192255939T</x:v>
      </x:c>
    </x:row>
    <x:row r="1802">
      <x:c r="A1802" s="2" t="n">
        <x:v>1801</x:v>
      </x:c>
      <x:c r="B1802" s="2" t="inlineStr">
        <x:is>
          <x:t xml:space="preserve">000063</x:t>
        </x:is>
      </x:c>
      <x:c r="C1802" s="3" t="inlineStr">
        <x:is>
          <x:t xml:space="preserve">中兴通讯</x:t>
        </x:is>
      </x:c>
      <x:c r="D1802" s="3" t="inlineStr">
        <x:is>
          <x:t xml:space="preserve">中兴通讯股份有限公司</x:t>
        </x:is>
      </x:c>
      <x:c r="E1802" s="2" t="inlineStr">
        <x:is>
          <x:t xml:space="preserve">广东省</x:t>
        </x:is>
      </x:c>
      <x:c r="F1802" s="2" t="inlineStr">
        <x:is>
          <x:t xml:space="preserve">深圳市</x:t>
        </x:is>
      </x:c>
      <x:c r="G1802" s="3" t="inlineStr">
        <x:is>
          <x:t xml:space="preserve">广东省-深圳市</x:t>
        </x:is>
      </x:c>
      <x:c r="H1802" s="2" t="inlineStr">
        <x:is>
          <x:t xml:space="preserve">通讯行业</x:t>
        </x:is>
      </x:c>
      <x:c r="I1802" s="2" t="inlineStr">
        <x:is>
          <x:t xml:space="preserve">1997-11-18</x:t>
        </x:is>
      </x:c>
      <x:c r="J1802" s="3" t="inlineStr">
        <x:is>
          <x:t xml:space="preserve">中国广东省深圳市南山区高新技术产业园科技南路中兴通讯大厦</x:t>
        </x:is>
      </x:c>
      <x:c r="K1802" s="12" t="str">
        <x:f>LEFT("9144030027939873X7",18)</x:f>
        <x:v>9144030027939873X7</x:v>
      </x:c>
    </x:row>
    <x:row r="1803">
      <x:c r="A1803" s="4" t="n">
        <x:v>1802</x:v>
      </x:c>
      <x:c r="B1803" s="4" t="inlineStr">
        <x:is>
          <x:t xml:space="preserve">000066</x:t>
        </x:is>
      </x:c>
      <x:c r="C1803" s="5" t="inlineStr">
        <x:is>
          <x:t xml:space="preserve">中国长城</x:t>
        </x:is>
      </x:c>
      <x:c r="D1803" s="5" t="inlineStr">
        <x:is>
          <x:t xml:space="preserve">中国长城科技集团股份有限公司</x:t>
        </x:is>
      </x:c>
      <x:c r="E1803" s="4" t="inlineStr">
        <x:is>
          <x:t xml:space="preserve">广东省</x:t>
        </x:is>
      </x:c>
      <x:c r="F1803" s="4" t="inlineStr">
        <x:is>
          <x:t xml:space="preserve">深圳市</x:t>
        </x:is>
      </x:c>
      <x:c r="G1803" s="5" t="inlineStr">
        <x:is>
          <x:t xml:space="preserve">广东省-深圳市</x:t>
        </x:is>
      </x:c>
      <x:c r="H1803" s="4" t="inlineStr">
        <x:is>
          <x:t xml:space="preserve">计算机设备</x:t>
        </x:is>
      </x:c>
      <x:c r="I1803" s="4" t="inlineStr">
        <x:is>
          <x:t xml:space="preserve">1997-06-26</x:t>
        </x:is>
      </x:c>
      <x:c r="J1803" s="5" t="inlineStr">
        <x:is>
          <x:t xml:space="preserve">广东省深圳市南山区粤海街道科技园社区科发路3号中电长城大厦A-2401</x:t>
        </x:is>
      </x:c>
      <x:c r="K1803" s="12" t="str">
        <x:f>LEFT("91440300279351261M",18)</x:f>
        <x:v>91440300279351261M</x:v>
      </x:c>
    </x:row>
    <x:row r="1804">
      <x:c r="A1804" s="2" t="n">
        <x:v>1803</x:v>
      </x:c>
      <x:c r="B1804" s="2" t="inlineStr">
        <x:is>
          <x:t xml:space="preserve">000068</x:t>
        </x:is>
      </x:c>
      <x:c r="C1804" s="3" t="inlineStr">
        <x:is>
          <x:t xml:space="preserve">华控赛格</x:t>
        </x:is>
      </x:c>
      <x:c r="D1804" s="3" t="inlineStr">
        <x:is>
          <x:t xml:space="preserve">深圳华控赛格股份有限公司</x:t>
        </x:is>
      </x:c>
      <x:c r="E1804" s="2" t="inlineStr">
        <x:is>
          <x:t xml:space="preserve">广东省</x:t>
        </x:is>
      </x:c>
      <x:c r="F1804" s="2" t="inlineStr">
        <x:is>
          <x:t xml:space="preserve">深圳市</x:t>
        </x:is>
      </x:c>
      <x:c r="G1804" s="3" t="inlineStr">
        <x:is>
          <x:t xml:space="preserve">广东省-深圳市</x:t>
        </x:is>
      </x:c>
      <x:c r="H1804" s="2" t="inlineStr">
        <x:is>
          <x:t xml:space="preserve">环保工程</x:t>
        </x:is>
      </x:c>
      <x:c r="I1804" s="2" t="inlineStr">
        <x:is>
          <x:t xml:space="preserve">1997-06-11</x:t>
        </x:is>
      </x:c>
      <x:c r="J1804" s="3" t="inlineStr">
        <x:is>
          <x:t xml:space="preserve">深圳市大工业区兰竹大道以北CH3主厂房</x:t>
        </x:is>
      </x:c>
      <x:c r="K1804" s="12" t="str">
        <x:f>LEFT("914403002793464898",18)</x:f>
        <x:v>914403002793465000</x:v>
      </x:c>
    </x:row>
    <x:row r="1805">
      <x:c r="A1805" s="4" t="n">
        <x:v>1804</x:v>
      </x:c>
      <x:c r="B1805" s="4" t="inlineStr">
        <x:is>
          <x:t xml:space="preserve">000069</x:t>
        </x:is>
      </x:c>
      <x:c r="C1805" s="5" t="inlineStr">
        <x:is>
          <x:t xml:space="preserve">华侨城A</x:t>
        </x:is>
      </x:c>
      <x:c r="D1805" s="5" t="inlineStr">
        <x:is>
          <x:t xml:space="preserve">深圳华侨城股份有限公司</x:t>
        </x:is>
      </x:c>
      <x:c r="E1805" s="4" t="inlineStr">
        <x:is>
          <x:t xml:space="preserve">广东省</x:t>
        </x:is>
      </x:c>
      <x:c r="F1805" s="4" t="inlineStr">
        <x:is>
          <x:t xml:space="preserve">深圳市</x:t>
        </x:is>
      </x:c>
      <x:c r="G1805" s="5" t="inlineStr">
        <x:is>
          <x:t xml:space="preserve">广东省-深圳市</x:t>
        </x:is>
      </x:c>
      <x:c r="H1805" s="4" t="inlineStr">
        <x:is>
          <x:t xml:space="preserve">房地产开发</x:t>
        </x:is>
      </x:c>
      <x:c r="I1805" s="4" t="inlineStr">
        <x:is>
          <x:t xml:space="preserve">1997-09-10</x:t>
        </x:is>
      </x:c>
      <x:c r="J1805" s="5" t="inlineStr">
        <x:is>
          <x:t xml:space="preserve">深圳市南山区华侨城指挥部大楼103、105、107、111、112室</x:t>
        </x:is>
      </x:c>
      <x:c r="K1805" s="12" t="str">
        <x:f>LEFT("91440300279374105B",18)</x:f>
        <x:v>91440300279374105B</x:v>
      </x:c>
    </x:row>
    <x:row r="1806">
      <x:c r="A1806" s="2" t="n">
        <x:v>1805</x:v>
      </x:c>
      <x:c r="B1806" s="2" t="inlineStr">
        <x:is>
          <x:t xml:space="preserve">000070</x:t>
        </x:is>
      </x:c>
      <x:c r="C1806" s="3" t="inlineStr">
        <x:is>
          <x:t xml:space="preserve">特发信息</x:t>
        </x:is>
      </x:c>
      <x:c r="D1806" s="3" t="inlineStr">
        <x:is>
          <x:t xml:space="preserve">深圳市特发信息股份有限公司</x:t>
        </x:is>
      </x:c>
      <x:c r="E1806" s="2" t="inlineStr">
        <x:is>
          <x:t xml:space="preserve">广东省</x:t>
        </x:is>
      </x:c>
      <x:c r="F1806" s="2" t="inlineStr">
        <x:is>
          <x:t xml:space="preserve">深圳市</x:t>
        </x:is>
      </x:c>
      <x:c r="G1806" s="3" t="inlineStr">
        <x:is>
          <x:t xml:space="preserve">广东省-深圳市</x:t>
        </x:is>
      </x:c>
      <x:c r="H1806" s="2" t="inlineStr">
        <x:is>
          <x:t xml:space="preserve">通讯行业</x:t>
        </x:is>
      </x:c>
      <x:c r="I1806" s="2" t="inlineStr">
        <x:is>
          <x:t xml:space="preserve">2000-05-11</x:t>
        </x:is>
      </x:c>
      <x:c r="J1806" s="3" t="inlineStr">
        <x:is>
          <x:t xml:space="preserve">深圳市南山区高新区中区科丰路2号特发信息港大厦B栋18楼</x:t>
        </x:is>
      </x:c>
      <x:c r="K1806" s="12" t="str">
        <x:f>LEFT("914403007152216326",18)</x:f>
        <x:v>914403007152216300</x:v>
      </x:c>
    </x:row>
    <x:row r="1807">
      <x:c r="A1807" s="4" t="n">
        <x:v>1806</x:v>
      </x:c>
      <x:c r="B1807" s="4" t="inlineStr">
        <x:is>
          <x:t xml:space="preserve">000078</x:t>
        </x:is>
      </x:c>
      <x:c r="C1807" s="5" t="inlineStr">
        <x:is>
          <x:t xml:space="preserve">海王生物</x:t>
        </x:is>
      </x:c>
      <x:c r="D1807" s="5" t="inlineStr">
        <x:is>
          <x:t xml:space="preserve">深圳市海王生物工程股份有限公司</x:t>
        </x:is>
      </x:c>
      <x:c r="E1807" s="4" t="inlineStr">
        <x:is>
          <x:t xml:space="preserve">广东省</x:t>
        </x:is>
      </x:c>
      <x:c r="F1807" s="4" t="inlineStr">
        <x:is>
          <x:t xml:space="preserve">深圳市</x:t>
        </x:is>
      </x:c>
      <x:c r="G1807" s="5" t="inlineStr">
        <x:is>
          <x:t xml:space="preserve">广东省-深圳市</x:t>
        </x:is>
      </x:c>
      <x:c r="H1807" s="4" t="inlineStr">
        <x:is>
          <x:t xml:space="preserve">医药商业</x:t>
        </x:is>
      </x:c>
      <x:c r="I1807" s="4" t="inlineStr">
        <x:is>
          <x:t xml:space="preserve">1998-12-18</x:t>
        </x:is>
      </x:c>
      <x:c r="J1807" s="5" t="inlineStr">
        <x:is>
          <x:t xml:space="preserve">深圳市南山区科技中三路1号海王银河科技大厦24楼</x:t>
        </x:is>
      </x:c>
      <x:c r="K1807" s="12" t="str">
        <x:f>LEFT("91440300192444086R",18)</x:f>
        <x:v>91440300192444086R</x:v>
      </x:c>
    </x:row>
    <x:row r="1808">
      <x:c r="A1808" s="2" t="n">
        <x:v>1807</x:v>
      </x:c>
      <x:c r="B1808" s="2" t="inlineStr">
        <x:is>
          <x:t xml:space="preserve">000088</x:t>
        </x:is>
      </x:c>
      <x:c r="C1808" s="3" t="inlineStr">
        <x:is>
          <x:t xml:space="preserve">盐田港</x:t>
        </x:is>
      </x:c>
      <x:c r="D1808" s="3" t="inlineStr">
        <x:is>
          <x:t xml:space="preserve">深圳市盐田港股份有限公司</x:t>
        </x:is>
      </x:c>
      <x:c r="E1808" s="2" t="inlineStr">
        <x:is>
          <x:t xml:space="preserve">广东省</x:t>
        </x:is>
      </x:c>
      <x:c r="F1808" s="2" t="inlineStr">
        <x:is>
          <x:t xml:space="preserve">深圳市</x:t>
        </x:is>
      </x:c>
      <x:c r="G1808" s="3" t="inlineStr">
        <x:is>
          <x:t xml:space="preserve">广东省-深圳市</x:t>
        </x:is>
      </x:c>
      <x:c r="H1808" s="2" t="inlineStr">
        <x:is>
          <x:t xml:space="preserve">港口水运</x:t>
        </x:is>
      </x:c>
      <x:c r="I1808" s="2" t="inlineStr">
        <x:is>
          <x:t xml:space="preserve">1997-07-28</x:t>
        </x:is>
      </x:c>
      <x:c r="J1808" s="3" t="inlineStr">
        <x:is>
          <x:t xml:space="preserve">深圳市盐田区盐田港海港大厦17-20层</x:t>
        </x:is>
      </x:c>
      <x:c r="K1808" s="12" t="str">
        <x:f>LEFT("914403002793630194",18)</x:f>
        <x:v>914403002793630200</x:v>
      </x:c>
    </x:row>
    <x:row r="1809">
      <x:c r="A1809" s="4" t="n">
        <x:v>1808</x:v>
      </x:c>
      <x:c r="B1809" s="4" t="inlineStr">
        <x:is>
          <x:t xml:space="preserve">000089</x:t>
        </x:is>
      </x:c>
      <x:c r="C1809" s="5" t="inlineStr">
        <x:is>
          <x:t xml:space="preserve">深圳机场</x:t>
        </x:is>
      </x:c>
      <x:c r="D1809" s="5" t="inlineStr">
        <x:is>
          <x:t xml:space="preserve">深圳市机场股份有限公司</x:t>
        </x:is>
      </x:c>
      <x:c r="E1809" s="4" t="inlineStr">
        <x:is>
          <x:t xml:space="preserve">广东省</x:t>
        </x:is>
      </x:c>
      <x:c r="F1809" s="4" t="inlineStr">
        <x:is>
          <x:t xml:space="preserve">深圳市</x:t>
        </x:is>
      </x:c>
      <x:c r="G1809" s="5" t="inlineStr">
        <x:is>
          <x:t xml:space="preserve">广东省-深圳市</x:t>
        </x:is>
      </x:c>
      <x:c r="H1809" s="4" t="inlineStr">
        <x:is>
          <x:t xml:space="preserve">民航机场</x:t>
        </x:is>
      </x:c>
      <x:c r="I1809" s="4" t="inlineStr">
        <x:is>
          <x:t xml:space="preserve">1998-04-20</x:t>
        </x:is>
      </x:c>
      <x:c r="J1809" s="5" t="inlineStr">
        <x:is>
          <x:t xml:space="preserve">深圳市宝安区宝安机场T3商务区配套写字楼A栋</x:t>
        </x:is>
      </x:c>
      <x:c r="K1809" s="12" t="str">
        <x:f>LEFT("9144030027954141X0",18)</x:f>
        <x:v>9144030027954141X0</x:v>
      </x:c>
    </x:row>
    <x:row r="1810">
      <x:c r="A1810" s="2" t="n">
        <x:v>1809</x:v>
      </x:c>
      <x:c r="B1810" s="2" t="inlineStr">
        <x:is>
          <x:t xml:space="preserve">000090</x:t>
        </x:is>
      </x:c>
      <x:c r="C1810" s="3" t="inlineStr">
        <x:is>
          <x:t xml:space="preserve">天健集团</x:t>
        </x:is>
      </x:c>
      <x:c r="D1810" s="3" t="inlineStr">
        <x:is>
          <x:t xml:space="preserve">深圳市天健(集团)股份有限公司</x:t>
        </x:is>
      </x:c>
      <x:c r="E1810" s="2" t="inlineStr">
        <x:is>
          <x:t xml:space="preserve">广东省</x:t>
        </x:is>
      </x:c>
      <x:c r="F1810" s="2" t="inlineStr">
        <x:is>
          <x:t xml:space="preserve">深圳市</x:t>
        </x:is>
      </x:c>
      <x:c r="G1810" s="3" t="inlineStr">
        <x:is>
          <x:t xml:space="preserve">广东省-深圳市</x:t>
        </x:is>
      </x:c>
      <x:c r="H1810" s="2" t="inlineStr">
        <x:is>
          <x:t xml:space="preserve">房地产开发</x:t>
        </x:is>
      </x:c>
      <x:c r="I1810" s="2" t="inlineStr">
        <x:is>
          <x:t xml:space="preserve">1999-07-21</x:t>
        </x:is>
      </x:c>
      <x:c r="J1810" s="3" t="inlineStr">
        <x:is>
          <x:t xml:space="preserve">深圳市福田区莲花街道紫荆社区红荔路7019号天健商务大厦19楼</x:t>
        </x:is>
      </x:c>
      <x:c r="K1810" s="12" t="str">
        <x:f>LEFT("91440300192251874W",18)</x:f>
        <x:v>91440300192251874W</x:v>
      </x:c>
    </x:row>
    <x:row r="1811">
      <x:c r="A1811" s="4" t="n">
        <x:v>1810</x:v>
      </x:c>
      <x:c r="B1811" s="4" t="inlineStr">
        <x:is>
          <x:t xml:space="preserve">000096</x:t>
        </x:is>
      </x:c>
      <x:c r="C1811" s="5" t="inlineStr">
        <x:is>
          <x:t xml:space="preserve">广聚能源</x:t>
        </x:is>
      </x:c>
      <x:c r="D1811" s="5" t="inlineStr">
        <x:is>
          <x:t xml:space="preserve">深圳市广聚能源股份有限公司</x:t>
        </x:is>
      </x:c>
      <x:c r="E1811" s="4" t="inlineStr">
        <x:is>
          <x:t xml:space="preserve">广东省</x:t>
        </x:is>
      </x:c>
      <x:c r="F1811" s="4" t="inlineStr">
        <x:is>
          <x:t xml:space="preserve">深圳市</x:t>
        </x:is>
      </x:c>
      <x:c r="G1811" s="5" t="inlineStr">
        <x:is>
          <x:t xml:space="preserve">广东省-深圳市</x:t>
        </x:is>
      </x:c>
      <x:c r="H1811" s="4" t="inlineStr">
        <x:is>
          <x:t xml:space="preserve">石油行业</x:t>
        </x:is>
      </x:c>
      <x:c r="I1811" s="4" t="inlineStr">
        <x:is>
          <x:t xml:space="preserve">2000-07-24</x:t>
        </x:is>
      </x:c>
      <x:c r="J1811" s="5" t="inlineStr">
        <x:is>
          <x:t xml:space="preserve">广东省深圳市南山区粤海街道海德三道199号天利中央商务广场A座22楼2201-2212</x:t>
        </x:is>
      </x:c>
      <x:c r="K1811" s="12" t="str">
        <x:f>LEFT("91440300708483247J",18)</x:f>
        <x:v>91440300708483247J</x:v>
      </x:c>
    </x:row>
    <x:row r="1812">
      <x:c r="A1812" s="2" t="n">
        <x:v>1811</x:v>
      </x:c>
      <x:c r="B1812" s="2" t="inlineStr">
        <x:is>
          <x:t xml:space="preserve">000099</x:t>
        </x:is>
      </x:c>
      <x:c r="C1812" s="3" t="inlineStr">
        <x:is>
          <x:t xml:space="preserve">中信海直</x:t>
        </x:is>
      </x:c>
      <x:c r="D1812" s="3" t="inlineStr">
        <x:is>
          <x:t xml:space="preserve">中信海洋直升机股份有限公司</x:t>
        </x:is>
      </x:c>
      <x:c r="E1812" s="2" t="inlineStr">
        <x:is>
          <x:t xml:space="preserve">广东省</x:t>
        </x:is>
      </x:c>
      <x:c r="F1812" s="2" t="inlineStr">
        <x:is>
          <x:t xml:space="preserve">深圳市</x:t>
        </x:is>
      </x:c>
      <x:c r="G1812" s="3" t="inlineStr">
        <x:is>
          <x:t xml:space="preserve">广东省-深圳市</x:t>
        </x:is>
      </x:c>
      <x:c r="H1812" s="2" t="inlineStr">
        <x:is>
          <x:t xml:space="preserve">民航机场</x:t>
        </x:is>
      </x:c>
      <x:c r="I1812" s="2" t="inlineStr">
        <x:is>
          <x:t xml:space="preserve">2000-07-31</x:t>
        </x:is>
      </x:c>
      <x:c r="J1812" s="3" t="inlineStr">
        <x:is>
          <x:t xml:space="preserve">深圳市罗湖区清水河街道清水河社区清水河一路112号罗湖投资控股大厦塔楼2座901</x:t>
        </x:is>
      </x:c>
      <x:c r="K1812" s="12" t="str">
        <x:f>LEFT("91440000710924128L",18)</x:f>
        <x:v>91440000710924128L</x:v>
      </x:c>
    </x:row>
    <x:row r="1813">
      <x:c r="A1813" s="4" t="n">
        <x:v>1812</x:v>
      </x:c>
      <x:c r="B1813" s="4" t="inlineStr">
        <x:is>
          <x:t xml:space="preserve">000100</x:t>
        </x:is>
      </x:c>
      <x:c r="C1813" s="5" t="inlineStr">
        <x:is>
          <x:t xml:space="preserve">TCL科技</x:t>
        </x:is>
      </x:c>
      <x:c r="D1813" s="5" t="inlineStr">
        <x:is>
          <x:t xml:space="preserve">TCL科技集团股份有限公司</x:t>
        </x:is>
      </x:c>
      <x:c r="E1813" s="4" t="inlineStr">
        <x:is>
          <x:t xml:space="preserve">广东省</x:t>
        </x:is>
      </x:c>
      <x:c r="F1813" s="4" t="inlineStr">
        <x:is>
          <x:t xml:space="preserve">惠州市</x:t>
        </x:is>
      </x:c>
      <x:c r="G1813" s="5" t="inlineStr">
        <x:is>
          <x:t xml:space="preserve">广东省-惠州市</x:t>
        </x:is>
      </x:c>
      <x:c r="H1813" s="4" t="inlineStr">
        <x:is>
          <x:t xml:space="preserve">光学光电子</x:t>
        </x:is>
      </x:c>
      <x:c r="I1813" s="4" t="inlineStr">
        <x:is>
          <x:t xml:space="preserve">2004-01-30</x:t>
        </x:is>
      </x:c>
      <x:c r="J1813" s="5" t="inlineStr">
        <x:is>
          <x:t xml:space="preserve">广东省惠州市仲恺高新区惠风三路17号TCL科技大厦</x:t>
        </x:is>
      </x:c>
      <x:c r="K1813" s="12" t="str">
        <x:f>LEFT("91441300195971850Y",18)</x:f>
        <x:v>91441300195971850Y</x:v>
      </x:c>
    </x:row>
    <x:row r="1814">
      <x:c r="A1814" s="2" t="n">
        <x:v>1813</x:v>
      </x:c>
      <x:c r="B1814" s="2" t="inlineStr">
        <x:is>
          <x:t xml:space="preserve">000333</x:t>
        </x:is>
      </x:c>
      <x:c r="C1814" s="3" t="inlineStr">
        <x:is>
          <x:t xml:space="preserve">美的集团</x:t>
        </x:is>
      </x:c>
      <x:c r="D1814" s="3" t="inlineStr">
        <x:is>
          <x:t xml:space="preserve">美的集团股份有限公司</x:t>
        </x:is>
      </x:c>
      <x:c r="E1814" s="2" t="inlineStr">
        <x:is>
          <x:t xml:space="preserve">广东省</x:t>
        </x:is>
      </x:c>
      <x:c r="F1814" s="2" t="inlineStr">
        <x:is>
          <x:t xml:space="preserve">佛山市</x:t>
        </x:is>
      </x:c>
      <x:c r="G1814" s="3" t="inlineStr">
        <x:is>
          <x:t xml:space="preserve">广东省-佛山市</x:t>
        </x:is>
      </x:c>
      <x:c r="H1814" s="2" t="inlineStr">
        <x:is>
          <x:t xml:space="preserve">家电行业</x:t>
        </x:is>
      </x:c>
      <x:c r="I1814" s="2" t="inlineStr">
        <x:is>
          <x:t xml:space="preserve">2013-09-18</x:t>
        </x:is>
      </x:c>
      <x:c r="J1814" s="3" t="inlineStr">
        <x:is>
          <x:t xml:space="preserve">广东省佛山市顺德区北滘镇美的大道6号美的总部大楼</x:t>
        </x:is>
      </x:c>
      <x:c r="K1814" s="12" t="str">
        <x:f>LEFT("91440606722473344C",18)</x:f>
        <x:v>91440606722473344C</x:v>
      </x:c>
    </x:row>
    <x:row r="1815">
      <x:c r="A1815" s="4" t="n">
        <x:v>1814</x:v>
      </x:c>
      <x:c r="B1815" s="4" t="inlineStr">
        <x:is>
          <x:t xml:space="preserve">000429</x:t>
        </x:is>
      </x:c>
      <x:c r="C1815" s="5" t="inlineStr">
        <x:is>
          <x:t xml:space="preserve">粤高速A</x:t>
        </x:is>
      </x:c>
      <x:c r="D1815" s="5" t="inlineStr">
        <x:is>
          <x:t xml:space="preserve">广东省高速公路发展股份有限公司</x:t>
        </x:is>
      </x:c>
      <x:c r="E1815" s="4" t="inlineStr">
        <x:is>
          <x:t xml:space="preserve">广东省</x:t>
        </x:is>
      </x:c>
      <x:c r="F1815" s="4" t="inlineStr">
        <x:is>
          <x:t xml:space="preserve">广州市</x:t>
        </x:is>
      </x:c>
      <x:c r="G1815" s="5" t="inlineStr">
        <x:is>
          <x:t xml:space="preserve">广东省-广州市</x:t>
        </x:is>
      </x:c>
      <x:c r="H1815" s="4" t="inlineStr">
        <x:is>
          <x:t xml:space="preserve">高速公路</x:t>
        </x:is>
      </x:c>
      <x:c r="I1815" s="4" t="inlineStr">
        <x:is>
          <x:t xml:space="preserve">1998-02-20</x:t>
        </x:is>
      </x:c>
      <x:c r="J1815" s="5" t="inlineStr">
        <x:is>
          <x:t xml:space="preserve">广东省广州市白云路85号</x:t>
        </x:is>
      </x:c>
      <x:c r="K1815" s="12" t="str">
        <x:f>LEFT("91440000190352102M",18)</x:f>
        <x:v>91440000190352102M</x:v>
      </x:c>
    </x:row>
    <x:row r="1816">
      <x:c r="A1816" s="2" t="n">
        <x:v>1815</x:v>
      </x:c>
      <x:c r="B1816" s="2" t="inlineStr">
        <x:is>
          <x:t xml:space="preserve">000507</x:t>
        </x:is>
      </x:c>
      <x:c r="C1816" s="3" t="inlineStr">
        <x:is>
          <x:t xml:space="preserve">珠海港</x:t>
        </x:is>
      </x:c>
      <x:c r="D1816" s="3" t="inlineStr">
        <x:is>
          <x:t xml:space="preserve">珠海港股份有限公司</x:t>
        </x:is>
      </x:c>
      <x:c r="E1816" s="2" t="inlineStr">
        <x:is>
          <x:t xml:space="preserve">广东省</x:t>
        </x:is>
      </x:c>
      <x:c r="F1816" s="2" t="inlineStr">
        <x:is>
          <x:t xml:space="preserve">珠海市</x:t>
        </x:is>
      </x:c>
      <x:c r="G1816" s="3" t="inlineStr">
        <x:is>
          <x:t xml:space="preserve">广东省-珠海市</x:t>
        </x:is>
      </x:c>
      <x:c r="H1816" s="2" t="inlineStr">
        <x:is>
          <x:t xml:space="preserve">港口水运</x:t>
        </x:is>
      </x:c>
      <x:c r="I1816" s="2" t="inlineStr">
        <x:is>
          <x:t xml:space="preserve">1993-03-26</x:t>
        </x:is>
      </x:c>
      <x:c r="J1816" s="3" t="inlineStr">
        <x:is>
          <x:t xml:space="preserve">珠海市南水镇榕湾路16号2001-2号办公</x:t>
        </x:is>
      </x:c>
      <x:c r="K1816" s="12" t="str">
        <x:f>LEFT("914404001925268319",18)</x:f>
        <x:v>914404001925268400</x:v>
      </x:c>
    </x:row>
    <x:row r="1817">
      <x:c r="A1817" s="4" t="n">
        <x:v>1816</x:v>
      </x:c>
      <x:c r="B1817" s="4" t="inlineStr">
        <x:is>
          <x:t xml:space="preserve">000513</x:t>
        </x:is>
      </x:c>
      <x:c r="C1817" s="5" t="inlineStr">
        <x:is>
          <x:t xml:space="preserve">丽珠集团</x:t>
        </x:is>
      </x:c>
      <x:c r="D1817" s="5" t="inlineStr">
        <x:is>
          <x:t xml:space="preserve">丽珠医药集团股份有限公司</x:t>
        </x:is>
      </x:c>
      <x:c r="E1817" s="4" t="inlineStr">
        <x:is>
          <x:t xml:space="preserve">广东省</x:t>
        </x:is>
      </x:c>
      <x:c r="F1817" s="4" t="inlineStr">
        <x:is>
          <x:t xml:space="preserve">珠海市</x:t>
        </x:is>
      </x:c>
      <x:c r="G1817" s="5" t="inlineStr">
        <x:is>
          <x:t xml:space="preserve">广东省-珠海市</x:t>
        </x:is>
      </x:c>
      <x:c r="H1817" s="4" t="inlineStr">
        <x:is>
          <x:t xml:space="preserve">医药制造</x:t>
        </x:is>
      </x:c>
      <x:c r="I1817" s="4" t="inlineStr">
        <x:is>
          <x:t xml:space="preserve">1993-10-28</x:t>
        </x:is>
      </x:c>
      <x:c r="J1817" s="5" t="inlineStr">
        <x:is>
          <x:t xml:space="preserve">中国广东省珠海市金湾区创业北路38号总部大楼</x:t>
        </x:is>
      </x:c>
      <x:c r="K1817" s="12" t="str">
        <x:f>LEFT("914404006174883094",18)</x:f>
        <x:v>914404006174883100</x:v>
      </x:c>
    </x:row>
    <x:row r="1818">
      <x:c r="A1818" s="2" t="n">
        <x:v>1817</x:v>
      </x:c>
      <x:c r="B1818" s="2" t="inlineStr">
        <x:is>
          <x:t xml:space="preserve">000523</x:t>
        </x:is>
      </x:c>
      <x:c r="C1818" s="3" t="inlineStr">
        <x:is>
          <x:t xml:space="preserve">红棉股份</x:t>
        </x:is>
      </x:c>
      <x:c r="D1818" s="3" t="inlineStr">
        <x:is>
          <x:t xml:space="preserve">广州市红棉智汇科创股份有限公司</x:t>
        </x:is>
      </x:c>
      <x:c r="E1818" s="2" t="inlineStr">
        <x:is>
          <x:t xml:space="preserve">广东省</x:t>
        </x:is>
      </x:c>
      <x:c r="F1818" s="2" t="inlineStr">
        <x:is>
          <x:t xml:space="preserve">广州市</x:t>
        </x:is>
      </x:c>
      <x:c r="G1818" s="3" t="inlineStr">
        <x:is>
          <x:t xml:space="preserve">广东省-广州市</x:t>
        </x:is>
      </x:c>
      <x:c r="H1818" s="2" t="inlineStr">
        <x:is>
          <x:t xml:space="preserve">食品饮料</x:t>
        </x:is>
      </x:c>
      <x:c r="I1818" s="2" t="inlineStr">
        <x:is>
          <x:t xml:space="preserve">1993-11-08</x:t>
        </x:is>
      </x:c>
      <x:c r="J1818" s="3" t="inlineStr">
        <x:is>
          <x:t xml:space="preserve">广州市天河区黄埔大道西100号之二1907-1908房</x:t>
        </x:is>
      </x:c>
      <x:c r="K1818" s="12" t="str">
        <x:f>LEFT("914401011904864500",18)</x:f>
        <x:v>914401011904864500</x:v>
      </x:c>
    </x:row>
    <x:row r="1819">
      <x:c r="A1819" s="4" t="n">
        <x:v>1818</x:v>
      </x:c>
      <x:c r="B1819" s="4" t="inlineStr">
        <x:is>
          <x:t xml:space="preserve">000524</x:t>
        </x:is>
      </x:c>
      <x:c r="C1819" s="5" t="inlineStr">
        <x:is>
          <x:t xml:space="preserve">岭南控股</x:t>
        </x:is>
      </x:c>
      <x:c r="D1819" s="5" t="inlineStr">
        <x:is>
          <x:t xml:space="preserve">广州岭南集团控股股份有限公司</x:t>
        </x:is>
      </x:c>
      <x:c r="E1819" s="4" t="inlineStr">
        <x:is>
          <x:t xml:space="preserve">广东省</x:t>
        </x:is>
      </x:c>
      <x:c r="F1819" s="4" t="inlineStr">
        <x:is>
          <x:t xml:space="preserve">广州市</x:t>
        </x:is>
      </x:c>
      <x:c r="G1819" s="5" t="inlineStr">
        <x:is>
          <x:t xml:space="preserve">广东省-广州市</x:t>
        </x:is>
      </x:c>
      <x:c r="H1819" s="4" t="inlineStr">
        <x:is>
          <x:t xml:space="preserve">旅游酒店</x:t>
        </x:is>
      </x:c>
      <x:c r="I1819" s="4" t="inlineStr">
        <x:is>
          <x:t xml:space="preserve">1993-11-18</x:t>
        </x:is>
      </x:c>
      <x:c r="J1819" s="5" t="inlineStr">
        <x:is>
          <x:t xml:space="preserve">广东省广州市流花路120号</x:t>
        </x:is>
      </x:c>
      <x:c r="K1819" s="12" t="str">
        <x:f>LEFT("91440101190484084A",18)</x:f>
        <x:v>91440101190484084A</x:v>
      </x:c>
    </x:row>
    <x:row r="1820">
      <x:c r="A1820" s="2" t="n">
        <x:v>1819</x:v>
      </x:c>
      <x:c r="B1820" s="2" t="inlineStr">
        <x:is>
          <x:t xml:space="preserve">000529</x:t>
        </x:is>
      </x:c>
      <x:c r="C1820" s="3" t="inlineStr">
        <x:is>
          <x:t xml:space="preserve">广弘控股</x:t>
        </x:is>
      </x:c>
      <x:c r="D1820" s="3" t="inlineStr">
        <x:is>
          <x:t xml:space="preserve">广东广弘控股股份有限公司</x:t>
        </x:is>
      </x:c>
      <x:c r="E1820" s="2" t="inlineStr">
        <x:is>
          <x:t xml:space="preserve">广东省</x:t>
        </x:is>
      </x:c>
      <x:c r="F1820" s="2" t="inlineStr">
        <x:is>
          <x:t xml:space="preserve">广州市</x:t>
        </x:is>
      </x:c>
      <x:c r="G1820" s="3" t="inlineStr">
        <x:is>
          <x:t xml:space="preserve">广东省-广州市</x:t>
        </x:is>
      </x:c>
      <x:c r="H1820" s="2" t="inlineStr">
        <x:is>
          <x:t xml:space="preserve">食品饮料</x:t>
        </x:is>
      </x:c>
      <x:c r="I1820" s="2" t="inlineStr">
        <x:is>
          <x:t xml:space="preserve">1993-11-18</x:t>
        </x:is>
      </x:c>
      <x:c r="J1820" s="3" t="inlineStr">
        <x:is>
          <x:t xml:space="preserve">广州市天河区广州大道北路520号</x:t>
        </x:is>
      </x:c>
      <x:c r="K1820" s="12" t="str">
        <x:f>LEFT("914400001903435723",18)</x:f>
        <x:v>914400001903435800</x:v>
      </x:c>
    </x:row>
    <x:row r="1821">
      <x:c r="A1821" s="4" t="n">
        <x:v>1820</x:v>
      </x:c>
      <x:c r="B1821" s="4" t="inlineStr">
        <x:is>
          <x:t xml:space="preserve">000531</x:t>
        </x:is>
      </x:c>
      <x:c r="C1821" s="5" t="inlineStr">
        <x:is>
          <x:t xml:space="preserve">穗恒运A</x:t>
        </x:is>
      </x:c>
      <x:c r="D1821" s="5" t="inlineStr">
        <x:is>
          <x:t xml:space="preserve">广州恒运企业集团股份有限公司</x:t>
        </x:is>
      </x:c>
      <x:c r="E1821" s="4" t="inlineStr">
        <x:is>
          <x:t xml:space="preserve">广东省</x:t>
        </x:is>
      </x:c>
      <x:c r="F1821" s="4" t="inlineStr">
        <x:is>
          <x:t xml:space="preserve">广州市</x:t>
        </x:is>
      </x:c>
      <x:c r="G1821" s="5" t="inlineStr">
        <x:is>
          <x:t xml:space="preserve">广东省-广州市</x:t>
        </x:is>
      </x:c>
      <x:c r="H1821" s="4" t="inlineStr">
        <x:is>
          <x:t xml:space="preserve">电力行业</x:t>
        </x:is>
      </x:c>
      <x:c r="I1821" s="4" t="inlineStr">
        <x:is>
          <x:t xml:space="preserve">1994-01-06</x:t>
        </x:is>
      </x:c>
      <x:c r="J1821" s="5" t="inlineStr">
        <x:is>
          <x:t xml:space="preserve">广州开发区西基路8号(A厂)</x:t>
        </x:is>
      </x:c>
      <x:c r="K1821" s="12" t="str">
        <x:f>LEFT("91440101231215412L",18)</x:f>
        <x:v>91440101231215412L</x:v>
      </x:c>
    </x:row>
    <x:row r="1822">
      <x:c r="A1822" s="2" t="n">
        <x:v>1821</x:v>
      </x:c>
      <x:c r="B1822" s="2" t="inlineStr">
        <x:is>
          <x:t xml:space="preserve">000532</x:t>
        </x:is>
      </x:c>
      <x:c r="C1822" s="3" t="inlineStr">
        <x:is>
          <x:t xml:space="preserve">华金资本</x:t>
        </x:is>
      </x:c>
      <x:c r="D1822" s="3" t="inlineStr">
        <x:is>
          <x:t xml:space="preserve">珠海华金资本股份有限公司</x:t>
        </x:is>
      </x:c>
      <x:c r="E1822" s="2" t="inlineStr">
        <x:is>
          <x:t xml:space="preserve">广东省</x:t>
        </x:is>
      </x:c>
      <x:c r="F1822" s="2" t="inlineStr">
        <x:is>
          <x:t xml:space="preserve">珠海市</x:t>
        </x:is>
      </x:c>
      <x:c r="G1822" s="3" t="inlineStr">
        <x:is>
          <x:t xml:space="preserve">广东省-珠海市</x:t>
        </x:is>
      </x:c>
      <x:c r="H1822" s="2" t="inlineStr">
        <x:is>
          <x:t xml:space="preserve">综合行业</x:t>
        </x:is>
      </x:c>
      <x:c r="I1822" s="2" t="inlineStr">
        <x:is>
          <x:t xml:space="preserve">1994-01-03</x:t>
        </x:is>
      </x:c>
      <x:c r="J1822" s="3" t="inlineStr">
        <x:is>
          <x:t xml:space="preserve">广东省珠海市香洲区国家高新区前湾二路2号总部基地一期B栋5楼</x:t>
        </x:is>
      </x:c>
      <x:c r="K1822" s="12" t="str">
        <x:f>LEFT("9144040019255068XM",18)</x:f>
        <x:v>9144040019255068XM</x:v>
      </x:c>
    </x:row>
    <x:row r="1823">
      <x:c r="A1823" s="4" t="n">
        <x:v>1822</x:v>
      </x:c>
      <x:c r="B1823" s="4" t="inlineStr">
        <x:is>
          <x:t xml:space="preserve">000533</x:t>
        </x:is>
      </x:c>
      <x:c r="C1823" s="5" t="inlineStr">
        <x:is>
          <x:t xml:space="preserve">顺钠股份</x:t>
        </x:is>
      </x:c>
      <x:c r="D1823" s="5" t="inlineStr">
        <x:is>
          <x:t xml:space="preserve">广东顺钠电气股份有限公司</x:t>
        </x:is>
      </x:c>
      <x:c r="E1823" s="4" t="inlineStr">
        <x:is>
          <x:t xml:space="preserve">广东省</x:t>
        </x:is>
      </x:c>
      <x:c r="F1823" s="4" t="inlineStr">
        <x:is>
          <x:t xml:space="preserve">佛山市</x:t>
        </x:is>
      </x:c>
      <x:c r="G1823" s="5" t="inlineStr">
        <x:is>
          <x:t xml:space="preserve">广东省-佛山市</x:t>
        </x:is>
      </x:c>
      <x:c r="H1823" s="4" t="inlineStr">
        <x:is>
          <x:t xml:space="preserve">输配电气</x:t>
        </x:is>
      </x:c>
      <x:c r="I1823" s="4" t="inlineStr">
        <x:is>
          <x:t xml:space="preserve">1994-01-03</x:t>
        </x:is>
      </x:c>
      <x:c r="J1823" s="5" t="inlineStr">
        <x:is>
          <x:t xml:space="preserve">广东省佛山市顺德区大良街道五沙社区新悦路23号之六</x:t>
        </x:is>
      </x:c>
      <x:c r="K1823" s="12" t="str">
        <x:f>LEFT("914406061903638804",18)</x:f>
        <x:v>914406061903638800</x:v>
      </x:c>
    </x:row>
    <x:row r="1824">
      <x:c r="A1824" s="2" t="n">
        <x:v>1823</x:v>
      </x:c>
      <x:c r="B1824" s="2" t="inlineStr">
        <x:is>
          <x:t xml:space="preserve">000534</x:t>
        </x:is>
      </x:c>
      <x:c r="C1824" s="3" t="inlineStr">
        <x:is>
          <x:t xml:space="preserve">万泽股份</x:t>
        </x:is>
      </x:c>
      <x:c r="D1824" s="3" t="inlineStr">
        <x:is>
          <x:t xml:space="preserve">万泽实业股份有限公司</x:t>
        </x:is>
      </x:c>
      <x:c r="E1824" s="2" t="inlineStr">
        <x:is>
          <x:t xml:space="preserve">广东省</x:t>
        </x:is>
      </x:c>
      <x:c r="F1824" s="2" t="inlineStr">
        <x:is>
          <x:t xml:space="preserve">汕头市</x:t>
        </x:is>
      </x:c>
      <x:c r="G1824" s="3" t="inlineStr">
        <x:is>
          <x:t xml:space="preserve">广东省-汕头市</x:t>
        </x:is>
      </x:c>
      <x:c r="H1824" s="2" t="inlineStr">
        <x:is>
          <x:t xml:space="preserve">生物制品</x:t>
        </x:is>
      </x:c>
      <x:c r="I1824" s="2" t="inlineStr">
        <x:is>
          <x:t xml:space="preserve">1994-01-10</x:t>
        </x:is>
      </x:c>
      <x:c r="J1824" s="3" t="inlineStr">
        <x:is>
          <x:t xml:space="preserve">广东省汕头市珠池路23号光明大厦B幢8楼</x:t>
        </x:is>
      </x:c>
      <x:c r="K1824" s="12" t="str">
        <x:f>LEFT("91440500192754762W",18)</x:f>
        <x:v>91440500192754762W</x:v>
      </x:c>
    </x:row>
    <x:row r="1825">
      <x:c r="A1825" s="4" t="n">
        <x:v>1824</x:v>
      </x:c>
      <x:c r="B1825" s="4" t="inlineStr">
        <x:is>
          <x:t xml:space="preserve">000539</x:t>
        </x:is>
      </x:c>
      <x:c r="C1825" s="5" t="inlineStr">
        <x:is>
          <x:t xml:space="preserve">粤电力A</x:t>
        </x:is>
      </x:c>
      <x:c r="D1825" s="5" t="inlineStr">
        <x:is>
          <x:t xml:space="preserve">广东电力发展股份有限公司</x:t>
        </x:is>
      </x:c>
      <x:c r="E1825" s="4" t="inlineStr">
        <x:is>
          <x:t xml:space="preserve">广东省</x:t>
        </x:is>
      </x:c>
      <x:c r="F1825" s="4" t="inlineStr">
        <x:is>
          <x:t xml:space="preserve">广州市</x:t>
        </x:is>
      </x:c>
      <x:c r="G1825" s="5" t="inlineStr">
        <x:is>
          <x:t xml:space="preserve">广东省-广州市</x:t>
        </x:is>
      </x:c>
      <x:c r="H1825" s="4" t="inlineStr">
        <x:is>
          <x:t xml:space="preserve">电力行业</x:t>
        </x:is>
      </x:c>
      <x:c r="I1825" s="4" t="inlineStr">
        <x:is>
          <x:t xml:space="preserve">1993-11-26</x:t>
        </x:is>
      </x:c>
      <x:c r="J1825" s="5" t="inlineStr">
        <x:is>
          <x:t xml:space="preserve">中华人民共和国广东省广州市天河东路2号粤电广场南塔33-36楼</x:t>
        </x:is>
      </x:c>
      <x:c r="K1825" s="12" t="str">
        <x:f>LEFT("91440000617419493W",18)</x:f>
        <x:v>91440000617419493W</x:v>
      </x:c>
    </x:row>
    <x:row r="1826">
      <x:c r="A1826" s="2" t="n">
        <x:v>1825</x:v>
      </x:c>
      <x:c r="B1826" s="2" t="inlineStr">
        <x:is>
          <x:t xml:space="preserve">000541</x:t>
        </x:is>
      </x:c>
      <x:c r="C1826" s="3" t="inlineStr">
        <x:is>
          <x:t xml:space="preserve">佛山照明</x:t>
        </x:is>
      </x:c>
      <x:c r="D1826" s="3" t="inlineStr">
        <x:is>
          <x:t xml:space="preserve">佛山电器照明股份有限公司</x:t>
        </x:is>
      </x:c>
      <x:c r="E1826" s="2" t="inlineStr">
        <x:is>
          <x:t xml:space="preserve">广东省</x:t>
        </x:is>
      </x:c>
      <x:c r="F1826" s="2" t="inlineStr">
        <x:is>
          <x:t xml:space="preserve">佛山市</x:t>
        </x:is>
      </x:c>
      <x:c r="G1826" s="3" t="inlineStr">
        <x:is>
          <x:t xml:space="preserve">广东省-佛山市</x:t>
        </x:is>
      </x:c>
      <x:c r="H1826" s="2" t="inlineStr">
        <x:is>
          <x:t xml:space="preserve">家电行业</x:t>
        </x:is>
      </x:c>
      <x:c r="I1826" s="2" t="inlineStr">
        <x:is>
          <x:t xml:space="preserve">1993-11-23</x:t>
        </x:is>
      </x:c>
      <x:c r="J1826" s="3" t="inlineStr">
        <x:is>
          <x:t xml:space="preserve">广东省佛山市禅城区汾江北路64号</x:t>
        </x:is>
      </x:c>
      <x:c r="K1826" s="12" t="str">
        <x:f>LEFT("91440000190352575W",18)</x:f>
        <x:v>91440000190352575W</x:v>
      </x:c>
    </x:row>
    <x:row r="1827">
      <x:c r="A1827" s="4" t="n">
        <x:v>1826</x:v>
      </x:c>
      <x:c r="B1827" s="4" t="inlineStr">
        <x:is>
          <x:t xml:space="preserve">000555</x:t>
        </x:is>
      </x:c>
      <x:c r="C1827" s="5" t="inlineStr">
        <x:is>
          <x:t xml:space="preserve">神州信息</x:t>
        </x:is>
      </x:c>
      <x:c r="D1827" s="5" t="inlineStr">
        <x:is>
          <x:t xml:space="preserve">神州数码信息服务集团股份有限公司</x:t>
        </x:is>
      </x:c>
      <x:c r="E1827" s="4" t="inlineStr">
        <x:is>
          <x:t xml:space="preserve">广东省</x:t>
        </x:is>
      </x:c>
      <x:c r="F1827" s="4" t="inlineStr">
        <x:is>
          <x:t xml:space="preserve">深圳市</x:t>
        </x:is>
      </x:c>
      <x:c r="G1827" s="5" t="inlineStr">
        <x:is>
          <x:t xml:space="preserve">广东省-深圳市</x:t>
        </x:is>
      </x:c>
      <x:c r="H1827" s="4" t="inlineStr">
        <x:is>
          <x:t xml:space="preserve">电子信息</x:t>
        </x:is>
      </x:c>
      <x:c r="I1827" s="4" t="inlineStr">
        <x:is>
          <x:t xml:space="preserve">1994-04-08</x:t>
        </x:is>
      </x:c>
      <x:c r="J1827" s="5" t="inlineStr">
        <x:is>
          <x:t xml:space="preserve">深圳市南山区沙河街道东方社区深湾二路82号神州数码国际创新中心东塔3905</x:t>
        </x:is>
      </x:c>
      <x:c r="K1827" s="12" t="str">
        <x:f>LEFT("91440300726198124D",18)</x:f>
        <x:v>91440300726198124D</x:v>
      </x:c>
    </x:row>
    <x:row r="1828">
      <x:c r="A1828" s="2" t="n">
        <x:v>1827</x:v>
      </x:c>
      <x:c r="B1828" s="2" t="inlineStr">
        <x:is>
          <x:t xml:space="preserve">000573</x:t>
        </x:is>
      </x:c>
      <x:c r="C1828" s="3" t="inlineStr">
        <x:is>
          <x:t xml:space="preserve">粤宏远A</x:t>
        </x:is>
      </x:c>
      <x:c r="D1828" s="3" t="inlineStr">
        <x:is>
          <x:t xml:space="preserve">东莞宏远工业区股份有限公司</x:t>
        </x:is>
      </x:c>
      <x:c r="E1828" s="2" t="inlineStr">
        <x:is>
          <x:t xml:space="preserve">广东省</x:t>
        </x:is>
      </x:c>
      <x:c r="F1828" s="2" t="inlineStr">
        <x:is>
          <x:t xml:space="preserve">东莞市</x:t>
        </x:is>
      </x:c>
      <x:c r="G1828" s="3" t="inlineStr">
        <x:is>
          <x:t xml:space="preserve">广东省-东莞市</x:t>
        </x:is>
      </x:c>
      <x:c r="H1828" s="2" t="inlineStr">
        <x:is>
          <x:t xml:space="preserve">房地产</x:t>
        </x:is>
      </x:c>
      <x:c r="I1828" s="2" t="inlineStr">
        <x:is>
          <x:t xml:space="preserve">1994-08-15</x:t>
        </x:is>
      </x:c>
      <x:c r="J1828" s="3" t="inlineStr">
        <x:is>
          <x:t xml:space="preserve">广东省东莞市南城区宏远工业区</x:t>
        </x:is>
      </x:c>
      <x:c r="K1828" s="12" t="str">
        <x:f>LEFT("91441900281825294G",18)</x:f>
        <x:v>91441900281825294G</x:v>
      </x:c>
    </x:row>
    <x:row r="1829">
      <x:c r="A1829" s="4" t="n">
        <x:v>1828</x:v>
      </x:c>
      <x:c r="B1829" s="4" t="inlineStr">
        <x:is>
          <x:t xml:space="preserve">000576</x:t>
        </x:is>
      </x:c>
      <x:c r="C1829" s="5" t="inlineStr">
        <x:is>
          <x:t xml:space="preserve">甘化科工</x:t>
        </x:is>
      </x:c>
      <x:c r="D1829" s="5" t="inlineStr">
        <x:is>
          <x:t xml:space="preserve">广东甘化科工股份有限公司</x:t>
        </x:is>
      </x:c>
      <x:c r="E1829" s="4" t="inlineStr">
        <x:is>
          <x:t xml:space="preserve">广东省</x:t>
        </x:is>
      </x:c>
      <x:c r="F1829" s="4" t="inlineStr">
        <x:is>
          <x:t xml:space="preserve">江门市</x:t>
        </x:is>
      </x:c>
      <x:c r="G1829" s="5" t="inlineStr">
        <x:is>
          <x:t xml:space="preserve">广东省-江门市</x:t>
        </x:is>
      </x:c>
      <x:c r="H1829" s="4" t="inlineStr">
        <x:is>
          <x:t xml:space="preserve">电源设备</x:t>
        </x:is>
      </x:c>
      <x:c r="I1829" s="4" t="inlineStr">
        <x:is>
          <x:t xml:space="preserve">1994-09-07</x:t>
        </x:is>
      </x:c>
      <x:c r="J1829" s="5" t="inlineStr">
        <x:is>
          <x:t xml:space="preserve">江门市蓬江区甘化路62号</x:t>
        </x:is>
      </x:c>
      <x:c r="K1829" s="12" t="str">
        <x:f>LEFT("91440700190357288E",18)</x:f>
        <x:v>91440700190357288E</x:v>
      </x:c>
    </x:row>
    <x:row r="1830">
      <x:c r="A1830" s="2" t="n">
        <x:v>1829</x:v>
      </x:c>
      <x:c r="B1830" s="2" t="inlineStr">
        <x:is>
          <x:t xml:space="preserve">000601</x:t>
        </x:is>
      </x:c>
      <x:c r="C1830" s="3" t="inlineStr">
        <x:is>
          <x:t xml:space="preserve">韶能股份</x:t>
        </x:is>
      </x:c>
      <x:c r="D1830" s="3" t="inlineStr">
        <x:is>
          <x:t xml:space="preserve">广东韶能集团股份有限公司</x:t>
        </x:is>
      </x:c>
      <x:c r="E1830" s="2" t="inlineStr">
        <x:is>
          <x:t xml:space="preserve">广东省</x:t>
        </x:is>
      </x:c>
      <x:c r="F1830" s="2" t="inlineStr">
        <x:is>
          <x:t xml:space="preserve">韶关市</x:t>
        </x:is>
      </x:c>
      <x:c r="G1830" s="3" t="inlineStr">
        <x:is>
          <x:t xml:space="preserve">广东省-韶关市</x:t>
        </x:is>
      </x:c>
      <x:c r="H1830" s="2" t="inlineStr">
        <x:is>
          <x:t xml:space="preserve">电力行业</x:t>
        </x:is>
      </x:c>
      <x:c r="I1830" s="2" t="inlineStr">
        <x:is>
          <x:t xml:space="preserve">1996-08-30</x:t>
        </x:is>
      </x:c>
      <x:c r="J1830" s="3" t="inlineStr">
        <x:is>
          <x:t xml:space="preserve">广东省韶关市武江区武江大道中16号</x:t>
        </x:is>
      </x:c>
      <x:c r="K1830" s="12" t="str">
        <x:f>LEFT("9144020019153918XA",18)</x:f>
        <x:v>9144020019153918XA</x:v>
      </x:c>
    </x:row>
    <x:row r="1831">
      <x:c r="A1831" s="4" t="n">
        <x:v>1830</x:v>
      </x:c>
      <x:c r="B1831" s="4" t="inlineStr">
        <x:is>
          <x:t xml:space="preserve">000636</x:t>
        </x:is>
      </x:c>
      <x:c r="C1831" s="5" t="inlineStr">
        <x:is>
          <x:t xml:space="preserve">风华高科</x:t>
        </x:is>
      </x:c>
      <x:c r="D1831" s="5" t="inlineStr">
        <x:is>
          <x:t xml:space="preserve">广东风华高新科技股份有限公司</x:t>
        </x:is>
      </x:c>
      <x:c r="E1831" s="4" t="inlineStr">
        <x:is>
          <x:t xml:space="preserve">广东省</x:t>
        </x:is>
      </x:c>
      <x:c r="F1831" s="4" t="inlineStr">
        <x:is>
          <x:t xml:space="preserve">肇庆市</x:t>
        </x:is>
      </x:c>
      <x:c r="G1831" s="5" t="inlineStr">
        <x:is>
          <x:t xml:space="preserve">广东省-肇庆市</x:t>
        </x:is>
      </x:c>
      <x:c r="H1831" s="4" t="inlineStr">
        <x:is>
          <x:t xml:space="preserve">电子元件</x:t>
        </x:is>
      </x:c>
      <x:c r="I1831" s="4" t="inlineStr">
        <x:is>
          <x:t xml:space="preserve">1996-11-29</x:t>
        </x:is>
      </x:c>
      <x:c r="J1831" s="5" t="inlineStr">
        <x:is>
          <x:t xml:space="preserve">广东省肇庆市风华路18号风华电子工业城</x:t>
        </x:is>
      </x:c>
      <x:c r="K1831" s="12" t="str">
        <x:f>LEFT("91441200190379452L",18)</x:f>
        <x:v>91441200190379452L</x:v>
      </x:c>
    </x:row>
    <x:row r="1832">
      <x:c r="A1832" s="2" t="n">
        <x:v>1831</x:v>
      </x:c>
      <x:c r="B1832" s="2" t="inlineStr">
        <x:is>
          <x:t xml:space="preserve">000637</x:t>
        </x:is>
      </x:c>
      <x:c r="C1832" s="3" t="inlineStr">
        <x:is>
          <x:t xml:space="preserve">茂化实华</x:t>
        </x:is>
      </x:c>
      <x:c r="D1832" s="3" t="inlineStr">
        <x:is>
          <x:t xml:space="preserve">茂名石化实华股份有限公司</x:t>
        </x:is>
      </x:c>
      <x:c r="E1832" s="2" t="inlineStr">
        <x:is>
          <x:t xml:space="preserve">广东省</x:t>
        </x:is>
      </x:c>
      <x:c r="F1832" s="2" t="inlineStr">
        <x:is>
          <x:t xml:space="preserve">茂名市</x:t>
        </x:is>
      </x:c>
      <x:c r="G1832" s="3" t="inlineStr">
        <x:is>
          <x:t xml:space="preserve">广东省-茂名市</x:t>
        </x:is>
      </x:c>
      <x:c r="H1832" s="2" t="inlineStr">
        <x:is>
          <x:t xml:space="preserve">石油行业</x:t>
        </x:is>
      </x:c>
      <x:c r="I1832" s="2" t="inlineStr">
        <x:is>
          <x:t xml:space="preserve">1996-11-14</x:t>
        </x:is>
      </x:c>
      <x:c r="J1832" s="3" t="inlineStr">
        <x:is>
          <x:t xml:space="preserve">广东省茂名市官渡路162号</x:t>
        </x:is>
      </x:c>
      <x:c r="K1832" s="12" t="str">
        <x:f>LEFT("914409001949221416",18)</x:f>
        <x:v>914409001949221400</x:v>
      </x:c>
    </x:row>
    <x:row r="1833">
      <x:c r="A1833" s="4" t="n">
        <x:v>1832</x:v>
      </x:c>
      <x:c r="B1833" s="4" t="inlineStr">
        <x:is>
          <x:t xml:space="preserve">000651</x:t>
        </x:is>
      </x:c>
      <x:c r="C1833" s="5" t="inlineStr">
        <x:is>
          <x:t xml:space="preserve">格力电器</x:t>
        </x:is>
      </x:c>
      <x:c r="D1833" s="5" t="inlineStr">
        <x:is>
          <x:t xml:space="preserve">珠海格力电器股份有限公司</x:t>
        </x:is>
      </x:c>
      <x:c r="E1833" s="4" t="inlineStr">
        <x:is>
          <x:t xml:space="preserve">广东省</x:t>
        </x:is>
      </x:c>
      <x:c r="F1833" s="4" t="inlineStr">
        <x:is>
          <x:t xml:space="preserve">珠海市</x:t>
        </x:is>
      </x:c>
      <x:c r="G1833" s="5" t="inlineStr">
        <x:is>
          <x:t xml:space="preserve">广东省-珠海市</x:t>
        </x:is>
      </x:c>
      <x:c r="H1833" s="4" t="inlineStr">
        <x:is>
          <x:t xml:space="preserve">家电行业</x:t>
        </x:is>
      </x:c>
      <x:c r="I1833" s="4" t="inlineStr">
        <x:is>
          <x:t xml:space="preserve">1996-11-18</x:t>
        </x:is>
      </x:c>
      <x:c r="J1833" s="5" t="inlineStr">
        <x:is>
          <x:t xml:space="preserve">珠海横琴新区汇通三路108号办公608</x:t>
        </x:is>
      </x:c>
      <x:c r="K1833" s="12" t="str">
        <x:f>LEFT("91440400192548256N",18)</x:f>
        <x:v>91440400192548256N</x:v>
      </x:c>
    </x:row>
    <x:row r="1834">
      <x:c r="A1834" s="2" t="n">
        <x:v>1833</x:v>
      </x:c>
      <x:c r="B1834" s="2" t="inlineStr">
        <x:is>
          <x:t xml:space="preserve">000659</x:t>
        </x:is>
      </x:c>
      <x:c r="C1834" s="3" t="inlineStr">
        <x:is>
          <x:t xml:space="preserve">珠海中富</x:t>
        </x:is>
      </x:c>
      <x:c r="D1834" s="3" t="inlineStr">
        <x:is>
          <x:t xml:space="preserve">珠海中富实业股份有限公司</x:t>
        </x:is>
      </x:c>
      <x:c r="E1834" s="2" t="inlineStr">
        <x:is>
          <x:t xml:space="preserve">广东省</x:t>
        </x:is>
      </x:c>
      <x:c r="F1834" s="2" t="inlineStr">
        <x:is>
          <x:t xml:space="preserve">珠海市</x:t>
        </x:is>
      </x:c>
      <x:c r="G1834" s="3" t="inlineStr">
        <x:is>
          <x:t xml:space="preserve">广东省-珠海市</x:t>
        </x:is>
      </x:c>
      <x:c r="H1834" s="2" t="inlineStr">
        <x:is>
          <x:t xml:space="preserve">包装材料</x:t>
        </x:is>
      </x:c>
      <x:c r="I1834" s="2" t="inlineStr">
        <x:is>
          <x:t xml:space="preserve">1996-12-03</x:t>
        </x:is>
      </x:c>
      <x:c r="J1834" s="3" t="inlineStr">
        <x:is>
          <x:t xml:space="preserve">珠海市香洲区联峰路780号3栋</x:t>
        </x:is>
      </x:c>
      <x:c r="K1834" s="12" t="str">
        <x:f>LEFT("9144040019255957X0",18)</x:f>
        <x:v>9144040019255957X0</x:v>
      </x:c>
    </x:row>
    <x:row r="1835">
      <x:c r="A1835" s="4" t="n">
        <x:v>1834</x:v>
      </x:c>
      <x:c r="B1835" s="4" t="inlineStr">
        <x:is>
          <x:t xml:space="preserve">000676</x:t>
        </x:is>
      </x:c>
      <x:c r="C1835" s="5" t="inlineStr">
        <x:is>
          <x:t xml:space="preserve">智度股份</x:t>
        </x:is>
      </x:c>
      <x:c r="D1835" s="5" t="inlineStr">
        <x:is>
          <x:t xml:space="preserve">智度科技股份有限公司</x:t>
        </x:is>
      </x:c>
      <x:c r="E1835" s="4" t="inlineStr">
        <x:is>
          <x:t xml:space="preserve">广东省</x:t>
        </x:is>
      </x:c>
      <x:c r="F1835" s="4" t="inlineStr">
        <x:is>
          <x:t xml:space="preserve">广州市</x:t>
        </x:is>
      </x:c>
      <x:c r="G1835" s="5" t="inlineStr">
        <x:is>
          <x:t xml:space="preserve">广东省-广州市</x:t>
        </x:is>
      </x:c>
      <x:c r="H1835" s="4" t="inlineStr">
        <x:is>
          <x:t xml:space="preserve">互联网服务</x:t>
        </x:is>
      </x:c>
      <x:c r="I1835" s="4" t="inlineStr">
        <x:is>
          <x:t xml:space="preserve">1996-12-24</x:t>
        </x:is>
      </x:c>
      <x:c r="J1835" s="5" t="inlineStr">
        <x:is>
          <x:t xml:space="preserve">广州市花都区新雅街凤凰南路56之三401室(部位之8)</x:t>
        </x:is>
      </x:c>
      <x:c r="K1835" s="12" t="str">
        <x:f>LEFT("91410000170000388E",18)</x:f>
        <x:v>91410000170000388E</x:v>
      </x:c>
    </x:row>
    <x:row r="1836">
      <x:c r="A1836" s="2" t="n">
        <x:v>1835</x:v>
      </x:c>
      <x:c r="B1836" s="2" t="inlineStr">
        <x:is>
          <x:t xml:space="preserve">000685</x:t>
        </x:is>
      </x:c>
      <x:c r="C1836" s="3" t="inlineStr">
        <x:is>
          <x:t xml:space="preserve">中山公用</x:t>
        </x:is>
      </x:c>
      <x:c r="D1836" s="3" t="inlineStr">
        <x:is>
          <x:t xml:space="preserve">中山公用事业集团股份有限公司</x:t>
        </x:is>
      </x:c>
      <x:c r="E1836" s="2" t="inlineStr">
        <x:is>
          <x:t xml:space="preserve">广东省</x:t>
        </x:is>
      </x:c>
      <x:c r="F1836" s="2" t="inlineStr">
        <x:is>
          <x:t xml:space="preserve">中山市</x:t>
        </x:is>
      </x:c>
      <x:c r="G1836" s="3" t="inlineStr">
        <x:is>
          <x:t xml:space="preserve">广东省-中山市</x:t>
        </x:is>
      </x:c>
      <x:c r="H1836" s="2" t="inlineStr">
        <x:is>
          <x:t xml:space="preserve">公用事业</x:t>
        </x:is>
      </x:c>
      <x:c r="I1836" s="2" t="inlineStr">
        <x:is>
          <x:t xml:space="preserve">1997-01-23</x:t>
        </x:is>
      </x:c>
      <x:c r="J1836" s="3" t="inlineStr">
        <x:is>
          <x:t xml:space="preserve">广东省中山市兴中道十八号财兴大厦北座</x:t>
        </x:is>
      </x:c>
      <x:c r="K1836" s="12" t="str">
        <x:f>LEFT("914420001935372689",18)</x:f>
        <x:v>914420001935372700</x:v>
      </x:c>
    </x:row>
    <x:row r="1837">
      <x:c r="A1837" s="4" t="n">
        <x:v>1836</x:v>
      </x:c>
      <x:c r="B1837" s="4" t="inlineStr">
        <x:is>
          <x:t xml:space="preserve">000690</x:t>
        </x:is>
      </x:c>
      <x:c r="C1837" s="5" t="inlineStr">
        <x:is>
          <x:t xml:space="preserve">宝新能源</x:t>
        </x:is>
      </x:c>
      <x:c r="D1837" s="5" t="inlineStr">
        <x:is>
          <x:t xml:space="preserve">广东宝丽华新能源股份有限公司</x:t>
        </x:is>
      </x:c>
      <x:c r="E1837" s="4" t="inlineStr">
        <x:is>
          <x:t xml:space="preserve">广东省</x:t>
        </x:is>
      </x:c>
      <x:c r="F1837" s="4" t="inlineStr">
        <x:is>
          <x:t xml:space="preserve">梅州市</x:t>
        </x:is>
      </x:c>
      <x:c r="G1837" s="5" t="inlineStr">
        <x:is>
          <x:t xml:space="preserve">广东省-梅州市</x:t>
        </x:is>
      </x:c>
      <x:c r="H1837" s="4" t="inlineStr">
        <x:is>
          <x:t xml:space="preserve">电力行业</x:t>
        </x:is>
      </x:c>
      <x:c r="I1837" s="4" t="inlineStr">
        <x:is>
          <x:t xml:space="preserve">1997-01-28</x:t>
        </x:is>
      </x:c>
      <x:c r="J1837" s="5" t="inlineStr">
        <x:is>
          <x:t xml:space="preserve">广东省梅县华侨城香港花园香港大道宝丽华综合大楼</x:t>
        </x:is>
      </x:c>
      <x:c r="K1837" s="12" t="str">
        <x:f>LEFT("914414006179309884",18)</x:f>
        <x:v>914414006179309800</x:v>
      </x:c>
    </x:row>
    <x:row r="1838">
      <x:c r="A1838" s="2" t="n">
        <x:v>1837</x:v>
      </x:c>
      <x:c r="B1838" s="2" t="inlineStr">
        <x:is>
          <x:t xml:space="preserve">000712</x:t>
        </x:is>
      </x:c>
      <x:c r="C1838" s="3" t="inlineStr">
        <x:is>
          <x:t xml:space="preserve">锦龙股份</x:t>
        </x:is>
      </x:c>
      <x:c r="D1838" s="3" t="inlineStr">
        <x:is>
          <x:t xml:space="preserve">广东锦龙发展股份有限公司</x:t>
        </x:is>
      </x:c>
      <x:c r="E1838" s="2" t="inlineStr">
        <x:is>
          <x:t xml:space="preserve">广东省</x:t>
        </x:is>
      </x:c>
      <x:c r="F1838" s="2" t="inlineStr">
        <x:is>
          <x:t xml:space="preserve">东莞市</x:t>
        </x:is>
      </x:c>
      <x:c r="G1838" s="3" t="inlineStr">
        <x:is>
          <x:t xml:space="preserve">广东省-东莞市</x:t>
        </x:is>
      </x:c>
      <x:c r="H1838" s="2" t="inlineStr">
        <x:is>
          <x:t xml:space="preserve">券商信托</x:t>
        </x:is>
      </x:c>
      <x:c r="I1838" s="2" t="inlineStr">
        <x:is>
          <x:t xml:space="preserve">1997-04-15</x:t>
        </x:is>
      </x:c>
      <x:c r="J1838" s="3" t="inlineStr">
        <x:is>
          <x:t xml:space="preserve">广东省东莞市凤岗镇雁田东深二路66号天安数码城S3栋19楼03单元</x:t>
        </x:is>
      </x:c>
      <x:c r="K1838" s="12" t="str">
        <x:f>LEFT("91441900MA4URYHQ25",18)</x:f>
        <x:v>91441900MA4URYHQ25</x:v>
      </x:c>
    </x:row>
    <x:row r="1839">
      <x:c r="A1839" s="4" t="n">
        <x:v>1838</x:v>
      </x:c>
      <x:c r="B1839" s="4" t="inlineStr">
        <x:is>
          <x:t xml:space="preserve">000717</x:t>
        </x:is>
      </x:c>
      <x:c r="C1839" s="5" t="inlineStr">
        <x:is>
          <x:t xml:space="preserve">中南股份</x:t>
        </x:is>
      </x:c>
      <x:c r="D1839" s="5" t="inlineStr">
        <x:is>
          <x:t xml:space="preserve">广东中南钢铁股份有限公司</x:t>
        </x:is>
      </x:c>
      <x:c r="E1839" s="4" t="inlineStr">
        <x:is>
          <x:t xml:space="preserve">广东省</x:t>
        </x:is>
      </x:c>
      <x:c r="F1839" s="4" t="inlineStr">
        <x:is>
          <x:t xml:space="preserve">韶关市</x:t>
        </x:is>
      </x:c>
      <x:c r="G1839" s="5" t="inlineStr">
        <x:is>
          <x:t xml:space="preserve">广东省-韶关市</x:t>
        </x:is>
      </x:c>
      <x:c r="H1839" s="4" t="inlineStr">
        <x:is>
          <x:t xml:space="preserve">钢铁行业</x:t>
        </x:is>
      </x:c>
      <x:c r="I1839" s="4" t="inlineStr">
        <x:is>
          <x:t xml:space="preserve">1997-05-08</x:t>
        </x:is>
      </x:c>
      <x:c r="J1839" s="5" t="inlineStr">
        <x:is>
          <x:t xml:space="preserve">广东省韶关市曲江县马坝</x:t>
        </x:is>
      </x:c>
      <x:c r="K1839" s="12" t="str">
        <x:f>LEFT("914402002311293467",18)</x:f>
        <x:v>914402002311293400</x:v>
      </x:c>
    </x:row>
    <x:row r="1840">
      <x:c r="A1840" s="2" t="n">
        <x:v>1839</x:v>
      </x:c>
      <x:c r="B1840" s="2" t="inlineStr">
        <x:is>
          <x:t xml:space="preserve">000776</x:t>
        </x:is>
      </x:c>
      <x:c r="C1840" s="3" t="inlineStr">
        <x:is>
          <x:t xml:space="preserve">广发证券</x:t>
        </x:is>
      </x:c>
      <x:c r="D1840" s="3" t="inlineStr">
        <x:is>
          <x:t xml:space="preserve">广发证券股份有限公司</x:t>
        </x:is>
      </x:c>
      <x:c r="E1840" s="2" t="inlineStr">
        <x:is>
          <x:t xml:space="preserve">广东省</x:t>
        </x:is>
      </x:c>
      <x:c r="F1840" s="2" t="inlineStr">
        <x:is>
          <x:t xml:space="preserve">广州市</x:t>
        </x:is>
      </x:c>
      <x:c r="G1840" s="3" t="inlineStr">
        <x:is>
          <x:t xml:space="preserve">广东省-广州市</x:t>
        </x:is>
      </x:c>
      <x:c r="H1840" s="2" t="inlineStr">
        <x:is>
          <x:t xml:space="preserve">券商信托</x:t>
        </x:is>
      </x:c>
      <x:c r="I1840" s="2" t="inlineStr">
        <x:is>
          <x:t xml:space="preserve">1997-06-11</x:t>
        </x:is>
      </x:c>
      <x:c r="J1840" s="3" t="inlineStr">
        <x:is>
          <x:t xml:space="preserve">广东省广州市黄埔区中新广州知识城腾飞一街2号618室</x:t>
        </x:is>
      </x:c>
      <x:c r="K1840" s="12" t="str">
        <x:f>LEFT("91440000126335439C",18)</x:f>
        <x:v>91440000126335439C</x:v>
      </x:c>
    </x:row>
    <x:row r="1841">
      <x:c r="A1841" s="4" t="n">
        <x:v>1840</x:v>
      </x:c>
      <x:c r="B1841" s="4" t="inlineStr">
        <x:is>
          <x:t xml:space="preserve">000782</x:t>
        </x:is>
      </x:c>
      <x:c r="C1841" s="5" t="inlineStr">
        <x:is>
          <x:t xml:space="preserve">恒申新材</x:t>
        </x:is>
      </x:c>
      <x:c r="D1841" s="5" t="inlineStr">
        <x:is>
          <x:t xml:space="preserve">广东恒申美达新材料股份公司</x:t>
        </x:is>
      </x:c>
      <x:c r="E1841" s="4" t="inlineStr">
        <x:is>
          <x:t xml:space="preserve">广东省</x:t>
        </x:is>
      </x:c>
      <x:c r="F1841" s="4" t="inlineStr">
        <x:is>
          <x:t xml:space="preserve">江门市</x:t>
        </x:is>
      </x:c>
      <x:c r="G1841" s="5" t="inlineStr">
        <x:is>
          <x:t xml:space="preserve">广东省-江门市</x:t>
        </x:is>
      </x:c>
      <x:c r="H1841" s="4" t="inlineStr">
        <x:is>
          <x:t xml:space="preserve">化纤行业</x:t>
        </x:is>
      </x:c>
      <x:c r="I1841" s="4" t="inlineStr">
        <x:is>
          <x:t xml:space="preserve">1997-06-19</x:t>
        </x:is>
      </x:c>
      <x:c r="J1841" s="5" t="inlineStr">
        <x:is>
          <x:t xml:space="preserve">广东省江门市新会区江会路上浅口</x:t>
        </x:is>
      </x:c>
      <x:c r="K1841" s="12" t="str">
        <x:f>LEFT("914407001941339867",18)</x:f>
        <x:v>914407001941339900</x:v>
      </x:c>
    </x:row>
    <x:row r="1842">
      <x:c r="A1842" s="2" t="n">
        <x:v>1841</x:v>
      </x:c>
      <x:c r="B1842" s="2" t="inlineStr">
        <x:is>
          <x:t xml:space="preserve">000823</x:t>
        </x:is>
      </x:c>
      <x:c r="C1842" s="3" t="inlineStr">
        <x:is>
          <x:t xml:space="preserve">超声电子</x:t>
        </x:is>
      </x:c>
      <x:c r="D1842" s="3" t="inlineStr">
        <x:is>
          <x:t xml:space="preserve">广东汕头超声电子股份有限公司</x:t>
        </x:is>
      </x:c>
      <x:c r="E1842" s="2" t="inlineStr">
        <x:is>
          <x:t xml:space="preserve">广东省</x:t>
        </x:is>
      </x:c>
      <x:c r="F1842" s="2" t="inlineStr">
        <x:is>
          <x:t xml:space="preserve">汕头市</x:t>
        </x:is>
      </x:c>
      <x:c r="G1842" s="3" t="inlineStr">
        <x:is>
          <x:t xml:space="preserve">广东省-汕头市</x:t>
        </x:is>
      </x:c>
      <x:c r="H1842" s="2" t="inlineStr">
        <x:is>
          <x:t xml:space="preserve">电子元件</x:t>
        </x:is>
      </x:c>
      <x:c r="I1842" s="2" t="inlineStr">
        <x:is>
          <x:t xml:space="preserve">1997-10-08</x:t>
        </x:is>
      </x:c>
      <x:c r="J1842" s="3" t="inlineStr">
        <x:is>
          <x:t xml:space="preserve">广东省汕头市龙湖区龙江路12号</x:t>
        </x:is>
      </x:c>
      <x:c r="K1842" s="12" t="str">
        <x:f>LEFT("914405002311310326",18)</x:f>
        <x:v>914405002311310300</x:v>
      </x:c>
    </x:row>
    <x:row r="1843">
      <x:c r="A1843" s="4" t="n">
        <x:v>1842</x:v>
      </x:c>
      <x:c r="B1843" s="4" t="inlineStr">
        <x:is>
          <x:t xml:space="preserve">000828</x:t>
        </x:is>
      </x:c>
      <x:c r="C1843" s="5" t="inlineStr">
        <x:is>
          <x:t xml:space="preserve">东莞控股</x:t>
        </x:is>
      </x:c>
      <x:c r="D1843" s="5" t="inlineStr">
        <x:is>
          <x:t xml:space="preserve">东莞发展控股股份有限公司</x:t>
        </x:is>
      </x:c>
      <x:c r="E1843" s="4" t="inlineStr">
        <x:is>
          <x:t xml:space="preserve">广东省</x:t>
        </x:is>
      </x:c>
      <x:c r="F1843" s="4" t="inlineStr">
        <x:is>
          <x:t xml:space="preserve">东莞市</x:t>
        </x:is>
      </x:c>
      <x:c r="G1843" s="5" t="inlineStr">
        <x:is>
          <x:t xml:space="preserve">广东省-东莞市</x:t>
        </x:is>
      </x:c>
      <x:c r="H1843" s="4" t="inlineStr">
        <x:is>
          <x:t xml:space="preserve">高速公路</x:t>
        </x:is>
      </x:c>
      <x:c r="I1843" s="4" t="inlineStr">
        <x:is>
          <x:t xml:space="preserve">1997-06-17</x:t>
        </x:is>
      </x:c>
      <x:c r="J1843" s="5" t="inlineStr">
        <x:is>
          <x:t xml:space="preserve">广东省东莞市南城街道东莞大道南城段116号轨道交通大厦2号楼3601室</x:t>
        </x:is>
      </x:c>
      <x:c r="K1843" s="12" t="str">
        <x:f>LEFT("91441900617431353K",18)</x:f>
        <x:v>91441900617431353K</x:v>
      </x:c>
    </x:row>
    <x:row r="1844">
      <x:c r="A1844" s="2" t="n">
        <x:v>1843</x:v>
      </x:c>
      <x:c r="B1844" s="2" t="inlineStr">
        <x:is>
          <x:t xml:space="preserve">000893</x:t>
        </x:is>
      </x:c>
      <x:c r="C1844" s="3" t="inlineStr">
        <x:is>
          <x:t xml:space="preserve">亚钾国际</x:t>
        </x:is>
      </x:c>
      <x:c r="D1844" s="3" t="inlineStr">
        <x:is>
          <x:t xml:space="preserve">亚钾国际投资(广州)股份有限公司</x:t>
        </x:is>
      </x:c>
      <x:c r="E1844" s="2" t="inlineStr">
        <x:is>
          <x:t xml:space="preserve">广东省</x:t>
        </x:is>
      </x:c>
      <x:c r="F1844" s="2" t="inlineStr">
        <x:is>
          <x:t xml:space="preserve">广州市</x:t>
        </x:is>
      </x:c>
      <x:c r="G1844" s="3" t="inlineStr">
        <x:is>
          <x:t xml:space="preserve">广东省-广州市</x:t>
        </x:is>
      </x:c>
      <x:c r="H1844" s="2" t="inlineStr">
        <x:is>
          <x:t xml:space="preserve">化肥行业</x:t>
        </x:is>
      </x:c>
      <x:c r="I1844" s="2" t="inlineStr">
        <x:is>
          <x:t xml:space="preserve">1998-12-24</x:t>
        </x:is>
      </x:c>
      <x:c r="J1844" s="3" t="inlineStr">
        <x:is>
          <x:t xml:space="preserve">广州市南沙区万顷沙镇红安路3号</x:t>
        </x:is>
      </x:c>
      <x:c r="K1844" s="12" t="str">
        <x:f>LEFT("91440101712434165A",18)</x:f>
        <x:v>91440101712434165A</x:v>
      </x:c>
    </x:row>
    <x:row r="1845">
      <x:c r="A1845" s="4" t="n">
        <x:v>1844</x:v>
      </x:c>
      <x:c r="B1845" s="4" t="inlineStr">
        <x:is>
          <x:t xml:space="preserve">000921</x:t>
        </x:is>
      </x:c>
      <x:c r="C1845" s="5" t="inlineStr">
        <x:is>
          <x:t xml:space="preserve">海信家电</x:t>
        </x:is>
      </x:c>
      <x:c r="D1845" s="5" t="inlineStr">
        <x:is>
          <x:t xml:space="preserve">海信家电集团股份有限公司</x:t>
        </x:is>
      </x:c>
      <x:c r="E1845" s="4" t="inlineStr">
        <x:is>
          <x:t xml:space="preserve">广东省</x:t>
        </x:is>
      </x:c>
      <x:c r="F1845" s="4" t="inlineStr">
        <x:is>
          <x:t xml:space="preserve">佛山市</x:t>
        </x:is>
      </x:c>
      <x:c r="G1845" s="5" t="inlineStr">
        <x:is>
          <x:t xml:space="preserve">广东省-佛山市</x:t>
        </x:is>
      </x:c>
      <x:c r="H1845" s="4" t="inlineStr">
        <x:is>
          <x:t xml:space="preserve">家电行业</x:t>
        </x:is>
      </x:c>
      <x:c r="I1845" s="4" t="inlineStr">
        <x:is>
          <x:t xml:space="preserve">1999-07-13</x:t>
        </x:is>
      </x:c>
      <x:c r="J1845" s="5" t="inlineStr">
        <x:is>
          <x:t xml:space="preserve">广东省佛山市顺德区容桂街道容港路8号</x:t>
        </x:is>
      </x:c>
      <x:c r="K1845" s="12" t="str">
        <x:f>LEFT("91440000190343548J",18)</x:f>
        <x:v>91440000190343548J</x:v>
      </x:c>
    </x:row>
    <x:row r="1846">
      <x:c r="A1846" s="2" t="n">
        <x:v>1845</x:v>
      </x:c>
      <x:c r="B1846" s="2" t="inlineStr">
        <x:is>
          <x:t xml:space="preserve">000973</x:t>
        </x:is>
      </x:c>
      <x:c r="C1846" s="3" t="inlineStr">
        <x:is>
          <x:t xml:space="preserve">佛塑科技</x:t>
        </x:is>
      </x:c>
      <x:c r="D1846" s="3" t="inlineStr">
        <x:is>
          <x:t xml:space="preserve">佛山佛塑科技集团股份有限公司</x:t>
        </x:is>
      </x:c>
      <x:c r="E1846" s="2" t="inlineStr">
        <x:is>
          <x:t xml:space="preserve">广东省</x:t>
        </x:is>
      </x:c>
      <x:c r="F1846" s="2" t="inlineStr">
        <x:is>
          <x:t xml:space="preserve">佛山市</x:t>
        </x:is>
      </x:c>
      <x:c r="G1846" s="3" t="inlineStr">
        <x:is>
          <x:t xml:space="preserve">广东省-佛山市</x:t>
        </x:is>
      </x:c>
      <x:c r="H1846" s="2" t="inlineStr">
        <x:is>
          <x:t xml:space="preserve">塑胶制品</x:t>
        </x:is>
      </x:c>
      <x:c r="I1846" s="2" t="inlineStr">
        <x:is>
          <x:t xml:space="preserve">2000-05-25</x:t>
        </x:is>
      </x:c>
      <x:c r="J1846" s="3" t="inlineStr">
        <x:is>
          <x:t xml:space="preserve">广东省佛山市禅城区轻工三路7号自编2号楼</x:t>
        </x:is>
      </x:c>
      <x:c r="K1846" s="12" t="str">
        <x:f>LEFT("91440600190380023W",18)</x:f>
        <x:v>91440600190380023W</x:v>
      </x:c>
    </x:row>
    <x:row r="1847">
      <x:c r="A1847" s="4" t="n">
        <x:v>1846</x:v>
      </x:c>
      <x:c r="B1847" s="4" t="inlineStr">
        <x:is>
          <x:t xml:space="preserve">000987</x:t>
        </x:is>
      </x:c>
      <x:c r="C1847" s="5" t="inlineStr">
        <x:is>
          <x:t xml:space="preserve">越秀资本</x:t>
        </x:is>
      </x:c>
      <x:c r="D1847" s="5" t="inlineStr">
        <x:is>
          <x:t xml:space="preserve">广州越秀资本控股集团股份有限公司</x:t>
        </x:is>
      </x:c>
      <x:c r="E1847" s="4" t="inlineStr">
        <x:is>
          <x:t xml:space="preserve">广东省</x:t>
        </x:is>
      </x:c>
      <x:c r="F1847" s="4" t="inlineStr">
        <x:is>
          <x:t xml:space="preserve">广州市</x:t>
        </x:is>
      </x:c>
      <x:c r="G1847" s="5" t="inlineStr">
        <x:is>
          <x:t xml:space="preserve">广东省-广州市</x:t>
        </x:is>
      </x:c>
      <x:c r="H1847" s="4" t="inlineStr">
        <x:is>
          <x:t xml:space="preserve">多元金融</x:t>
        </x:is>
      </x:c>
      <x:c r="I1847" s="4" t="inlineStr">
        <x:is>
          <x:t xml:space="preserve">2000-07-18</x:t>
        </x:is>
      </x:c>
      <x:c r="J1847" s="5" t="inlineStr">
        <x:is>
          <x:t xml:space="preserve">广州市天河区珠江西路5号6301房自编B单元</x:t>
        </x:is>
      </x:c>
      <x:c r="K1847" s="12" t="str">
        <x:f>LEFT("914401011904817725",18)</x:f>
        <x:v>914401011904817700</x:v>
      </x:c>
    </x:row>
    <x:row r="1848">
      <x:c r="A1848" s="2" t="n">
        <x:v>1847</x:v>
      </x:c>
      <x:c r="B1848" s="2" t="inlineStr">
        <x:is>
          <x:t xml:space="preserve">000999</x:t>
        </x:is>
      </x:c>
      <x:c r="C1848" s="3" t="inlineStr">
        <x:is>
          <x:t xml:space="preserve">华润三九</x:t>
        </x:is>
      </x:c>
      <x:c r="D1848" s="3" t="inlineStr">
        <x:is>
          <x:t xml:space="preserve">华润三九医药股份有限公司</x:t>
        </x:is>
      </x:c>
      <x:c r="E1848" s="2" t="inlineStr">
        <x:is>
          <x:t xml:space="preserve">广东省</x:t>
        </x:is>
      </x:c>
      <x:c r="F1848" s="2" t="inlineStr">
        <x:is>
          <x:t xml:space="preserve">深圳市</x:t>
        </x:is>
      </x:c>
      <x:c r="G1848" s="3" t="inlineStr">
        <x:is>
          <x:t xml:space="preserve">广东省-深圳市</x:t>
        </x:is>
      </x:c>
      <x:c r="H1848" s="2" t="inlineStr">
        <x:is>
          <x:t xml:space="preserve">中药</x:t>
        </x:is>
      </x:c>
      <x:c r="I1848" s="2" t="inlineStr">
        <x:is>
          <x:t xml:space="preserve">2000-03-09</x:t>
        </x:is>
      </x:c>
      <x:c r="J1848" s="3" t="inlineStr">
        <x:is>
          <x:t xml:space="preserve">深圳市龙华区观湖街道观澜高新园区观清路1号</x:t>
        </x:is>
      </x:c>
      <x:c r="K1848" s="12" t="str">
        <x:f>LEFT("914403007109245909",18)</x:f>
        <x:v>914403007109246000</x:v>
      </x:c>
    </x:row>
    <x:row r="1849">
      <x:c r="A1849" s="4" t="n">
        <x:v>1848</x:v>
      </x:c>
      <x:c r="B1849" s="4" t="inlineStr">
        <x:is>
          <x:t xml:space="preserve">001201</x:t>
        </x:is>
      </x:c>
      <x:c r="C1849" s="5" t="inlineStr">
        <x:is>
          <x:t xml:space="preserve">东瑞股份</x:t>
        </x:is>
      </x:c>
      <x:c r="D1849" s="5" t="inlineStr">
        <x:is>
          <x:t xml:space="preserve">东瑞食品集团股份有限公司</x:t>
        </x:is>
      </x:c>
      <x:c r="E1849" s="4" t="inlineStr">
        <x:is>
          <x:t xml:space="preserve">广东省</x:t>
        </x:is>
      </x:c>
      <x:c r="F1849" s="4" t="inlineStr">
        <x:is>
          <x:t xml:space="preserve">河源市</x:t>
        </x:is>
      </x:c>
      <x:c r="G1849" s="5" t="inlineStr">
        <x:is>
          <x:t xml:space="preserve">广东省-河源市</x:t>
        </x:is>
      </x:c>
      <x:c r="H1849" s="4" t="inlineStr">
        <x:is>
          <x:t xml:space="preserve">农牧饲渔</x:t>
        </x:is>
      </x:c>
      <x:c r="I1849" s="4" t="inlineStr">
        <x:is>
          <x:t xml:space="preserve">2021-04-28</x:t>
        </x:is>
      </x:c>
      <x:c r="J1849" s="5" t="inlineStr">
        <x:is>
          <x:t xml:space="preserve">广东省河源市东源县仙塘镇蝴蝶岭工业城01-11地块</x:t>
        </x:is>
      </x:c>
      <x:c r="K1849" s="12" t="str">
        <x:f>LEFT("91441625737563713M",18)</x:f>
        <x:v>91441625737563713M</x:v>
      </x:c>
    </x:row>
    <x:row r="1850">
      <x:c r="A1850" s="2" t="n">
        <x:v>1849</x:v>
      </x:c>
      <x:c r="B1850" s="2" t="inlineStr">
        <x:is>
          <x:t xml:space="preserve">001202</x:t>
        </x:is>
      </x:c>
      <x:c r="C1850" s="3" t="inlineStr">
        <x:is>
          <x:t xml:space="preserve">炬申股份</x:t>
        </x:is>
      </x:c>
      <x:c r="D1850" s="3" t="inlineStr">
        <x:is>
          <x:t xml:space="preserve">炬申物流集团股份有限公司</x:t>
        </x:is>
      </x:c>
      <x:c r="E1850" s="2" t="inlineStr">
        <x:is>
          <x:t xml:space="preserve">广东省</x:t>
        </x:is>
      </x:c>
      <x:c r="F1850" s="2" t="inlineStr">
        <x:is>
          <x:t xml:space="preserve">佛山市</x:t>
        </x:is>
      </x:c>
      <x:c r="G1850" s="3" t="inlineStr">
        <x:is>
          <x:t xml:space="preserve">广东省-佛山市</x:t>
        </x:is>
      </x:c>
      <x:c r="H1850" s="2" t="inlineStr">
        <x:is>
          <x:t xml:space="preserve">交运物流</x:t>
        </x:is>
      </x:c>
      <x:c r="I1850" s="2" t="inlineStr">
        <x:is>
          <x:t xml:space="preserve">2021-04-29</x:t>
        </x:is>
      </x:c>
      <x:c r="J1850" s="3" t="inlineStr">
        <x:is>
          <x:t xml:space="preserve">佛山市南海区丹灶镇丹灶物流中心金泰路8号</x:t>
        </x:is>
      </x:c>
      <x:c r="K1850" s="12" t="str">
        <x:f>LEFT("914406045847415061",18)</x:f>
        <x:v>914406045847415000</x:v>
      </x:c>
    </x:row>
    <x:row r="1851">
      <x:c r="A1851" s="4" t="n">
        <x:v>1850</x:v>
      </x:c>
      <x:c r="B1851" s="4" t="inlineStr">
        <x:is>
          <x:t xml:space="preserve">001209</x:t>
        </x:is>
      </x:c>
      <x:c r="C1851" s="5" t="inlineStr">
        <x:is>
          <x:t xml:space="preserve">洪兴股份</x:t>
        </x:is>
      </x:c>
      <x:c r="D1851" s="5" t="inlineStr">
        <x:is>
          <x:t xml:space="preserve">广东洪兴实业股份有限公司</x:t>
        </x:is>
      </x:c>
      <x:c r="E1851" s="4" t="inlineStr">
        <x:is>
          <x:t xml:space="preserve">广东省</x:t>
        </x:is>
      </x:c>
      <x:c r="F1851" s="4" t="inlineStr">
        <x:is>
          <x:t xml:space="preserve">汕头市</x:t>
        </x:is>
      </x:c>
      <x:c r="G1851" s="5" t="inlineStr">
        <x:is>
          <x:t xml:space="preserve">广东省-汕头市</x:t>
        </x:is>
      </x:c>
      <x:c r="H1851" s="4" t="inlineStr">
        <x:is>
          <x:t xml:space="preserve">纺织服装</x:t>
        </x:is>
      </x:c>
      <x:c r="I1851" s="4" t="inlineStr">
        <x:is>
          <x:t xml:space="preserve">2021-07-23</x:t>
        </x:is>
      </x:c>
      <x:c r="J1851" s="5" t="inlineStr">
        <x:is>
          <x:t xml:space="preserve">汕头市潮南区峡山洋内居委村道东(洪兴工业区)</x:t>
        </x:is>
      </x:c>
      <x:c r="K1851" s="12" t="str">
        <x:f>LEFT("91440514762917149H",18)</x:f>
        <x:v>91440514762917149H</x:v>
      </x:c>
    </x:row>
    <x:row r="1852">
      <x:c r="A1852" s="2" t="n">
        <x:v>1851</x:v>
      </x:c>
      <x:c r="B1852" s="2" t="inlineStr">
        <x:is>
          <x:t xml:space="preserve">001212</x:t>
        </x:is>
      </x:c>
      <x:c r="C1852" s="3" t="inlineStr">
        <x:is>
          <x:t xml:space="preserve">中旗新材</x:t>
        </x:is>
      </x:c>
      <x:c r="D1852" s="3" t="inlineStr">
        <x:is>
          <x:t xml:space="preserve">广东中旗新材料股份有限公司</x:t>
        </x:is>
      </x:c>
      <x:c r="E1852" s="2" t="inlineStr">
        <x:is>
          <x:t xml:space="preserve">广东省</x:t>
        </x:is>
      </x:c>
      <x:c r="F1852" s="2" t="inlineStr">
        <x:is>
          <x:t xml:space="preserve">佛山市</x:t>
        </x:is>
      </x:c>
      <x:c r="G1852" s="3" t="inlineStr">
        <x:is>
          <x:t xml:space="preserve">广东省-佛山市</x:t>
        </x:is>
      </x:c>
      <x:c r="H1852" s="2" t="inlineStr">
        <x:is>
          <x:t xml:space="preserve">装修装饰</x:t>
        </x:is>
      </x:c>
      <x:c r="I1852" s="2" t="inlineStr">
        <x:is>
          <x:t xml:space="preserve">2021-08-23</x:t>
        </x:is>
      </x:c>
      <x:c r="J1852" s="3" t="inlineStr">
        <x:is>
          <x:t xml:space="preserve">佛山市高明区明城镇明二路112号</x:t>
        </x:is>
      </x:c>
      <x:c r="K1852" s="12" t="str">
        <x:f>LEFT("91440600564536724H",18)</x:f>
        <x:v>91440600564536724H</x:v>
      </x:c>
    </x:row>
    <x:row r="1853">
      <x:c r="A1853" s="4" t="n">
        <x:v>1852</x:v>
      </x:c>
      <x:c r="B1853" s="4" t="inlineStr">
        <x:is>
          <x:t xml:space="preserve">001221</x:t>
        </x:is>
      </x:c>
      <x:c r="C1853" s="5" t="inlineStr">
        <x:is>
          <x:t xml:space="preserve">悍高集团</x:t>
        </x:is>
      </x:c>
      <x:c r="D1853" s="5" t="inlineStr">
        <x:is>
          <x:t xml:space="preserve">悍高集团股份有限公司</x:t>
        </x:is>
      </x:c>
      <x:c r="E1853" s="4" t="inlineStr">
        <x:is>
          <x:t xml:space="preserve">广东省</x:t>
        </x:is>
      </x:c>
      <x:c r="F1853" s="4" t="inlineStr">
        <x:is>
          <x:t xml:space="preserve">佛山市</x:t>
        </x:is>
      </x:c>
      <x:c r="G1853" s="5" t="inlineStr">
        <x:is>
          <x:t xml:space="preserve">广东省-佛山市</x:t>
        </x:is>
      </x:c>
      <x:c r="H1853" s="4" t="inlineStr">
        <x:is>
          <x:t xml:space="preserve">家用轻工</x:t>
        </x:is>
      </x:c>
      <x:c r="I1853" s="4" t="inlineStr">
        <x:is>
          <x:t xml:space="preserve">2025-07-30</x:t>
        </x:is>
      </x:c>
      <x:c r="J1853" s="5" t="inlineStr">
        <x:is>
          <x:t xml:space="preserve">佛山市顺德区杏坛镇顺业东路36号之一</x:t>
        </x:is>
      </x:c>
      <x:c r="K1853" s="12" t="str">
        <x:f>LEFT("9144060676659990X6",18)</x:f>
        <x:v>9144060676659990X6</x:v>
      </x:c>
    </x:row>
    <x:row r="1854">
      <x:c r="A1854" s="2" t="n">
        <x:v>1853</x:v>
      </x:c>
      <x:c r="B1854" s="2" t="inlineStr">
        <x:is>
          <x:t xml:space="preserve">001229</x:t>
        </x:is>
      </x:c>
      <x:c r="C1854" s="3" t="inlineStr">
        <x:is>
          <x:t xml:space="preserve">魅视科技</x:t>
        </x:is>
      </x:c>
      <x:c r="D1854" s="3" t="inlineStr">
        <x:is>
          <x:t xml:space="preserve">广东魅视科技股份有限公司</x:t>
        </x:is>
      </x:c>
      <x:c r="E1854" s="2" t="inlineStr">
        <x:is>
          <x:t xml:space="preserve">广东省</x:t>
        </x:is>
      </x:c>
      <x:c r="F1854" s="2" t="inlineStr">
        <x:is>
          <x:t xml:space="preserve">广州市</x:t>
        </x:is>
      </x:c>
      <x:c r="G1854" s="3" t="inlineStr">
        <x:is>
          <x:t xml:space="preserve">广东省-广州市</x:t>
        </x:is>
      </x:c>
      <x:c r="H1854" s="2" t="inlineStr">
        <x:is>
          <x:t xml:space="preserve">计算机设备</x:t>
        </x:is>
      </x:c>
      <x:c r="I1854" s="2" t="inlineStr">
        <x:is>
          <x:t xml:space="preserve">2022-08-08</x:t>
        </x:is>
      </x:c>
      <x:c r="J1854" s="3" t="inlineStr">
        <x:is>
          <x:t xml:space="preserve">广州市白云区嘉禾街望岗工业区三路33号德汇望岗科技园B栋5楼</x:t>
        </x:is>
      </x:c>
      <x:c r="K1854" s="12" t="str">
        <x:f>LEFT("914401055602112014",18)</x:f>
        <x:v>914401055602112000</x:v>
      </x:c>
    </x:row>
    <x:row r="1855">
      <x:c r="A1855" s="4" t="n">
        <x:v>1854</x:v>
      </x:c>
      <x:c r="B1855" s="4" t="inlineStr">
        <x:is>
          <x:t xml:space="preserve">001268</x:t>
        </x:is>
      </x:c>
      <x:c r="C1855" s="5" t="inlineStr">
        <x:is>
          <x:t xml:space="preserve">联合精密</x:t>
        </x:is>
      </x:c>
      <x:c r="D1855" s="5" t="inlineStr">
        <x:is>
          <x:t xml:space="preserve">广东扬山联合精密制造股份有限公司</x:t>
        </x:is>
      </x:c>
      <x:c r="E1855" s="4" t="inlineStr">
        <x:is>
          <x:t xml:space="preserve">广东省</x:t>
        </x:is>
      </x:c>
      <x:c r="F1855" s="4" t="inlineStr">
        <x:is>
          <x:t xml:space="preserve">清远市</x:t>
        </x:is>
      </x:c>
      <x:c r="G1855" s="5" t="inlineStr">
        <x:is>
          <x:t xml:space="preserve">广东省-清远市</x:t>
        </x:is>
      </x:c>
      <x:c r="H1855" s="4" t="inlineStr">
        <x:is>
          <x:t xml:space="preserve">通用设备</x:t>
        </x:is>
      </x:c>
      <x:c r="I1855" s="4" t="inlineStr">
        <x:is>
          <x:t xml:space="preserve">2022-06-30</x:t>
        </x:is>
      </x:c>
      <x:c r="J1855" s="5" t="inlineStr">
        <x:is>
          <x:t xml:space="preserve">阳山县杜步镇工业园</x:t>
        </x:is>
      </x:c>
      <x:c r="K1855" s="12" t="str">
        <x:f>LEFT("91441823746277698X",18)</x:f>
        <x:v>91441823746277698X</x:v>
      </x:c>
    </x:row>
    <x:row r="1856">
      <x:c r="A1856" s="2" t="n">
        <x:v>1855</x:v>
      </x:c>
      <x:c r="B1856" s="2" t="inlineStr">
        <x:is>
          <x:t xml:space="preserve">001283</x:t>
        </x:is>
      </x:c>
      <x:c r="C1856" s="3" t="inlineStr">
        <x:is>
          <x:t xml:space="preserve">豪鹏科技</x:t>
        </x:is>
      </x:c>
      <x:c r="D1856" s="3" t="inlineStr">
        <x:is>
          <x:t xml:space="preserve">深圳市豪鹏科技股份有限公司</x:t>
        </x:is>
      </x:c>
      <x:c r="E1856" s="2" t="inlineStr">
        <x:is>
          <x:t xml:space="preserve">广东省</x:t>
        </x:is>
      </x:c>
      <x:c r="F1856" s="2" t="inlineStr">
        <x:is>
          <x:t xml:space="preserve">深圳市</x:t>
        </x:is>
      </x:c>
      <x:c r="G1856" s="3" t="inlineStr">
        <x:is>
          <x:t xml:space="preserve">广东省-深圳市</x:t>
        </x:is>
      </x:c>
      <x:c r="H1856" s="2" t="inlineStr">
        <x:is>
          <x:t xml:space="preserve">电池</x:t>
        </x:is>
      </x:c>
      <x:c r="I1856" s="2" t="inlineStr">
        <x:is>
          <x:t xml:space="preserve">2022-09-05</x:t>
        </x:is>
      </x:c>
      <x:c r="J1856" s="3" t="inlineStr">
        <x:is>
          <x:t xml:space="preserve">深圳市龙岗区平湖街道新厦大道68号第一栋</x:t>
        </x:is>
      </x:c>
      <x:c r="K1856" s="12" t="str">
        <x:f>LEFT("914403007432179488",18)</x:f>
        <x:v>914403007432179500</x:v>
      </x:c>
    </x:row>
    <x:row r="1857">
      <x:c r="A1857" s="4" t="n">
        <x:v>1856</x:v>
      </x:c>
      <x:c r="B1857" s="4" t="inlineStr">
        <x:is>
          <x:t xml:space="preserve">001285</x:t>
        </x:is>
      </x:c>
      <x:c r="C1857" s="5" t="inlineStr">
        <x:is>
          <x:t xml:space="preserve">瑞立科密</x:t>
        </x:is>
      </x:c>
      <x:c r="D1857" s="5" t="inlineStr">
        <x:is>
          <x:t xml:space="preserve">广州瑞立科密汽车电子股份有限公司</x:t>
        </x:is>
      </x:c>
      <x:c r="E1857" s="4" t="inlineStr">
        <x:is>
          <x:t xml:space="preserve">广东省</x:t>
        </x:is>
      </x:c>
      <x:c r="F1857" s="4" t="inlineStr">
        <x:is>
          <x:t xml:space="preserve">广州市</x:t>
        </x:is>
      </x:c>
      <x:c r="G1857" s="5" t="inlineStr">
        <x:is>
          <x:t xml:space="preserve">广东省-广州市</x:t>
        </x:is>
      </x:c>
      <x:c r="H1857" s="4" t="inlineStr">
        <x:is>
          <x:t xml:space="preserve">汽车零部件</x:t>
        </x:is>
      </x:c>
      <x:c r="I1857" s="4" t="inlineStr">
        <x:is>
          <x:t xml:space="preserve">2025-09-30</x:t>
        </x:is>
      </x:c>
      <x:c r="J1857" s="5" t="inlineStr">
        <x:is>
          <x:t xml:space="preserve">广州经济技术开发区科学城南翔支路1号</x:t>
        </x:is>
      </x:c>
      <x:c r="K1857" s="12" t="str">
        <x:f>LEFT("914401017348944025",18)</x:f>
        <x:v>914401017348944000</x:v>
      </x:c>
    </x:row>
    <x:row r="1858">
      <x:c r="A1858" s="2" t="n">
        <x:v>1857</x:v>
      </x:c>
      <x:c r="B1858" s="2" t="inlineStr">
        <x:is>
          <x:t xml:space="preserve">001287</x:t>
        </x:is>
      </x:c>
      <x:c r="C1858" s="3" t="inlineStr">
        <x:is>
          <x:t xml:space="preserve">中电港</x:t>
        </x:is>
      </x:c>
      <x:c r="D1858" s="3" t="inlineStr">
        <x:is>
          <x:t xml:space="preserve">深圳中电港技术股份有限公司</x:t>
        </x:is>
      </x:c>
      <x:c r="E1858" s="2" t="inlineStr">
        <x:is>
          <x:t xml:space="preserve">广东省</x:t>
        </x:is>
      </x:c>
      <x:c r="F1858" s="2" t="inlineStr">
        <x:is>
          <x:t xml:space="preserve">深圳市</x:t>
        </x:is>
      </x:c>
      <x:c r="G1858" s="3" t="inlineStr">
        <x:is>
          <x:t xml:space="preserve">广东省-深圳市</x:t>
        </x:is>
      </x:c>
      <x:c r="H1858" s="2" t="inlineStr">
        <x:is>
          <x:t xml:space="preserve">贸易行业</x:t>
        </x:is>
      </x:c>
      <x:c r="I1858" s="2" t="inlineStr">
        <x:is>
          <x:t xml:space="preserve">2023-04-10</x:t>
        </x:is>
      </x:c>
      <x:c r="J1858" s="3" t="inlineStr">
        <x:is>
          <x:t xml:space="preserve">深圳市前海深港合作区南山街道自贸西街151号招商局前海经贸中心一期A座2001</x:t>
        </x:is>
      </x:c>
      <x:c r="K1858" s="12" t="str">
        <x:f>LEFT("91440300311666571Q",18)</x:f>
        <x:v>91440300311666571Q</x:v>
      </x:c>
    </x:row>
    <x:row r="1859">
      <x:c r="A1859" s="4" t="n">
        <x:v>1858</x:v>
      </x:c>
      <x:c r="B1859" s="4" t="inlineStr">
        <x:is>
          <x:t xml:space="preserve">001298</x:t>
        </x:is>
      </x:c>
      <x:c r="C1859" s="5" t="inlineStr">
        <x:is>
          <x:t xml:space="preserve">好上好</x:t>
        </x:is>
      </x:c>
      <x:c r="D1859" s="5" t="inlineStr">
        <x:is>
          <x:t xml:space="preserve">深圳市好上好信息科技股份有限公司</x:t>
        </x:is>
      </x:c>
      <x:c r="E1859" s="4" t="inlineStr">
        <x:is>
          <x:t xml:space="preserve">广东省</x:t>
        </x:is>
      </x:c>
      <x:c r="F1859" s="4" t="inlineStr">
        <x:is>
          <x:t xml:space="preserve">深圳市</x:t>
        </x:is>
      </x:c>
      <x:c r="G1859" s="5" t="inlineStr">
        <x:is>
          <x:t xml:space="preserve">广东省-深圳市</x:t>
        </x:is>
      </x:c>
      <x:c r="H1859" s="4" t="inlineStr">
        <x:is>
          <x:t xml:space="preserve">电子元件</x:t>
        </x:is>
      </x:c>
      <x:c r="I1859" s="4" t="inlineStr">
        <x:is>
          <x:t xml:space="preserve">2022-10-31</x:t>
        </x:is>
      </x:c>
      <x:c r="J1859" s="5" t="inlineStr">
        <x:is>
          <x:t xml:space="preserve">深圳市前海深港合作区南山街道梦海大道5109号前海卓越金融中心(一期)8号楼1506A(一照多址企业)</x:t>
        </x:is>
      </x:c>
      <x:c r="K1859" s="12" t="str">
        <x:f>LEFT("91440300321699270K",18)</x:f>
        <x:v>91440300321699270K</x:v>
      </x:c>
    </x:row>
    <x:row r="1860">
      <x:c r="A1860" s="2" t="n">
        <x:v>1859</x:v>
      </x:c>
      <x:c r="B1860" s="2" t="inlineStr">
        <x:is>
          <x:t xml:space="preserve">001308</x:t>
        </x:is>
      </x:c>
      <x:c r="C1860" s="3" t="inlineStr">
        <x:is>
          <x:t xml:space="preserve">康冠科技</x:t>
        </x:is>
      </x:c>
      <x:c r="D1860" s="3" t="inlineStr">
        <x:is>
          <x:t xml:space="preserve">深圳市康冠科技股份有限公司</x:t>
        </x:is>
      </x:c>
      <x:c r="E1860" s="2" t="inlineStr">
        <x:is>
          <x:t xml:space="preserve">广东省</x:t>
        </x:is>
      </x:c>
      <x:c r="F1860" s="2" t="inlineStr">
        <x:is>
          <x:t xml:space="preserve">深圳市</x:t>
        </x:is>
      </x:c>
      <x:c r="G1860" s="3" t="inlineStr">
        <x:is>
          <x:t xml:space="preserve">广东省-深圳市</x:t>
        </x:is>
      </x:c>
      <x:c r="H1860" s="2" t="inlineStr">
        <x:is>
          <x:t xml:space="preserve">消费电子</x:t>
        </x:is>
      </x:c>
      <x:c r="I1860" s="2" t="inlineStr">
        <x:is>
          <x:t xml:space="preserve">2022-03-18</x:t>
        </x:is>
      </x:c>
      <x:c r="J1860" s="3" t="inlineStr">
        <x:is>
          <x:t xml:space="preserve">深圳市龙岗区坂田街道岗头社区五和大道4023号1号楼第一层至第五层</x:t>
        </x:is>
      </x:c>
      <x:c r="K1860" s="12" t="str">
        <x:f>LEFT("91440300192382487H",18)</x:f>
        <x:v>91440300192382487H</x:v>
      </x:c>
    </x:row>
    <x:row r="1861">
      <x:c r="A1861" s="4" t="n">
        <x:v>1860</x:v>
      </x:c>
      <x:c r="B1861" s="4" t="inlineStr">
        <x:is>
          <x:t xml:space="preserve">001309</x:t>
        </x:is>
      </x:c>
      <x:c r="C1861" s="5" t="inlineStr">
        <x:is>
          <x:t xml:space="preserve">德明利</x:t>
        </x:is>
      </x:c>
      <x:c r="D1861" s="5" t="inlineStr">
        <x:is>
          <x:t xml:space="preserve">深圳市德明利技术股份有限公司</x:t>
        </x:is>
      </x:c>
      <x:c r="E1861" s="4" t="inlineStr">
        <x:is>
          <x:t xml:space="preserve">广东省</x:t>
        </x:is>
      </x:c>
      <x:c r="F1861" s="4" t="inlineStr">
        <x:is>
          <x:t xml:space="preserve">深圳市</x:t>
        </x:is>
      </x:c>
      <x:c r="G1861" s="5" t="inlineStr">
        <x:is>
          <x:t xml:space="preserve">广东省-深圳市</x:t>
        </x:is>
      </x:c>
      <x:c r="H1861" s="4" t="inlineStr">
        <x:is>
          <x:t xml:space="preserve">半导体</x:t>
        </x:is>
      </x:c>
      <x:c r="I1861" s="4" t="inlineStr">
        <x:is>
          <x:t xml:space="preserve">2022-07-01</x:t>
        </x:is>
      </x:c>
      <x:c r="J1861" s="5" t="inlineStr">
        <x:is>
          <x:t xml:space="preserve">深圳市福田区梅林街道梅都社区中康路136号深圳新一代产业园1栋2301、2401、2501</x:t>
        </x:is>
      </x:c>
      <x:c r="K1861" s="12" t="str">
        <x:f>LEFT("914403006820084202",18)</x:f>
        <x:v>914403006820084200</x:v>
      </x:c>
    </x:row>
    <x:row r="1862">
      <x:c r="A1862" s="2" t="n">
        <x:v>1861</x:v>
      </x:c>
      <x:c r="B1862" s="2" t="inlineStr">
        <x:is>
          <x:t xml:space="preserve">001313</x:t>
        </x:is>
      </x:c>
      <x:c r="C1862" s="3" t="inlineStr">
        <x:is>
          <x:t xml:space="preserve">粤海饲料</x:t>
        </x:is>
      </x:c>
      <x:c r="D1862" s="3" t="inlineStr">
        <x:is>
          <x:t xml:space="preserve">广东粤海饲料集团股份有限公司</x:t>
        </x:is>
      </x:c>
      <x:c r="E1862" s="2" t="inlineStr">
        <x:is>
          <x:t xml:space="preserve">广东省</x:t>
        </x:is>
      </x:c>
      <x:c r="F1862" s="2" t="inlineStr">
        <x:is>
          <x:t xml:space="preserve">湛江市</x:t>
        </x:is>
      </x:c>
      <x:c r="G1862" s="3" t="inlineStr">
        <x:is>
          <x:t xml:space="preserve">广东省-湛江市</x:t>
        </x:is>
      </x:c>
      <x:c r="H1862" s="2" t="inlineStr">
        <x:is>
          <x:t xml:space="preserve">农牧饲渔</x:t>
        </x:is>
      </x:c>
      <x:c r="I1862" s="2" t="inlineStr">
        <x:is>
          <x:t xml:space="preserve">2022-02-16</x:t>
        </x:is>
      </x:c>
      <x:c r="J1862" s="3" t="inlineStr">
        <x:is>
          <x:t xml:space="preserve">广东省湛江市霞山区机场路22号</x:t>
        </x:is>
      </x:c>
      <x:c r="K1862" s="12" t="str">
        <x:f>LEFT("9144080061780376XU",18)</x:f>
        <x:v>9144080061780376XU</x:v>
      </x:c>
    </x:row>
    <x:row r="1863">
      <x:c r="A1863" s="4" t="n">
        <x:v>1862</x:v>
      </x:c>
      <x:c r="B1863" s="4" t="inlineStr">
        <x:is>
          <x:t xml:space="preserve">001314</x:t>
        </x:is>
      </x:c>
      <x:c r="C1863" s="5" t="inlineStr">
        <x:is>
          <x:t xml:space="preserve">亿道信息</x:t>
        </x:is>
      </x:c>
      <x:c r="D1863" s="5" t="inlineStr">
        <x:is>
          <x:t xml:space="preserve">深圳市亿道信息股份有限公司</x:t>
        </x:is>
      </x:c>
      <x:c r="E1863" s="4" t="inlineStr">
        <x:is>
          <x:t xml:space="preserve">广东省</x:t>
        </x:is>
      </x:c>
      <x:c r="F1863" s="4" t="inlineStr">
        <x:is>
          <x:t xml:space="preserve">深圳市</x:t>
        </x:is>
      </x:c>
      <x:c r="G1863" s="5" t="inlineStr">
        <x:is>
          <x:t xml:space="preserve">广东省-深圳市</x:t>
        </x:is>
      </x:c>
      <x:c r="H1863" s="4" t="inlineStr">
        <x:is>
          <x:t xml:space="preserve">消费电子</x:t>
        </x:is>
      </x:c>
      <x:c r="I1863" s="4" t="inlineStr">
        <x:is>
          <x:t xml:space="preserve">2023-02-14</x:t>
        </x:is>
      </x:c>
      <x:c r="J1863" s="5" t="inlineStr">
        <x:is>
          <x:t xml:space="preserve">深圳市宝安区新安街道上合社区33区大宝路83号美生慧谷科技园秋谷8栋509(一照多址企业)</x:t>
        </x:is>
      </x:c>
      <x:c r="K1863" s="12" t="str">
        <x:f>LEFT("91440300683782514X",18)</x:f>
        <x:v>91440300683782514X</x:v>
      </x:c>
    </x:row>
    <x:row r="1864">
      <x:c r="A1864" s="2" t="n">
        <x:v>1863</x:v>
      </x:c>
      <x:c r="B1864" s="2" t="inlineStr">
        <x:is>
          <x:t xml:space="preserve">001316</x:t>
        </x:is>
      </x:c>
      <x:c r="C1864" s="3" t="inlineStr">
        <x:is>
          <x:t xml:space="preserve">润贝航科</x:t>
        </x:is>
      </x:c>
      <x:c r="D1864" s="3" t="inlineStr">
        <x:is>
          <x:t xml:space="preserve">润贝航空科技股份有限公司</x:t>
        </x:is>
      </x:c>
      <x:c r="E1864" s="2" t="inlineStr">
        <x:is>
          <x:t xml:space="preserve">广东省</x:t>
        </x:is>
      </x:c>
      <x:c r="F1864" s="2" t="inlineStr">
        <x:is>
          <x:t xml:space="preserve">深圳市</x:t>
        </x:is>
      </x:c>
      <x:c r="G1864" s="3" t="inlineStr">
        <x:is>
          <x:t xml:space="preserve">广东省-深圳市</x:t>
        </x:is>
      </x:c>
      <x:c r="H1864" s="2" t="inlineStr">
        <x:is>
          <x:t xml:space="preserve">贸易行业</x:t>
        </x:is>
      </x:c>
      <x:c r="I1864" s="2" t="inlineStr">
        <x:is>
          <x:t xml:space="preserve">2022-06-24</x:t>
        </x:is>
      </x:c>
      <x:c r="J1864" s="3" t="inlineStr">
        <x:is>
          <x:t xml:space="preserve">深圳市南山区桃源街道福光社区塘朗车辆段旁塘朗城广场(西区)A座3901</x:t>
        </x:is>
      </x:c>
      <x:c r="K1864" s="12" t="str">
        <x:f>LEFT("91440300772721596R",18)</x:f>
        <x:v>91440300772721596R</x:v>
      </x:c>
    </x:row>
    <x:row r="1865">
      <x:c r="A1865" s="4" t="n">
        <x:v>1864</x:v>
      </x:c>
      <x:c r="B1865" s="4" t="inlineStr">
        <x:is>
          <x:t xml:space="preserve">001319</x:t>
        </x:is>
      </x:c>
      <x:c r="C1865" s="5" t="inlineStr">
        <x:is>
          <x:t xml:space="preserve">铭科精技</x:t>
        </x:is>
      </x:c>
      <x:c r="D1865" s="5" t="inlineStr">
        <x:is>
          <x:t xml:space="preserve">铭科精技控股股份有限公司</x:t>
        </x:is>
      </x:c>
      <x:c r="E1865" s="4" t="inlineStr">
        <x:is>
          <x:t xml:space="preserve">广东省</x:t>
        </x:is>
      </x:c>
      <x:c r="F1865" s="4" t="inlineStr">
        <x:is>
          <x:t xml:space="preserve">东莞市</x:t>
        </x:is>
      </x:c>
      <x:c r="G1865" s="5" t="inlineStr">
        <x:is>
          <x:t xml:space="preserve">广东省-东莞市</x:t>
        </x:is>
      </x:c>
      <x:c r="H1865" s="4" t="inlineStr">
        <x:is>
          <x:t xml:space="preserve">汽车零部件</x:t>
        </x:is>
      </x:c>
      <x:c r="I1865" s="4" t="inlineStr">
        <x:is>
          <x:t xml:space="preserve">2022-05-12</x:t>
        </x:is>
      </x:c>
      <x:c r="J1865" s="5" t="inlineStr">
        <x:is>
          <x:t xml:space="preserve">东莞市塘厦镇田心路180号</x:t>
        </x:is>
      </x:c>
      <x:c r="K1865" s="12" t="str">
        <x:f>LEFT("914419007838872339",18)</x:f>
        <x:v>914419007838872300</x:v>
      </x:c>
    </x:row>
    <x:row r="1866">
      <x:c r="A1866" s="2" t="n">
        <x:v>1865</x:v>
      </x:c>
      <x:c r="B1866" s="2" t="inlineStr">
        <x:is>
          <x:t xml:space="preserve">001322</x:t>
        </x:is>
      </x:c>
      <x:c r="C1866" s="3" t="inlineStr">
        <x:is>
          <x:t xml:space="preserve">箭牌家居</x:t>
        </x:is>
      </x:c>
      <x:c r="D1866" s="3" t="inlineStr">
        <x:is>
          <x:t xml:space="preserve">箭牌家居集团股份有限公司</x:t>
        </x:is>
      </x:c>
      <x:c r="E1866" s="2" t="inlineStr">
        <x:is>
          <x:t xml:space="preserve">广东省</x:t>
        </x:is>
      </x:c>
      <x:c r="F1866" s="2" t="inlineStr">
        <x:is>
          <x:t xml:space="preserve">佛山市</x:t>
        </x:is>
      </x:c>
      <x:c r="G1866" s="3" t="inlineStr">
        <x:is>
          <x:t xml:space="preserve">广东省-佛山市</x:t>
        </x:is>
      </x:c>
      <x:c r="H1866" s="2" t="inlineStr">
        <x:is>
          <x:t xml:space="preserve">装修建材</x:t>
        </x:is>
      </x:c>
      <x:c r="I1866" s="2" t="inlineStr">
        <x:is>
          <x:t xml:space="preserve">2022-10-26</x:t>
        </x:is>
      </x:c>
      <x:c r="J1866" s="3" t="inlineStr">
        <x:is>
          <x:t xml:space="preserve">佛山市三水区南山镇康裕三路1号1座</x:t>
        </x:is>
      </x:c>
      <x:c r="K1866" s="12" t="str">
        <x:f>LEFT("91440600065160777Y",18)</x:f>
        <x:v>91440600065160777Y</x:v>
      </x:c>
    </x:row>
    <x:row r="1867">
      <x:c r="A1867" s="4" t="n">
        <x:v>1866</x:v>
      </x:c>
      <x:c r="B1867" s="4" t="inlineStr">
        <x:is>
          <x:t xml:space="preserve">001323</x:t>
        </x:is>
      </x:c>
      <x:c r="C1867" s="5" t="inlineStr">
        <x:is>
          <x:t xml:space="preserve">慕思股份</x:t>
        </x:is>
      </x:c>
      <x:c r="D1867" s="5" t="inlineStr">
        <x:is>
          <x:t xml:space="preserve">慕思健康睡眠股份有限公司</x:t>
        </x:is>
      </x:c>
      <x:c r="E1867" s="4" t="inlineStr">
        <x:is>
          <x:t xml:space="preserve">广东省</x:t>
        </x:is>
      </x:c>
      <x:c r="F1867" s="4" t="inlineStr">
        <x:is>
          <x:t xml:space="preserve">东莞市</x:t>
        </x:is>
      </x:c>
      <x:c r="G1867" s="5" t="inlineStr">
        <x:is>
          <x:t xml:space="preserve">广东省-东莞市</x:t>
        </x:is>
      </x:c>
      <x:c r="H1867" s="4" t="inlineStr">
        <x:is>
          <x:t xml:space="preserve">家用轻工</x:t>
        </x:is>
      </x:c>
      <x:c r="I1867" s="4" t="inlineStr">
        <x:is>
          <x:t xml:space="preserve">2022-06-23</x:t>
        </x:is>
      </x:c>
      <x:c r="J1867" s="5" t="inlineStr">
        <x:is>
          <x:t xml:space="preserve">广东省东莞市厚街镇厚街科技大道1号</x:t>
        </x:is>
      </x:c>
      <x:c r="K1867" s="12" t="str">
        <x:f>LEFT("914419006614893337",18)</x:f>
        <x:v>914419006614893300</x:v>
      </x:c>
    </x:row>
    <x:row r="1868">
      <x:c r="A1868" s="2" t="n">
        <x:v>1867</x:v>
      </x:c>
      <x:c r="B1868" s="2" t="inlineStr">
        <x:is>
          <x:t xml:space="preserve">001326</x:t>
        </x:is>
      </x:c>
      <x:c r="C1868" s="3" t="inlineStr">
        <x:is>
          <x:t xml:space="preserve">联域股份</x:t>
        </x:is>
      </x:c>
      <x:c r="D1868" s="3" t="inlineStr">
        <x:is>
          <x:t xml:space="preserve">深圳市联域光电股份有限公司</x:t>
        </x:is>
      </x:c>
      <x:c r="E1868" s="2" t="inlineStr">
        <x:is>
          <x:t xml:space="preserve">广东省</x:t>
        </x:is>
      </x:c>
      <x:c r="F1868" s="2" t="inlineStr">
        <x:is>
          <x:t xml:space="preserve">深圳市</x:t>
        </x:is>
      </x:c>
      <x:c r="G1868" s="3" t="inlineStr">
        <x:is>
          <x:t xml:space="preserve">广东省-深圳市</x:t>
        </x:is>
      </x:c>
      <x:c r="H1868" s="2" t="inlineStr">
        <x:is>
          <x:t xml:space="preserve">光学光电子</x:t>
        </x:is>
      </x:c>
      <x:c r="I1868" s="2" t="inlineStr">
        <x:is>
          <x:t xml:space="preserve">2023-11-09</x:t>
        </x:is>
      </x:c>
      <x:c r="J1868" s="3" t="inlineStr">
        <x:is>
          <x:t xml:space="preserve">深圳市宝安区燕罗街道罗田社区象山大道172号正大安工业城6栋101-601</x:t>
        </x:is>
      </x:c>
      <x:c r="K1868" s="12" t="str">
        <x:f>LEFT("9144030059074480XY",18)</x:f>
        <x:v>9144030059074480XY</x:v>
      </x:c>
    </x:row>
    <x:row r="1869">
      <x:c r="A1869" s="4" t="n">
        <x:v>1868</x:v>
      </x:c>
      <x:c r="B1869" s="4" t="inlineStr">
        <x:is>
          <x:t xml:space="preserve">001338</x:t>
        </x:is>
      </x:c>
      <x:c r="C1869" s="5" t="inlineStr">
        <x:is>
          <x:t xml:space="preserve">永顺泰</x:t>
        </x:is>
      </x:c>
      <x:c r="D1869" s="5" t="inlineStr">
        <x:is>
          <x:t xml:space="preserve">粤海永顺泰集团股份有限公司</x:t>
        </x:is>
      </x:c>
      <x:c r="E1869" s="4" t="inlineStr">
        <x:is>
          <x:t xml:space="preserve">广东省</x:t>
        </x:is>
      </x:c>
      <x:c r="F1869" s="4" t="inlineStr">
        <x:is>
          <x:t xml:space="preserve">广州市</x:t>
        </x:is>
      </x:c>
      <x:c r="G1869" s="5" t="inlineStr">
        <x:is>
          <x:t xml:space="preserve">广东省-广州市</x:t>
        </x:is>
      </x:c>
      <x:c r="H1869" s="4" t="inlineStr">
        <x:is>
          <x:t xml:space="preserve">农牧饲渔</x:t>
        </x:is>
      </x:c>
      <x:c r="I1869" s="4" t="inlineStr">
        <x:is>
          <x:t xml:space="preserve">2022-11-16</x:t>
        </x:is>
      </x:c>
      <x:c r="J1869" s="5" t="inlineStr">
        <x:is>
          <x:t xml:space="preserve">广州黄埔区创业路2号</x:t>
        </x:is>
      </x:c>
      <x:c r="K1869" s="12" t="str">
        <x:f>LEFT("91440101MA5ANA0R9N",18)</x:f>
        <x:v>91440101MA5ANA0R9N</x:v>
      </x:c>
    </x:row>
    <x:row r="1870">
      <x:c r="A1870" s="2" t="n">
        <x:v>1869</x:v>
      </x:c>
      <x:c r="B1870" s="2" t="inlineStr">
        <x:is>
          <x:t xml:space="preserve">001339</x:t>
        </x:is>
      </x:c>
      <x:c r="C1870" s="3" t="inlineStr">
        <x:is>
          <x:t xml:space="preserve">智微智能</x:t>
        </x:is>
      </x:c>
      <x:c r="D1870" s="3" t="inlineStr">
        <x:is>
          <x:t xml:space="preserve">深圳市智微智能科技股份有限公司</x:t>
        </x:is>
      </x:c>
      <x:c r="E1870" s="2" t="inlineStr">
        <x:is>
          <x:t xml:space="preserve">广东省</x:t>
        </x:is>
      </x:c>
      <x:c r="F1870" s="2" t="inlineStr">
        <x:is>
          <x:t xml:space="preserve">深圳市</x:t>
        </x:is>
      </x:c>
      <x:c r="G1870" s="3" t="inlineStr">
        <x:is>
          <x:t xml:space="preserve">广东省-深圳市</x:t>
        </x:is>
      </x:c>
      <x:c r="H1870" s="2" t="inlineStr">
        <x:is>
          <x:t xml:space="preserve">计算机设备</x:t>
        </x:is>
      </x:c>
      <x:c r="I1870" s="2" t="inlineStr">
        <x:is>
          <x:t xml:space="preserve">2022-08-15</x:t>
        </x:is>
      </x:c>
      <x:c r="J1870" s="3" t="inlineStr">
        <x:is>
          <x:t xml:space="preserve">深圳市福田区车公庙泰然九路海松大厦B-1303</x:t>
        </x:is>
      </x:c>
      <x:c r="K1870" s="12" t="str">
        <x:f>LEFT("91440300582702079P",18)</x:f>
        <x:v>91440300582702079P</x:v>
      </x:c>
    </x:row>
    <x:row r="1871">
      <x:c r="A1871" s="4" t="n">
        <x:v>1870</x:v>
      </x:c>
      <x:c r="B1871" s="4" t="inlineStr">
        <x:is>
          <x:t xml:space="preserve">001378</x:t>
        </x:is>
      </x:c>
      <x:c r="C1871" s="5" t="inlineStr">
        <x:is>
          <x:t xml:space="preserve">德冠新材</x:t>
        </x:is>
      </x:c>
      <x:c r="D1871" s="5" t="inlineStr">
        <x:is>
          <x:t xml:space="preserve">广东德冠薄膜新材料股份有限公司</x:t>
        </x:is>
      </x:c>
      <x:c r="E1871" s="4" t="inlineStr">
        <x:is>
          <x:t xml:space="preserve">广东省</x:t>
        </x:is>
      </x:c>
      <x:c r="F1871" s="4" t="inlineStr">
        <x:is>
          <x:t xml:space="preserve">佛山市</x:t>
        </x:is>
      </x:c>
      <x:c r="G1871" s="5" t="inlineStr">
        <x:is>
          <x:t xml:space="preserve">广东省-佛山市</x:t>
        </x:is>
      </x:c>
      <x:c r="H1871" s="4" t="inlineStr">
        <x:is>
          <x:t xml:space="preserve">塑料制品</x:t>
        </x:is>
      </x:c>
      <x:c r="I1871" s="4" t="inlineStr">
        <x:is>
          <x:t xml:space="preserve">2023-10-30</x:t>
        </x:is>
      </x:c>
      <x:c r="J1871" s="5" t="inlineStr">
        <x:is>
          <x:t xml:space="preserve">广东省佛山市顺德区大良顺峰山工业区</x:t>
        </x:is>
      </x:c>
      <x:c r="K1871" s="12" t="str">
        <x:f>LEFT("914406067122680215",18)</x:f>
        <x:v>914406067122680200</x:v>
      </x:c>
    </x:row>
    <x:row r="1872">
      <x:c r="A1872" s="2" t="n">
        <x:v>1871</x:v>
      </x:c>
      <x:c r="B1872" s="2" t="inlineStr">
        <x:is>
          <x:t xml:space="preserve">001382</x:t>
        </x:is>
      </x:c>
      <x:c r="C1872" s="3" t="inlineStr">
        <x:is>
          <x:t xml:space="preserve">新亚电缆</x:t>
        </x:is>
      </x:c>
      <x:c r="D1872" s="3" t="inlineStr">
        <x:is>
          <x:t xml:space="preserve">广东新亚光电缆股份有限公司</x:t>
        </x:is>
      </x:c>
      <x:c r="E1872" s="2" t="inlineStr">
        <x:is>
          <x:t xml:space="preserve">广东省</x:t>
        </x:is>
      </x:c>
      <x:c r="F1872" s="2" t="inlineStr">
        <x:is>
          <x:t xml:space="preserve">清远市</x:t>
        </x:is>
      </x:c>
      <x:c r="G1872" s="3" t="inlineStr">
        <x:is>
          <x:t xml:space="preserve">广东省-清远市</x:t>
        </x:is>
      </x:c>
      <x:c r="H1872" s="2" t="inlineStr">
        <x:is>
          <x:t xml:space="preserve">--</x:t>
        </x:is>
      </x:c>
      <x:c r="I1872" s="2" t="inlineStr">
        <x:is>
          <x:t xml:space="preserve">2025-03-21</x:t>
        </x:is>
      </x:c>
      <x:c r="J1872" s="3" t="inlineStr">
        <x:is>
          <x:t xml:space="preserve">清远市清城区沙田工业区</x:t>
        </x:is>
      </x:c>
      <x:c r="K1872" s="12" t="str">
        <x:f>LEFT("91441802707507358T",18)</x:f>
        <x:v>91441802707507358T</x:v>
      </x:c>
    </x:row>
    <x:row r="1873">
      <x:c r="A1873" s="4" t="n">
        <x:v>1872</x:v>
      </x:c>
      <x:c r="B1873" s="4" t="inlineStr">
        <x:is>
          <x:t xml:space="preserve">001386</x:t>
        </x:is>
      </x:c>
      <x:c r="C1873" s="5" t="inlineStr">
        <x:is>
          <x:t xml:space="preserve">马可波罗</x:t>
        </x:is>
      </x:c>
      <x:c r="D1873" s="5" t="inlineStr">
        <x:is>
          <x:t xml:space="preserve">马可波罗控股股份有限公司</x:t>
        </x:is>
      </x:c>
      <x:c r="E1873" s="4" t="inlineStr">
        <x:is>
          <x:t xml:space="preserve">广东省</x:t>
        </x:is>
      </x:c>
      <x:c r="F1873" s="4" t="inlineStr">
        <x:is>
          <x:t xml:space="preserve">东莞市</x:t>
        </x:is>
      </x:c>
      <x:c r="G1873" s="5" t="inlineStr">
        <x:is>
          <x:t xml:space="preserve">广东省-东莞市</x:t>
        </x:is>
      </x:c>
      <x:c r="H1873" s="4" t="inlineStr">
        <x:is>
          <x:t xml:space="preserve">家用轻工</x:t>
        </x:is>
      </x:c>
      <x:c r="I1873" s="4" t="inlineStr">
        <x:is>
          <x:t xml:space="preserve">2025-10-22</x:t>
        </x:is>
      </x:c>
      <x:c r="J1873" s="5" t="inlineStr">
        <x:is>
          <x:t xml:space="preserve">广东省东莞市高埗镇北王路高埗段102号</x:t>
        </x:is>
      </x:c>
      <x:c r="K1873" s="12" t="str">
        <x:f>LEFT("914419006824199592",18)</x:f>
        <x:v>914419006824199600</x:v>
      </x:c>
    </x:row>
    <x:row r="1874">
      <x:c r="A1874" s="2" t="n">
        <x:v>1873</x:v>
      </x:c>
      <x:c r="B1874" s="2" t="inlineStr">
        <x:is>
          <x:t xml:space="preserve">001389</x:t>
        </x:is>
      </x:c>
      <x:c r="C1874" s="3" t="inlineStr">
        <x:is>
          <x:t xml:space="preserve">广合科技</x:t>
        </x:is>
      </x:c>
      <x:c r="D1874" s="3" t="inlineStr">
        <x:is>
          <x:t xml:space="preserve">广州广合科技股份有限公司</x:t>
        </x:is>
      </x:c>
      <x:c r="E1874" s="2" t="inlineStr">
        <x:is>
          <x:t xml:space="preserve">广东省</x:t>
        </x:is>
      </x:c>
      <x:c r="F1874" s="2" t="inlineStr">
        <x:is>
          <x:t xml:space="preserve">广州市</x:t>
        </x:is>
      </x:c>
      <x:c r="G1874" s="3" t="inlineStr">
        <x:is>
          <x:t xml:space="preserve">广东省-广州市</x:t>
        </x:is>
      </x:c>
      <x:c r="H1874" s="2" t="inlineStr">
        <x:is>
          <x:t xml:space="preserve">电子元件</x:t>
        </x:is>
      </x:c>
      <x:c r="I1874" s="2" t="inlineStr">
        <x:is>
          <x:t xml:space="preserve">2024-04-02</x:t>
        </x:is>
      </x:c>
      <x:c r="J1874" s="3" t="inlineStr">
        <x:is>
          <x:t xml:space="preserve">广州保税区保盈南路22号</x:t>
        </x:is>
      </x:c>
      <x:c r="K1874" s="12" t="str">
        <x:f>LEFT("91440116739749431N",18)</x:f>
        <x:v>91440116739749431N</x:v>
      </x:c>
    </x:row>
    <x:row r="1875">
      <x:c r="A1875" s="4" t="n">
        <x:v>1874</x:v>
      </x:c>
      <x:c r="B1875" s="4" t="inlineStr">
        <x:is>
          <x:t xml:space="preserve">001872</x:t>
        </x:is>
      </x:c>
      <x:c r="C1875" s="5" t="inlineStr">
        <x:is>
          <x:t xml:space="preserve">招商港口</x:t>
        </x:is>
      </x:c>
      <x:c r="D1875" s="5" t="inlineStr">
        <x:is>
          <x:t xml:space="preserve">招商局港口集团股份有限公司</x:t>
        </x:is>
      </x:c>
      <x:c r="E1875" s="4" t="inlineStr">
        <x:is>
          <x:t xml:space="preserve">广东省</x:t>
        </x:is>
      </x:c>
      <x:c r="F1875" s="4" t="inlineStr">
        <x:is>
          <x:t xml:space="preserve">深圳市</x:t>
        </x:is>
      </x:c>
      <x:c r="G1875" s="5" t="inlineStr">
        <x:is>
          <x:t xml:space="preserve">广东省-深圳市</x:t>
        </x:is>
      </x:c>
      <x:c r="H1875" s="4" t="inlineStr">
        <x:is>
          <x:t xml:space="preserve">港口水运</x:t>
        </x:is>
      </x:c>
      <x:c r="I1875" s="4" t="inlineStr">
        <x:is>
          <x:t xml:space="preserve">1993-05-05</x:t>
        </x:is>
      </x:c>
      <x:c r="J1875" s="5" t="inlineStr">
        <x:is>
          <x:t xml:space="preserve">深圳市南山区招商街道工业三路一号招商局港口大厦23-25楼</x:t>
        </x:is>
      </x:c>
      <x:c r="K1875" s="12" t="str">
        <x:f>LEFT("91440300618832968J",18)</x:f>
        <x:v>91440300618832968J</x:v>
      </x:c>
    </x:row>
    <x:row r="1876">
      <x:c r="A1876" s="2" t="n">
        <x:v>1875</x:v>
      </x:c>
      <x:c r="B1876" s="2" t="inlineStr">
        <x:is>
          <x:t xml:space="preserve">001914</x:t>
        </x:is>
      </x:c>
      <x:c r="C1876" s="3" t="inlineStr">
        <x:is>
          <x:t xml:space="preserve">招商积余</x:t>
        </x:is>
      </x:c>
      <x:c r="D1876" s="3" t="inlineStr">
        <x:is>
          <x:t xml:space="preserve">招商局积余产业运营服务股份有限公司</x:t>
        </x:is>
      </x:c>
      <x:c r="E1876" s="2" t="inlineStr">
        <x:is>
          <x:t xml:space="preserve">广东省</x:t>
        </x:is>
      </x:c>
      <x:c r="F1876" s="2" t="inlineStr">
        <x:is>
          <x:t xml:space="preserve">深圳市</x:t>
        </x:is>
      </x:c>
      <x:c r="G1876" s="3" t="inlineStr">
        <x:is>
          <x:t xml:space="preserve">广东省-深圳市</x:t>
        </x:is>
      </x:c>
      <x:c r="H1876" s="2" t="inlineStr">
        <x:is>
          <x:t xml:space="preserve">房地产服务</x:t>
        </x:is>
      </x:c>
      <x:c r="I1876" s="2" t="inlineStr">
        <x:is>
          <x:t xml:space="preserve">1994-09-28</x:t>
        </x:is>
      </x:c>
      <x:c r="J1876" s="3" t="inlineStr">
        <x:is>
          <x:t xml:space="preserve">深圳市福田区华强北街道华航社区华富路1004号南光大厦2层B段201室</x:t>
        </x:is>
      </x:c>
      <x:c r="K1876" s="12" t="str">
        <x:f>LEFT("91440300192181247M",18)</x:f>
        <x:v>91440300192181247M</x:v>
      </x:c>
    </x:row>
    <x:row r="1877">
      <x:c r="A1877" s="4" t="n">
        <x:v>1876</x:v>
      </x:c>
      <x:c r="B1877" s="4" t="inlineStr">
        <x:is>
          <x:t xml:space="preserve">001979</x:t>
        </x:is>
      </x:c>
      <x:c r="C1877" s="5" t="inlineStr">
        <x:is>
          <x:t xml:space="preserve">招商蛇口</x:t>
        </x:is>
      </x:c>
      <x:c r="D1877" s="5" t="inlineStr">
        <x:is>
          <x:t xml:space="preserve">招商局蛇口工业区控股股份有限公司</x:t>
        </x:is>
      </x:c>
      <x:c r="E1877" s="4" t="inlineStr">
        <x:is>
          <x:t xml:space="preserve">广东省</x:t>
        </x:is>
      </x:c>
      <x:c r="F1877" s="4" t="inlineStr">
        <x:is>
          <x:t xml:space="preserve">深圳市</x:t>
        </x:is>
      </x:c>
      <x:c r="G1877" s="5" t="inlineStr">
        <x:is>
          <x:t xml:space="preserve">广东省-深圳市</x:t>
        </x:is>
      </x:c>
      <x:c r="H1877" s="4" t="inlineStr">
        <x:is>
          <x:t xml:space="preserve">房地产开发</x:t>
        </x:is>
      </x:c>
      <x:c r="I1877" s="4" t="inlineStr">
        <x:is>
          <x:t xml:space="preserve">2015-12-30</x:t>
        </x:is>
      </x:c>
      <x:c r="J1877" s="5" t="inlineStr">
        <x:is>
          <x:t xml:space="preserve">广东省深圳市南山区蛇口太子路1号新时代广场</x:t>
        </x:is>
      </x:c>
      <x:c r="K1877" s="12" t="str">
        <x:f>LEFT("914400001000114606",18)</x:f>
        <x:v>914400001000114600</x:v>
      </x:c>
    </x:row>
    <x:row r="1878">
      <x:c r="A1878" s="2" t="n">
        <x:v>1877</x:v>
      </x:c>
      <x:c r="B1878" s="2" t="inlineStr">
        <x:is>
          <x:t xml:space="preserve">002008</x:t>
        </x:is>
      </x:c>
      <x:c r="C1878" s="3" t="inlineStr">
        <x:is>
          <x:t xml:space="preserve">大族激光</x:t>
        </x:is>
      </x:c>
      <x:c r="D1878" s="3" t="inlineStr">
        <x:is>
          <x:t xml:space="preserve">大族激光科技产业集团股份有限公司</x:t>
        </x:is>
      </x:c>
      <x:c r="E1878" s="2" t="inlineStr">
        <x:is>
          <x:t xml:space="preserve">广东省</x:t>
        </x:is>
      </x:c>
      <x:c r="F1878" s="2" t="inlineStr">
        <x:is>
          <x:t xml:space="preserve">深圳市</x:t>
        </x:is>
      </x:c>
      <x:c r="G1878" s="3" t="inlineStr">
        <x:is>
          <x:t xml:space="preserve">广东省-深圳市</x:t>
        </x:is>
      </x:c>
      <x:c r="H1878" s="2" t="inlineStr">
        <x:is>
          <x:t xml:space="preserve">通用设备</x:t>
        </x:is>
      </x:c>
      <x:c r="I1878" s="2" t="inlineStr">
        <x:is>
          <x:t xml:space="preserve">2004-06-25</x:t>
        </x:is>
      </x:c>
      <x:c r="J1878" s="3" t="inlineStr">
        <x:is>
          <x:t xml:space="preserve">深圳市南山区深南大道9988号</x:t>
        </x:is>
      </x:c>
      <x:c r="K1878" s="12" t="str">
        <x:f>LEFT("91440300708485648T",18)</x:f>
        <x:v>91440300708485648T</x:v>
      </x:c>
    </x:row>
    <x:row r="1879">
      <x:c r="A1879" s="4" t="n">
        <x:v>1878</x:v>
      </x:c>
      <x:c r="B1879" s="4" t="inlineStr">
        <x:is>
          <x:t xml:space="preserve">002016</x:t>
        </x:is>
      </x:c>
      <x:c r="C1879" s="5" t="inlineStr">
        <x:is>
          <x:t xml:space="preserve">世荣兆业</x:t>
        </x:is>
      </x:c>
      <x:c r="D1879" s="5" t="inlineStr">
        <x:is>
          <x:t xml:space="preserve">广东世荣兆业股份有限公司</x:t>
        </x:is>
      </x:c>
      <x:c r="E1879" s="4" t="inlineStr">
        <x:is>
          <x:t xml:space="preserve">广东省</x:t>
        </x:is>
      </x:c>
      <x:c r="F1879" s="4" t="inlineStr">
        <x:is>
          <x:t xml:space="preserve">珠海市</x:t>
        </x:is>
      </x:c>
      <x:c r="G1879" s="5" t="inlineStr">
        <x:is>
          <x:t xml:space="preserve">广东省-珠海市</x:t>
        </x:is>
      </x:c>
      <x:c r="H1879" s="4" t="inlineStr">
        <x:is>
          <x:t xml:space="preserve">房地产</x:t>
        </x:is>
      </x:c>
      <x:c r="I1879" s="4" t="inlineStr">
        <x:is>
          <x:t xml:space="preserve">2004-07-08</x:t>
        </x:is>
      </x:c>
      <x:c r="J1879" s="5" t="inlineStr">
        <x:is>
          <x:t xml:space="preserve">广东省珠海市斗门区珠峰大道288号1区17号楼</x:t>
        </x:is>
      </x:c>
      <x:c r="K1879" s="12" t="str">
        <x:f>LEFT("914404001925966617",18)</x:f>
        <x:v>914404001925966600</x:v>
      </x:c>
    </x:row>
    <x:row r="1880">
      <x:c r="A1880" s="2" t="n">
        <x:v>1879</x:v>
      </x:c>
      <x:c r="B1880" s="2" t="inlineStr">
        <x:is>
          <x:t xml:space="preserve">002017</x:t>
        </x:is>
      </x:c>
      <x:c r="C1880" s="3" t="inlineStr">
        <x:is>
          <x:t xml:space="preserve">东信和平</x:t>
        </x:is>
      </x:c>
      <x:c r="D1880" s="3" t="inlineStr">
        <x:is>
          <x:t xml:space="preserve">东信和平科技股份有限公司</x:t>
        </x:is>
      </x:c>
      <x:c r="E1880" s="2" t="inlineStr">
        <x:is>
          <x:t xml:space="preserve">广东省</x:t>
        </x:is>
      </x:c>
      <x:c r="F1880" s="2" t="inlineStr">
        <x:is>
          <x:t xml:space="preserve">珠海市</x:t>
        </x:is>
      </x:c>
      <x:c r="G1880" s="3" t="inlineStr">
        <x:is>
          <x:t xml:space="preserve">广东省-珠海市</x:t>
        </x:is>
      </x:c>
      <x:c r="H1880" s="2" t="inlineStr">
        <x:is>
          <x:t xml:space="preserve">通讯行业</x:t>
        </x:is>
      </x:c>
      <x:c r="I1880" s="2" t="inlineStr">
        <x:is>
          <x:t xml:space="preserve">2004-07-13</x:t>
        </x:is>
      </x:c>
      <x:c r="J1880" s="3" t="inlineStr">
        <x:is>
          <x:t xml:space="preserve">广东省珠海市高新区南屏科技工业园屏工中路8号</x:t>
        </x:is>
      </x:c>
      <x:c r="K1880" s="12" t="str">
        <x:f>LEFT("91440400707986731W",18)</x:f>
        <x:v>91440400707986731W</x:v>
      </x:c>
    </x:row>
    <x:row r="1881">
      <x:c r="A1881" s="4" t="n">
        <x:v>1880</x:v>
      </x:c>
      <x:c r="B1881" s="4" t="inlineStr">
        <x:is>
          <x:t xml:space="preserve">002030</x:t>
        </x:is>
      </x:c>
      <x:c r="C1881" s="5" t="inlineStr">
        <x:is>
          <x:t xml:space="preserve">达安基因</x:t>
        </x:is>
      </x:c>
      <x:c r="D1881" s="5" t="inlineStr">
        <x:is>
          <x:t xml:space="preserve">广州达安基因股份有限公司</x:t>
        </x:is>
      </x:c>
      <x:c r="E1881" s="4" t="inlineStr">
        <x:is>
          <x:t xml:space="preserve">广东省</x:t>
        </x:is>
      </x:c>
      <x:c r="F1881" s="4" t="inlineStr">
        <x:is>
          <x:t xml:space="preserve">广州市</x:t>
        </x:is>
      </x:c>
      <x:c r="G1881" s="5" t="inlineStr">
        <x:is>
          <x:t xml:space="preserve">广东省-广州市</x:t>
        </x:is>
      </x:c>
      <x:c r="H1881" s="4" t="inlineStr">
        <x:is>
          <x:t xml:space="preserve">医疗器械</x:t>
        </x:is>
      </x:c>
      <x:c r="I1881" s="4" t="inlineStr">
        <x:is>
          <x:t xml:space="preserve">2004-08-09</x:t>
        </x:is>
      </x:c>
      <x:c r="J1881" s="5" t="inlineStr">
        <x:is>
          <x:t xml:space="preserve">广州市高新技术开发区科学城香山路19号</x:t>
        </x:is>
      </x:c>
      <x:c r="K1881" s="12" t="str">
        <x:f>LEFT("91440101190445368X",18)</x:f>
        <x:v>91440101190445368X</x:v>
      </x:c>
    </x:row>
    <x:row r="1882">
      <x:c r="A1882" s="2" t="n">
        <x:v>1881</x:v>
      </x:c>
      <x:c r="B1882" s="2" t="inlineStr">
        <x:is>
          <x:t xml:space="preserve">002031</x:t>
        </x:is>
      </x:c>
      <x:c r="C1882" s="3" t="inlineStr">
        <x:is>
          <x:t xml:space="preserve">巨轮智能</x:t>
        </x:is>
      </x:c>
      <x:c r="D1882" s="3" t="inlineStr">
        <x:is>
          <x:t xml:space="preserve">巨轮智能装备股份有限公司</x:t>
        </x:is>
      </x:c>
      <x:c r="E1882" s="2" t="inlineStr">
        <x:is>
          <x:t xml:space="preserve">广东省</x:t>
        </x:is>
      </x:c>
      <x:c r="F1882" s="2" t="inlineStr">
        <x:is>
          <x:t xml:space="preserve">揭阳市</x:t>
        </x:is>
      </x:c>
      <x:c r="G1882" s="3" t="inlineStr">
        <x:is>
          <x:t xml:space="preserve">广东省-揭阳市</x:t>
        </x:is>
      </x:c>
      <x:c r="H1882" s="2" t="inlineStr">
        <x:is>
          <x:t xml:space="preserve">专用设备</x:t>
        </x:is>
      </x:c>
      <x:c r="I1882" s="2" t="inlineStr">
        <x:is>
          <x:t xml:space="preserve">2004-08-16</x:t>
        </x:is>
      </x:c>
      <x:c r="J1882" s="3" t="inlineStr">
        <x:is>
          <x:t xml:space="preserve">广东省揭东经济开发区5号路中段</x:t>
        </x:is>
      </x:c>
      <x:c r="K1882" s="12" t="str">
        <x:f>LEFT("914452007350053203",18)</x:f>
        <x:v>914452007350053200</x:v>
      </x:c>
    </x:row>
    <x:row r="1883">
      <x:c r="A1883" s="4" t="n">
        <x:v>1882</x:v>
      </x:c>
      <x:c r="B1883" s="4" t="inlineStr">
        <x:is>
          <x:t xml:space="preserve">002035</x:t>
        </x:is>
      </x:c>
      <x:c r="C1883" s="5" t="inlineStr">
        <x:is>
          <x:t xml:space="preserve">华帝股份</x:t>
        </x:is>
      </x:c>
      <x:c r="D1883" s="5" t="inlineStr">
        <x:is>
          <x:t xml:space="preserve">华帝股份有限公司</x:t>
        </x:is>
      </x:c>
      <x:c r="E1883" s="4" t="inlineStr">
        <x:is>
          <x:t xml:space="preserve">广东省</x:t>
        </x:is>
      </x:c>
      <x:c r="F1883" s="4" t="inlineStr">
        <x:is>
          <x:t xml:space="preserve">中山市</x:t>
        </x:is>
      </x:c>
      <x:c r="G1883" s="5" t="inlineStr">
        <x:is>
          <x:t xml:space="preserve">广东省-中山市</x:t>
        </x:is>
      </x:c>
      <x:c r="H1883" s="4" t="inlineStr">
        <x:is>
          <x:t xml:space="preserve">家电行业</x:t>
        </x:is>
      </x:c>
      <x:c r="I1883" s="4" t="inlineStr">
        <x:is>
          <x:t xml:space="preserve">2004-09-01</x:t>
        </x:is>
      </x:c>
      <x:c r="J1883" s="5" t="inlineStr">
        <x:is>
          <x:t xml:space="preserve">广东省中山市小榄镇工业大道南华园路1号(一照多址)</x:t>
        </x:is>
      </x:c>
      <x:c r="K1883" s="12" t="str">
        <x:f>LEFT("91442000618120215D",18)</x:f>
        <x:v>91442000618120215D</x:v>
      </x:c>
    </x:row>
    <x:row r="1884">
      <x:c r="A1884" s="2" t="n">
        <x:v>1883</x:v>
      </x:c>
      <x:c r="B1884" s="2" t="inlineStr">
        <x:is>
          <x:t xml:space="preserve">002045</x:t>
        </x:is>
      </x:c>
      <x:c r="C1884" s="3" t="inlineStr">
        <x:is>
          <x:t xml:space="preserve">国光电器</x:t>
        </x:is>
      </x:c>
      <x:c r="D1884" s="3" t="inlineStr">
        <x:is>
          <x:t xml:space="preserve">国光电器股份有限公司</x:t>
        </x:is>
      </x:c>
      <x:c r="E1884" s="2" t="inlineStr">
        <x:is>
          <x:t xml:space="preserve">广东省</x:t>
        </x:is>
      </x:c>
      <x:c r="F1884" s="2" t="inlineStr">
        <x:is>
          <x:t xml:space="preserve">广州市</x:t>
        </x:is>
      </x:c>
      <x:c r="G1884" s="3" t="inlineStr">
        <x:is>
          <x:t xml:space="preserve">广东省-广州市</x:t>
        </x:is>
      </x:c>
      <x:c r="H1884" s="2" t="inlineStr">
        <x:is>
          <x:t xml:space="preserve">消费电子</x:t>
        </x:is>
      </x:c>
      <x:c r="I1884" s="2" t="inlineStr">
        <x:is>
          <x:t xml:space="preserve">2005-05-23</x:t>
        </x:is>
      </x:c>
      <x:c r="J1884" s="3" t="inlineStr">
        <x:is>
          <x:t xml:space="preserve">广州市花都区新华街镜湖大道8号</x:t>
        </x:is>
      </x:c>
      <x:c r="K1884" s="12" t="str">
        <x:f>LEFT("91440101618445482W",18)</x:f>
        <x:v>91440101618445482W</x:v>
      </x:c>
    </x:row>
    <x:row r="1885">
      <x:c r="A1885" s="4" t="n">
        <x:v>1884</x:v>
      </x:c>
      <x:c r="B1885" s="4" t="inlineStr">
        <x:is>
          <x:t xml:space="preserve">002047</x:t>
        </x:is>
      </x:c>
      <x:c r="C1885" s="5" t="inlineStr">
        <x:is>
          <x:t xml:space="preserve">*ST宝鹰</x:t>
        </x:is>
      </x:c>
      <x:c r="D1885" s="5" t="inlineStr">
        <x:is>
          <x:t xml:space="preserve">深圳市宝鹰建设控股集团股份有限公司</x:t>
        </x:is>
      </x:c>
      <x:c r="E1885" s="4" t="inlineStr">
        <x:is>
          <x:t xml:space="preserve">广东省</x:t>
        </x:is>
      </x:c>
      <x:c r="F1885" s="4" t="inlineStr">
        <x:is>
          <x:t xml:space="preserve">深圳市</x:t>
        </x:is>
      </x:c>
      <x:c r="G1885" s="5" t="inlineStr">
        <x:is>
          <x:t xml:space="preserve">广东省-深圳市</x:t>
        </x:is>
      </x:c>
      <x:c r="H1885" s="4" t="inlineStr">
        <x:is>
          <x:t xml:space="preserve">装修装饰</x:t>
        </x:is>
      </x:c>
      <x:c r="I1885" s="4" t="inlineStr">
        <x:is>
          <x:t xml:space="preserve">2005-05-31</x:t>
        </x:is>
      </x:c>
      <x:c r="J1885" s="5" t="inlineStr">
        <x:is>
          <x:t xml:space="preserve">深圳市南山区粤海街道科技园社区科苑路8号讯美科技广场2号楼810</x:t>
        </x:is>
      </x:c>
      <x:c r="K1885" s="12" t="str">
        <x:f>LEFT("91440300618884987N",18)</x:f>
        <x:v>91440300618884987N</x:v>
      </x:c>
    </x:row>
    <x:row r="1886">
      <x:c r="A1886" s="2" t="n">
        <x:v>1885</x:v>
      </x:c>
      <x:c r="B1886" s="2" t="inlineStr">
        <x:is>
          <x:t xml:space="preserve">002052</x:t>
        </x:is>
      </x:c>
      <x:c r="C1886" s="3" t="inlineStr">
        <x:is>
          <x:t xml:space="preserve">同洲电子</x:t>
        </x:is>
      </x:c>
      <x:c r="D1886" s="3" t="inlineStr">
        <x:is>
          <x:t xml:space="preserve">深圳市同洲电子股份有限公司</x:t>
        </x:is>
      </x:c>
      <x:c r="E1886" s="2" t="inlineStr">
        <x:is>
          <x:t xml:space="preserve">广东省</x:t>
        </x:is>
      </x:c>
      <x:c r="F1886" s="2" t="inlineStr">
        <x:is>
          <x:t xml:space="preserve">深圳市</x:t>
        </x:is>
      </x:c>
      <x:c r="G1886" s="3" t="inlineStr">
        <x:is>
          <x:t xml:space="preserve">广东省-深圳市</x:t>
        </x:is>
      </x:c>
      <x:c r="H1886" s="2" t="inlineStr">
        <x:is>
          <x:t xml:space="preserve">家电行业</x:t>
        </x:is>
      </x:c>
      <x:c r="I1886" s="2" t="inlineStr">
        <x:is>
          <x:t xml:space="preserve">2006-06-27</x:t>
        </x:is>
      </x:c>
      <x:c r="J1886" s="3" t="inlineStr">
        <x:is>
          <x:t xml:space="preserve">深圳市南山区粤海街道科技园社区科苑路6号科技园工业大厦C588</x:t>
        </x:is>
      </x:c>
      <x:c r="K1886" s="12" t="str">
        <x:f>LEFT("91440300279484603U",18)</x:f>
        <x:v>91440300279484603U</x:v>
      </x:c>
    </x:row>
    <x:row r="1887">
      <x:c r="A1887" s="4" t="n">
        <x:v>1886</x:v>
      </x:c>
      <x:c r="B1887" s="4" t="inlineStr">
        <x:is>
          <x:t xml:space="preserve">002054</x:t>
        </x:is>
      </x:c>
      <x:c r="C1887" s="5" t="inlineStr">
        <x:is>
          <x:t xml:space="preserve">德美化工</x:t>
        </x:is>
      </x:c>
      <x:c r="D1887" s="5" t="inlineStr">
        <x:is>
          <x:t xml:space="preserve">广东德美精细化工集团股份有限公司</x:t>
        </x:is>
      </x:c>
      <x:c r="E1887" s="4" t="inlineStr">
        <x:is>
          <x:t xml:space="preserve">广东省</x:t>
        </x:is>
      </x:c>
      <x:c r="F1887" s="4" t="inlineStr">
        <x:is>
          <x:t xml:space="preserve">佛山市</x:t>
        </x:is>
      </x:c>
      <x:c r="G1887" s="5" t="inlineStr">
        <x:is>
          <x:t xml:space="preserve">广东省-佛山市</x:t>
        </x:is>
      </x:c>
      <x:c r="H1887" s="4" t="inlineStr">
        <x:is>
          <x:t xml:space="preserve">化工行业</x:t>
        </x:is>
      </x:c>
      <x:c r="I1887" s="4" t="inlineStr">
        <x:is>
          <x:t xml:space="preserve">2006-07-25</x:t>
        </x:is>
      </x:c>
      <x:c r="J1887" s="5" t="inlineStr">
        <x:is>
          <x:t xml:space="preserve">广东省佛山市顺德高新区科技产业园朝桂南路</x:t>
        </x:is>
      </x:c>
      <x:c r="K1887" s="12" t="str">
        <x:f>LEFT("91440606707539050R",18)</x:f>
        <x:v>91440606707539050R</x:v>
      </x:c>
    </x:row>
    <x:row r="1888">
      <x:c r="A1888" s="2" t="n">
        <x:v>1887</x:v>
      </x:c>
      <x:c r="B1888" s="2" t="inlineStr">
        <x:is>
          <x:t xml:space="preserve">002055</x:t>
        </x:is>
      </x:c>
      <x:c r="C1888" s="3" t="inlineStr">
        <x:is>
          <x:t xml:space="preserve">ST得润</x:t>
        </x:is>
      </x:c>
      <x:c r="D1888" s="3" t="inlineStr">
        <x:is>
          <x:t xml:space="preserve">深圳市得润电子股份有限公司</x:t>
        </x:is>
      </x:c>
      <x:c r="E1888" s="2" t="inlineStr">
        <x:is>
          <x:t xml:space="preserve">广东省</x:t>
        </x:is>
      </x:c>
      <x:c r="F1888" s="2" t="inlineStr">
        <x:is>
          <x:t xml:space="preserve">深圳市</x:t>
        </x:is>
      </x:c>
      <x:c r="G1888" s="3" t="inlineStr">
        <x:is>
          <x:t xml:space="preserve">广东省-深圳市</x:t>
        </x:is>
      </x:c>
      <x:c r="H1888" s="2" t="inlineStr">
        <x:is>
          <x:t xml:space="preserve">消费电子</x:t>
        </x:is>
      </x:c>
      <x:c r="I1888" s="2" t="inlineStr">
        <x:is>
          <x:t xml:space="preserve">2006-07-25</x:t>
        </x:is>
      </x:c>
      <x:c r="J1888" s="3" t="inlineStr">
        <x:is>
          <x:t xml:space="preserve">深圳市光明区凤凰街道汇通路269号得润电子工业园</x:t>
        </x:is>
      </x:c>
      <x:c r="K1888" s="12" t="str">
        <x:f>LEFT("914403006188203260",18)</x:f>
        <x:v>914403006188203300</x:v>
      </x:c>
    </x:row>
    <x:row r="1889">
      <x:c r="A1889" s="4" t="n">
        <x:v>1888</x:v>
      </x:c>
      <x:c r="B1889" s="4" t="inlineStr">
        <x:is>
          <x:t xml:space="preserve">002060</x:t>
        </x:is>
      </x:c>
      <x:c r="C1889" s="5" t="inlineStr">
        <x:is>
          <x:t xml:space="preserve">广东建工</x:t>
        </x:is>
      </x:c>
      <x:c r="D1889" s="5" t="inlineStr">
        <x:is>
          <x:t xml:space="preserve">广东省建筑工程集团股份有限公司</x:t>
        </x:is>
      </x:c>
      <x:c r="E1889" s="4" t="inlineStr">
        <x:is>
          <x:t xml:space="preserve">广东省</x:t>
        </x:is>
      </x:c>
      <x:c r="F1889" s="4" t="inlineStr">
        <x:is>
          <x:t xml:space="preserve">广州市</x:t>
        </x:is>
      </x:c>
      <x:c r="G1889" s="5" t="inlineStr">
        <x:is>
          <x:t xml:space="preserve">广东省-广州市</x:t>
        </x:is>
      </x:c>
      <x:c r="H1889" s="4" t="inlineStr">
        <x:is>
          <x:t xml:space="preserve">工程建设</x:t>
        </x:is>
      </x:c>
      <x:c r="I1889" s="4" t="inlineStr">
        <x:is>
          <x:t xml:space="preserve">2006-08-10</x:t>
        </x:is>
      </x:c>
      <x:c r="J1889" s="5" t="inlineStr">
        <x:is>
          <x:t xml:space="preserve">广东省广州市增城区新塘镇广深大道西1号1幢水电广场A-1商务中心20层</x:t>
        </x:is>
      </x:c>
      <x:c r="K1889" s="12" t="str">
        <x:f>LEFT("914400007349924088",18)</x:f>
        <x:v>914400007349924100</x:v>
      </x:c>
    </x:row>
    <x:row r="1890">
      <x:c r="A1890" s="2" t="n">
        <x:v>1889</x:v>
      </x:c>
      <x:c r="B1890" s="2" t="inlineStr">
        <x:is>
          <x:t xml:space="preserve">002063</x:t>
        </x:is>
      </x:c>
      <x:c r="C1890" s="3" t="inlineStr">
        <x:is>
          <x:t xml:space="preserve">远光软件</x:t>
        </x:is>
      </x:c>
      <x:c r="D1890" s="3" t="inlineStr">
        <x:is>
          <x:t xml:space="preserve">远光软件股份有限公司</x:t>
        </x:is>
      </x:c>
      <x:c r="E1890" s="2" t="inlineStr">
        <x:is>
          <x:t xml:space="preserve">广东省</x:t>
        </x:is>
      </x:c>
      <x:c r="F1890" s="2" t="inlineStr">
        <x:is>
          <x:t xml:space="preserve">珠海市</x:t>
        </x:is>
      </x:c>
      <x:c r="G1890" s="3" t="inlineStr">
        <x:is>
          <x:t xml:space="preserve">广东省-珠海市</x:t>
        </x:is>
      </x:c>
      <x:c r="H1890" s="2" t="inlineStr">
        <x:is>
          <x:t xml:space="preserve">软件服务</x:t>
        </x:is>
      </x:c>
      <x:c r="I1890" s="2" t="inlineStr">
        <x:is>
          <x:t xml:space="preserve">2006-08-23</x:t>
        </x:is>
      </x:c>
      <x:c r="J1890" s="3" t="inlineStr">
        <x:is>
          <x:t xml:space="preserve">广东省珠海市科技二路23号远光智能产业园</x:t>
        </x:is>
      </x:c>
      <x:c r="K1890" s="12" t="str">
        <x:f>LEFT("91440400707956364B",18)</x:f>
        <x:v>91440400707956364B</x:v>
      </x:c>
    </x:row>
    <x:row r="1891">
      <x:c r="A1891" s="4" t="n">
        <x:v>1890</x:v>
      </x:c>
      <x:c r="B1891" s="4" t="inlineStr">
        <x:is>
          <x:t xml:space="preserve">002076</x:t>
        </x:is>
      </x:c>
      <x:c r="C1891" s="5" t="inlineStr">
        <x:is>
          <x:t xml:space="preserve">*ST星光</x:t>
        </x:is>
      </x:c>
      <x:c r="D1891" s="5" t="inlineStr">
        <x:is>
          <x:t xml:space="preserve">广东星光发展股份有限公司</x:t>
        </x:is>
      </x:c>
      <x:c r="E1891" s="4" t="inlineStr">
        <x:is>
          <x:t xml:space="preserve">广东省</x:t>
        </x:is>
      </x:c>
      <x:c r="F1891" s="4" t="inlineStr">
        <x:is>
          <x:t xml:space="preserve">佛山市</x:t>
        </x:is>
      </x:c>
      <x:c r="G1891" s="5" t="inlineStr">
        <x:is>
          <x:t xml:space="preserve">广东省-佛山市</x:t>
        </x:is>
      </x:c>
      <x:c r="H1891" s="4" t="inlineStr">
        <x:is>
          <x:t xml:space="preserve">家电行业</x:t>
        </x:is>
      </x:c>
      <x:c r="I1891" s="4" t="inlineStr">
        <x:is>
          <x:t xml:space="preserve">2006-10-25</x:t>
        </x:is>
      </x:c>
      <x:c r="J1891" s="5" t="inlineStr">
        <x:is>
          <x:t xml:space="preserve">广东省佛山市南海区狮山工业科技工业园A区</x:t>
        </x:is>
      </x:c>
      <x:c r="K1891" s="12" t="str">
        <x:f>LEFT("914406002800034240",18)</x:f>
        <x:v>914406002800034300</x:v>
      </x:c>
    </x:row>
    <x:row r="1892">
      <x:c r="A1892" s="2" t="n">
        <x:v>1891</x:v>
      </x:c>
      <x:c r="B1892" s="2" t="inlineStr">
        <x:is>
          <x:t xml:space="preserve">002084</x:t>
        </x:is>
      </x:c>
      <x:c r="C1892" s="3" t="inlineStr">
        <x:is>
          <x:t xml:space="preserve">海鸥住工</x:t>
        </x:is>
      </x:c>
      <x:c r="D1892" s="3" t="inlineStr">
        <x:is>
          <x:t xml:space="preserve">广州海鸥住宅工业股份有限公司</x:t>
        </x:is>
      </x:c>
      <x:c r="E1892" s="2" t="inlineStr">
        <x:is>
          <x:t xml:space="preserve">广东省</x:t>
        </x:is>
      </x:c>
      <x:c r="F1892" s="2" t="inlineStr">
        <x:is>
          <x:t xml:space="preserve">广州市</x:t>
        </x:is>
      </x:c>
      <x:c r="G1892" s="3" t="inlineStr">
        <x:is>
          <x:t xml:space="preserve">广东省-广州市</x:t>
        </x:is>
      </x:c>
      <x:c r="H1892" s="2" t="inlineStr">
        <x:is>
          <x:t xml:space="preserve">装修装饰</x:t>
        </x:is>
      </x:c>
      <x:c r="I1892" s="2" t="inlineStr">
        <x:is>
          <x:t xml:space="preserve">2006-11-24</x:t>
        </x:is>
      </x:c>
      <x:c r="J1892" s="3" t="inlineStr">
        <x:is>
          <x:t xml:space="preserve">广州市番禺区沙头街禺山西路363号</x:t>
        </x:is>
      </x:c>
      <x:c r="K1892" s="12" t="str">
        <x:f>LEFT("914401017082149959",18)</x:f>
        <x:v>914401017082150000</x:v>
      </x:c>
    </x:row>
    <x:row r="1893">
      <x:c r="A1893" s="4" t="n">
        <x:v>1892</x:v>
      </x:c>
      <x:c r="B1893" s="4" t="inlineStr">
        <x:is>
          <x:t xml:space="preserve">002101</x:t>
        </x:is>
      </x:c>
      <x:c r="C1893" s="5" t="inlineStr">
        <x:is>
          <x:t xml:space="preserve">广东鸿图</x:t>
        </x:is>
      </x:c>
      <x:c r="D1893" s="5" t="inlineStr">
        <x:is>
          <x:t xml:space="preserve">广东鸿图科技股份有限公司</x:t>
        </x:is>
      </x:c>
      <x:c r="E1893" s="4" t="inlineStr">
        <x:is>
          <x:t xml:space="preserve">广东省</x:t>
        </x:is>
      </x:c>
      <x:c r="F1893" s="4" t="inlineStr">
        <x:is>
          <x:t xml:space="preserve">肇庆市</x:t>
        </x:is>
      </x:c>
      <x:c r="G1893" s="5" t="inlineStr">
        <x:is>
          <x:t xml:space="preserve">广东省-肇庆市</x:t>
        </x:is>
      </x:c>
      <x:c r="H1893" s="4" t="inlineStr">
        <x:is>
          <x:t xml:space="preserve">汽车行业</x:t>
        </x:is>
      </x:c>
      <x:c r="I1893" s="4" t="inlineStr">
        <x:is>
          <x:t xml:space="preserve">2006-12-29</x:t>
        </x:is>
      </x:c>
      <x:c r="J1893" s="5" t="inlineStr">
        <x:is>
          <x:t xml:space="preserve">广东省肇庆市高要区金渡世纪大道168号</x:t>
        </x:is>
      </x:c>
      <x:c r="K1893" s="12" t="str">
        <x:f>LEFT("91441200725995439Y",18)</x:f>
        <x:v>91441200725995439Y</x:v>
      </x:c>
    </x:row>
    <x:row r="1894">
      <x:c r="A1894" s="2" t="n">
        <x:v>1893</x:v>
      </x:c>
      <x:c r="B1894" s="2" t="inlineStr">
        <x:is>
          <x:t xml:space="preserve">002105</x:t>
        </x:is>
      </x:c>
      <x:c r="C1894" s="3" t="inlineStr">
        <x:is>
          <x:t xml:space="preserve">信隆健康</x:t>
        </x:is>
      </x:c>
      <x:c r="D1894" s="3" t="inlineStr">
        <x:is>
          <x:t xml:space="preserve">深圳信隆健康产业发展股份有限公司</x:t>
        </x:is>
      </x:c>
      <x:c r="E1894" s="2" t="inlineStr">
        <x:is>
          <x:t xml:space="preserve">广东省</x:t>
        </x:is>
      </x:c>
      <x:c r="F1894" s="2" t="inlineStr">
        <x:is>
          <x:t xml:space="preserve">深圳市</x:t>
        </x:is>
      </x:c>
      <x:c r="G1894" s="3" t="inlineStr">
        <x:is>
          <x:t xml:space="preserve">广东省-深圳市</x:t>
        </x:is>
      </x:c>
      <x:c r="H1894" s="2" t="inlineStr">
        <x:is>
          <x:t xml:space="preserve">交运设备</x:t>
        </x:is>
      </x:c>
      <x:c r="I1894" s="2" t="inlineStr">
        <x:is>
          <x:t xml:space="preserve">2007-01-12</x:t>
        </x:is>
      </x:c>
      <x:c r="J1894" s="3" t="inlineStr">
        <x:is>
          <x:t xml:space="preserve">深圳市宝安区松岗街道碧头社区碧腾路1号</x:t>
        </x:is>
      </x:c>
      <x:c r="K1894" s="12" t="str">
        <x:f>LEFT("914403006188220739",18)</x:f>
        <x:v>914403006188220800</x:v>
      </x:c>
    </x:row>
    <x:row r="1895">
      <x:c r="A1895" s="4" t="n">
        <x:v>1894</x:v>
      </x:c>
      <x:c r="B1895" s="4" t="inlineStr">
        <x:is>
          <x:t xml:space="preserve">002106</x:t>
        </x:is>
      </x:c>
      <x:c r="C1895" s="5" t="inlineStr">
        <x:is>
          <x:t xml:space="preserve">莱宝高科</x:t>
        </x:is>
      </x:c>
      <x:c r="D1895" s="5" t="inlineStr">
        <x:is>
          <x:t xml:space="preserve">深圳莱宝高科技股份有限公司</x:t>
        </x:is>
      </x:c>
      <x:c r="E1895" s="4" t="inlineStr">
        <x:is>
          <x:t xml:space="preserve">广东省</x:t>
        </x:is>
      </x:c>
      <x:c r="F1895" s="4" t="inlineStr">
        <x:is>
          <x:t xml:space="preserve">深圳市</x:t>
        </x:is>
      </x:c>
      <x:c r="G1895" s="5" t="inlineStr">
        <x:is>
          <x:t xml:space="preserve">广东省-深圳市</x:t>
        </x:is>
      </x:c>
      <x:c r="H1895" s="4" t="inlineStr">
        <x:is>
          <x:t xml:space="preserve">光学光电子</x:t>
        </x:is>
      </x:c>
      <x:c r="I1895" s="4" t="inlineStr">
        <x:is>
          <x:t xml:space="preserve">2007-01-12</x:t>
        </x:is>
      </x:c>
      <x:c r="J1895" s="5" t="inlineStr">
        <x:is>
          <x:t xml:space="preserve">深圳市南山区西丽街道高新北二道29号</x:t>
        </x:is>
      </x:c>
      <x:c r="K1895" s="12" t="str">
        <x:f>LEFT("91440300618833987Q",18)</x:f>
        <x:v>91440300618833987Q</x:v>
      </x:c>
    </x:row>
    <x:row r="1896">
      <x:c r="A1896" s="2" t="n">
        <x:v>1895</x:v>
      </x:c>
      <x:c r="B1896" s="2" t="inlineStr">
        <x:is>
          <x:t xml:space="preserve">002121</x:t>
        </x:is>
      </x:c>
      <x:c r="C1896" s="3" t="inlineStr">
        <x:is>
          <x:t xml:space="preserve">科陆电子</x:t>
        </x:is>
      </x:c>
      <x:c r="D1896" s="3" t="inlineStr">
        <x:is>
          <x:t xml:space="preserve">深圳市科陆电子科技股份有限公司</x:t>
        </x:is>
      </x:c>
      <x:c r="E1896" s="2" t="inlineStr">
        <x:is>
          <x:t xml:space="preserve">广东省</x:t>
        </x:is>
      </x:c>
      <x:c r="F1896" s="2" t="inlineStr">
        <x:is>
          <x:t xml:space="preserve">深圳市</x:t>
        </x:is>
      </x:c>
      <x:c r="G1896" s="3" t="inlineStr">
        <x:is>
          <x:t xml:space="preserve">广东省-深圳市</x:t>
        </x:is>
      </x:c>
      <x:c r="H1896" s="2" t="inlineStr">
        <x:is>
          <x:t xml:space="preserve">电网设备</x:t>
        </x:is>
      </x:c>
      <x:c r="I1896" s="2" t="inlineStr">
        <x:is>
          <x:t xml:space="preserve">2007-03-06</x:t>
        </x:is>
      </x:c>
      <x:c r="J1896" s="3" t="inlineStr">
        <x:is>
          <x:t xml:space="preserve">深圳市光明区玉塘街道田寮社区光侨路高科科技园第1栋425</x:t>
        </x:is>
      </x:c>
      <x:c r="K1896" s="12" t="str">
        <x:f>LEFT("91440300279261223W",18)</x:f>
        <x:v>91440300279261223W</x:v>
      </x:c>
    </x:row>
    <x:row r="1897">
      <x:c r="A1897" s="4" t="n">
        <x:v>1896</x:v>
      </x:c>
      <x:c r="B1897" s="4" t="inlineStr">
        <x:is>
          <x:t xml:space="preserve">002130</x:t>
        </x:is>
      </x:c>
      <x:c r="C1897" s="5" t="inlineStr">
        <x:is>
          <x:t xml:space="preserve">沃尔核材</x:t>
        </x:is>
      </x:c>
      <x:c r="D1897" s="5" t="inlineStr">
        <x:is>
          <x:t xml:space="preserve">深圳市沃尔核材股份有限公司</x:t>
        </x:is>
      </x:c>
      <x:c r="E1897" s="4" t="inlineStr">
        <x:is>
          <x:t xml:space="preserve">广东省</x:t>
        </x:is>
      </x:c>
      <x:c r="F1897" s="4" t="inlineStr">
        <x:is>
          <x:t xml:space="preserve">深圳市</x:t>
        </x:is>
      </x:c>
      <x:c r="G1897" s="5" t="inlineStr">
        <x:is>
          <x:t xml:space="preserve">广东省-深圳市</x:t>
        </x:is>
      </x:c>
      <x:c r="H1897" s="4" t="inlineStr">
        <x:is>
          <x:t xml:space="preserve">非金属材料</x:t>
        </x:is>
      </x:c>
      <x:c r="I1897" s="4" t="inlineStr">
        <x:is>
          <x:t xml:space="preserve">2007-04-20</x:t>
        </x:is>
      </x:c>
      <x:c r="J1897" s="5" t="inlineStr">
        <x:is>
          <x:t xml:space="preserve">深圳市坪山区龙田街道兰景北路沃尔工业园</x:t>
        </x:is>
      </x:c>
      <x:c r="K1897" s="12" t="str">
        <x:f>LEFT("91440300708421097F",18)</x:f>
        <x:v>91440300708421097F</x:v>
      </x:c>
    </x:row>
    <x:row r="1898">
      <x:c r="A1898" s="2" t="n">
        <x:v>1897</x:v>
      </x:c>
      <x:c r="B1898" s="2" t="inlineStr">
        <x:is>
          <x:t xml:space="preserve">002137</x:t>
        </x:is>
      </x:c>
      <x:c r="C1898" s="3" t="inlineStr">
        <x:is>
          <x:t xml:space="preserve">实益达</x:t>
        </x:is>
      </x:c>
      <x:c r="D1898" s="3" t="inlineStr">
        <x:is>
          <x:t xml:space="preserve">深圳市实益达科技股份有限公司</x:t>
        </x:is>
      </x:c>
      <x:c r="E1898" s="2" t="inlineStr">
        <x:is>
          <x:t xml:space="preserve">广东省</x:t>
        </x:is>
      </x:c>
      <x:c r="F1898" s="2" t="inlineStr">
        <x:is>
          <x:t xml:space="preserve">深圳市</x:t>
        </x:is>
      </x:c>
      <x:c r="G1898" s="3" t="inlineStr">
        <x:is>
          <x:t xml:space="preserve">广东省-深圳市</x:t>
        </x:is>
      </x:c>
      <x:c r="H1898" s="2" t="inlineStr">
        <x:is>
          <x:t xml:space="preserve">电子元件</x:t>
        </x:is>
      </x:c>
      <x:c r="I1898" s="2" t="inlineStr">
        <x:is>
          <x:t xml:space="preserve">2007-06-13</x:t>
        </x:is>
      </x:c>
      <x:c r="J1898" s="3" t="inlineStr">
        <x:is>
          <x:t xml:space="preserve">深圳市龙岗区宝龙工业城宝龙六路实益达科技园</x:t>
        </x:is>
      </x:c>
      <x:c r="K1898" s="12" t="str">
        <x:f>LEFT("914403007084140579",18)</x:f>
        <x:v>914403007084140500</x:v>
      </x:c>
    </x:row>
    <x:row r="1899">
      <x:c r="A1899" s="4" t="n">
        <x:v>1898</x:v>
      </x:c>
      <x:c r="B1899" s="4" t="inlineStr">
        <x:is>
          <x:t xml:space="preserve">002138</x:t>
        </x:is>
      </x:c>
      <x:c r="C1899" s="5" t="inlineStr">
        <x:is>
          <x:t xml:space="preserve">顺络电子</x:t>
        </x:is>
      </x:c>
      <x:c r="D1899" s="5" t="inlineStr">
        <x:is>
          <x:t xml:space="preserve">深圳顺络电子股份有限公司</x:t>
        </x:is>
      </x:c>
      <x:c r="E1899" s="4" t="inlineStr">
        <x:is>
          <x:t xml:space="preserve">广东省</x:t>
        </x:is>
      </x:c>
      <x:c r="F1899" s="4" t="inlineStr">
        <x:is>
          <x:t xml:space="preserve">深圳市</x:t>
        </x:is>
      </x:c>
      <x:c r="G1899" s="5" t="inlineStr">
        <x:is>
          <x:t xml:space="preserve">广东省-深圳市</x:t>
        </x:is>
      </x:c>
      <x:c r="H1899" s="4" t="inlineStr">
        <x:is>
          <x:t xml:space="preserve">电子元件</x:t>
        </x:is>
      </x:c>
      <x:c r="I1899" s="4" t="inlineStr">
        <x:is>
          <x:t xml:space="preserve">2007-06-13</x:t>
        </x:is>
      </x:c>
      <x:c r="J1899" s="5" t="inlineStr">
        <x:is>
          <x:t xml:space="preserve">深圳市龙华区观澜街道大富苑工业区顺络观澜工业园</x:t>
        </x:is>
      </x:c>
      <x:c r="K1899" s="12" t="str">
        <x:f>LEFT("914403007230315567",18)</x:f>
        <x:v>914403007230315500</x:v>
      </x:c>
    </x:row>
    <x:row r="1900">
      <x:c r="A1900" s="2" t="n">
        <x:v>1899</x:v>
      </x:c>
      <x:c r="B1900" s="2" t="inlineStr">
        <x:is>
          <x:t xml:space="preserve">002139</x:t>
        </x:is>
      </x:c>
      <x:c r="C1900" s="3" t="inlineStr">
        <x:is>
          <x:t xml:space="preserve">拓邦股份</x:t>
        </x:is>
      </x:c>
      <x:c r="D1900" s="3" t="inlineStr">
        <x:is>
          <x:t xml:space="preserve">深圳拓邦股份有限公司</x:t>
        </x:is>
      </x:c>
      <x:c r="E1900" s="2" t="inlineStr">
        <x:is>
          <x:t xml:space="preserve">广东省</x:t>
        </x:is>
      </x:c>
      <x:c r="F1900" s="2" t="inlineStr">
        <x:is>
          <x:t xml:space="preserve">深圳市</x:t>
        </x:is>
      </x:c>
      <x:c r="G1900" s="3" t="inlineStr">
        <x:is>
          <x:t xml:space="preserve">广东省-深圳市</x:t>
        </x:is>
      </x:c>
      <x:c r="H1900" s="2" t="inlineStr">
        <x:is>
          <x:t xml:space="preserve">消费电子</x:t>
        </x:is>
      </x:c>
      <x:c r="I1900" s="2" t="inlineStr">
        <x:is>
          <x:t xml:space="preserve">2007-06-29</x:t>
        </x:is>
      </x:c>
      <x:c r="J1900" s="3" t="inlineStr">
        <x:is>
          <x:t xml:space="preserve">深圳市宝安区石岩街道塘头社区科技二路拓邦工业园二期一层</x:t>
        </x:is>
      </x:c>
      <x:c r="K1900" s="12" t="str">
        <x:f>LEFT("91440300192413773Q",18)</x:f>
        <x:v>91440300192413773Q</x:v>
      </x:c>
    </x:row>
    <x:row r="1901">
      <x:c r="A1901" s="4" t="n">
        <x:v>1900</x:v>
      </x:c>
      <x:c r="B1901" s="4" t="inlineStr">
        <x:is>
          <x:t xml:space="preserve">002141</x:t>
        </x:is>
      </x:c>
      <x:c r="C1901" s="5" t="inlineStr">
        <x:is>
          <x:t xml:space="preserve">贤丰控股</x:t>
        </x:is>
      </x:c>
      <x:c r="D1901" s="5" t="inlineStr">
        <x:is>
          <x:t xml:space="preserve">贤丰控股股份有限公司</x:t>
        </x:is>
      </x:c>
      <x:c r="E1901" s="4" t="inlineStr">
        <x:is>
          <x:t xml:space="preserve">广东省</x:t>
        </x:is>
      </x:c>
      <x:c r="F1901" s="4" t="inlineStr">
        <x:is>
          <x:t xml:space="preserve">珠海市</x:t>
        </x:is>
      </x:c>
      <x:c r="G1901" s="5" t="inlineStr">
        <x:is>
          <x:t xml:space="preserve">广东省-珠海市</x:t>
        </x:is>
      </x:c>
      <x:c r="H1901" s="4" t="inlineStr">
        <x:is>
          <x:t xml:space="preserve">电子元件</x:t>
        </x:is>
      </x:c>
      <x:c r="I1901" s="4" t="inlineStr">
        <x:is>
          <x:t xml:space="preserve">2007-07-20</x:t>
        </x:is>
      </x:c>
      <x:c r="J1901" s="5" t="inlineStr">
        <x:is>
          <x:t xml:space="preserve">珠海市金湾区三灶镇广源路38号1栋10层1008</x:t>
        </x:is>
      </x:c>
      <x:c r="K1901" s="12" t="str">
        <x:f>LEFT("91440000617503302A",18)</x:f>
        <x:v>91440000617503302A</x:v>
      </x:c>
    </x:row>
    <x:row r="1902">
      <x:c r="A1902" s="2" t="n">
        <x:v>1901</x:v>
      </x:c>
      <x:c r="B1902" s="2" t="inlineStr">
        <x:is>
          <x:t xml:space="preserve">002152</x:t>
        </x:is>
      </x:c>
      <x:c r="C1902" s="3" t="inlineStr">
        <x:is>
          <x:t xml:space="preserve">广电运通</x:t>
        </x:is>
      </x:c>
      <x:c r="D1902" s="3" t="inlineStr">
        <x:is>
          <x:t xml:space="preserve">广电运通集团股份有限公司</x:t>
        </x:is>
      </x:c>
      <x:c r="E1902" s="2" t="inlineStr">
        <x:is>
          <x:t xml:space="preserve">广东省</x:t>
        </x:is>
      </x:c>
      <x:c r="F1902" s="2" t="inlineStr">
        <x:is>
          <x:t xml:space="preserve">广州市</x:t>
        </x:is>
      </x:c>
      <x:c r="G1902" s="3" t="inlineStr">
        <x:is>
          <x:t xml:space="preserve">广东省-广州市</x:t>
        </x:is>
      </x:c>
      <x:c r="H1902" s="2" t="inlineStr">
        <x:is>
          <x:t xml:space="preserve">计算机设备</x:t>
        </x:is>
      </x:c>
      <x:c r="I1902" s="2" t="inlineStr">
        <x:is>
          <x:t xml:space="preserve">2007-08-13</x:t>
        </x:is>
      </x:c>
      <x:c r="J1902" s="3" t="inlineStr">
        <x:is>
          <x:t xml:space="preserve">广州市高新技术产业开发区科学城科林路9、11号</x:t>
        </x:is>
      </x:c>
      <x:c r="K1902" s="12" t="str">
        <x:f>LEFT("914401017163404737",18)</x:f>
        <x:v>914401017163404800</x:v>
      </x:c>
    </x:row>
    <x:row r="1903">
      <x:c r="A1903" s="4" t="n">
        <x:v>1902</x:v>
      </x:c>
      <x:c r="B1903" s="4" t="inlineStr">
        <x:is>
          <x:t xml:space="preserve">002161</x:t>
        </x:is>
      </x:c>
      <x:c r="C1903" s="5" t="inlineStr">
        <x:is>
          <x:t xml:space="preserve">远望谷</x:t>
        </x:is>
      </x:c>
      <x:c r="D1903" s="5" t="inlineStr">
        <x:is>
          <x:t xml:space="preserve">深圳市远望谷信息技术股份有限公司</x:t>
        </x:is>
      </x:c>
      <x:c r="E1903" s="4" t="inlineStr">
        <x:is>
          <x:t xml:space="preserve">广东省</x:t>
        </x:is>
      </x:c>
      <x:c r="F1903" s="4" t="inlineStr">
        <x:is>
          <x:t xml:space="preserve">深圳市</x:t>
        </x:is>
      </x:c>
      <x:c r="G1903" s="5" t="inlineStr">
        <x:is>
          <x:t xml:space="preserve">广东省-深圳市</x:t>
        </x:is>
      </x:c>
      <x:c r="H1903" s="4" t="inlineStr">
        <x:is>
          <x:t xml:space="preserve">电子元件</x:t>
        </x:is>
      </x:c>
      <x:c r="I1903" s="4" t="inlineStr">
        <x:is>
          <x:t xml:space="preserve">2007-08-21</x:t>
        </x:is>
      </x:c>
      <x:c r="J1903" s="5" t="inlineStr">
        <x:is>
          <x:t xml:space="preserve">深圳市南山区粤海街道高新南十道63号高新区联合总部大厦27、28楼</x:t>
        </x:is>
      </x:c>
      <x:c r="K1903" s="12" t="str">
        <x:f>LEFT("914403007152568356",18)</x:f>
        <x:v>914403007152568300</x:v>
      </x:c>
    </x:row>
    <x:row r="1904">
      <x:c r="A1904" s="2" t="n">
        <x:v>1903</x:v>
      </x:c>
      <x:c r="B1904" s="2" t="inlineStr">
        <x:is>
          <x:t xml:space="preserve">002163</x:t>
        </x:is>
      </x:c>
      <x:c r="C1904" s="3" t="inlineStr">
        <x:is>
          <x:t xml:space="preserve">海南发展</x:t>
        </x:is>
      </x:c>
      <x:c r="D1904" s="3" t="inlineStr">
        <x:is>
          <x:t xml:space="preserve">海控南海发展股份有限公司</x:t>
        </x:is>
      </x:c>
      <x:c r="E1904" s="2" t="inlineStr">
        <x:is>
          <x:t xml:space="preserve">广东省</x:t>
        </x:is>
      </x:c>
      <x:c r="F1904" s="2" t="inlineStr">
        <x:is>
          <x:t xml:space="preserve">深圳市</x:t>
        </x:is>
      </x:c>
      <x:c r="G1904" s="3" t="inlineStr">
        <x:is>
          <x:t xml:space="preserve">广东省-深圳市</x:t>
        </x:is>
      </x:c>
      <x:c r="H1904" s="2" t="inlineStr">
        <x:is>
          <x:t xml:space="preserve">玻璃陶瓷</x:t>
        </x:is>
      </x:c>
      <x:c r="I1904" s="2" t="inlineStr">
        <x:is>
          <x:t xml:space="preserve">2007-08-23</x:t>
        </x:is>
      </x:c>
      <x:c r="J1904" s="3" t="inlineStr">
        <x:is>
          <x:t xml:space="preserve">广东省深圳市南山区南海大道2061号新保辉大厦17层</x:t>
        </x:is>
      </x:c>
      <x:c r="K1904" s="12" t="str">
        <x:f>LEFT("914403001923528003",18)</x:f>
        <x:v>914403001923528100</x:v>
      </x:c>
    </x:row>
    <x:row r="1905">
      <x:c r="A1905" s="4" t="n">
        <x:v>1904</x:v>
      </x:c>
      <x:c r="B1905" s="4" t="inlineStr">
        <x:is>
          <x:t xml:space="preserve">002167</x:t>
        </x:is>
      </x:c>
      <x:c r="C1905" s="5" t="inlineStr">
        <x:is>
          <x:t xml:space="preserve">东方锆业</x:t>
        </x:is>
      </x:c>
      <x:c r="D1905" s="5" t="inlineStr">
        <x:is>
          <x:t xml:space="preserve">广东东方锆业科技股份有限公司</x:t>
        </x:is>
      </x:c>
      <x:c r="E1905" s="4" t="inlineStr">
        <x:is>
          <x:t xml:space="preserve">广东省</x:t>
        </x:is>
      </x:c>
      <x:c r="F1905" s="4" t="inlineStr">
        <x:is>
          <x:t xml:space="preserve">汕头市</x:t>
        </x:is>
      </x:c>
      <x:c r="G1905" s="5" t="inlineStr">
        <x:is>
          <x:t xml:space="preserve">广东省-汕头市</x:t>
        </x:is>
      </x:c>
      <x:c r="H1905" s="4" t="inlineStr">
        <x:is>
          <x:t xml:space="preserve">小金属</x:t>
        </x:is>
      </x:c>
      <x:c r="I1905" s="4" t="inlineStr">
        <x:is>
          <x:t xml:space="preserve">2007-09-13</x:t>
        </x:is>
      </x:c>
      <x:c r="J1905" s="5" t="inlineStr">
        <x:is>
          <x:t xml:space="preserve">汕头市澄海区盐鸿镇顶洋路北东方锆业园综合楼</x:t>
        </x:is>
      </x:c>
      <x:c r="K1905" s="12" t="str">
        <x:f>LEFT("9144050061755920X4",18)</x:f>
        <x:v>9144050061755920X4</x:v>
      </x:c>
    </x:row>
    <x:row r="1906">
      <x:c r="A1906" s="2" t="n">
        <x:v>1905</x:v>
      </x:c>
      <x:c r="B1906" s="2" t="inlineStr">
        <x:is>
          <x:t xml:space="preserve">002169</x:t>
        </x:is>
      </x:c>
      <x:c r="C1906" s="3" t="inlineStr">
        <x:is>
          <x:t xml:space="preserve">智光电气</x:t>
        </x:is>
      </x:c>
      <x:c r="D1906" s="3" t="inlineStr">
        <x:is>
          <x:t xml:space="preserve">广州智光电气股份有限公司</x:t>
        </x:is>
      </x:c>
      <x:c r="E1906" s="2" t="inlineStr">
        <x:is>
          <x:t xml:space="preserve">广东省</x:t>
        </x:is>
      </x:c>
      <x:c r="F1906" s="2" t="inlineStr">
        <x:is>
          <x:t xml:space="preserve">广州市</x:t>
        </x:is>
      </x:c>
      <x:c r="G1906" s="3" t="inlineStr">
        <x:is>
          <x:t xml:space="preserve">广东省-广州市</x:t>
        </x:is>
      </x:c>
      <x:c r="H1906" s="2" t="inlineStr">
        <x:is>
          <x:t xml:space="preserve">输配电气</x:t>
        </x:is>
      </x:c>
      <x:c r="I1906" s="2" t="inlineStr">
        <x:is>
          <x:t xml:space="preserve">2007-09-19</x:t>
        </x:is>
      </x:c>
      <x:c r="J1906" s="3" t="inlineStr">
        <x:is>
          <x:t xml:space="preserve">广州市黄埔区云埔工业区埔南路51号</x:t>
        </x:is>
      </x:c>
      <x:c r="K1906" s="12" t="str">
        <x:f>LEFT("91440101714276826M",18)</x:f>
        <x:v>91440101714276826M</x:v>
      </x:c>
    </x:row>
    <x:row r="1907">
      <x:c r="A1907" s="4" t="n">
        <x:v>1906</x:v>
      </x:c>
      <x:c r="B1907" s="4" t="inlineStr">
        <x:is>
          <x:t xml:space="preserve">002170</x:t>
        </x:is>
      </x:c>
      <x:c r="C1907" s="5" t="inlineStr">
        <x:is>
          <x:t xml:space="preserve">芭田股份</x:t>
        </x:is>
      </x:c>
      <x:c r="D1907" s="5" t="inlineStr">
        <x:is>
          <x:t xml:space="preserve">深圳市芭田生态工程股份有限公司</x:t>
        </x:is>
      </x:c>
      <x:c r="E1907" s="4" t="inlineStr">
        <x:is>
          <x:t xml:space="preserve">广东省</x:t>
        </x:is>
      </x:c>
      <x:c r="F1907" s="4" t="inlineStr">
        <x:is>
          <x:t xml:space="preserve">深圳市</x:t>
        </x:is>
      </x:c>
      <x:c r="G1907" s="5" t="inlineStr">
        <x:is>
          <x:t xml:space="preserve">广东省-深圳市</x:t>
        </x:is>
      </x:c>
      <x:c r="H1907" s="4" t="inlineStr">
        <x:is>
          <x:t xml:space="preserve">化肥行业</x:t>
        </x:is>
      </x:c>
      <x:c r="I1907" s="4" t="inlineStr">
        <x:is>
          <x:t xml:space="preserve">2007-09-19</x:t>
        </x:is>
      </x:c>
      <x:c r="J1907" s="5" t="inlineStr">
        <x:is>
          <x:t xml:space="preserve">深圳市南山区高新技术园学府路63号联合总部大厦30-31楼</x:t>
        </x:is>
      </x:c>
      <x:c r="K1907" s="12" t="str">
        <x:f>LEFT("91440300192175891F",18)</x:f>
        <x:v>91440300192175891F</x:v>
      </x:c>
    </x:row>
    <x:row r="1908">
      <x:c r="A1908" s="2" t="n">
        <x:v>1907</x:v>
      </x:c>
      <x:c r="B1908" s="2" t="inlineStr">
        <x:is>
          <x:t xml:space="preserve">002177</x:t>
        </x:is>
      </x:c>
      <x:c r="C1908" s="3" t="inlineStr">
        <x:is>
          <x:t xml:space="preserve">御银股份</x:t>
        </x:is>
      </x:c>
      <x:c r="D1908" s="3" t="inlineStr">
        <x:is>
          <x:t xml:space="preserve">广州御银科技股份有限公司</x:t>
        </x:is>
      </x:c>
      <x:c r="E1908" s="2" t="inlineStr">
        <x:is>
          <x:t xml:space="preserve">广东省</x:t>
        </x:is>
      </x:c>
      <x:c r="F1908" s="2" t="inlineStr">
        <x:is>
          <x:t xml:space="preserve">广州市</x:t>
        </x:is>
      </x:c>
      <x:c r="G1908" s="3" t="inlineStr">
        <x:is>
          <x:t xml:space="preserve">广东省-广州市</x:t>
        </x:is>
      </x:c>
      <x:c r="H1908" s="2" t="inlineStr">
        <x:is>
          <x:t xml:space="preserve">计算机设备</x:t>
        </x:is>
      </x:c>
      <x:c r="I1908" s="2" t="inlineStr">
        <x:is>
          <x:t xml:space="preserve">2007-11-01</x:t>
        </x:is>
      </x:c>
      <x:c r="J1908" s="3" t="inlineStr">
        <x:is>
          <x:t xml:space="preserve">广州市天河区高唐路234号901房</x:t>
        </x:is>
      </x:c>
      <x:c r="K1908" s="12" t="str">
        <x:f>LEFT("9144010172680151XE",18)</x:f>
        <x:v>9144010172680151XE</x:v>
      </x:c>
    </x:row>
    <x:row r="1909">
      <x:c r="A1909" s="4" t="n">
        <x:v>1908</x:v>
      </x:c>
      <x:c r="B1909" s="4" t="inlineStr">
        <x:is>
          <x:t xml:space="preserve">002180</x:t>
        </x:is>
      </x:c>
      <x:c r="C1909" s="5" t="inlineStr">
        <x:is>
          <x:t xml:space="preserve">纳思达</x:t>
        </x:is>
      </x:c>
      <x:c r="D1909" s="5" t="inlineStr">
        <x:is>
          <x:t xml:space="preserve">纳思达股份有限公司</x:t>
        </x:is>
      </x:c>
      <x:c r="E1909" s="4" t="inlineStr">
        <x:is>
          <x:t xml:space="preserve">广东省</x:t>
        </x:is>
      </x:c>
      <x:c r="F1909" s="4" t="inlineStr">
        <x:is>
          <x:t xml:space="preserve">珠海市</x:t>
        </x:is>
      </x:c>
      <x:c r="G1909" s="5" t="inlineStr">
        <x:is>
          <x:t xml:space="preserve">广东省-珠海市</x:t>
        </x:is>
      </x:c>
      <x:c r="H1909" s="4" t="inlineStr">
        <x:is>
          <x:t xml:space="preserve">计算机设备</x:t>
        </x:is>
      </x:c>
      <x:c r="I1909" s="4" t="inlineStr">
        <x:is>
          <x:t xml:space="preserve">2007-11-13</x:t>
        </x:is>
      </x:c>
      <x:c r="J1909" s="5" t="inlineStr">
        <x:is>
          <x:t xml:space="preserve">珠海市香洲区珠海大道3883号7楼B区</x:t>
        </x:is>
      </x:c>
      <x:c r="K1909" s="12" t="str">
        <x:f>LEFT("914404001926372834",18)</x:f>
        <x:v>914404001926372900</x:v>
      </x:c>
    </x:row>
    <x:row r="1910">
      <x:c r="A1910" s="2" t="n">
        <x:v>1909</x:v>
      </x:c>
      <x:c r="B1910" s="2" t="inlineStr">
        <x:is>
          <x:t xml:space="preserve">002181</x:t>
        </x:is>
      </x:c>
      <x:c r="C1910" s="3" t="inlineStr">
        <x:is>
          <x:t xml:space="preserve">粤传媒</x:t>
        </x:is>
      </x:c>
      <x:c r="D1910" s="3" t="inlineStr">
        <x:is>
          <x:t xml:space="preserve">广东广州日报传媒股份有限公司</x:t>
        </x:is>
      </x:c>
      <x:c r="E1910" s="2" t="inlineStr">
        <x:is>
          <x:t xml:space="preserve">广东省</x:t>
        </x:is>
      </x:c>
      <x:c r="F1910" s="2" t="inlineStr">
        <x:is>
          <x:t xml:space="preserve">广州市</x:t>
        </x:is>
      </x:c>
      <x:c r="G1910" s="3" t="inlineStr">
        <x:is>
          <x:t xml:space="preserve">广东省-广州市</x:t>
        </x:is>
      </x:c>
      <x:c r="H1910" s="2" t="inlineStr">
        <x:is>
          <x:t xml:space="preserve">文化传媒</x:t>
        </x:is>
      </x:c>
      <x:c r="I1910" s="2" t="inlineStr">
        <x:is>
          <x:t xml:space="preserve">2007-11-16</x:t>
        </x:is>
      </x:c>
      <x:c r="J1910" s="3" t="inlineStr">
        <x:is>
          <x:t xml:space="preserve">广州市海珠区芳园路138号粤传媒大厦30层3001室</x:t>
        </x:is>
      </x:c>
      <x:c r="K1910" s="12" t="str">
        <x:f>LEFT("91440000197576715Y",18)</x:f>
        <x:v>91440000197576715Y</x:v>
      </x:c>
    </x:row>
    <x:row r="1911">
      <x:c r="A1911" s="4" t="n">
        <x:v>1910</x:v>
      </x:c>
      <x:c r="B1911" s="4" t="inlineStr">
        <x:is>
          <x:t xml:space="preserve">002183</x:t>
        </x:is>
      </x:c>
      <x:c r="C1911" s="5" t="inlineStr">
        <x:is>
          <x:t xml:space="preserve">怡亚通</x:t>
        </x:is>
      </x:c>
      <x:c r="D1911" s="5" t="inlineStr">
        <x:is>
          <x:t xml:space="preserve">深圳市怡亚通供应链股份有限公司</x:t>
        </x:is>
      </x:c>
      <x:c r="E1911" s="4" t="inlineStr">
        <x:is>
          <x:t xml:space="preserve">广东省</x:t>
        </x:is>
      </x:c>
      <x:c r="F1911" s="4" t="inlineStr">
        <x:is>
          <x:t xml:space="preserve">深圳市</x:t>
        </x:is>
      </x:c>
      <x:c r="G1911" s="5" t="inlineStr">
        <x:is>
          <x:t xml:space="preserve">广东省-深圳市</x:t>
        </x:is>
      </x:c>
      <x:c r="H1911" s="4" t="inlineStr">
        <x:is>
          <x:t xml:space="preserve">贸易行业</x:t>
        </x:is>
      </x:c>
      <x:c r="I1911" s="4" t="inlineStr">
        <x:is>
          <x:t xml:space="preserve">2007-11-13</x:t>
        </x:is>
      </x:c>
      <x:c r="J1911" s="5" t="inlineStr">
        <x:is>
          <x:t xml:space="preserve">深圳市宝安区新安街道海滨社区滨港二路31号怡亚通大厦906</x:t>
        </x:is>
      </x:c>
      <x:c r="K1911" s="12" t="str">
        <x:f>LEFT("91440300279398406U",18)</x:f>
        <x:v>91440300279398406U</x:v>
      </x:c>
    </x:row>
    <x:row r="1912">
      <x:c r="A1912" s="2" t="n">
        <x:v>1911</x:v>
      </x:c>
      <x:c r="B1912" s="2" t="inlineStr">
        <x:is>
          <x:t xml:space="preserve">002187</x:t>
        </x:is>
      </x:c>
      <x:c r="C1912" s="3" t="inlineStr">
        <x:is>
          <x:t xml:space="preserve">广百股份</x:t>
        </x:is>
      </x:c>
      <x:c r="D1912" s="3" t="inlineStr">
        <x:is>
          <x:t xml:space="preserve">广州市广百股份有限公司</x:t>
        </x:is>
      </x:c>
      <x:c r="E1912" s="2" t="inlineStr">
        <x:is>
          <x:t xml:space="preserve">广东省</x:t>
        </x:is>
      </x:c>
      <x:c r="F1912" s="2" t="inlineStr">
        <x:is>
          <x:t xml:space="preserve">广州市</x:t>
        </x:is>
      </x:c>
      <x:c r="G1912" s="3" t="inlineStr">
        <x:is>
          <x:t xml:space="preserve">广东省-广州市</x:t>
        </x:is>
      </x:c>
      <x:c r="H1912" s="2" t="inlineStr">
        <x:is>
          <x:t xml:space="preserve">商业百货</x:t>
        </x:is>
      </x:c>
      <x:c r="I1912" s="2" t="inlineStr">
        <x:is>
          <x:t xml:space="preserve">2007-11-22</x:t>
        </x:is>
      </x:c>
      <x:c r="J1912" s="3" t="inlineStr">
        <x:is>
          <x:t xml:space="preserve">广东省广州市越秀区西湖路12号</x:t>
        </x:is>
      </x:c>
      <x:c r="K1912" s="12" t="str">
        <x:f>LEFT("91440101190422131L",18)</x:f>
        <x:v>91440101190422131L</x:v>
      </x:c>
    </x:row>
    <x:row r="1913">
      <x:c r="A1913" s="4" t="n">
        <x:v>1912</x:v>
      </x:c>
      <x:c r="B1913" s="4" t="inlineStr">
        <x:is>
          <x:t xml:space="preserve">002191</x:t>
        </x:is>
      </x:c>
      <x:c r="C1913" s="5" t="inlineStr">
        <x:is>
          <x:t xml:space="preserve">劲嘉股份</x:t>
        </x:is>
      </x:c>
      <x:c r="D1913" s="5" t="inlineStr">
        <x:is>
          <x:t xml:space="preserve">深圳劲嘉集团股份有限公司</x:t>
        </x:is>
      </x:c>
      <x:c r="E1913" s="4" t="inlineStr">
        <x:is>
          <x:t xml:space="preserve">广东省</x:t>
        </x:is>
      </x:c>
      <x:c r="F1913" s="4" t="inlineStr">
        <x:is>
          <x:t xml:space="preserve">深圳市</x:t>
        </x:is>
      </x:c>
      <x:c r="G1913" s="5" t="inlineStr">
        <x:is>
          <x:t xml:space="preserve">广东省-深圳市</x:t>
        </x:is>
      </x:c>
      <x:c r="H1913" s="4" t="inlineStr">
        <x:is>
          <x:t xml:space="preserve">包装材料</x:t>
        </x:is>
      </x:c>
      <x:c r="I1913" s="4" t="inlineStr">
        <x:is>
          <x:t xml:space="preserve">2007-12-05</x:t>
        </x:is>
      </x:c>
      <x:c r="J1913" s="5" t="inlineStr">
        <x:is>
          <x:t xml:space="preserve">深圳市南山区科技中二路劲嘉科技大厦18-19层</x:t>
        </x:is>
      </x:c>
      <x:c r="K1913" s="12" t="str">
        <x:f>LEFT("91440300618921880R",18)</x:f>
        <x:v>91440300618921880R</x:v>
      </x:c>
    </x:row>
    <x:row r="1914">
      <x:c r="A1914" s="2" t="n">
        <x:v>1913</x:v>
      </x:c>
      <x:c r="B1914" s="2" t="inlineStr">
        <x:is>
          <x:t xml:space="preserve">002192</x:t>
        </x:is>
      </x:c>
      <x:c r="C1914" s="3" t="inlineStr">
        <x:is>
          <x:t xml:space="preserve">融捷股份</x:t>
        </x:is>
      </x:c>
      <x:c r="D1914" s="3" t="inlineStr">
        <x:is>
          <x:t xml:space="preserve">融捷股份有限公司</x:t>
        </x:is>
      </x:c>
      <x:c r="E1914" s="2" t="inlineStr">
        <x:is>
          <x:t xml:space="preserve">广东省</x:t>
        </x:is>
      </x:c>
      <x:c r="F1914" s="2" t="inlineStr">
        <x:is>
          <x:t xml:space="preserve">广州市</x:t>
        </x:is>
      </x:c>
      <x:c r="G1914" s="3" t="inlineStr">
        <x:is>
          <x:t xml:space="preserve">广东省-广州市</x:t>
        </x:is>
      </x:c>
      <x:c r="H1914" s="2" t="inlineStr">
        <x:is>
          <x:t xml:space="preserve">能源金属</x:t>
        </x:is>
      </x:c>
      <x:c r="I1914" s="2" t="inlineStr">
        <x:is>
          <x:t xml:space="preserve">2007-12-05</x:t>
        </x:is>
      </x:c>
      <x:c r="J1914" s="3" t="inlineStr">
        <x:is>
          <x:t xml:space="preserve">广州市天河区珠江西路5号4504房、4505房</x:t>
        </x:is>
      </x:c>
      <x:c r="K1914" s="12" t="str">
        <x:f>LEFT("914401017083874153",18)</x:f>
        <x:v>914401017083874200</x:v>
      </x:c>
    </x:row>
    <x:row r="1915">
      <x:c r="A1915" s="4" t="n">
        <x:v>1914</x:v>
      </x:c>
      <x:c r="B1915" s="4" t="inlineStr">
        <x:is>
          <x:t xml:space="preserve">002197</x:t>
        </x:is>
      </x:c>
      <x:c r="C1915" s="5" t="inlineStr">
        <x:is>
          <x:t xml:space="preserve">证通电子</x:t>
        </x:is>
      </x:c>
      <x:c r="D1915" s="5" t="inlineStr">
        <x:is>
          <x:t xml:space="preserve">深圳市证通电子股份有限公司</x:t>
        </x:is>
      </x:c>
      <x:c r="E1915" s="4" t="inlineStr">
        <x:is>
          <x:t xml:space="preserve">广东省</x:t>
        </x:is>
      </x:c>
      <x:c r="F1915" s="4" t="inlineStr">
        <x:is>
          <x:t xml:space="preserve">深圳市</x:t>
        </x:is>
      </x:c>
      <x:c r="G1915" s="5" t="inlineStr">
        <x:is>
          <x:t xml:space="preserve">广东省-深圳市</x:t>
        </x:is>
      </x:c>
      <x:c r="H1915" s="4" t="inlineStr">
        <x:is>
          <x:t xml:space="preserve">计算机设备</x:t>
        </x:is>
      </x:c>
      <x:c r="I1915" s="4" t="inlineStr">
        <x:is>
          <x:t xml:space="preserve">2007-12-18</x:t>
        </x:is>
      </x:c>
      <x:c r="J1915" s="5" t="inlineStr">
        <x:is>
          <x:t xml:space="preserve">深圳市光明区玉塘街道田寮社区同观大道3号证通电子产业园二期-101</x:t>
        </x:is>
      </x:c>
      <x:c r="K1915" s="12" t="str">
        <x:f>LEFT("91440300279402305L",18)</x:f>
        <x:v>91440300279402305L</x:v>
      </x:c>
    </x:row>
    <x:row r="1916">
      <x:c r="A1916" s="2" t="n">
        <x:v>1915</x:v>
      </x:c>
      <x:c r="B1916" s="2" t="inlineStr">
        <x:is>
          <x:t xml:space="preserve">002198</x:t>
        </x:is>
      </x:c>
      <x:c r="C1916" s="3" t="inlineStr">
        <x:is>
          <x:t xml:space="preserve">嘉应制药</x:t>
        </x:is>
      </x:c>
      <x:c r="D1916" s="3" t="inlineStr">
        <x:is>
          <x:t xml:space="preserve">广东嘉应制药股份有限公司</x:t>
        </x:is>
      </x:c>
      <x:c r="E1916" s="2" t="inlineStr">
        <x:is>
          <x:t xml:space="preserve">广东省</x:t>
        </x:is>
      </x:c>
      <x:c r="F1916" s="2" t="inlineStr">
        <x:is>
          <x:t xml:space="preserve">梅州市</x:t>
        </x:is>
      </x:c>
      <x:c r="G1916" s="3" t="inlineStr">
        <x:is>
          <x:t xml:space="preserve">广东省-梅州市</x:t>
        </x:is>
      </x:c>
      <x:c r="H1916" s="2" t="inlineStr">
        <x:is>
          <x:t xml:space="preserve">中药</x:t>
        </x:is>
      </x:c>
      <x:c r="I1916" s="2" t="inlineStr">
        <x:is>
          <x:t xml:space="preserve">2007-12-18</x:t>
        </x:is>
      </x:c>
      <x:c r="J1916" s="3" t="inlineStr">
        <x:is>
          <x:t xml:space="preserve">广东省梅州市东升工业园B区</x:t>
        </x:is>
      </x:c>
      <x:c r="K1916" s="12" t="str">
        <x:f>LEFT("91441400748002647K",18)</x:f>
        <x:v>91441400748002647K</x:v>
      </x:c>
    </x:row>
    <x:row r="1917">
      <x:c r="A1917" s="4" t="n">
        <x:v>1916</x:v>
      </x:c>
      <x:c r="B1917" s="4" t="inlineStr">
        <x:is>
          <x:t xml:space="preserve">002209</x:t>
        </x:is>
      </x:c>
      <x:c r="C1917" s="5" t="inlineStr">
        <x:is>
          <x:t xml:space="preserve">达意隆</x:t>
        </x:is>
      </x:c>
      <x:c r="D1917" s="5" t="inlineStr">
        <x:is>
          <x:t xml:space="preserve">广州达意隆包装机械股份有限公司</x:t>
        </x:is>
      </x:c>
      <x:c r="E1917" s="4" t="inlineStr">
        <x:is>
          <x:t xml:space="preserve">广东省</x:t>
        </x:is>
      </x:c>
      <x:c r="F1917" s="4" t="inlineStr">
        <x:is>
          <x:t xml:space="preserve">广州市</x:t>
        </x:is>
      </x:c>
      <x:c r="G1917" s="5" t="inlineStr">
        <x:is>
          <x:t xml:space="preserve">广东省-广州市</x:t>
        </x:is>
      </x:c>
      <x:c r="H1917" s="4" t="inlineStr">
        <x:is>
          <x:t xml:space="preserve">专用设备</x:t>
        </x:is>
      </x:c>
      <x:c r="I1917" s="4" t="inlineStr">
        <x:is>
          <x:t xml:space="preserve">2008-01-30</x:t>
        </x:is>
      </x:c>
      <x:c r="J1917" s="5" t="inlineStr">
        <x:is>
          <x:t xml:space="preserve">广州市黄埔区云埔一路23号</x:t>
        </x:is>
      </x:c>
      <x:c r="K1917" s="12" t="str">
        <x:f>LEFT("914401017142188882",18)</x:f>
        <x:v>914401017142188900</x:v>
      </x:c>
    </x:row>
    <x:row r="1918">
      <x:c r="A1918" s="2" t="n">
        <x:v>1917</x:v>
      </x:c>
      <x:c r="B1918" s="2" t="inlineStr">
        <x:is>
          <x:t xml:space="preserve">002210</x:t>
        </x:is>
      </x:c>
      <x:c r="C1918" s="3" t="inlineStr">
        <x:is>
          <x:t xml:space="preserve">飞马国际</x:t>
        </x:is>
      </x:c>
      <x:c r="D1918" s="3" t="inlineStr">
        <x:is>
          <x:t xml:space="preserve">深圳市飞马国际供应链股份有限公司</x:t>
        </x:is>
      </x:c>
      <x:c r="E1918" s="2" t="inlineStr">
        <x:is>
          <x:t xml:space="preserve">广东省</x:t>
        </x:is>
      </x:c>
      <x:c r="F1918" s="2" t="inlineStr">
        <x:is>
          <x:t xml:space="preserve">深圳市</x:t>
        </x:is>
      </x:c>
      <x:c r="G1918" s="3" t="inlineStr">
        <x:is>
          <x:t xml:space="preserve">广东省-深圳市</x:t>
        </x:is>
      </x:c>
      <x:c r="H1918" s="2" t="inlineStr">
        <x:is>
          <x:t xml:space="preserve">环保行业</x:t>
        </x:is>
      </x:c>
      <x:c r="I1918" s="2" t="inlineStr">
        <x:is>
          <x:t xml:space="preserve">2008-01-30</x:t>
        </x:is>
      </x:c>
      <x:c r="J1918" s="3" t="inlineStr">
        <x:is>
          <x:t xml:space="preserve">深圳市南山区粤海街道海珠社区文心五路11号汇通大厦11B</x:t>
        </x:is>
      </x:c>
      <x:c r="K1918" s="12" t="str">
        <x:f>LEFT("914403007084294519",18)</x:f>
        <x:v>914403007084294500</x:v>
      </x:c>
    </x:row>
    <x:row r="1919">
      <x:c r="A1919" s="4" t="n">
        <x:v>1918</x:v>
      </x:c>
      <x:c r="B1919" s="4" t="inlineStr">
        <x:is>
          <x:t xml:space="preserve">002212</x:t>
        </x:is>
      </x:c>
      <x:c r="C1919" s="5" t="inlineStr">
        <x:is>
          <x:t xml:space="preserve">天融信</x:t>
        </x:is>
      </x:c>
      <x:c r="D1919" s="5" t="inlineStr">
        <x:is>
          <x:t xml:space="preserve">天融信科技集团股份有限公司</x:t>
        </x:is>
      </x:c>
      <x:c r="E1919" s="4" t="inlineStr">
        <x:is>
          <x:t xml:space="preserve">广东省</x:t>
        </x:is>
      </x:c>
      <x:c r="F1919" s="4" t="inlineStr">
        <x:is>
          <x:t xml:space="preserve">汕头市</x:t>
        </x:is>
      </x:c>
      <x:c r="G1919" s="5" t="inlineStr">
        <x:is>
          <x:t xml:space="preserve">广东省-汕头市</x:t>
        </x:is>
      </x:c>
      <x:c r="H1919" s="4" t="inlineStr">
        <x:is>
          <x:t xml:space="preserve">软件开发</x:t>
        </x:is>
      </x:c>
      <x:c r="I1919" s="4" t="inlineStr">
        <x:is>
          <x:t xml:space="preserve">2008-02-01</x:t>
        </x:is>
      </x:c>
      <x:c r="J1919" s="5" t="inlineStr">
        <x:is>
          <x:t xml:space="preserve">汕头市金平区鮀江街道后兰路与鮀中路交界东北角合晨晖照产业园1栋109房</x:t>
        </x:is>
      </x:c>
      <x:c r="K1919" s="12" t="str">
        <x:f>LEFT("914405001929358117",18)</x:f>
        <x:v>914405001929358100</x:v>
      </x:c>
    </x:row>
    <x:row r="1920">
      <x:c r="A1920" s="2" t="n">
        <x:v>1919</x:v>
      </x:c>
      <x:c r="B1920" s="2" t="inlineStr">
        <x:is>
          <x:t xml:space="preserve">002213</x:t>
        </x:is>
      </x:c>
      <x:c r="C1920" s="3" t="inlineStr">
        <x:is>
          <x:t xml:space="preserve">大为股份</x:t>
        </x:is>
      </x:c>
      <x:c r="D1920" s="3" t="inlineStr">
        <x:is>
          <x:t xml:space="preserve">深圳市大为创新科技股份有限公司</x:t>
        </x:is>
      </x:c>
      <x:c r="E1920" s="2" t="inlineStr">
        <x:is>
          <x:t xml:space="preserve">广东省</x:t>
        </x:is>
      </x:c>
      <x:c r="F1920" s="2" t="inlineStr">
        <x:is>
          <x:t xml:space="preserve">深圳市</x:t>
        </x:is>
      </x:c>
      <x:c r="G1920" s="3" t="inlineStr">
        <x:is>
          <x:t xml:space="preserve">广东省-深圳市</x:t>
        </x:is>
      </x:c>
      <x:c r="H1920" s="2" t="inlineStr">
        <x:is>
          <x:t xml:space="preserve">半导体</x:t>
        </x:is>
      </x:c>
      <x:c r="I1920" s="2" t="inlineStr">
        <x:is>
          <x:t xml:space="preserve">2008-02-01</x:t>
        </x:is>
      </x:c>
      <x:c r="J1920" s="3" t="inlineStr">
        <x:is>
          <x:t xml:space="preserve">深圳市南山区粤海街道高新区社区科技南路18号深圳湾科技生态园12栋A1406</x:t>
        </x:is>
      </x:c>
      <x:c r="K1920" s="12" t="str">
        <x:f>LEFT("91440300724722471U",18)</x:f>
        <x:v>91440300724722471U</x:v>
      </x:c>
    </x:row>
    <x:row r="1921">
      <x:c r="A1921" s="4" t="n">
        <x:v>1920</x:v>
      </x:c>
      <x:c r="B1921" s="4" t="inlineStr">
        <x:is>
          <x:t xml:space="preserve">002215</x:t>
        </x:is>
      </x:c>
      <x:c r="C1921" s="5" t="inlineStr">
        <x:is>
          <x:t xml:space="preserve">诺普信</x:t>
        </x:is>
      </x:c>
      <x:c r="D1921" s="5" t="inlineStr">
        <x:is>
          <x:t xml:space="preserve">深圳诺普信作物科学股份有限公司</x:t>
        </x:is>
      </x:c>
      <x:c r="E1921" s="4" t="inlineStr">
        <x:is>
          <x:t xml:space="preserve">广东省</x:t>
        </x:is>
      </x:c>
      <x:c r="F1921" s="4" t="inlineStr">
        <x:is>
          <x:t xml:space="preserve">深圳市</x:t>
        </x:is>
      </x:c>
      <x:c r="G1921" s="5" t="inlineStr">
        <x:is>
          <x:t xml:space="preserve">广东省-深圳市</x:t>
        </x:is>
      </x:c>
      <x:c r="H1921" s="4" t="inlineStr">
        <x:is>
          <x:t xml:space="preserve">农药兽药</x:t>
        </x:is>
      </x:c>
      <x:c r="I1921" s="4" t="inlineStr">
        <x:is>
          <x:t xml:space="preserve">2008-02-18</x:t>
        </x:is>
      </x:c>
      <x:c r="J1921" s="5" t="inlineStr">
        <x:is>
          <x:t xml:space="preserve">深圳市宝安区西乡水库路113号</x:t>
        </x:is>
      </x:c>
      <x:c r="K1921" s="12" t="str">
        <x:f>LEFT("9144030071524157XP",18)</x:f>
        <x:v>9144030071524157XP</x:v>
      </x:c>
    </x:row>
    <x:row r="1922">
      <x:c r="A1922" s="2" t="n">
        <x:v>1921</x:v>
      </x:c>
      <x:c r="B1922" s="2" t="inlineStr">
        <x:is>
          <x:t xml:space="preserve">002218</x:t>
        </x:is>
      </x:c>
      <x:c r="C1922" s="3" t="inlineStr">
        <x:is>
          <x:t xml:space="preserve">拓日新能</x:t>
        </x:is>
      </x:c>
      <x:c r="D1922" s="3" t="inlineStr">
        <x:is>
          <x:t xml:space="preserve">深圳市拓日新能源科技股份有限公司</x:t>
        </x:is>
      </x:c>
      <x:c r="E1922" s="2" t="inlineStr">
        <x:is>
          <x:t xml:space="preserve">广东省</x:t>
        </x:is>
      </x:c>
      <x:c r="F1922" s="2" t="inlineStr">
        <x:is>
          <x:t xml:space="preserve">深圳市</x:t>
        </x:is>
      </x:c>
      <x:c r="G1922" s="3" t="inlineStr">
        <x:is>
          <x:t xml:space="preserve">广东省-深圳市</x:t>
        </x:is>
      </x:c>
      <x:c r="H1922" s="2" t="inlineStr">
        <x:is>
          <x:t xml:space="preserve">光伏设备</x:t>
        </x:is>
      </x:c>
      <x:c r="I1922" s="2" t="inlineStr">
        <x:is>
          <x:t xml:space="preserve">2008-02-28</x:t>
        </x:is>
      </x:c>
      <x:c r="J1922" s="3" t="inlineStr">
        <x:is>
          <x:t xml:space="preserve">深圳市南山区侨城北路香年广场[南区]主楼(A座)栋—座8层802-804号房</x:t>
        </x:is>
      </x:c>
      <x:c r="K1922" s="12" t="str">
        <x:f>LEFT("91440300741234170J",18)</x:f>
        <x:v>91440300741234170J</x:v>
      </x:c>
    </x:row>
    <x:row r="1923">
      <x:c r="A1923" s="4" t="n">
        <x:v>1922</x:v>
      </x:c>
      <x:c r="B1923" s="4" t="inlineStr">
        <x:is>
          <x:t xml:space="preserve">002227</x:t>
        </x:is>
      </x:c>
      <x:c r="C1923" s="5" t="inlineStr">
        <x:is>
          <x:t xml:space="preserve">奥特迅</x:t>
        </x:is>
      </x:c>
      <x:c r="D1923" s="5" t="inlineStr">
        <x:is>
          <x:t xml:space="preserve">深圳奥特迅电力设备股份有限公司</x:t>
        </x:is>
      </x:c>
      <x:c r="E1923" s="4" t="inlineStr">
        <x:is>
          <x:t xml:space="preserve">广东省</x:t>
        </x:is>
      </x:c>
      <x:c r="F1923" s="4" t="inlineStr">
        <x:is>
          <x:t xml:space="preserve">深圳市</x:t>
        </x:is>
      </x:c>
      <x:c r="G1923" s="5" t="inlineStr">
        <x:is>
          <x:t xml:space="preserve">广东省-深圳市</x:t>
        </x:is>
      </x:c>
      <x:c r="H1923" s="4" t="inlineStr">
        <x:is>
          <x:t xml:space="preserve">电源设备</x:t>
        </x:is>
      </x:c>
      <x:c r="I1923" s="4" t="inlineStr">
        <x:is>
          <x:t xml:space="preserve">2008-05-06</x:t>
        </x:is>
      </x:c>
      <x:c r="J1923" s="5" t="inlineStr">
        <x:is>
          <x:t xml:space="preserve">深圳市南山区高新技术产业园北区松坪山路3号奥特迅电力大厦</x:t>
        </x:is>
      </x:c>
      <x:c r="K1923" s="12" t="str">
        <x:f>LEFT("91440300618932504U",18)</x:f>
        <x:v>91440300618932504U</x:v>
      </x:c>
    </x:row>
    <x:row r="1924">
      <x:c r="A1924" s="2" t="n">
        <x:v>1923</x:v>
      </x:c>
      <x:c r="B1924" s="2" t="inlineStr">
        <x:is>
          <x:t xml:space="preserve">002233</x:t>
        </x:is>
      </x:c>
      <x:c r="C1924" s="3" t="inlineStr">
        <x:is>
          <x:t xml:space="preserve">塔牌集团</x:t>
        </x:is>
      </x:c>
      <x:c r="D1924" s="3" t="inlineStr">
        <x:is>
          <x:t xml:space="preserve">广东塔牌集团股份有限公司</x:t>
        </x:is>
      </x:c>
      <x:c r="E1924" s="2" t="inlineStr">
        <x:is>
          <x:t xml:space="preserve">广东省</x:t>
        </x:is>
      </x:c>
      <x:c r="F1924" s="2" t="inlineStr">
        <x:is>
          <x:t xml:space="preserve">梅州市</x:t>
        </x:is>
      </x:c>
      <x:c r="G1924" s="3" t="inlineStr">
        <x:is>
          <x:t xml:space="preserve">广东省-梅州市</x:t>
        </x:is>
      </x:c>
      <x:c r="H1924" s="2" t="inlineStr">
        <x:is>
          <x:t xml:space="preserve">水泥建材</x:t>
        </x:is>
      </x:c>
      <x:c r="I1924" s="2" t="inlineStr">
        <x:is>
          <x:t xml:space="preserve">2008-05-16</x:t>
        </x:is>
      </x:c>
      <x:c r="J1924" s="3" t="inlineStr">
        <x:is>
          <x:t xml:space="preserve">广东省梅州市蕉岭县蕉城镇(塔牌大厦)</x:t>
        </x:is>
      </x:c>
      <x:c r="K1924" s="12" t="str">
        <x:f>LEFT("9144140061792844XN",18)</x:f>
        <x:v>9144140061792844XN</x:v>
      </x:c>
    </x:row>
    <x:row r="1925">
      <x:c r="A1925" s="4" t="n">
        <x:v>1924</x:v>
      </x:c>
      <x:c r="B1925" s="4" t="inlineStr">
        <x:is>
          <x:t xml:space="preserve">002238</x:t>
        </x:is>
      </x:c>
      <x:c r="C1925" s="5" t="inlineStr">
        <x:is>
          <x:t xml:space="preserve">天威视讯</x:t>
        </x:is>
      </x:c>
      <x:c r="D1925" s="5" t="inlineStr">
        <x:is>
          <x:t xml:space="preserve">深圳市天威视讯股份有限公司</x:t>
        </x:is>
      </x:c>
      <x:c r="E1925" s="4" t="inlineStr">
        <x:is>
          <x:t xml:space="preserve">广东省</x:t>
        </x:is>
      </x:c>
      <x:c r="F1925" s="4" t="inlineStr">
        <x:is>
          <x:t xml:space="preserve">深圳市</x:t>
        </x:is>
      </x:c>
      <x:c r="G1925" s="5" t="inlineStr">
        <x:is>
          <x:t xml:space="preserve">广东省-深圳市</x:t>
        </x:is>
      </x:c>
      <x:c r="H1925" s="4" t="inlineStr">
        <x:is>
          <x:t xml:space="preserve">文化传媒</x:t>
        </x:is>
      </x:c>
      <x:c r="I1925" s="4" t="inlineStr">
        <x:is>
          <x:t xml:space="preserve">2008-05-26</x:t>
        </x:is>
      </x:c>
      <x:c r="J1925" s="5" t="inlineStr">
        <x:is>
          <x:t xml:space="preserve">深圳市福田区彩田路6001号</x:t>
        </x:is>
      </x:c>
      <x:c r="K1925" s="12" t="str">
        <x:f>LEFT("9144030019235964X8",18)</x:f>
        <x:v>9144030019235964X8</x:v>
      </x:c>
    </x:row>
    <x:row r="1926">
      <x:c r="A1926" s="2" t="n">
        <x:v>1925</x:v>
      </x:c>
      <x:c r="B1926" s="2" t="inlineStr">
        <x:is>
          <x:t xml:space="preserve">002243</x:t>
        </x:is>
      </x:c>
      <x:c r="C1926" s="3" t="inlineStr">
        <x:is>
          <x:t xml:space="preserve">力合科创</x:t>
        </x:is>
      </x:c>
      <x:c r="D1926" s="3" t="inlineStr">
        <x:is>
          <x:t xml:space="preserve">深圳市力合科创股份有限公司</x:t>
        </x:is>
      </x:c>
      <x:c r="E1926" s="2" t="inlineStr">
        <x:is>
          <x:t xml:space="preserve">广东省</x:t>
        </x:is>
      </x:c>
      <x:c r="F1926" s="2" t="inlineStr">
        <x:is>
          <x:t xml:space="preserve">深圳市</x:t>
        </x:is>
      </x:c>
      <x:c r="G1926" s="3" t="inlineStr">
        <x:is>
          <x:t xml:space="preserve">广东省-深圳市</x:t>
        </x:is>
      </x:c>
      <x:c r="H1926" s="2" t="inlineStr">
        <x:is>
          <x:t xml:space="preserve">美容护理</x:t>
        </x:is>
      </x:c>
      <x:c r="I1926" s="2" t="inlineStr">
        <x:is>
          <x:t xml:space="preserve">2008-05-28</x:t>
        </x:is>
      </x:c>
      <x:c r="J1926" s="3" t="inlineStr">
        <x:is>
          <x:t xml:space="preserve">深圳市龙岗区龙岗大道(坪地段)1001号</x:t>
        </x:is>
      </x:c>
      <x:c r="K1926" s="12" t="str">
        <x:f>LEFT("914403006188988448",18)</x:f>
        <x:v>914403006188988400</x:v>
      </x:c>
    </x:row>
    <x:row r="1927">
      <x:c r="A1927" s="4" t="n">
        <x:v>1926</x:v>
      </x:c>
      <x:c r="B1927" s="4" t="inlineStr">
        <x:is>
          <x:t xml:space="preserve">002249</x:t>
        </x:is>
      </x:c>
      <x:c r="C1927" s="5" t="inlineStr">
        <x:is>
          <x:t xml:space="preserve">大洋电机</x:t>
        </x:is>
      </x:c>
      <x:c r="D1927" s="5" t="inlineStr">
        <x:is>
          <x:t xml:space="preserve">中山大洋电机股份有限公司</x:t>
        </x:is>
      </x:c>
      <x:c r="E1927" s="4" t="inlineStr">
        <x:is>
          <x:t xml:space="preserve">广东省</x:t>
        </x:is>
      </x:c>
      <x:c r="F1927" s="4" t="inlineStr">
        <x:is>
          <x:t xml:space="preserve">中山市</x:t>
        </x:is>
      </x:c>
      <x:c r="G1927" s="5" t="inlineStr">
        <x:is>
          <x:t xml:space="preserve">广东省-中山市</x:t>
        </x:is>
      </x:c>
      <x:c r="H1927" s="4" t="inlineStr">
        <x:is>
          <x:t xml:space="preserve">电机</x:t>
        </x:is>
      </x:c>
      <x:c r="I1927" s="4" t="inlineStr">
        <x:is>
          <x:t xml:space="preserve">2008-06-19</x:t>
        </x:is>
      </x:c>
      <x:c r="J1927" s="5" t="inlineStr">
        <x:is>
          <x:t xml:space="preserve">中山市翠亨新区兴湾路22号,增设2处经营场所,具体地址为:1、中山市西区沙朗第三工业区金昌路15号(住所申报)2、中山市西区广丰工业大道1号(大洋电机广丰厂)</x:t>
        </x:is>
      </x:c>
      <x:c r="K1927" s="12" t="str">
        <x:f>LEFT("914420007251062242",18)</x:f>
        <x:v>914420007251062300</x:v>
      </x:c>
    </x:row>
    <x:row r="1928">
      <x:c r="A1928" s="2" t="n">
        <x:v>1927</x:v>
      </x:c>
      <x:c r="B1928" s="2" t="inlineStr">
        <x:is>
          <x:t xml:space="preserve">002256</x:t>
        </x:is>
      </x:c>
      <x:c r="C1928" s="3" t="inlineStr">
        <x:is>
          <x:t xml:space="preserve">兆新股份</x:t>
        </x:is>
      </x:c>
      <x:c r="D1928" s="3" t="inlineStr">
        <x:is>
          <x:t xml:space="preserve">深圳市兆新能源股份有限公司</x:t>
        </x:is>
      </x:c>
      <x:c r="E1928" s="2" t="inlineStr">
        <x:is>
          <x:t xml:space="preserve">广东省</x:t>
        </x:is>
      </x:c>
      <x:c r="F1928" s="2" t="inlineStr">
        <x:is>
          <x:t xml:space="preserve">深圳市</x:t>
        </x:is>
      </x:c>
      <x:c r="G1928" s="3" t="inlineStr">
        <x:is>
          <x:t xml:space="preserve">广东省-深圳市</x:t>
        </x:is>
      </x:c>
      <x:c r="H1928" s="2" t="inlineStr">
        <x:is>
          <x:t xml:space="preserve">输配电气</x:t>
        </x:is>
      </x:c>
      <x:c r="I1928" s="2" t="inlineStr">
        <x:is>
          <x:t xml:space="preserve">2008-06-25</x:t>
        </x:is>
      </x:c>
      <x:c r="J1928" s="3" t="inlineStr">
        <x:is>
          <x:t xml:space="preserve">深圳市南山区粤海街道高新区社区科技南路18号深圳湾科技生态园12栋B3401</x:t>
        </x:is>
      </x:c>
      <x:c r="K1928" s="12" t="str">
        <x:f>LEFT("9144030061890815XU",18)</x:f>
        <x:v>9144030061890815XU</x:v>
      </x:c>
    </x:row>
    <x:row r="1929">
      <x:c r="A1929" s="4" t="n">
        <x:v>1928</x:v>
      </x:c>
      <x:c r="B1929" s="4" t="inlineStr">
        <x:is>
          <x:t xml:space="preserve">002285</x:t>
        </x:is>
      </x:c>
      <x:c r="C1929" s="5" t="inlineStr">
        <x:is>
          <x:t xml:space="preserve">世联行</x:t>
        </x:is>
      </x:c>
      <x:c r="D1929" s="5" t="inlineStr">
        <x:is>
          <x:t xml:space="preserve">深圳世联行集团股份有限公司</x:t>
        </x:is>
      </x:c>
      <x:c r="E1929" s="4" t="inlineStr">
        <x:is>
          <x:t xml:space="preserve">广东省</x:t>
        </x:is>
      </x:c>
      <x:c r="F1929" s="4" t="inlineStr">
        <x:is>
          <x:t xml:space="preserve">深圳市</x:t>
        </x:is>
      </x:c>
      <x:c r="G1929" s="5" t="inlineStr">
        <x:is>
          <x:t xml:space="preserve">广东省-深圳市</x:t>
        </x:is>
      </x:c>
      <x:c r="H1929" s="4" t="inlineStr">
        <x:is>
          <x:t xml:space="preserve">房地产服务</x:t>
        </x:is>
      </x:c>
      <x:c r="I1929" s="4" t="inlineStr">
        <x:is>
          <x:t xml:space="preserve">2009-08-28</x:t>
        </x:is>
      </x:c>
      <x:c r="J1929" s="5" t="inlineStr">
        <x:is>
          <x:t xml:space="preserve">深圳市罗湖区深南东路2028号罗湖商务中心12楼</x:t>
        </x:is>
      </x:c>
      <x:c r="K1929" s="12" t="str">
        <x:f>LEFT("91440300618867554R",18)</x:f>
        <x:v>91440300618867554R</x:v>
      </x:c>
    </x:row>
    <x:row r="1930">
      <x:c r="A1930" s="2" t="n">
        <x:v>1929</x:v>
      </x:c>
      <x:c r="B1930" s="2" t="inlineStr">
        <x:is>
          <x:t xml:space="preserve">002289</x:t>
        </x:is>
      </x:c>
      <x:c r="C1930" s="3" t="inlineStr">
        <x:is>
          <x:t xml:space="preserve">*ST宇顺</x:t>
        </x:is>
      </x:c>
      <x:c r="D1930" s="3" t="inlineStr">
        <x:is>
          <x:t xml:space="preserve">深圳市宇顺电子股份有限公司</x:t>
        </x:is>
      </x:c>
      <x:c r="E1930" s="2" t="inlineStr">
        <x:is>
          <x:t xml:space="preserve">广东省</x:t>
        </x:is>
      </x:c>
      <x:c r="F1930" s="2" t="inlineStr">
        <x:is>
          <x:t xml:space="preserve">深圳市</x:t>
        </x:is>
      </x:c>
      <x:c r="G1930" s="3" t="inlineStr">
        <x:is>
          <x:t xml:space="preserve">广东省-深圳市</x:t>
        </x:is>
      </x:c>
      <x:c r="H1930" s="2" t="inlineStr">
        <x:is>
          <x:t xml:space="preserve">光学光电子</x:t>
        </x:is>
      </x:c>
      <x:c r="I1930" s="2" t="inlineStr">
        <x:is>
          <x:t xml:space="preserve">2009-09-03</x:t>
        </x:is>
      </x:c>
      <x:c r="J1930" s="3" t="inlineStr">
        <x:is>
          <x:t xml:space="preserve">深圳市南山区粤海街道深圳市软件产业基地1栋A座13层1302</x:t>
        </x:is>
      </x:c>
      <x:c r="K1930" s="12" t="str">
        <x:f>LEFT("914403007576325280",18)</x:f>
        <x:v>914403007576325200</x:v>
      </x:c>
    </x:row>
    <x:row r="1931">
      <x:c r="A1931" s="4" t="n">
        <x:v>1930</x:v>
      </x:c>
      <x:c r="B1931" s="4" t="inlineStr">
        <x:is>
          <x:t xml:space="preserve">002291</x:t>
        </x:is>
      </x:c>
      <x:c r="C1931" s="5" t="inlineStr">
        <x:is>
          <x:t xml:space="preserve">遥望科技</x:t>
        </x:is>
      </x:c>
      <x:c r="D1931" s="5" t="inlineStr">
        <x:is>
          <x:t xml:space="preserve">广东遥望科技集团股份有限公司</x:t>
        </x:is>
      </x:c>
      <x:c r="E1931" s="4" t="inlineStr">
        <x:is>
          <x:t xml:space="preserve">广东省</x:t>
        </x:is>
      </x:c>
      <x:c r="F1931" s="4" t="inlineStr">
        <x:is>
          <x:t xml:space="preserve">佛山市</x:t>
        </x:is>
      </x:c>
      <x:c r="G1931" s="5" t="inlineStr">
        <x:is>
          <x:t xml:space="preserve">广东省-佛山市</x:t>
        </x:is>
      </x:c>
      <x:c r="H1931" s="4" t="inlineStr">
        <x:is>
          <x:t xml:space="preserve">互联网服务</x:t>
        </x:is>
      </x:c>
      <x:c r="I1931" s="4" t="inlineStr">
        <x:is>
          <x:t xml:space="preserve">2009-09-03</x:t>
        </x:is>
      </x:c>
      <x:c r="J1931" s="5" t="inlineStr">
        <x:is>
          <x:t xml:space="preserve">佛山市南海区桂城街道庆安路2号A幢A101室-A105室</x:t>
        </x:is>
      </x:c>
      <x:c r="K1931" s="12" t="str">
        <x:f>LEFT("914406007417025524",18)</x:f>
        <x:v>914406007417025500</x:v>
      </x:c>
    </x:row>
    <x:row r="1932">
      <x:c r="A1932" s="2" t="n">
        <x:v>1931</x:v>
      </x:c>
      <x:c r="B1932" s="2" t="inlineStr">
        <x:is>
          <x:t xml:space="preserve">002292</x:t>
        </x:is>
      </x:c>
      <x:c r="C1932" s="3" t="inlineStr">
        <x:is>
          <x:t xml:space="preserve">奥飞娱乐</x:t>
        </x:is>
      </x:c>
      <x:c r="D1932" s="3" t="inlineStr">
        <x:is>
          <x:t xml:space="preserve">奥飞娱乐股份有限公司</x:t>
        </x:is>
      </x:c>
      <x:c r="E1932" s="2" t="inlineStr">
        <x:is>
          <x:t xml:space="preserve">广东省</x:t>
        </x:is>
      </x:c>
      <x:c r="F1932" s="2" t="inlineStr">
        <x:is>
          <x:t xml:space="preserve">汕头市</x:t>
        </x:is>
      </x:c>
      <x:c r="G1932" s="3" t="inlineStr">
        <x:is>
          <x:t xml:space="preserve">广东省-汕头市</x:t>
        </x:is>
      </x:c>
      <x:c r="H1932" s="2" t="inlineStr">
        <x:is>
          <x:t xml:space="preserve">文化传媒</x:t>
        </x:is>
      </x:c>
      <x:c r="I1932" s="2" t="inlineStr">
        <x:is>
          <x:t xml:space="preserve">2009-09-10</x:t>
        </x:is>
      </x:c>
      <x:c r="J1932" s="3" t="inlineStr">
        <x:is>
          <x:t xml:space="preserve">广东省汕头市澄海区凤翔路北侧、金鸿公路东侧奥飞动漫产业园</x:t>
        </x:is>
      </x:c>
      <x:c r="K1932" s="12" t="str">
        <x:f>LEFT("91440500617557490G",18)</x:f>
        <x:v>91440500617557490G</x:v>
      </x:c>
    </x:row>
    <x:row r="1933">
      <x:c r="A1933" s="4" t="n">
        <x:v>1932</x:v>
      </x:c>
      <x:c r="B1933" s="4" t="inlineStr">
        <x:is>
          <x:t xml:space="preserve">002294</x:t>
        </x:is>
      </x:c>
      <x:c r="C1933" s="5" t="inlineStr">
        <x:is>
          <x:t xml:space="preserve">信立泰</x:t>
        </x:is>
      </x:c>
      <x:c r="D1933" s="5" t="inlineStr">
        <x:is>
          <x:t xml:space="preserve">深圳信立泰药业股份有限公司</x:t>
        </x:is>
      </x:c>
      <x:c r="E1933" s="4" t="inlineStr">
        <x:is>
          <x:t xml:space="preserve">广东省</x:t>
        </x:is>
      </x:c>
      <x:c r="F1933" s="4" t="inlineStr">
        <x:is>
          <x:t xml:space="preserve">深圳市</x:t>
        </x:is>
      </x:c>
      <x:c r="G1933" s="5" t="inlineStr">
        <x:is>
          <x:t xml:space="preserve">广东省-深圳市</x:t>
        </x:is>
      </x:c>
      <x:c r="H1933" s="4" t="inlineStr">
        <x:is>
          <x:t xml:space="preserve">医药制造</x:t>
        </x:is>
      </x:c>
      <x:c r="I1933" s="4" t="inlineStr">
        <x:is>
          <x:t xml:space="preserve">2009-09-10</x:t>
        </x:is>
      </x:c>
      <x:c r="J1933" s="5" t="inlineStr">
        <x:is>
          <x:t xml:space="preserve">深圳市福田区福保街道福保社区红柳道2号289数字半岛4层A区</x:t>
        </x:is>
      </x:c>
      <x:c r="K1933" s="12" t="str">
        <x:f>LEFT("91440300708453259J",18)</x:f>
        <x:v>91440300708453259J</x:v>
      </x:c>
    </x:row>
    <x:row r="1934">
      <x:c r="A1934" s="2" t="n">
        <x:v>1933</x:v>
      </x:c>
      <x:c r="B1934" s="2" t="inlineStr">
        <x:is>
          <x:t xml:space="preserve">002295</x:t>
        </x:is>
      </x:c>
      <x:c r="C1934" s="3" t="inlineStr">
        <x:is>
          <x:t xml:space="preserve">精艺股份</x:t>
        </x:is>
      </x:c>
      <x:c r="D1934" s="3" t="inlineStr">
        <x:is>
          <x:t xml:space="preserve">广东精艺金属股份有限公司</x:t>
        </x:is>
      </x:c>
      <x:c r="E1934" s="2" t="inlineStr">
        <x:is>
          <x:t xml:space="preserve">广东省</x:t>
        </x:is>
      </x:c>
      <x:c r="F1934" s="2" t="inlineStr">
        <x:is>
          <x:t xml:space="preserve">佛山市</x:t>
        </x:is>
      </x:c>
      <x:c r="G1934" s="3" t="inlineStr">
        <x:is>
          <x:t xml:space="preserve">广东省-佛山市</x:t>
        </x:is>
      </x:c>
      <x:c r="H1934" s="2" t="inlineStr">
        <x:is>
          <x:t xml:space="preserve">有色金属</x:t>
        </x:is>
      </x:c>
      <x:c r="I1934" s="2" t="inlineStr">
        <x:is>
          <x:t xml:space="preserve">2009-09-29</x:t>
        </x:is>
      </x:c>
      <x:c r="J1934" s="3" t="inlineStr">
        <x:is>
          <x:t xml:space="preserve">广东省佛山市顺德区北滘镇黄龙村龙涌龙汇路1号</x:t>
        </x:is>
      </x:c>
      <x:c r="K1934" s="12" t="str">
        <x:f>LEFT("91440606708165505N",18)</x:f>
        <x:v>91440606708165505N</x:v>
      </x:c>
    </x:row>
    <x:row r="1935">
      <x:c r="A1935" s="4" t="n">
        <x:v>1934</x:v>
      </x:c>
      <x:c r="B1935" s="4" t="inlineStr">
        <x:is>
          <x:t xml:space="preserve">002301</x:t>
        </x:is>
      </x:c>
      <x:c r="C1935" s="5" t="inlineStr">
        <x:is>
          <x:t xml:space="preserve">齐心集团</x:t>
        </x:is>
      </x:c>
      <x:c r="D1935" s="5" t="inlineStr">
        <x:is>
          <x:t xml:space="preserve">深圳齐心集团股份有限公司</x:t>
        </x:is>
      </x:c>
      <x:c r="E1935" s="4" t="inlineStr">
        <x:is>
          <x:t xml:space="preserve">广东省</x:t>
        </x:is>
      </x:c>
      <x:c r="F1935" s="4" t="inlineStr">
        <x:is>
          <x:t xml:space="preserve">深圳市</x:t>
        </x:is>
      </x:c>
      <x:c r="G1935" s="5" t="inlineStr">
        <x:is>
          <x:t xml:space="preserve">广东省-深圳市</x:t>
        </x:is>
      </x:c>
      <x:c r="H1935" s="4" t="inlineStr">
        <x:is>
          <x:t xml:space="preserve">家用轻工</x:t>
        </x:is>
      </x:c>
      <x:c r="I1935" s="4" t="inlineStr">
        <x:is>
          <x:t xml:space="preserve">2009-10-21</x:t>
        </x:is>
      </x:c>
      <x:c r="J1935" s="5" t="inlineStr">
        <x:is>
          <x:t xml:space="preserve">深圳市坪山区锦绣东路18号齐心科技园</x:t>
        </x:is>
      </x:c>
      <x:c r="K1935" s="12" t="str">
        <x:f>LEFT("914403007152637013",18)</x:f>
        <x:v>914403007152637000</x:v>
      </x:c>
    </x:row>
    <x:row r="1936">
      <x:c r="A1936" s="2" t="n">
        <x:v>1935</x:v>
      </x:c>
      <x:c r="B1936" s="2" t="inlineStr">
        <x:is>
          <x:t xml:space="preserve">002303</x:t>
        </x:is>
      </x:c>
      <x:c r="C1936" s="3" t="inlineStr">
        <x:is>
          <x:t xml:space="preserve">美盈森</x:t>
        </x:is>
      </x:c>
      <x:c r="D1936" s="3" t="inlineStr">
        <x:is>
          <x:t xml:space="preserve">美盈森集团股份有限公司</x:t>
        </x:is>
      </x:c>
      <x:c r="E1936" s="2" t="inlineStr">
        <x:is>
          <x:t xml:space="preserve">广东省</x:t>
        </x:is>
      </x:c>
      <x:c r="F1936" s="2" t="inlineStr">
        <x:is>
          <x:t xml:space="preserve">深圳市</x:t>
        </x:is>
      </x:c>
      <x:c r="G1936" s="3" t="inlineStr">
        <x:is>
          <x:t xml:space="preserve">广东省-深圳市</x:t>
        </x:is>
      </x:c>
      <x:c r="H1936" s="2" t="inlineStr">
        <x:is>
          <x:t xml:space="preserve">包装材料</x:t>
        </x:is>
      </x:c>
      <x:c r="I1936" s="2" t="inlineStr">
        <x:is>
          <x:t xml:space="preserve">2009-11-03</x:t>
        </x:is>
      </x:c>
      <x:c r="J1936" s="3" t="inlineStr">
        <x:is>
          <x:t xml:space="preserve">深圳市光明新区光明新陂头村美盈森厂区A栋</x:t>
        </x:is>
      </x:c>
      <x:c r="K1936" s="12" t="str">
        <x:f>LEFT("91440300723000100A",18)</x:f>
        <x:v>91440300723000100A</x:v>
      </x:c>
    </x:row>
    <x:row r="1937">
      <x:c r="A1937" s="4" t="n">
        <x:v>1936</x:v>
      </x:c>
      <x:c r="B1937" s="4" t="inlineStr">
        <x:is>
          <x:t xml:space="preserve">002311</x:t>
        </x:is>
      </x:c>
      <x:c r="C1937" s="5" t="inlineStr">
        <x:is>
          <x:t xml:space="preserve">海大集团</x:t>
        </x:is>
      </x:c>
      <x:c r="D1937" s="5" t="inlineStr">
        <x:is>
          <x:t xml:space="preserve">广东海大集团股份有限公司</x:t>
        </x:is>
      </x:c>
      <x:c r="E1937" s="4" t="inlineStr">
        <x:is>
          <x:t xml:space="preserve">广东省</x:t>
        </x:is>
      </x:c>
      <x:c r="F1937" s="4" t="inlineStr">
        <x:is>
          <x:t xml:space="preserve">广州市</x:t>
        </x:is>
      </x:c>
      <x:c r="G1937" s="5" t="inlineStr">
        <x:is>
          <x:t xml:space="preserve">广东省-广州市</x:t>
        </x:is>
      </x:c>
      <x:c r="H1937" s="4" t="inlineStr">
        <x:is>
          <x:t xml:space="preserve">农牧饲渔</x:t>
        </x:is>
      </x:c>
      <x:c r="I1937" s="4" t="inlineStr">
        <x:is>
          <x:t xml:space="preserve">2009-11-27</x:t>
        </x:is>
      </x:c>
      <x:c r="J1937" s="5" t="inlineStr">
        <x:is>
          <x:t xml:space="preserve">广东省广州市番禺区南村镇万博四路42号2座701</x:t>
        </x:is>
      </x:c>
      <x:c r="K1937" s="12" t="str">
        <x:f>LEFT("914400007578948436",18)</x:f>
        <x:v>914400007578948500</x:v>
      </x:c>
    </x:row>
    <x:row r="1938">
      <x:c r="A1938" s="2" t="n">
        <x:v>1937</x:v>
      </x:c>
      <x:c r="B1938" s="2" t="inlineStr">
        <x:is>
          <x:t xml:space="preserve">002313</x:t>
        </x:is>
      </x:c>
      <x:c r="C1938" s="3" t="inlineStr">
        <x:is>
          <x:t xml:space="preserve">日海智能</x:t>
        </x:is>
      </x:c>
      <x:c r="D1938" s="3" t="inlineStr">
        <x:is>
          <x:t xml:space="preserve">日海智能科技股份有限公司</x:t>
        </x:is>
      </x:c>
      <x:c r="E1938" s="2" t="inlineStr">
        <x:is>
          <x:t xml:space="preserve">广东省</x:t>
        </x:is>
      </x:c>
      <x:c r="F1938" s="2" t="inlineStr">
        <x:is>
          <x:t xml:space="preserve">深圳市</x:t>
        </x:is>
      </x:c>
      <x:c r="G1938" s="3" t="inlineStr">
        <x:is>
          <x:t xml:space="preserve">广东省-深圳市</x:t>
        </x:is>
      </x:c>
      <x:c r="H1938" s="2" t="inlineStr">
        <x:is>
          <x:t xml:space="preserve">通讯行业</x:t>
        </x:is>
      </x:c>
      <x:c r="I1938" s="2" t="inlineStr">
        <x:is>
          <x:t xml:space="preserve">2009-12-03</x:t>
        </x:is>
      </x:c>
      <x:c r="J1938" s="3" t="inlineStr">
        <x:is>
          <x:t xml:space="preserve">深圳市南山区大新路198号马家龙创新大厦17层1701</x:t>
        </x:is>
      </x:c>
      <x:c r="K1938" s="12" t="str">
        <x:f>LEFT("914403007542710936",18)</x:f>
        <x:v>914403007542710900</x:v>
      </x:c>
    </x:row>
    <x:row r="1939">
      <x:c r="A1939" s="4" t="n">
        <x:v>1938</x:v>
      </x:c>
      <x:c r="B1939" s="4" t="inlineStr">
        <x:is>
          <x:t xml:space="preserve">002314</x:t>
        </x:is>
      </x:c>
      <x:c r="C1939" s="5" t="inlineStr">
        <x:is>
          <x:t xml:space="preserve">南山控股</x:t>
        </x:is>
      </x:c>
      <x:c r="D1939" s="5" t="inlineStr">
        <x:is>
          <x:t xml:space="preserve">深圳市新南山控股(集团)股份有限公司</x:t>
        </x:is>
      </x:c>
      <x:c r="E1939" s="4" t="inlineStr">
        <x:is>
          <x:t xml:space="preserve">广东省</x:t>
        </x:is>
      </x:c>
      <x:c r="F1939" s="4" t="inlineStr">
        <x:is>
          <x:t xml:space="preserve">深圳市</x:t>
        </x:is>
      </x:c>
      <x:c r="G1939" s="5" t="inlineStr">
        <x:is>
          <x:t xml:space="preserve">广东省-深圳市</x:t>
        </x:is>
      </x:c>
      <x:c r="H1939" s="4" t="inlineStr">
        <x:is>
          <x:t xml:space="preserve">房地产</x:t>
        </x:is>
      </x:c>
      <x:c r="I1939" s="4" t="inlineStr">
        <x:is>
          <x:t xml:space="preserve">2009-12-03</x:t>
        </x:is>
      </x:c>
      <x:c r="J1939" s="5" t="inlineStr">
        <x:is>
          <x:t xml:space="preserve">深圳市南山区招商街道赤湾社区赤湾六路8号南山开发集团赤湾总部大厦2501</x:t>
        </x:is>
      </x:c>
      <x:c r="K1939" s="12" t="str">
        <x:f>LEFT("91440300728551331M",18)</x:f>
        <x:v>91440300728551331M</x:v>
      </x:c>
    </x:row>
    <x:row r="1940">
      <x:c r="A1940" s="2" t="n">
        <x:v>1939</x:v>
      </x:c>
      <x:c r="B1940" s="2" t="inlineStr">
        <x:is>
          <x:t xml:space="preserve">002317</x:t>
        </x:is>
      </x:c>
      <x:c r="C1940" s="3" t="inlineStr">
        <x:is>
          <x:t xml:space="preserve">众生药业</x:t>
        </x:is>
      </x:c>
      <x:c r="D1940" s="3" t="inlineStr">
        <x:is>
          <x:t xml:space="preserve">广东众生药业股份有限公司</x:t>
        </x:is>
      </x:c>
      <x:c r="E1940" s="2" t="inlineStr">
        <x:is>
          <x:t xml:space="preserve">广东省</x:t>
        </x:is>
      </x:c>
      <x:c r="F1940" s="2" t="inlineStr">
        <x:is>
          <x:t xml:space="preserve">东莞市</x:t>
        </x:is>
      </x:c>
      <x:c r="G1940" s="3" t="inlineStr">
        <x:is>
          <x:t xml:space="preserve">广东省-东莞市</x:t>
        </x:is>
      </x:c>
      <x:c r="H1940" s="2" t="inlineStr">
        <x:is>
          <x:t xml:space="preserve">中药</x:t>
        </x:is>
      </x:c>
      <x:c r="I1940" s="2" t="inlineStr">
        <x:is>
          <x:t xml:space="preserve">2009-12-11</x:t>
        </x:is>
      </x:c>
      <x:c r="J1940" s="3" t="inlineStr">
        <x:is>
          <x:t xml:space="preserve">广东省东莞市石龙镇西湖工业区信息产业园</x:t>
        </x:is>
      </x:c>
      <x:c r="K1940" s="12" t="str">
        <x:f>LEFT("91441900281801356U",18)</x:f>
        <x:v>91441900281801356U</x:v>
      </x:c>
    </x:row>
    <x:row r="1941">
      <x:c r="A1941" s="4" t="n">
        <x:v>1940</x:v>
      </x:c>
      <x:c r="B1941" s="4" t="inlineStr">
        <x:is>
          <x:t xml:space="preserve">002319</x:t>
        </x:is>
      </x:c>
      <x:c r="C1941" s="5" t="inlineStr">
        <x:is>
          <x:t xml:space="preserve">乐通股份</x:t>
        </x:is>
      </x:c>
      <x:c r="D1941" s="5" t="inlineStr">
        <x:is>
          <x:t xml:space="preserve">珠海市乐通化工股份有限公司</x:t>
        </x:is>
      </x:c>
      <x:c r="E1941" s="4" t="inlineStr">
        <x:is>
          <x:t xml:space="preserve">广东省</x:t>
        </x:is>
      </x:c>
      <x:c r="F1941" s="4" t="inlineStr">
        <x:is>
          <x:t xml:space="preserve">珠海市</x:t>
        </x:is>
      </x:c>
      <x:c r="G1941" s="5" t="inlineStr">
        <x:is>
          <x:t xml:space="preserve">广东省-珠海市</x:t>
        </x:is>
      </x:c>
      <x:c r="H1941" s="4" t="inlineStr">
        <x:is>
          <x:t xml:space="preserve">化工行业</x:t>
        </x:is>
      </x:c>
      <x:c r="I1941" s="4" t="inlineStr">
        <x:is>
          <x:t xml:space="preserve">2009-12-11</x:t>
        </x:is>
      </x:c>
      <x:c r="J1941" s="5" t="inlineStr">
        <x:is>
          <x:t xml:space="preserve">珠海市高新区唐家湾镇金发路265号办公楼3楼</x:t>
        </x:is>
      </x:c>
      <x:c r="K1941" s="12" t="str">
        <x:f>LEFT("914404006328040237",18)</x:f>
        <x:v>914404006328040200</x:v>
      </x:c>
    </x:row>
    <x:row r="1942">
      <x:c r="A1942" s="2" t="n">
        <x:v>1941</x:v>
      </x:c>
      <x:c r="B1942" s="2" t="inlineStr">
        <x:is>
          <x:t xml:space="preserve">002327</x:t>
        </x:is>
      </x:c>
      <x:c r="C1942" s="3" t="inlineStr">
        <x:is>
          <x:t xml:space="preserve">富安娜</x:t>
        </x:is>
      </x:c>
      <x:c r="D1942" s="3" t="inlineStr">
        <x:is>
          <x:t xml:space="preserve">深圳市富安娜家居用品股份有限公司</x:t>
        </x:is>
      </x:c>
      <x:c r="E1942" s="2" t="inlineStr">
        <x:is>
          <x:t xml:space="preserve">广东省</x:t>
        </x:is>
      </x:c>
      <x:c r="F1942" s="2" t="inlineStr">
        <x:is>
          <x:t xml:space="preserve">深圳市</x:t>
        </x:is>
      </x:c>
      <x:c r="G1942" s="3" t="inlineStr">
        <x:is>
          <x:t xml:space="preserve">广东省-深圳市</x:t>
        </x:is>
      </x:c>
      <x:c r="H1942" s="2" t="inlineStr">
        <x:is>
          <x:t xml:space="preserve">纺织服装</x:t>
        </x:is>
      </x:c>
      <x:c r="I1942" s="2" t="inlineStr">
        <x:is>
          <x:t xml:space="preserve">2009-12-30</x:t>
        </x:is>
      </x:c>
      <x:c r="J1942" s="3" t="inlineStr">
        <x:is>
          <x:t xml:space="preserve">深圳市南山区创业南南油大道西路自行车加工厂1栋</x:t>
        </x:is>
      </x:c>
      <x:c r="K1942" s="12" t="str">
        <x:f>LEFT("91440300618881268A",18)</x:f>
        <x:v>91440300618881268A</x:v>
      </x:c>
    </x:row>
    <x:row r="1943">
      <x:c r="A1943" s="4" t="n">
        <x:v>1942</x:v>
      </x:c>
      <x:c r="B1943" s="4" t="inlineStr">
        <x:is>
          <x:t xml:space="preserve">002334</x:t>
        </x:is>
      </x:c>
      <x:c r="C1943" s="5" t="inlineStr">
        <x:is>
          <x:t xml:space="preserve">英威腾</x:t>
        </x:is>
      </x:c>
      <x:c r="D1943" s="5" t="inlineStr">
        <x:is>
          <x:t xml:space="preserve">深圳市英威腾电气股份有限公司</x:t>
        </x:is>
      </x:c>
      <x:c r="E1943" s="4" t="inlineStr">
        <x:is>
          <x:t xml:space="preserve">广东省</x:t>
        </x:is>
      </x:c>
      <x:c r="F1943" s="4" t="inlineStr">
        <x:is>
          <x:t xml:space="preserve">深圳市</x:t>
        </x:is>
      </x:c>
      <x:c r="G1943" s="5" t="inlineStr">
        <x:is>
          <x:t xml:space="preserve">广东省-深圳市</x:t>
        </x:is>
      </x:c>
      <x:c r="H1943" s="4" t="inlineStr">
        <x:is>
          <x:t xml:space="preserve">专用设备</x:t>
        </x:is>
      </x:c>
      <x:c r="I1943" s="4" t="inlineStr">
        <x:is>
          <x:t xml:space="preserve">2010-01-13</x:t>
        </x:is>
      </x:c>
      <x:c r="J1943" s="5" t="inlineStr">
        <x:is>
          <x:t xml:space="preserve">深圳市南山区桃源街道长源社区学苑大道南山智园A7栋501</x:t>
        </x:is>
      </x:c>
      <x:c r="K1943" s="12" t="str">
        <x:f>LEFT("914403007362836219",18)</x:f>
        <x:v>914403007362836200</x:v>
      </x:c>
    </x:row>
    <x:row r="1944">
      <x:c r="A1944" s="2" t="n">
        <x:v>1943</x:v>
      </x:c>
      <x:c r="B1944" s="2" t="inlineStr">
        <x:is>
          <x:t xml:space="preserve">002340</x:t>
        </x:is>
      </x:c>
      <x:c r="C1944" s="3" t="inlineStr">
        <x:is>
          <x:t xml:space="preserve">格林美</x:t>
        </x:is>
      </x:c>
      <x:c r="D1944" s="3" t="inlineStr">
        <x:is>
          <x:t xml:space="preserve">格林美股份有限公司</x:t>
        </x:is>
      </x:c>
      <x:c r="E1944" s="2" t="inlineStr">
        <x:is>
          <x:t xml:space="preserve">广东省</x:t>
        </x:is>
      </x:c>
      <x:c r="F1944" s="2" t="inlineStr">
        <x:is>
          <x:t xml:space="preserve">深圳市</x:t>
        </x:is>
      </x:c>
      <x:c r="G1944" s="3" t="inlineStr">
        <x:is>
          <x:t xml:space="preserve">广东省-深圳市</x:t>
        </x:is>
      </x:c>
      <x:c r="H1944" s="2" t="inlineStr">
        <x:is>
          <x:t xml:space="preserve">能源金属</x:t>
        </x:is>
      </x:c>
      <x:c r="I1944" s="2" t="inlineStr">
        <x:is>
          <x:t xml:space="preserve">2010-01-22</x:t>
        </x:is>
      </x:c>
      <x:c r="J1944" s="3" t="inlineStr">
        <x:is>
          <x:t xml:space="preserve">深圳市宝安区新安街道海旺社区宝兴路88号星通大厦4301</x:t>
        </x:is>
      </x:c>
      <x:c r="K1944" s="12" t="str">
        <x:f>LEFT("914403007341643035",18)</x:f>
        <x:v>914403007341643000</x:v>
      </x:c>
    </x:row>
    <x:row r="1945">
      <x:c r="A1945" s="4" t="n">
        <x:v>1944</x:v>
      </x:c>
      <x:c r="B1945" s="4" t="inlineStr">
        <x:is>
          <x:t xml:space="preserve">002345</x:t>
        </x:is>
      </x:c>
      <x:c r="C1945" s="5" t="inlineStr">
        <x:is>
          <x:t xml:space="preserve">潮宏基</x:t>
        </x:is>
      </x:c>
      <x:c r="D1945" s="5" t="inlineStr">
        <x:is>
          <x:t xml:space="preserve">广东潮宏基实业股份有限公司</x:t>
        </x:is>
      </x:c>
      <x:c r="E1945" s="4" t="inlineStr">
        <x:is>
          <x:t xml:space="preserve">广东省</x:t>
        </x:is>
      </x:c>
      <x:c r="F1945" s="4" t="inlineStr">
        <x:is>
          <x:t xml:space="preserve">汕头市</x:t>
        </x:is>
      </x:c>
      <x:c r="G1945" s="5" t="inlineStr">
        <x:is>
          <x:t xml:space="preserve">广东省-汕头市</x:t>
        </x:is>
      </x:c>
      <x:c r="H1945" s="4" t="inlineStr">
        <x:is>
          <x:t xml:space="preserve">珠宝首饰</x:t>
        </x:is>
      </x:c>
      <x:c r="I1945" s="4" t="inlineStr">
        <x:is>
          <x:t xml:space="preserve">2010-01-28</x:t>
        </x:is>
      </x:c>
      <x:c r="J1945" s="5" t="inlineStr">
        <x:is>
          <x:t xml:space="preserve">汕头市濠江区南滨路98号潮宏基广场办公楼12层</x:t>
        </x:is>
      </x:c>
      <x:c r="K1945" s="12" t="str">
        <x:f>LEFT("91440500279841957E",18)</x:f>
        <x:v>91440500279841957E</x:v>
      </x:c>
    </x:row>
    <x:row r="1946">
      <x:c r="A1946" s="2" t="n">
        <x:v>1945</x:v>
      </x:c>
      <x:c r="B1946" s="2" t="inlineStr">
        <x:is>
          <x:t xml:space="preserve">002348</x:t>
        </x:is>
      </x:c>
      <x:c r="C1946" s="3" t="inlineStr">
        <x:is>
          <x:t xml:space="preserve">高乐股份</x:t>
        </x:is>
      </x:c>
      <x:c r="D1946" s="3" t="inlineStr">
        <x:is>
          <x:t xml:space="preserve">广东高乐股份有限公司</x:t>
        </x:is>
      </x:c>
      <x:c r="E1946" s="2" t="inlineStr">
        <x:is>
          <x:t xml:space="preserve">广东省</x:t>
        </x:is>
      </x:c>
      <x:c r="F1946" s="2" t="inlineStr">
        <x:is>
          <x:t xml:space="preserve">东省普宁市</x:t>
        </x:is>
      </x:c>
      <x:c r="G1946" s="3" t="inlineStr">
        <x:is>
          <x:t xml:space="preserve">广东省-东省普宁市</x:t>
        </x:is>
      </x:c>
      <x:c r="H1946" s="2" t="inlineStr">
        <x:is>
          <x:t xml:space="preserve">家用轻工</x:t>
        </x:is>
      </x:c>
      <x:c r="I1946" s="2" t="inlineStr">
        <x:is>
          <x:t xml:space="preserve">2010-02-03</x:t>
        </x:is>
      </x:c>
      <x:c r="J1946" s="3" t="inlineStr">
        <x:is>
          <x:t xml:space="preserve">广东省普宁市池尾街道塘边村塘边里东片168号</x:t>
        </x:is>
      </x:c>
      <x:c r="K1946" s="12" t="str">
        <x:f>LEFT("9144000061821828XT",18)</x:f>
        <x:v>9144000061821828XT</x:v>
      </x:c>
    </x:row>
    <x:row r="1947">
      <x:c r="A1947" s="4" t="n">
        <x:v>1946</x:v>
      </x:c>
      <x:c r="B1947" s="4" t="inlineStr">
        <x:is>
          <x:t xml:space="preserve">002351</x:t>
        </x:is>
      </x:c>
      <x:c r="C1947" s="5" t="inlineStr">
        <x:is>
          <x:t xml:space="preserve">漫步者</x:t>
        </x:is>
      </x:c>
      <x:c r="D1947" s="5" t="inlineStr">
        <x:is>
          <x:t xml:space="preserve">深圳市漫步者科技股份有限公司</x:t>
        </x:is>
      </x:c>
      <x:c r="E1947" s="4" t="inlineStr">
        <x:is>
          <x:t xml:space="preserve">广东省</x:t>
        </x:is>
      </x:c>
      <x:c r="F1947" s="4" t="inlineStr">
        <x:is>
          <x:t xml:space="preserve">深圳市</x:t>
        </x:is>
      </x:c>
      <x:c r="G1947" s="5" t="inlineStr">
        <x:is>
          <x:t xml:space="preserve">广东省-深圳市</x:t>
        </x:is>
      </x:c>
      <x:c r="H1947" s="4" t="inlineStr">
        <x:is>
          <x:t xml:space="preserve">消费电子</x:t>
        </x:is>
      </x:c>
      <x:c r="I1947" s="4" t="inlineStr">
        <x:is>
          <x:t xml:space="preserve">2010-02-05</x:t>
        </x:is>
      </x:c>
      <x:c r="J1947" s="5" t="inlineStr">
        <x:is>
          <x:t xml:space="preserve">深圳市南山区西丽街道松坪山社区朗山路13号清华紫光科技园3层A302室</x:t>
        </x:is>
      </x:c>
      <x:c r="K1947" s="12" t="str">
        <x:f>LEFT("91440300726185358T",18)</x:f>
        <x:v>91440300726185358T</x:v>
      </x:c>
    </x:row>
    <x:row r="1948">
      <x:c r="A1948" s="2" t="n">
        <x:v>1947</x:v>
      </x:c>
      <x:c r="B1948" s="2" t="inlineStr">
        <x:is>
          <x:t xml:space="preserve">002352</x:t>
        </x:is>
      </x:c>
      <x:c r="C1948" s="3" t="inlineStr">
        <x:is>
          <x:t xml:space="preserve">顺丰控股</x:t>
        </x:is>
      </x:c>
      <x:c r="D1948" s="3" t="inlineStr">
        <x:is>
          <x:t xml:space="preserve">顺丰控股股份有限公司</x:t>
        </x:is>
      </x:c>
      <x:c r="E1948" s="2" t="inlineStr">
        <x:is>
          <x:t xml:space="preserve">广东省</x:t>
        </x:is>
      </x:c>
      <x:c r="F1948" s="2" t="inlineStr">
        <x:is>
          <x:t xml:space="preserve">深圳市</x:t>
        </x:is>
      </x:c>
      <x:c r="G1948" s="3" t="inlineStr">
        <x:is>
          <x:t xml:space="preserve">广东省-深圳市</x:t>
        </x:is>
      </x:c>
      <x:c r="H1948" s="2" t="inlineStr">
        <x:is>
          <x:t xml:space="preserve">交运物流</x:t>
        </x:is>
      </x:c>
      <x:c r="I1948" s="2" t="inlineStr">
        <x:is>
          <x:t xml:space="preserve">2010-02-05</x:t>
        </x:is>
      </x:c>
      <x:c r="J1948" s="3" t="inlineStr">
        <x:is>
          <x:t xml:space="preserve">深圳市宝安区航城街道草围社区深圳机场航站四路1111号顺丰华南转运中心综合楼三层</x:t>
        </x:is>
      </x:c>
      <x:c r="K1948" s="12" t="str">
        <x:f>LEFT("91340500150660397M",18)</x:f>
        <x:v>91340500150660397M</x:v>
      </x:c>
    </x:row>
    <x:row r="1949">
      <x:c r="A1949" s="4" t="n">
        <x:v>1948</x:v>
      </x:c>
      <x:c r="B1949" s="4" t="inlineStr">
        <x:is>
          <x:t xml:space="preserve">002356</x:t>
        </x:is>
      </x:c>
      <x:c r="C1949" s="5" t="inlineStr">
        <x:is>
          <x:t xml:space="preserve">赫美集团</x:t>
        </x:is>
      </x:c>
      <x:c r="D1949" s="5" t="inlineStr">
        <x:is>
          <x:t xml:space="preserve">深圳赫美集团股份有限公司</x:t>
        </x:is>
      </x:c>
      <x:c r="E1949" s="4" t="inlineStr">
        <x:is>
          <x:t xml:space="preserve">广东省</x:t>
        </x:is>
      </x:c>
      <x:c r="F1949" s="4" t="inlineStr">
        <x:is>
          <x:t xml:space="preserve">深圳市</x:t>
        </x:is>
      </x:c>
      <x:c r="G1949" s="5" t="inlineStr">
        <x:is>
          <x:t xml:space="preserve">广东省-深圳市</x:t>
        </x:is>
      </x:c>
      <x:c r="H1949" s="4" t="inlineStr">
        <x:is>
          <x:t xml:space="preserve">贸易行业</x:t>
        </x:is>
      </x:c>
      <x:c r="I1949" s="4" t="inlineStr">
        <x:is>
          <x:t xml:space="preserve">2010-02-09</x:t>
        </x:is>
      </x:c>
      <x:c r="J1949" s="5" t="inlineStr">
        <x:is>
          <x:t xml:space="preserve">广东省深圳市南山区粤海街道蔚蓝海岸社区中心路3008号深圳湾1号广场南区T7-2205</x:t>
        </x:is>
      </x:c>
      <x:c r="K1949" s="12" t="str">
        <x:f>LEFT("914403006188138042",18)</x:f>
        <x:v>914403006188138000</x:v>
      </x:c>
    </x:row>
    <x:row r="1950">
      <x:c r="A1950" s="2" t="n">
        <x:v>1949</x:v>
      </x:c>
      <x:c r="B1950" s="2" t="inlineStr">
        <x:is>
          <x:t xml:space="preserve">002369</x:t>
        </x:is>
      </x:c>
      <x:c r="C1950" s="3" t="inlineStr">
        <x:is>
          <x:t xml:space="preserve">卓翼科技</x:t>
        </x:is>
      </x:c>
      <x:c r="D1950" s="3" t="inlineStr">
        <x:is>
          <x:t xml:space="preserve">深圳市卓翼科技股份有限公司</x:t>
        </x:is>
      </x:c>
      <x:c r="E1950" s="2" t="inlineStr">
        <x:is>
          <x:t xml:space="preserve">广东省</x:t>
        </x:is>
      </x:c>
      <x:c r="F1950" s="2" t="inlineStr">
        <x:is>
          <x:t xml:space="preserve">深圳市</x:t>
        </x:is>
      </x:c>
      <x:c r="G1950" s="3" t="inlineStr">
        <x:is>
          <x:t xml:space="preserve">广东省-深圳市</x:t>
        </x:is>
      </x:c>
      <x:c r="H1950" s="2" t="inlineStr">
        <x:is>
          <x:t xml:space="preserve">消费电子</x:t>
        </x:is>
      </x:c>
      <x:c r="I1950" s="2" t="inlineStr">
        <x:is>
          <x:t xml:space="preserve">2010-03-16</x:t>
        </x:is>
      </x:c>
      <x:c r="J1950" s="3" t="inlineStr">
        <x:is>
          <x:t xml:space="preserve">深圳市南山区南头街道马家龙社区大新路198号创新大厦B栋1201</x:t>
        </x:is>
      </x:c>
      <x:c r="K1950" s="12" t="str">
        <x:f>LEFT("914403007586256618",18)</x:f>
        <x:v>914403007586256600</x:v>
      </x:c>
    </x:row>
    <x:row r="1951">
      <x:c r="A1951" s="4" t="n">
        <x:v>1950</x:v>
      </x:c>
      <x:c r="B1951" s="4" t="inlineStr">
        <x:is>
          <x:t xml:space="preserve">002399</x:t>
        </x:is>
      </x:c>
      <x:c r="C1951" s="5" t="inlineStr">
        <x:is>
          <x:t xml:space="preserve">海普瑞</x:t>
        </x:is>
      </x:c>
      <x:c r="D1951" s="5" t="inlineStr">
        <x:is>
          <x:t xml:space="preserve">深圳市海普瑞药业集团股份有限公司</x:t>
        </x:is>
      </x:c>
      <x:c r="E1951" s="4" t="inlineStr">
        <x:is>
          <x:t xml:space="preserve">广东省</x:t>
        </x:is>
      </x:c>
      <x:c r="F1951" s="4" t="inlineStr">
        <x:is>
          <x:t xml:space="preserve">深圳市</x:t>
        </x:is>
      </x:c>
      <x:c r="G1951" s="5" t="inlineStr">
        <x:is>
          <x:t xml:space="preserve">广东省-深圳市</x:t>
        </x:is>
      </x:c>
      <x:c r="H1951" s="4" t="inlineStr">
        <x:is>
          <x:t xml:space="preserve">医药制造</x:t>
        </x:is>
      </x:c>
      <x:c r="I1951" s="4" t="inlineStr">
        <x:is>
          <x:t xml:space="preserve">2010-05-06</x:t>
        </x:is>
      </x:c>
      <x:c r="J1951" s="5" t="inlineStr">
        <x:is>
          <x:t xml:space="preserve">深圳市南山区松坪山郎山路21号</x:t>
        </x:is>
      </x:c>
      <x:c r="K1951" s="12" t="str">
        <x:f>LEFT("91440300279544901A",18)</x:f>
        <x:v>91440300279544901A</x:v>
      </x:c>
    </x:row>
    <x:row r="1952">
      <x:c r="A1952" s="2" t="n">
        <x:v>1951</x:v>
      </x:c>
      <x:c r="B1952" s="2" t="inlineStr">
        <x:is>
          <x:t xml:space="preserve">002400</x:t>
        </x:is>
      </x:c>
      <x:c r="C1952" s="3" t="inlineStr">
        <x:is>
          <x:t xml:space="preserve">省广集团</x:t>
        </x:is>
      </x:c>
      <x:c r="D1952" s="3" t="inlineStr">
        <x:is>
          <x:t xml:space="preserve">广东省广告集团股份有限公司</x:t>
        </x:is>
      </x:c>
      <x:c r="E1952" s="2" t="inlineStr">
        <x:is>
          <x:t xml:space="preserve">广东省</x:t>
        </x:is>
      </x:c>
      <x:c r="F1952" s="2" t="inlineStr">
        <x:is>
          <x:t xml:space="preserve">广州市</x:t>
        </x:is>
      </x:c>
      <x:c r="G1952" s="3" t="inlineStr">
        <x:is>
          <x:t xml:space="preserve">广东省-广州市</x:t>
        </x:is>
      </x:c>
      <x:c r="H1952" s="2" t="inlineStr">
        <x:is>
          <x:t xml:space="preserve">文化传媒</x:t>
        </x:is>
      </x:c>
      <x:c r="I1952" s="2" t="inlineStr">
        <x:is>
          <x:t xml:space="preserve">2010-05-06</x:t>
        </x:is>
      </x:c>
      <x:c r="J1952" s="3" t="inlineStr">
        <x:is>
          <x:t xml:space="preserve">广州市海珠区新港东路996号保利世界贸易中心G座</x:t>
        </x:is>
      </x:c>
      <x:c r="K1952" s="12" t="str">
        <x:f>LEFT("91440000190333809T",18)</x:f>
        <x:v>91440000190333809T</x:v>
      </x:c>
    </x:row>
    <x:row r="1953">
      <x:c r="A1953" s="4" t="n">
        <x:v>1952</x:v>
      </x:c>
      <x:c r="B1953" s="4" t="inlineStr">
        <x:is>
          <x:t xml:space="preserve">002402</x:t>
        </x:is>
      </x:c>
      <x:c r="C1953" s="5" t="inlineStr">
        <x:is>
          <x:t xml:space="preserve">和而泰</x:t>
        </x:is>
      </x:c>
      <x:c r="D1953" s="5" t="inlineStr">
        <x:is>
          <x:t xml:space="preserve">深圳和而泰智能控制股份有限公司</x:t>
        </x:is>
      </x:c>
      <x:c r="E1953" s="4" t="inlineStr">
        <x:is>
          <x:t xml:space="preserve">广东省</x:t>
        </x:is>
      </x:c>
      <x:c r="F1953" s="4" t="inlineStr">
        <x:is>
          <x:t xml:space="preserve">深圳市</x:t>
        </x:is>
      </x:c>
      <x:c r="G1953" s="5" t="inlineStr">
        <x:is>
          <x:t xml:space="preserve">广东省-深圳市</x:t>
        </x:is>
      </x:c>
      <x:c r="H1953" s="4" t="inlineStr">
        <x:is>
          <x:t xml:space="preserve">消费电子</x:t>
        </x:is>
      </x:c>
      <x:c r="I1953" s="4" t="inlineStr">
        <x:is>
          <x:t xml:space="preserve">2010-05-11</x:t>
        </x:is>
      </x:c>
      <x:c r="J1953" s="5" t="inlineStr">
        <x:is>
          <x:t xml:space="preserve">深圳市南山区高新南区科技南十路6号深圳航天科技创新研究院大厦D座10楼1010-1011</x:t>
        </x:is>
      </x:c>
      <x:c r="K1953" s="12" t="str">
        <x:f>LEFT("91440300715263680J",18)</x:f>
        <x:v>91440300715263680J</x:v>
      </x:c>
    </x:row>
    <x:row r="1954">
      <x:c r="A1954" s="2" t="n">
        <x:v>1953</x:v>
      </x:c>
      <x:c r="B1954" s="2" t="inlineStr">
        <x:is>
          <x:t xml:space="preserve">002416</x:t>
        </x:is>
      </x:c>
      <x:c r="C1954" s="3" t="inlineStr">
        <x:is>
          <x:t xml:space="preserve">爱施德</x:t>
        </x:is>
      </x:c>
      <x:c r="D1954" s="3" t="inlineStr">
        <x:is>
          <x:t xml:space="preserve">深圳市爱施德股份有限公司</x:t>
        </x:is>
      </x:c>
      <x:c r="E1954" s="2" t="inlineStr">
        <x:is>
          <x:t xml:space="preserve">广东省</x:t>
        </x:is>
      </x:c>
      <x:c r="F1954" s="2" t="inlineStr">
        <x:is>
          <x:t xml:space="preserve">深圳市</x:t>
        </x:is>
      </x:c>
      <x:c r="G1954" s="3" t="inlineStr">
        <x:is>
          <x:t xml:space="preserve">广东省-深圳市</x:t>
        </x:is>
      </x:c>
      <x:c r="H1954" s="2" t="inlineStr">
        <x:is>
          <x:t xml:space="preserve">商业百货</x:t>
        </x:is>
      </x:c>
      <x:c r="I1954" s="2" t="inlineStr">
        <x:is>
          <x:t xml:space="preserve">2010-05-28</x:t>
        </x:is>
      </x:c>
      <x:c r="J1954" s="3" t="inlineStr">
        <x:is>
          <x:t xml:space="preserve">深圳市福田区泰然大道东泰然劲松大厦20F</x:t>
        </x:is>
      </x:c>
      <x:c r="K1954" s="12" t="str">
        <x:f>LEFT("91440300708415957K",18)</x:f>
        <x:v>91440300708415957K</x:v>
      </x:c>
    </x:row>
    <x:row r="1955">
      <x:c r="A1955" s="4" t="n">
        <x:v>1954</x:v>
      </x:c>
      <x:c r="B1955" s="4" t="inlineStr">
        <x:is>
          <x:t xml:space="preserve">002419</x:t>
        </x:is>
      </x:c>
      <x:c r="C1955" s="5" t="inlineStr">
        <x:is>
          <x:t xml:space="preserve">天虹股份</x:t>
        </x:is>
      </x:c>
      <x:c r="D1955" s="5" t="inlineStr">
        <x:is>
          <x:t xml:space="preserve">天虹数科商业股份有限公司</x:t>
        </x:is>
      </x:c>
      <x:c r="E1955" s="4" t="inlineStr">
        <x:is>
          <x:t xml:space="preserve">广东省</x:t>
        </x:is>
      </x:c>
      <x:c r="F1955" s="4" t="inlineStr">
        <x:is>
          <x:t xml:space="preserve">深圳市</x:t>
        </x:is>
      </x:c>
      <x:c r="G1955" s="5" t="inlineStr">
        <x:is>
          <x:t xml:space="preserve">广东省-深圳市</x:t>
        </x:is>
      </x:c>
      <x:c r="H1955" s="4" t="inlineStr">
        <x:is>
          <x:t xml:space="preserve">商业百货</x:t>
        </x:is>
      </x:c>
      <x:c r="I1955" s="4" t="inlineStr">
        <x:is>
          <x:t xml:space="preserve">2010-06-01</x:t>
        </x:is>
      </x:c>
      <x:c r="J1955" s="5" t="inlineStr">
        <x:is>
          <x:t xml:space="preserve">深圳市南山区中心路(深圳湾段)3019号天虹大厦9-14楼、17-20楼</x:t>
        </x:is>
      </x:c>
      <x:c r="K1955" s="12" t="str">
        <x:f>LEFT("91440300618842912J",18)</x:f>
        <x:v>91440300618842912J</x:v>
      </x:c>
    </x:row>
    <x:row r="1956">
      <x:c r="A1956" s="2" t="n">
        <x:v>1955</x:v>
      </x:c>
      <x:c r="B1956" s="2" t="inlineStr">
        <x:is>
          <x:t xml:space="preserve">002420</x:t>
        </x:is>
      </x:c>
      <x:c r="C1956" s="3" t="inlineStr">
        <x:is>
          <x:t xml:space="preserve">毅昌科技</x:t>
        </x:is>
      </x:c>
      <x:c r="D1956" s="3" t="inlineStr">
        <x:is>
          <x:t xml:space="preserve">广州毅昌科技股份有限公司</x:t>
        </x:is>
      </x:c>
      <x:c r="E1956" s="2" t="inlineStr">
        <x:is>
          <x:t xml:space="preserve">广东省</x:t>
        </x:is>
      </x:c>
      <x:c r="F1956" s="2" t="inlineStr">
        <x:is>
          <x:t xml:space="preserve">广州市</x:t>
        </x:is>
      </x:c>
      <x:c r="G1956" s="3" t="inlineStr">
        <x:is>
          <x:t xml:space="preserve">广东省-广州市</x:t>
        </x:is>
      </x:c>
      <x:c r="H1956" s="2" t="inlineStr">
        <x:is>
          <x:t xml:space="preserve">家电行业</x:t>
        </x:is>
      </x:c>
      <x:c r="I1956" s="2" t="inlineStr">
        <x:is>
          <x:t xml:space="preserve">2010-06-01</x:t>
        </x:is>
      </x:c>
      <x:c r="J1956" s="3" t="inlineStr">
        <x:is>
          <x:t xml:space="preserve">广州市高新技术产业开发区科学城科丰路29号</x:t>
        </x:is>
      </x:c>
      <x:c r="K1956" s="12" t="str">
        <x:f>LEFT("914401016185240255",18)</x:f>
        <x:v>914401016185240200</x:v>
      </x:c>
    </x:row>
    <x:row r="1957">
      <x:c r="A1957" s="4" t="n">
        <x:v>1956</x:v>
      </x:c>
      <x:c r="B1957" s="4" t="inlineStr">
        <x:is>
          <x:t xml:space="preserve">002421</x:t>
        </x:is>
      </x:c>
      <x:c r="C1957" s="5" t="inlineStr">
        <x:is>
          <x:t xml:space="preserve">达实智能</x:t>
        </x:is>
      </x:c>
      <x:c r="D1957" s="5" t="inlineStr">
        <x:is>
          <x:t xml:space="preserve">深圳达实智能股份有限公司</x:t>
        </x:is>
      </x:c>
      <x:c r="E1957" s="4" t="inlineStr">
        <x:is>
          <x:t xml:space="preserve">广东省</x:t>
        </x:is>
      </x:c>
      <x:c r="F1957" s="4" t="inlineStr">
        <x:is>
          <x:t xml:space="preserve">深圳市</x:t>
        </x:is>
      </x:c>
      <x:c r="G1957" s="5" t="inlineStr">
        <x:is>
          <x:t xml:space="preserve">广东省-深圳市</x:t>
        </x:is>
      </x:c>
      <x:c r="H1957" s="4" t="inlineStr">
        <x:is>
          <x:t xml:space="preserve">软件开发</x:t>
        </x:is>
      </x:c>
      <x:c r="I1957" s="4" t="inlineStr">
        <x:is>
          <x:t xml:space="preserve">2010-06-03</x:t>
        </x:is>
      </x:c>
      <x:c r="J1957" s="5" t="inlineStr">
        <x:is>
          <x:t xml:space="preserve">广东省深圳市南山区粤海街道高新区社区科技南一路28号达实大厦1201</x:t>
        </x:is>
      </x:c>
      <x:c r="K1957" s="12" t="str">
        <x:f>LEFT("914403006188861815",18)</x:f>
        <x:v>914403006188861800</x:v>
      </x:c>
    </x:row>
    <x:row r="1958">
      <x:c r="A1958" s="2" t="n">
        <x:v>1957</x:v>
      </x:c>
      <x:c r="B1958" s="2" t="inlineStr">
        <x:is>
          <x:t xml:space="preserve">002425</x:t>
        </x:is>
      </x:c>
      <x:c r="C1958" s="3" t="inlineStr">
        <x:is>
          <x:t xml:space="preserve">凯撒文化</x:t>
        </x:is>
      </x:c>
      <x:c r="D1958" s="3" t="inlineStr">
        <x:is>
          <x:t xml:space="preserve">凯撒(中国)文化股份有限公司</x:t>
        </x:is>
      </x:c>
      <x:c r="E1958" s="2" t="inlineStr">
        <x:is>
          <x:t xml:space="preserve">广东省</x:t>
        </x:is>
      </x:c>
      <x:c r="F1958" s="2" t="inlineStr">
        <x:is>
          <x:t xml:space="preserve">汕头市</x:t>
        </x:is>
      </x:c>
      <x:c r="G1958" s="3" t="inlineStr">
        <x:is>
          <x:t xml:space="preserve">广东省-汕头市</x:t>
        </x:is>
      </x:c>
      <x:c r="H1958" s="2" t="inlineStr">
        <x:is>
          <x:t xml:space="preserve">游戏</x:t>
        </x:is>
      </x:c>
      <x:c r="I1958" s="2" t="inlineStr">
        <x:is>
          <x:t xml:space="preserve">2010-06-08</x:t>
        </x:is>
      </x:c>
      <x:c r="J1958" s="3" t="inlineStr">
        <x:is>
          <x:t xml:space="preserve">广东省汕头市龙湖珠津工业区珠津1街3号凯撒工业城</x:t>
        </x:is>
      </x:c>
      <x:c r="K1958" s="12" t="str">
        <x:f>LEFT("91440500617540496Q",18)</x:f>
        <x:v>91440500617540496Q</x:v>
      </x:c>
    </x:row>
    <x:row r="1959">
      <x:c r="A1959" s="4" t="n">
        <x:v>1958</x:v>
      </x:c>
      <x:c r="B1959" s="4" t="inlineStr">
        <x:is>
          <x:t xml:space="preserve">002429</x:t>
        </x:is>
      </x:c>
      <x:c r="C1959" s="5" t="inlineStr">
        <x:is>
          <x:t xml:space="preserve">兆驰股份</x:t>
        </x:is>
      </x:c>
      <x:c r="D1959" s="5" t="inlineStr">
        <x:is>
          <x:t xml:space="preserve">深圳市兆驰股份有限公司</x:t>
        </x:is>
      </x:c>
      <x:c r="E1959" s="4" t="inlineStr">
        <x:is>
          <x:t xml:space="preserve">广东省</x:t>
        </x:is>
      </x:c>
      <x:c r="F1959" s="4" t="inlineStr">
        <x:is>
          <x:t xml:space="preserve">深圳市</x:t>
        </x:is>
      </x:c>
      <x:c r="G1959" s="5" t="inlineStr">
        <x:is>
          <x:t xml:space="preserve">广东省-深圳市</x:t>
        </x:is>
      </x:c>
      <x:c r="H1959" s="4" t="inlineStr">
        <x:is>
          <x:t xml:space="preserve">家电行业</x:t>
        </x:is>
      </x:c>
      <x:c r="I1959" s="4" t="inlineStr">
        <x:is>
          <x:t xml:space="preserve">2010-06-10</x:t>
        </x:is>
      </x:c>
      <x:c r="J1959" s="5" t="inlineStr">
        <x:is>
          <x:t xml:space="preserve">深圳市龙岗区南湾街道下李朗社区李朗路一号兆驰创新产业园</x:t>
        </x:is>
      </x:c>
      <x:c r="K1959" s="12" t="str">
        <x:f>LEFT("9144030077272966XD",18)</x:f>
        <x:v>9144030077272966XD</x:v>
      </x:c>
    </x:row>
    <x:row r="1960">
      <x:c r="A1960" s="2" t="n">
        <x:v>1959</x:v>
      </x:c>
      <x:c r="B1960" s="2" t="inlineStr">
        <x:is>
          <x:t xml:space="preserve">002436</x:t>
        </x:is>
      </x:c>
      <x:c r="C1960" s="3" t="inlineStr">
        <x:is>
          <x:t xml:space="preserve">兴森科技</x:t>
        </x:is>
      </x:c>
      <x:c r="D1960" s="3" t="inlineStr">
        <x:is>
          <x:t xml:space="preserve">深圳市兴森快捷电路科技股份有限公司</x:t>
        </x:is>
      </x:c>
      <x:c r="E1960" s="2" t="inlineStr">
        <x:is>
          <x:t xml:space="preserve">广东省</x:t>
        </x:is>
      </x:c>
      <x:c r="F1960" s="2" t="inlineStr">
        <x:is>
          <x:t xml:space="preserve">深圳市</x:t>
        </x:is>
      </x:c>
      <x:c r="G1960" s="3" t="inlineStr">
        <x:is>
          <x:t xml:space="preserve">广东省-深圳市</x:t>
        </x:is>
      </x:c>
      <x:c r="H1960" s="2" t="inlineStr">
        <x:is>
          <x:t xml:space="preserve">电子元件</x:t>
        </x:is>
      </x:c>
      <x:c r="I1960" s="2" t="inlineStr">
        <x:is>
          <x:t xml:space="preserve">2010-06-18</x:t>
        </x:is>
      </x:c>
      <x:c r="J1960" s="3" t="inlineStr">
        <x:is>
          <x:t xml:space="preserve">深圳市南山区粤海街道沙河西路与白石路交汇处深圳湾科技生态园一区2栋A座8-9层</x:t>
        </x:is>
      </x:c>
      <x:c r="K1960" s="12" t="str">
        <x:f>LEFT("914403007084880569",18)</x:f>
        <x:v>914403007084880500</x:v>
      </x:c>
    </x:row>
    <x:row r="1961">
      <x:c r="A1961" s="4" t="n">
        <x:v>1960</x:v>
      </x:c>
      <x:c r="B1961" s="4" t="inlineStr">
        <x:is>
          <x:t xml:space="preserve">002441</x:t>
        </x:is>
      </x:c>
      <x:c r="C1961" s="5" t="inlineStr">
        <x:is>
          <x:t xml:space="preserve">众业达</x:t>
        </x:is>
      </x:c>
      <x:c r="D1961" s="5" t="inlineStr">
        <x:is>
          <x:t xml:space="preserve">众业达电气股份有限公司</x:t>
        </x:is>
      </x:c>
      <x:c r="E1961" s="4" t="inlineStr">
        <x:is>
          <x:t xml:space="preserve">广东省</x:t>
        </x:is>
      </x:c>
      <x:c r="F1961" s="4" t="inlineStr">
        <x:is>
          <x:t xml:space="preserve">汕头市</x:t>
        </x:is>
      </x:c>
      <x:c r="G1961" s="5" t="inlineStr">
        <x:is>
          <x:t xml:space="preserve">广东省-汕头市</x:t>
        </x:is>
      </x:c>
      <x:c r="H1961" s="4" t="inlineStr">
        <x:is>
          <x:t xml:space="preserve">输配电气</x:t>
        </x:is>
      </x:c>
      <x:c r="I1961" s="4" t="inlineStr">
        <x:is>
          <x:t xml:space="preserve">2010-07-06</x:t>
        </x:is>
      </x:c>
      <x:c r="J1961" s="5" t="inlineStr">
        <x:is>
          <x:t xml:space="preserve">汕头市龙湖区珠津工业区珠津一横街1号</x:t>
        </x:is>
      </x:c>
      <x:c r="K1961" s="12" t="str">
        <x:f>LEFT("914405007224920787",18)</x:f>
        <x:v>914405007224920800</x:v>
      </x:c>
    </x:row>
    <x:row r="1962">
      <x:c r="A1962" s="2" t="n">
        <x:v>1961</x:v>
      </x:c>
      <x:c r="B1962" s="2" t="inlineStr">
        <x:is>
          <x:t xml:space="preserve">002446</x:t>
        </x:is>
      </x:c>
      <x:c r="C1962" s="3" t="inlineStr">
        <x:is>
          <x:t xml:space="preserve">盛路通信</x:t>
        </x:is>
      </x:c>
      <x:c r="D1962" s="3" t="inlineStr">
        <x:is>
          <x:t xml:space="preserve">广东盛路通信科技股份有限公司</x:t>
        </x:is>
      </x:c>
      <x:c r="E1962" s="2" t="inlineStr">
        <x:is>
          <x:t xml:space="preserve">广东省</x:t>
        </x:is>
      </x:c>
      <x:c r="F1962" s="2" t="inlineStr">
        <x:is>
          <x:t xml:space="preserve">佛山市</x:t>
        </x:is>
      </x:c>
      <x:c r="G1962" s="3" t="inlineStr">
        <x:is>
          <x:t xml:space="preserve">广东省-佛山市</x:t>
        </x:is>
      </x:c>
      <x:c r="H1962" s="2" t="inlineStr">
        <x:is>
          <x:t xml:space="preserve">通讯行业</x:t>
        </x:is>
      </x:c>
      <x:c r="I1962" s="2" t="inlineStr">
        <x:is>
          <x:t xml:space="preserve">2010-07-13</x:t>
        </x:is>
      </x:c>
      <x:c r="J1962" s="3" t="inlineStr">
        <x:is>
          <x:t xml:space="preserve">佛山市三水区西南工业园进业二路四号</x:t>
        </x:is>
      </x:c>
      <x:c r="K1962" s="12" t="str">
        <x:f>LEFT("9144060070779772XN",18)</x:f>
        <x:v>9144060070779772XN</x:v>
      </x:c>
    </x:row>
    <x:row r="1963">
      <x:c r="A1963" s="4" t="n">
        <x:v>1962</x:v>
      </x:c>
      <x:c r="B1963" s="4" t="inlineStr">
        <x:is>
          <x:t xml:space="preserve">002449</x:t>
        </x:is>
      </x:c>
      <x:c r="C1963" s="5" t="inlineStr">
        <x:is>
          <x:t xml:space="preserve">国星光电</x:t>
        </x:is>
      </x:c>
      <x:c r="D1963" s="5" t="inlineStr">
        <x:is>
          <x:t xml:space="preserve">佛山市国星光电股份有限公司</x:t>
        </x:is>
      </x:c>
      <x:c r="E1963" s="4" t="inlineStr">
        <x:is>
          <x:t xml:space="preserve">广东省</x:t>
        </x:is>
      </x:c>
      <x:c r="F1963" s="4" t="inlineStr">
        <x:is>
          <x:t xml:space="preserve">佛山市</x:t>
        </x:is>
      </x:c>
      <x:c r="G1963" s="5" t="inlineStr">
        <x:is>
          <x:t xml:space="preserve">广东省-佛山市</x:t>
        </x:is>
      </x:c>
      <x:c r="H1963" s="4" t="inlineStr">
        <x:is>
          <x:t xml:space="preserve">光学光电子</x:t>
        </x:is>
      </x:c>
      <x:c r="I1963" s="4" t="inlineStr">
        <x:is>
          <x:t xml:space="preserve">2010-07-16</x:t>
        </x:is>
      </x:c>
      <x:c r="J1963" s="5" t="inlineStr">
        <x:is>
          <x:t xml:space="preserve">广东省佛山市禅城区华宝南路18号</x:t>
        </x:is>
      </x:c>
      <x:c r="K1963" s="12" t="str">
        <x:f>LEFT("914406001935264036",18)</x:f>
        <x:v>914406001935264000</x:v>
      </x:c>
    </x:row>
    <x:row r="1964">
      <x:c r="A1964" s="2" t="n">
        <x:v>1963</x:v>
      </x:c>
      <x:c r="B1964" s="2" t="inlineStr">
        <x:is>
          <x:t xml:space="preserve">002456</x:t>
        </x:is>
      </x:c>
      <x:c r="C1964" s="3" t="inlineStr">
        <x:is>
          <x:t xml:space="preserve">欧菲光</x:t>
        </x:is>
      </x:c>
      <x:c r="D1964" s="3" t="inlineStr">
        <x:is>
          <x:t xml:space="preserve">欧菲光集团股份有限公司</x:t>
        </x:is>
      </x:c>
      <x:c r="E1964" s="2" t="inlineStr">
        <x:is>
          <x:t xml:space="preserve">广东省</x:t>
        </x:is>
      </x:c>
      <x:c r="F1964" s="2" t="inlineStr">
        <x:is>
          <x:t xml:space="preserve">深圳市</x:t>
        </x:is>
      </x:c>
      <x:c r="G1964" s="3" t="inlineStr">
        <x:is>
          <x:t xml:space="preserve">广东省-深圳市</x:t>
        </x:is>
      </x:c>
      <x:c r="H1964" s="2" t="inlineStr">
        <x:is>
          <x:t xml:space="preserve">光学光电子</x:t>
        </x:is>
      </x:c>
      <x:c r="I1964" s="2" t="inlineStr">
        <x:is>
          <x:t xml:space="preserve">2010-08-03</x:t>
        </x:is>
      </x:c>
      <x:c r="J1964" s="3" t="inlineStr">
        <x:is>
          <x:t xml:space="preserve">深圳市光明区凤凰街道东坑社区光源二路131号欧菲光总部研发中心B栋18层</x:t>
        </x:is>
      </x:c>
      <x:c r="K1964" s="12" t="str">
        <x:f>LEFT("914403007261824992",18)</x:f>
        <x:v>914403007261825000</x:v>
      </x:c>
    </x:row>
    <x:row r="1965">
      <x:c r="A1965" s="4" t="n">
        <x:v>1964</x:v>
      </x:c>
      <x:c r="B1965" s="4" t="inlineStr">
        <x:is>
          <x:t xml:space="preserve">002461</x:t>
        </x:is>
      </x:c>
      <x:c r="C1965" s="5" t="inlineStr">
        <x:is>
          <x:t xml:space="preserve">珠江啤酒</x:t>
        </x:is>
      </x:c>
      <x:c r="D1965" s="5" t="inlineStr">
        <x:is>
          <x:t xml:space="preserve">广州珠江啤酒股份有限公司</x:t>
        </x:is>
      </x:c>
      <x:c r="E1965" s="4" t="inlineStr">
        <x:is>
          <x:t xml:space="preserve">广东省</x:t>
        </x:is>
      </x:c>
      <x:c r="F1965" s="4" t="inlineStr">
        <x:is>
          <x:t xml:space="preserve">广州市</x:t>
        </x:is>
      </x:c>
      <x:c r="G1965" s="5" t="inlineStr">
        <x:is>
          <x:t xml:space="preserve">广东省-广州市</x:t>
        </x:is>
      </x:c>
      <x:c r="H1965" s="4" t="inlineStr">
        <x:is>
          <x:t xml:space="preserve">酿酒行业</x:t>
        </x:is>
      </x:c>
      <x:c r="I1965" s="4" t="inlineStr">
        <x:is>
          <x:t xml:space="preserve">2010-08-18</x:t>
        </x:is>
      </x:c>
      <x:c r="J1965" s="5" t="inlineStr">
        <x:is>
          <x:t xml:space="preserve">广州市海珠区新港东路磨碟沙大街118号</x:t>
        </x:is>
      </x:c>
      <x:c r="K1965" s="12" t="str">
        <x:f>LEFT("91440101745962482J",18)</x:f>
        <x:v>91440101745962482J</x:v>
      </x:c>
    </x:row>
    <x:row r="1966">
      <x:c r="A1966" s="2" t="n">
        <x:v>1965</x:v>
      </x:c>
      <x:c r="B1966" s="2" t="inlineStr">
        <x:is>
          <x:t xml:space="preserve">002465</x:t>
        </x:is>
      </x:c>
      <x:c r="C1966" s="3" t="inlineStr">
        <x:is>
          <x:t xml:space="preserve">海格通信</x:t>
        </x:is>
      </x:c>
      <x:c r="D1966" s="3" t="inlineStr">
        <x:is>
          <x:t xml:space="preserve">广州海格通信集团股份有限公司</x:t>
        </x:is>
      </x:c>
      <x:c r="E1966" s="2" t="inlineStr">
        <x:is>
          <x:t xml:space="preserve">广东省</x:t>
        </x:is>
      </x:c>
      <x:c r="F1966" s="2" t="inlineStr">
        <x:is>
          <x:t xml:space="preserve">广州市</x:t>
        </x:is>
      </x:c>
      <x:c r="G1966" s="3" t="inlineStr">
        <x:is>
          <x:t xml:space="preserve">广东省-广州市</x:t>
        </x:is>
      </x:c>
      <x:c r="H1966" s="2" t="inlineStr">
        <x:is>
          <x:t xml:space="preserve">通讯行业</x:t>
        </x:is>
      </x:c>
      <x:c r="I1966" s="2" t="inlineStr">
        <x:is>
          <x:t xml:space="preserve">2010-08-31</x:t>
        </x:is>
      </x:c>
      <x:c r="J1966" s="3" t="inlineStr">
        <x:is>
          <x:t xml:space="preserve">广州市高新技术产业开发区科学城海云路88号</x:t>
        </x:is>
      </x:c>
      <x:c r="K1966" s="12" t="str">
        <x:f>LEFT("91440101724308182L",18)</x:f>
        <x:v>91440101724308182L</x:v>
      </x:c>
    </x:row>
    <x:row r="1967">
      <x:c r="A1967" s="4" t="n">
        <x:v>1966</x:v>
      </x:c>
      <x:c r="B1967" s="4" t="inlineStr">
        <x:is>
          <x:t xml:space="preserve">002475</x:t>
        </x:is>
      </x:c>
      <x:c r="C1967" s="5" t="inlineStr">
        <x:is>
          <x:t xml:space="preserve">立讯精密</x:t>
        </x:is>
      </x:c>
      <x:c r="D1967" s="5" t="inlineStr">
        <x:is>
          <x:t xml:space="preserve">立讯精密工业股份有限公司</x:t>
        </x:is>
      </x:c>
      <x:c r="E1967" s="4" t="inlineStr">
        <x:is>
          <x:t xml:space="preserve">广东省</x:t>
        </x:is>
      </x:c>
      <x:c r="F1967" s="4" t="inlineStr">
        <x:is>
          <x:t xml:space="preserve">深圳市</x:t>
        </x:is>
      </x:c>
      <x:c r="G1967" s="5" t="inlineStr">
        <x:is>
          <x:t xml:space="preserve">广东省-深圳市</x:t>
        </x:is>
      </x:c>
      <x:c r="H1967" s="4" t="inlineStr">
        <x:is>
          <x:t xml:space="preserve">消费电子</x:t>
        </x:is>
      </x:c>
      <x:c r="I1967" s="4" t="inlineStr">
        <x:is>
          <x:t xml:space="preserve">2010-09-15</x:t>
        </x:is>
      </x:c>
      <x:c r="J1967" s="5" t="inlineStr">
        <x:is>
          <x:t xml:space="preserve">深圳市宝安区沙井街道蚝一西部三洋新工业区A栋2层</x:t>
        </x:is>
      </x:c>
      <x:c r="K1967" s="12" t="str">
        <x:f>LEFT("91440300760482233Q",18)</x:f>
        <x:v>91440300760482233Q</x:v>
      </x:c>
    </x:row>
    <x:row r="1968">
      <x:c r="A1968" s="2" t="n">
        <x:v>1967</x:v>
      </x:c>
      <x:c r="B1968" s="2" t="inlineStr">
        <x:is>
          <x:t xml:space="preserve">002482</x:t>
        </x:is>
      </x:c>
      <x:c r="C1968" s="3" t="inlineStr">
        <x:is>
          <x:t xml:space="preserve">广田集团</x:t>
        </x:is>
      </x:c>
      <x:c r="D1968" s="3" t="inlineStr">
        <x:is>
          <x:t xml:space="preserve">深圳广田集团股份有限公司</x:t>
        </x:is>
      </x:c>
      <x:c r="E1968" s="2" t="inlineStr">
        <x:is>
          <x:t xml:space="preserve">广东省</x:t>
        </x:is>
      </x:c>
      <x:c r="F1968" s="2" t="inlineStr">
        <x:is>
          <x:t xml:space="preserve">深圳市</x:t>
        </x:is>
      </x:c>
      <x:c r="G1968" s="3" t="inlineStr">
        <x:is>
          <x:t xml:space="preserve">广东省-深圳市</x:t>
        </x:is>
      </x:c>
      <x:c r="H1968" s="2" t="inlineStr">
        <x:is>
          <x:t xml:space="preserve">装修装饰</x:t>
        </x:is>
      </x:c>
      <x:c r="I1968" s="2" t="inlineStr">
        <x:is>
          <x:t xml:space="preserve">2010-09-29</x:t>
        </x:is>
      </x:c>
      <x:c r="J1968" s="3" t="inlineStr">
        <x:is>
          <x:t xml:space="preserve">深圳市罗湖区笋岗街道田心社区红岭北路2188号广田大厦30层</x:t>
        </x:is>
      </x:c>
      <x:c r="K1968" s="12" t="str">
        <x:f>LEFT("91440300192359041F",18)</x:f>
        <x:v>91440300192359041F</x:v>
      </x:c>
    </x:row>
    <x:row r="1969">
      <x:c r="A1969" s="4" t="n">
        <x:v>1968</x:v>
      </x:c>
      <x:c r="B1969" s="4" t="inlineStr">
        <x:is>
          <x:t xml:space="preserve">002492</x:t>
        </x:is>
      </x:c>
      <x:c r="C1969" s="5" t="inlineStr">
        <x:is>
          <x:t xml:space="preserve">恒基达鑫</x:t>
        </x:is>
      </x:c>
      <x:c r="D1969" s="5" t="inlineStr">
        <x:is>
          <x:t xml:space="preserve">珠海恒基达鑫国际化工仓储股份有限公司</x:t>
        </x:is>
      </x:c>
      <x:c r="E1969" s="4" t="inlineStr">
        <x:is>
          <x:t xml:space="preserve">广东省</x:t>
        </x:is>
      </x:c>
      <x:c r="F1969" s="4" t="inlineStr">
        <x:is>
          <x:t xml:space="preserve">珠海市</x:t>
        </x:is>
      </x:c>
      <x:c r="G1969" s="5" t="inlineStr">
        <x:is>
          <x:t xml:space="preserve">广东省-珠海市</x:t>
        </x:is>
      </x:c>
      <x:c r="H1969" s="4" t="inlineStr">
        <x:is>
          <x:t xml:space="preserve">交运物流</x:t>
        </x:is>
      </x:c>
      <x:c r="I1969" s="4" t="inlineStr">
        <x:is>
          <x:t xml:space="preserve">2010-11-02</x:t>
        </x:is>
      </x:c>
      <x:c r="J1969" s="5" t="inlineStr">
        <x:is>
          <x:t xml:space="preserve">珠海市金湾区南水镇风鹰南路222号</x:t>
        </x:is>
      </x:c>
      <x:c r="K1969" s="12" t="str">
        <x:f>LEFT("9144040072510822XR",18)</x:f>
        <x:v>9144040072510822XR</x:v>
      </x:c>
    </x:row>
    <x:row r="1970">
      <x:c r="A1970" s="2" t="n">
        <x:v>1969</x:v>
      </x:c>
      <x:c r="B1970" s="2" t="inlineStr">
        <x:is>
          <x:t xml:space="preserve">002495</x:t>
        </x:is>
      </x:c>
      <x:c r="C1970" s="3" t="inlineStr">
        <x:is>
          <x:t xml:space="preserve">佳隆股份</x:t>
        </x:is>
      </x:c>
      <x:c r="D1970" s="3" t="inlineStr">
        <x:is>
          <x:t xml:space="preserve">广东佳隆食品股份有限公司</x:t>
        </x:is>
      </x:c>
      <x:c r="E1970" s="2" t="inlineStr">
        <x:is>
          <x:t xml:space="preserve">广东省</x:t>
        </x:is>
      </x:c>
      <x:c r="F1970" s="2" t="inlineStr">
        <x:is>
          <x:t xml:space="preserve">东省普宁市</x:t>
        </x:is>
      </x:c>
      <x:c r="G1970" s="3" t="inlineStr">
        <x:is>
          <x:t xml:space="preserve">广东省-东省普宁市</x:t>
        </x:is>
      </x:c>
      <x:c r="H1970" s="2" t="inlineStr">
        <x:is>
          <x:t xml:space="preserve">食品饮料</x:t>
        </x:is>
      </x:c>
      <x:c r="I1970" s="2" t="inlineStr">
        <x:is>
          <x:t xml:space="preserve">2010-11-02</x:t>
        </x:is>
      </x:c>
      <x:c r="J1970" s="3" t="inlineStr">
        <x:is>
          <x:t xml:space="preserve">广东省普宁市大坝镇陂乌村英歌山工业园区佳隆食品股份有限公司办公楼1-6层</x:t>
        </x:is>
      </x:c>
      <x:c r="K1970" s="12" t="str">
        <x:f>LEFT("91445200X18195192M",18)</x:f>
        <x:v>91445200X18195192M</x:v>
      </x:c>
    </x:row>
    <x:row r="1971">
      <x:c r="A1971" s="4" t="n">
        <x:v>1970</x:v>
      </x:c>
      <x:c r="B1971" s="4" t="inlineStr">
        <x:is>
          <x:t xml:space="preserve">002511</x:t>
        </x:is>
      </x:c>
      <x:c r="C1971" s="5" t="inlineStr">
        <x:is>
          <x:t xml:space="preserve">中顺洁柔</x:t>
        </x:is>
      </x:c>
      <x:c r="D1971" s="5" t="inlineStr">
        <x:is>
          <x:t xml:space="preserve">中顺洁柔纸业股份有限公司</x:t>
        </x:is>
      </x:c>
      <x:c r="E1971" s="4" t="inlineStr">
        <x:is>
          <x:t xml:space="preserve">广东省</x:t>
        </x:is>
      </x:c>
      <x:c r="F1971" s="4" t="inlineStr">
        <x:is>
          <x:t xml:space="preserve">中山市</x:t>
        </x:is>
      </x:c>
      <x:c r="G1971" s="5" t="inlineStr">
        <x:is>
          <x:t xml:space="preserve">广东省-中山市</x:t>
        </x:is>
      </x:c>
      <x:c r="H1971" s="4" t="inlineStr">
        <x:is>
          <x:t xml:space="preserve">造纸印刷</x:t>
        </x:is>
      </x:c>
      <x:c r="I1971" s="4" t="inlineStr">
        <x:is>
          <x:t xml:space="preserve">2010-11-25</x:t>
        </x:is>
      </x:c>
      <x:c r="J1971" s="5" t="inlineStr">
        <x:is>
          <x:t xml:space="preserve">中山市东升镇龙成路1号</x:t>
        </x:is>
      </x:c>
      <x:c r="K1971" s="12" t="str">
        <x:f>LEFT("914420007123239244",18)</x:f>
        <x:v>914420007123239300</x:v>
      </x:c>
    </x:row>
    <x:row r="1972">
      <x:c r="A1972" s="2" t="n">
        <x:v>1971</x:v>
      </x:c>
      <x:c r="B1972" s="2" t="inlineStr">
        <x:is>
          <x:t xml:space="preserve">002518</x:t>
        </x:is>
      </x:c>
      <x:c r="C1972" s="3" t="inlineStr">
        <x:is>
          <x:t xml:space="preserve">科士达</x:t>
        </x:is>
      </x:c>
      <x:c r="D1972" s="3" t="inlineStr">
        <x:is>
          <x:t xml:space="preserve">深圳科士达科技股份有限公司</x:t>
        </x:is>
      </x:c>
      <x:c r="E1972" s="2" t="inlineStr">
        <x:is>
          <x:t xml:space="preserve">广东省</x:t>
        </x:is>
      </x:c>
      <x:c r="F1972" s="2" t="inlineStr">
        <x:is>
          <x:t xml:space="preserve">深圳市</x:t>
        </x:is>
      </x:c>
      <x:c r="G1972" s="3" t="inlineStr">
        <x:is>
          <x:t xml:space="preserve">广东省-深圳市</x:t>
        </x:is>
      </x:c>
      <x:c r="H1972" s="2" t="inlineStr">
        <x:is>
          <x:t xml:space="preserve">电源设备</x:t>
        </x:is>
      </x:c>
      <x:c r="I1972" s="2" t="inlineStr">
        <x:is>
          <x:t xml:space="preserve">2010-12-07</x:t>
        </x:is>
      </x:c>
      <x:c r="J1972" s="3" t="inlineStr">
        <x:is>
          <x:t xml:space="preserve">深圳市南山区高新北区科技中二路软件园1栋4楼401、402室</x:t>
        </x:is>
      </x:c>
      <x:c r="K1972" s="12" t="str">
        <x:f>LEFT("914403007271508191",18)</x:f>
        <x:v>914403007271508200</x:v>
      </x:c>
    </x:row>
    <x:row r="1973">
      <x:c r="A1973" s="4" t="n">
        <x:v>1972</x:v>
      </x:c>
      <x:c r="B1973" s="4" t="inlineStr">
        <x:is>
          <x:t xml:space="preserve">002528</x:t>
        </x:is>
      </x:c>
      <x:c r="C1973" s="5" t="inlineStr">
        <x:is>
          <x:t xml:space="preserve">ST英飞拓</x:t>
        </x:is>
      </x:c>
      <x:c r="D1973" s="5" t="inlineStr">
        <x:is>
          <x:t xml:space="preserve">深圳英飞拓科技股份有限公司</x:t>
        </x:is>
      </x:c>
      <x:c r="E1973" s="4" t="inlineStr">
        <x:is>
          <x:t xml:space="preserve">广东省</x:t>
        </x:is>
      </x:c>
      <x:c r="F1973" s="4" t="inlineStr">
        <x:is>
          <x:t xml:space="preserve">深圳市</x:t>
        </x:is>
      </x:c>
      <x:c r="G1973" s="5" t="inlineStr">
        <x:is>
          <x:t xml:space="preserve">广东省-深圳市</x:t>
        </x:is>
      </x:c>
      <x:c r="H1973" s="4" t="inlineStr">
        <x:is>
          <x:t xml:space="preserve">软件开发</x:t>
        </x:is>
      </x:c>
      <x:c r="I1973" s="4" t="inlineStr">
        <x:is>
          <x:t xml:space="preserve">2010-12-24</x:t>
        </x:is>
      </x:c>
      <x:c r="J1973" s="5" t="inlineStr">
        <x:is>
          <x:t xml:space="preserve">广东省深圳市龙华新区观澜高新技术产业园英飞拓厂房</x:t>
        </x:is>
      </x:c>
      <x:c r="K1973" s="12" t="str">
        <x:f>LEFT("914403007230430398",18)</x:f>
        <x:v>914403007230430300</x:v>
      </x:c>
    </x:row>
    <x:row r="1974">
      <x:c r="A1974" s="2" t="n">
        <x:v>1973</x:v>
      </x:c>
      <x:c r="B1974" s="2" t="inlineStr">
        <x:is>
          <x:t xml:space="preserve">002543</x:t>
        </x:is>
      </x:c>
      <x:c r="C1974" s="3" t="inlineStr">
        <x:is>
          <x:t xml:space="preserve">万和电气</x:t>
        </x:is>
      </x:c>
      <x:c r="D1974" s="3" t="inlineStr">
        <x:is>
          <x:t xml:space="preserve">广东万和新电气股份有限公司</x:t>
        </x:is>
      </x:c>
      <x:c r="E1974" s="2" t="inlineStr">
        <x:is>
          <x:t xml:space="preserve">广东省</x:t>
        </x:is>
      </x:c>
      <x:c r="F1974" s="2" t="inlineStr">
        <x:is>
          <x:t xml:space="preserve">佛山市</x:t>
        </x:is>
      </x:c>
      <x:c r="G1974" s="3" t="inlineStr">
        <x:is>
          <x:t xml:space="preserve">广东省-佛山市</x:t>
        </x:is>
      </x:c>
      <x:c r="H1974" s="2" t="inlineStr">
        <x:is>
          <x:t xml:space="preserve">家电行业</x:t>
        </x:is>
      </x:c>
      <x:c r="I1974" s="2" t="inlineStr">
        <x:is>
          <x:t xml:space="preserve">2011-01-28</x:t>
        </x:is>
      </x:c>
      <x:c r="J1974" s="3" t="inlineStr">
        <x:is>
          <x:t xml:space="preserve">广东省佛山市顺德高新区(容桂)建业中路13号</x:t>
        </x:is>
      </x:c>
      <x:c r="K1974" s="12" t="str">
        <x:f>LEFT("9144060675647330XL",18)</x:f>
        <x:v>9144060675647330XL</x:v>
      </x:c>
    </x:row>
    <x:row r="1975">
      <x:c r="A1975" s="4" t="n">
        <x:v>1974</x:v>
      </x:c>
      <x:c r="B1975" s="4" t="inlineStr">
        <x:is>
          <x:t xml:space="preserve">002544</x:t>
        </x:is>
      </x:c>
      <x:c r="C1975" s="5" t="inlineStr">
        <x:is>
          <x:t xml:space="preserve">普天科技</x:t>
        </x:is>
      </x:c>
      <x:c r="D1975" s="5" t="inlineStr">
        <x:is>
          <x:t xml:space="preserve">中电科普天科技股份有限公司</x:t>
        </x:is>
      </x:c>
      <x:c r="E1975" s="4" t="inlineStr">
        <x:is>
          <x:t xml:space="preserve">广东省</x:t>
        </x:is>
      </x:c>
      <x:c r="F1975" s="4" t="inlineStr">
        <x:is>
          <x:t xml:space="preserve">广州市</x:t>
        </x:is>
      </x:c>
      <x:c r="G1975" s="5" t="inlineStr">
        <x:is>
          <x:t xml:space="preserve">广东省-广州市</x:t>
        </x:is>
      </x:c>
      <x:c r="H1975" s="4" t="inlineStr">
        <x:is>
          <x:t xml:space="preserve">通信服务</x:t>
        </x:is>
      </x:c>
      <x:c r="I1975" s="4" t="inlineStr">
        <x:is>
          <x:t xml:space="preserve">2011-01-28</x:t>
        </x:is>
      </x:c>
      <x:c r="J1975" s="5" t="inlineStr">
        <x:is>
          <x:t xml:space="preserve">广州市花都区迎宾大道95号</x:t>
        </x:is>
      </x:c>
      <x:c r="K1975" s="12" t="str">
        <x:f>LEFT("914401012312130384",18)</x:f>
        <x:v>914401012312130400</x:v>
      </x:c>
    </x:row>
    <x:row r="1976">
      <x:c r="A1976" s="2" t="n">
        <x:v>1975</x:v>
      </x:c>
      <x:c r="B1976" s="2" t="inlineStr">
        <x:is>
          <x:t xml:space="preserve">002548</x:t>
        </x:is>
      </x:c>
      <x:c r="C1976" s="3" t="inlineStr">
        <x:is>
          <x:t xml:space="preserve">金新农</x:t>
        </x:is>
      </x:c>
      <x:c r="D1976" s="3" t="inlineStr">
        <x:is>
          <x:t xml:space="preserve">深圳市金新农科技股份有限公司</x:t>
        </x:is>
      </x:c>
      <x:c r="E1976" s="2" t="inlineStr">
        <x:is>
          <x:t xml:space="preserve">广东省</x:t>
        </x:is>
      </x:c>
      <x:c r="F1976" s="2" t="inlineStr">
        <x:is>
          <x:t xml:space="preserve">深圳市</x:t>
        </x:is>
      </x:c>
      <x:c r="G1976" s="3" t="inlineStr">
        <x:is>
          <x:t xml:space="preserve">广东省-深圳市</x:t>
        </x:is>
      </x:c>
      <x:c r="H1976" s="2" t="inlineStr">
        <x:is>
          <x:t xml:space="preserve">农牧饲渔</x:t>
        </x:is>
      </x:c>
      <x:c r="I1976" s="2" t="inlineStr">
        <x:is>
          <x:t xml:space="preserve">2011-02-18</x:t>
        </x:is>
      </x:c>
      <x:c r="J1976" s="3" t="inlineStr">
        <x:is>
          <x:t xml:space="preserve">深圳市光明区光明街道光电北路18号金新农大厦</x:t>
        </x:is>
      </x:c>
      <x:c r="K1976" s="12" t="str">
        <x:f>LEFT("91440300715245167Q",18)</x:f>
        <x:v>91440300715245167Q</x:v>
      </x:c>
    </x:row>
    <x:row r="1977">
      <x:c r="A1977" s="4" t="n">
        <x:v>1976</x:v>
      </x:c>
      <x:c r="B1977" s="4" t="inlineStr">
        <x:is>
          <x:t xml:space="preserve">002551</x:t>
        </x:is>
      </x:c>
      <x:c r="C1977" s="5" t="inlineStr">
        <x:is>
          <x:t xml:space="preserve">尚荣医疗</x:t>
        </x:is>
      </x:c>
      <x:c r="D1977" s="5" t="inlineStr">
        <x:is>
          <x:t xml:space="preserve">深圳市尚荣医疗股份有限公司</x:t>
        </x:is>
      </x:c>
      <x:c r="E1977" s="4" t="inlineStr">
        <x:is>
          <x:t xml:space="preserve">广东省</x:t>
        </x:is>
      </x:c>
      <x:c r="F1977" s="4" t="inlineStr">
        <x:is>
          <x:t xml:space="preserve">深圳市</x:t>
        </x:is>
      </x:c>
      <x:c r="G1977" s="5" t="inlineStr">
        <x:is>
          <x:t xml:space="preserve">广东省-深圳市</x:t>
        </x:is>
      </x:c>
      <x:c r="H1977" s="4" t="inlineStr">
        <x:is>
          <x:t xml:space="preserve">医疗器械</x:t>
        </x:is>
      </x:c>
      <x:c r="I1977" s="4" t="inlineStr">
        <x:is>
          <x:t xml:space="preserve">2011-02-25</x:t>
        </x:is>
      </x:c>
      <x:c r="J1977" s="5" t="inlineStr">
        <x:is>
          <x:t xml:space="preserve">深圳市龙岗区宝龙工业城宝龙五路2号尚荣科技工业园1号厂房2楼</x:t>
        </x:is>
      </x:c>
      <x:c r="K1977" s="12" t="str">
        <x:f>LEFT("91440300279534922P",18)</x:f>
        <x:v>91440300279534922P</x:v>
      </x:c>
    </x:row>
    <x:row r="1978">
      <x:c r="A1978" s="2" t="n">
        <x:v>1977</x:v>
      </x:c>
      <x:c r="B1978" s="2" t="inlineStr">
        <x:is>
          <x:t xml:space="preserve">002572</x:t>
        </x:is>
      </x:c>
      <x:c r="C1978" s="3" t="inlineStr">
        <x:is>
          <x:t xml:space="preserve">索菲亚</x:t>
        </x:is>
      </x:c>
      <x:c r="D1978" s="3" t="inlineStr">
        <x:is>
          <x:t xml:space="preserve">索菲亚家居股份有限公司</x:t>
        </x:is>
      </x:c>
      <x:c r="E1978" s="2" t="inlineStr">
        <x:is>
          <x:t xml:space="preserve">广东省</x:t>
        </x:is>
      </x:c>
      <x:c r="F1978" s="2" t="inlineStr">
        <x:is>
          <x:t xml:space="preserve">广州市</x:t>
        </x:is>
      </x:c>
      <x:c r="G1978" s="3" t="inlineStr">
        <x:is>
          <x:t xml:space="preserve">广东省-广州市</x:t>
        </x:is>
      </x:c>
      <x:c r="H1978" s="2" t="inlineStr">
        <x:is>
          <x:t xml:space="preserve">木业家具</x:t>
        </x:is>
      </x:c>
      <x:c r="I1978" s="2" t="inlineStr">
        <x:is>
          <x:t xml:space="preserve">2011-04-12</x:t>
        </x:is>
      </x:c>
      <x:c r="J1978" s="3" t="inlineStr">
        <x:is>
          <x:t xml:space="preserve">广州市增城区永宁街郭村仙宁路2号</x:t>
        </x:is>
      </x:c>
      <x:c r="K1978" s="12" t="str">
        <x:f>LEFT("9144010174359126X2",18)</x:f>
        <x:v>9144010174359126X2</x:v>
      </x:c>
    </x:row>
    <x:row r="1979">
      <x:c r="A1979" s="4" t="n">
        <x:v>1978</x:v>
      </x:c>
      <x:c r="B1979" s="4" t="inlineStr">
        <x:is>
          <x:t xml:space="preserve">002575</x:t>
        </x:is>
      </x:c>
      <x:c r="C1979" s="5" t="inlineStr">
        <x:is>
          <x:t xml:space="preserve">群兴玩具</x:t>
        </x:is>
      </x:c>
      <x:c r="D1979" s="5" t="inlineStr">
        <x:is>
          <x:t xml:space="preserve">广东群兴玩具股份有限公司</x:t>
        </x:is>
      </x:c>
      <x:c r="E1979" s="4" t="inlineStr">
        <x:is>
          <x:t xml:space="preserve">广东省</x:t>
        </x:is>
      </x:c>
      <x:c r="F1979" s="4" t="inlineStr">
        <x:is>
          <x:t xml:space="preserve">汕头市</x:t>
        </x:is>
      </x:c>
      <x:c r="G1979" s="5" t="inlineStr">
        <x:is>
          <x:t xml:space="preserve">广东省-汕头市</x:t>
        </x:is>
      </x:c>
      <x:c r="H1979" s="4" t="inlineStr">
        <x:is>
          <x:t xml:space="preserve">房地产服务</x:t>
        </x:is>
      </x:c>
      <x:c r="I1979" s="4" t="inlineStr">
        <x:is>
          <x:t xml:space="preserve">2011-04-22</x:t>
        </x:is>
      </x:c>
      <x:c r="J1979" s="5" t="inlineStr">
        <x:is>
          <x:t xml:space="preserve">汕头市澄海区岭海工业区清平路北侧群兴工业园2幢1楼之二</x:t>
        </x:is>
      </x:c>
      <x:c r="K1979" s="12" t="str">
        <x:f>LEFT("91440500193166057G",18)</x:f>
        <x:v>91440500193166057G</x:v>
      </x:c>
    </x:row>
    <x:row r="1980">
      <x:c r="A1980" s="2" t="n">
        <x:v>1979</x:v>
      </x:c>
      <x:c r="B1980" s="2" t="inlineStr">
        <x:is>
          <x:t xml:space="preserve">002577</x:t>
        </x:is>
      </x:c>
      <x:c r="C1980" s="3" t="inlineStr">
        <x:is>
          <x:t xml:space="preserve">雷柏科技</x:t>
        </x:is>
      </x:c>
      <x:c r="D1980" s="3" t="inlineStr">
        <x:is>
          <x:t xml:space="preserve">深圳雷柏科技股份有限公司</x:t>
        </x:is>
      </x:c>
      <x:c r="E1980" s="2" t="inlineStr">
        <x:is>
          <x:t xml:space="preserve">广东省</x:t>
        </x:is>
      </x:c>
      <x:c r="F1980" s="2" t="inlineStr">
        <x:is>
          <x:t xml:space="preserve">深圳市</x:t>
        </x:is>
      </x:c>
      <x:c r="G1980" s="3" t="inlineStr">
        <x:is>
          <x:t xml:space="preserve">广东省-深圳市</x:t>
        </x:is>
      </x:c>
      <x:c r="H1980" s="2" t="inlineStr">
        <x:is>
          <x:t xml:space="preserve">消费电子</x:t>
        </x:is>
      </x:c>
      <x:c r="I1980" s="2" t="inlineStr">
        <x:is>
          <x:t xml:space="preserve">2011-04-28</x:t>
        </x:is>
      </x:c>
      <x:c r="J1980" s="3" t="inlineStr">
        <x:is>
          <x:t xml:space="preserve">深圳市坪山新区坑梓街道锦绣东路22号</x:t>
        </x:is>
      </x:c>
      <x:c r="K1980" s="12" t="str">
        <x:f>LEFT("91440300738843223M",18)</x:f>
        <x:v>91440300738843223M</x:v>
      </x:c>
    </x:row>
    <x:row r="1981">
      <x:c r="A1981" s="4" t="n">
        <x:v>1980</x:v>
      </x:c>
      <x:c r="B1981" s="4" t="inlineStr">
        <x:is>
          <x:t xml:space="preserve">002579</x:t>
        </x:is>
      </x:c>
      <x:c r="C1981" s="5" t="inlineStr">
        <x:is>
          <x:t xml:space="preserve">中京电子</x:t>
        </x:is>
      </x:c>
      <x:c r="D1981" s="5" t="inlineStr">
        <x:is>
          <x:t xml:space="preserve">惠州中京电子科技股份有限公司</x:t>
        </x:is>
      </x:c>
      <x:c r="E1981" s="4" t="inlineStr">
        <x:is>
          <x:t xml:space="preserve">广东省</x:t>
        </x:is>
      </x:c>
      <x:c r="F1981" s="4" t="inlineStr">
        <x:is>
          <x:t xml:space="preserve">惠州市</x:t>
        </x:is>
      </x:c>
      <x:c r="G1981" s="5" t="inlineStr">
        <x:is>
          <x:t xml:space="preserve">广东省-惠州市</x:t>
        </x:is>
      </x:c>
      <x:c r="H1981" s="4" t="inlineStr">
        <x:is>
          <x:t xml:space="preserve">电子元件</x:t>
        </x:is>
      </x:c>
      <x:c r="I1981" s="4" t="inlineStr">
        <x:is>
          <x:t xml:space="preserve">2011-05-06</x:t>
        </x:is>
      </x:c>
      <x:c r="J1981" s="5" t="inlineStr">
        <x:is>
          <x:t xml:space="preserve">广东省惠州市仲恺高新区陈江街道东升南路6号</x:t>
        </x:is>
      </x:c>
      <x:c r="K1981" s="12" t="str">
        <x:f>LEFT("9144130072546497X7",18)</x:f>
        <x:v>9144130072546497X7</x:v>
      </x:c>
    </x:row>
    <x:row r="1982">
      <x:c r="A1982" s="2" t="n">
        <x:v>1981</x:v>
      </x:c>
      <x:c r="B1982" s="2" t="inlineStr">
        <x:is>
          <x:t xml:space="preserve">002583</x:t>
        </x:is>
      </x:c>
      <x:c r="C1982" s="3" t="inlineStr">
        <x:is>
          <x:t xml:space="preserve">海能达</x:t>
        </x:is>
      </x:c>
      <x:c r="D1982" s="3" t="inlineStr">
        <x:is>
          <x:t xml:space="preserve">海能达通信股份有限公司</x:t>
        </x:is>
      </x:c>
      <x:c r="E1982" s="2" t="inlineStr">
        <x:is>
          <x:t xml:space="preserve">广东省</x:t>
        </x:is>
      </x:c>
      <x:c r="F1982" s="2" t="inlineStr">
        <x:is>
          <x:t xml:space="preserve">深圳市</x:t>
        </x:is>
      </x:c>
      <x:c r="G1982" s="3" t="inlineStr">
        <x:is>
          <x:t xml:space="preserve">广东省-深圳市</x:t>
        </x:is>
      </x:c>
      <x:c r="H1982" s="2" t="inlineStr">
        <x:is>
          <x:t xml:space="preserve">通讯行业</x:t>
        </x:is>
      </x:c>
      <x:c r="I1982" s="2" t="inlineStr">
        <x:is>
          <x:t xml:space="preserve">2011-05-27</x:t>
        </x:is>
      </x:c>
      <x:c r="J1982" s="3" t="inlineStr">
        <x:is>
          <x:t xml:space="preserve">深圳市南山区高新区北区北环路9108号海能达大厦</x:t>
        </x:is>
      </x:c>
      <x:c r="K1982" s="12" t="str">
        <x:f>LEFT("91440300279422189D",18)</x:f>
        <x:v>91440300279422189D</x:v>
      </x:c>
    </x:row>
    <x:row r="1983">
      <x:c r="A1983" s="4" t="n">
        <x:v>1982</x:v>
      </x:c>
      <x:c r="B1983" s="4" t="inlineStr">
        <x:is>
          <x:t xml:space="preserve">002584</x:t>
        </x:is>
      </x:c>
      <x:c r="C1983" s="5" t="inlineStr">
        <x:is>
          <x:t xml:space="preserve">西陇科学</x:t>
        </x:is>
      </x:c>
      <x:c r="D1983" s="5" t="inlineStr">
        <x:is>
          <x:t xml:space="preserve">西陇科学股份有限公司</x:t>
        </x:is>
      </x:c>
      <x:c r="E1983" s="4" t="inlineStr">
        <x:is>
          <x:t xml:space="preserve">广东省</x:t>
        </x:is>
      </x:c>
      <x:c r="F1983" s="4" t="inlineStr">
        <x:is>
          <x:t xml:space="preserve">汕头市</x:t>
        </x:is>
      </x:c>
      <x:c r="G1983" s="5" t="inlineStr">
        <x:is>
          <x:t xml:space="preserve">广东省-汕头市</x:t>
        </x:is>
      </x:c>
      <x:c r="H1983" s="4" t="inlineStr">
        <x:is>
          <x:t xml:space="preserve">电子化学品</x:t>
        </x:is>
      </x:c>
      <x:c r="I1983" s="4" t="inlineStr">
        <x:is>
          <x:t xml:space="preserve">2011-06-02</x:t>
        </x:is>
      </x:c>
      <x:c r="J1983" s="5" t="inlineStr">
        <x:is>
          <x:t xml:space="preserve">广东省汕头市潮汕路西陇中街1-3号</x:t>
        </x:is>
      </x:c>
      <x:c r="K1983" s="12" t="str">
        <x:f>LEFT("91440500231666168R",18)</x:f>
        <x:v>91440500231666168R</x:v>
      </x:c>
    </x:row>
    <x:row r="1984">
      <x:c r="A1984" s="2" t="n">
        <x:v>1983</x:v>
      </x:c>
      <x:c r="B1984" s="2" t="inlineStr">
        <x:is>
          <x:t xml:space="preserve">002587</x:t>
        </x:is>
      </x:c>
      <x:c r="C1984" s="3" t="inlineStr">
        <x:is>
          <x:t xml:space="preserve">奥拓电子</x:t>
        </x:is>
      </x:c>
      <x:c r="D1984" s="3" t="inlineStr">
        <x:is>
          <x:t xml:space="preserve">深圳市奥拓电子股份有限公司</x:t>
        </x:is>
      </x:c>
      <x:c r="E1984" s="2" t="inlineStr">
        <x:is>
          <x:t xml:space="preserve">广东省</x:t>
        </x:is>
      </x:c>
      <x:c r="F1984" s="2" t="inlineStr">
        <x:is>
          <x:t xml:space="preserve">深圳市</x:t>
        </x:is>
      </x:c>
      <x:c r="G1984" s="3" t="inlineStr">
        <x:is>
          <x:t xml:space="preserve">广东省-深圳市</x:t>
        </x:is>
      </x:c>
      <x:c r="H1984" s="2" t="inlineStr">
        <x:is>
          <x:t xml:space="preserve">光学光电子</x:t>
        </x:is>
      </x:c>
      <x:c r="I1984" s="2" t="inlineStr">
        <x:is>
          <x:t xml:space="preserve">2011-06-10</x:t>
        </x:is>
      </x:c>
      <x:c r="J1984" s="3" t="inlineStr">
        <x:is>
          <x:t xml:space="preserve">深圳市罗湖区清水河街道清水河社区清水河一路112号深业进元大厦塔楼2座1805</x:t>
        </x:is>
      </x:c>
      <x:c r="K1984" s="12" t="str">
        <x:f>LEFT("914403001922261931",18)</x:f>
        <x:v>914403001922261900</x:v>
      </x:c>
    </x:row>
    <x:row r="1985">
      <x:c r="A1985" s="4" t="n">
        <x:v>1984</x:v>
      </x:c>
      <x:c r="B1985" s="4" t="inlineStr">
        <x:is>
          <x:t xml:space="preserve">002594</x:t>
        </x:is>
      </x:c>
      <x:c r="C1985" s="5" t="inlineStr">
        <x:is>
          <x:t xml:space="preserve">比亚迪</x:t>
        </x:is>
      </x:c>
      <x:c r="D1985" s="5" t="inlineStr">
        <x:is>
          <x:t xml:space="preserve">比亚迪股份有限公司</x:t>
        </x:is>
      </x:c>
      <x:c r="E1985" s="4" t="inlineStr">
        <x:is>
          <x:t xml:space="preserve">广东省</x:t>
        </x:is>
      </x:c>
      <x:c r="F1985" s="4" t="inlineStr">
        <x:is>
          <x:t xml:space="preserve">深圳市</x:t>
        </x:is>
      </x:c>
      <x:c r="G1985" s="5" t="inlineStr">
        <x:is>
          <x:t xml:space="preserve">广东省-深圳市</x:t>
        </x:is>
      </x:c>
      <x:c r="H1985" s="4" t="inlineStr">
        <x:is>
          <x:t xml:space="preserve">汽车整车</x:t>
        </x:is>
      </x:c>
      <x:c r="I1985" s="4" t="inlineStr">
        <x:is>
          <x:t xml:space="preserve">2011-06-30</x:t>
        </x:is>
      </x:c>
      <x:c r="J1985" s="5" t="inlineStr">
        <x:is>
          <x:t xml:space="preserve">广东省深圳市大鹏新区葵涌街道延安路一号</x:t>
        </x:is>
      </x:c>
      <x:c r="K1985" s="12" t="str">
        <x:f>LEFT("91440300192317458F",18)</x:f>
        <x:v>91440300192317458F</x:v>
      </x:c>
    </x:row>
    <x:row r="1986">
      <x:c r="A1986" s="2" t="n">
        <x:v>1985</x:v>
      </x:c>
      <x:c r="B1986" s="2" t="inlineStr">
        <x:is>
          <x:t xml:space="preserve">002600</x:t>
        </x:is>
      </x:c>
      <x:c r="C1986" s="3" t="inlineStr">
        <x:is>
          <x:t xml:space="preserve">领益智造</x:t>
        </x:is>
      </x:c>
      <x:c r="D1986" s="3" t="inlineStr">
        <x:is>
          <x:t xml:space="preserve">广东领益智造股份有限公司</x:t>
        </x:is>
      </x:c>
      <x:c r="E1986" s="2" t="inlineStr">
        <x:is>
          <x:t xml:space="preserve">广东省</x:t>
        </x:is>
      </x:c>
      <x:c r="F1986" s="2" t="inlineStr">
        <x:is>
          <x:t xml:space="preserve">江门市</x:t>
        </x:is>
      </x:c>
      <x:c r="G1986" s="3" t="inlineStr">
        <x:is>
          <x:t xml:space="preserve">广东省-江门市</x:t>
        </x:is>
      </x:c>
      <x:c r="H1986" s="2" t="inlineStr">
        <x:is>
          <x:t xml:space="preserve">消费电子</x:t>
        </x:is>
      </x:c>
      <x:c r="I1986" s="2" t="inlineStr">
        <x:is>
          <x:t xml:space="preserve">2011-07-15</x:t>
        </x:is>
      </x:c>
      <x:c r="J1986" s="3" t="inlineStr">
        <x:is>
          <x:t xml:space="preserve">广东省江门市蓬江区龙湾路8号</x:t>
        </x:is>
      </x:c>
      <x:c r="K1986" s="12" t="str">
        <x:f>LEFT("91440700193957385W",18)</x:f>
        <x:v>91440700193957385W</x:v>
      </x:c>
    </x:row>
    <x:row r="1987">
      <x:c r="A1987" s="4" t="n">
        <x:v>1986</x:v>
      </x:c>
      <x:c r="B1987" s="4" t="inlineStr">
        <x:is>
          <x:t xml:space="preserve">002609</x:t>
        </x:is>
      </x:c>
      <x:c r="C1987" s="5" t="inlineStr">
        <x:is>
          <x:t xml:space="preserve">捷顺科技</x:t>
        </x:is>
      </x:c>
      <x:c r="D1987" s="5" t="inlineStr">
        <x:is>
          <x:t xml:space="preserve">深圳市捷顺科技实业股份有限公司</x:t>
        </x:is>
      </x:c>
      <x:c r="E1987" s="4" t="inlineStr">
        <x:is>
          <x:t xml:space="preserve">广东省</x:t>
        </x:is>
      </x:c>
      <x:c r="F1987" s="4" t="inlineStr">
        <x:is>
          <x:t xml:space="preserve">深圳市</x:t>
        </x:is>
      </x:c>
      <x:c r="G1987" s="5" t="inlineStr">
        <x:is>
          <x:t xml:space="preserve">广东省-深圳市</x:t>
        </x:is>
      </x:c>
      <x:c r="H1987" s="4" t="inlineStr">
        <x:is>
          <x:t xml:space="preserve">电子信息</x:t>
        </x:is>
      </x:c>
      <x:c r="I1987" s="4" t="inlineStr">
        <x:is>
          <x:t xml:space="preserve">2011-08-15</x:t>
        </x:is>
      </x:c>
      <x:c r="J1987" s="5" t="inlineStr">
        <x:is>
          <x:t xml:space="preserve">深圳市龙华区观湖街道鹭湖社区观盛二路5号捷顺科技中心</x:t>
        </x:is>
      </x:c>
      <x:c r="K1987" s="12" t="str">
        <x:f>LEFT("914403002794141894",18)</x:f>
        <x:v>914403002794142000</x:v>
      </x:c>
    </x:row>
    <x:row r="1988">
      <x:c r="A1988" s="2" t="n">
        <x:v>1987</x:v>
      </x:c>
      <x:c r="B1988" s="2" t="inlineStr">
        <x:is>
          <x:t xml:space="preserve">002611</x:t>
        </x:is>
      </x:c>
      <x:c r="C1988" s="3" t="inlineStr">
        <x:is>
          <x:t xml:space="preserve">东方精工</x:t>
        </x:is>
      </x:c>
      <x:c r="D1988" s="3" t="inlineStr">
        <x:is>
          <x:t xml:space="preserve">广东东方精工科技股份有限公司</x:t>
        </x:is>
      </x:c>
      <x:c r="E1988" s="2" t="inlineStr">
        <x:is>
          <x:t xml:space="preserve">广东省</x:t>
        </x:is>
      </x:c>
      <x:c r="F1988" s="2" t="inlineStr">
        <x:is>
          <x:t xml:space="preserve">佛山市</x:t>
        </x:is>
      </x:c>
      <x:c r="G1988" s="3" t="inlineStr">
        <x:is>
          <x:t xml:space="preserve">广东省-佛山市</x:t>
        </x:is>
      </x:c>
      <x:c r="H1988" s="2" t="inlineStr">
        <x:is>
          <x:t xml:space="preserve">专用设备</x:t>
        </x:is>
      </x:c>
      <x:c r="I1988" s="2" t="inlineStr">
        <x:is>
          <x:t xml:space="preserve">2011-08-30</x:t>
        </x:is>
      </x:c>
      <x:c r="J1988" s="3" t="inlineStr">
        <x:is>
          <x:t xml:space="preserve">广东省佛山市南海区狮山镇强狮路2号(办公楼、厂房A、厂房B)</x:t>
        </x:is>
      </x:c>
      <x:c r="K1988" s="12" t="str">
        <x:f>LEFT("914406002318313119",18)</x:f>
        <x:v>914406002318313100</x:v>
      </x:c>
    </x:row>
    <x:row r="1989">
      <x:c r="A1989" s="4" t="n">
        <x:v>1988</x:v>
      </x:c>
      <x:c r="B1989" s="4" t="inlineStr">
        <x:is>
          <x:t xml:space="preserve">002616</x:t>
        </x:is>
      </x:c>
      <x:c r="C1989" s="5" t="inlineStr">
        <x:is>
          <x:t xml:space="preserve">长青集团</x:t>
        </x:is>
      </x:c>
      <x:c r="D1989" s="5" t="inlineStr">
        <x:is>
          <x:t xml:space="preserve">广东长青(集团)股份有限公司</x:t>
        </x:is>
      </x:c>
      <x:c r="E1989" s="4" t="inlineStr">
        <x:is>
          <x:t xml:space="preserve">广东省</x:t>
        </x:is>
      </x:c>
      <x:c r="F1989" s="4" t="inlineStr">
        <x:is>
          <x:t xml:space="preserve">中山市</x:t>
        </x:is>
      </x:c>
      <x:c r="G1989" s="5" t="inlineStr">
        <x:is>
          <x:t xml:space="preserve">广东省-中山市</x:t>
        </x:is>
      </x:c>
      <x:c r="H1989" s="4" t="inlineStr">
        <x:is>
          <x:t xml:space="preserve">电力行业</x:t>
        </x:is>
      </x:c>
      <x:c r="I1989" s="4" t="inlineStr">
        <x:is>
          <x:t xml:space="preserve">2011-09-20</x:t>
        </x:is>
      </x:c>
      <x:c r="J1989" s="5" t="inlineStr">
        <x:is>
          <x:t xml:space="preserve">广东省中山市小榄工业大道南42号</x:t>
        </x:is>
      </x:c>
      <x:c r="K1989" s="12" t="str">
        <x:f>LEFT("914420002820846270",18)</x:f>
        <x:v>914420002820846200</x:v>
      </x:c>
    </x:row>
    <x:row r="1990">
      <x:c r="A1990" s="2" t="n">
        <x:v>1989</x:v>
      </x:c>
      <x:c r="B1990" s="2" t="inlineStr">
        <x:is>
          <x:t xml:space="preserve">002620</x:t>
        </x:is>
      </x:c>
      <x:c r="C1990" s="3" t="inlineStr">
        <x:is>
          <x:t xml:space="preserve">瑞和股份</x:t>
        </x:is>
      </x:c>
      <x:c r="D1990" s="3" t="inlineStr">
        <x:is>
          <x:t xml:space="preserve">深圳瑞和建筑装饰股份有限公司</x:t>
        </x:is>
      </x:c>
      <x:c r="E1990" s="2" t="inlineStr">
        <x:is>
          <x:t xml:space="preserve">广东省</x:t>
        </x:is>
      </x:c>
      <x:c r="F1990" s="2" t="inlineStr">
        <x:is>
          <x:t xml:space="preserve">深圳市</x:t>
        </x:is>
      </x:c>
      <x:c r="G1990" s="3" t="inlineStr">
        <x:is>
          <x:t xml:space="preserve">广东省-深圳市</x:t>
        </x:is>
      </x:c>
      <x:c r="H1990" s="2" t="inlineStr">
        <x:is>
          <x:t xml:space="preserve">装修装饰</x:t>
        </x:is>
      </x:c>
      <x:c r="I1990" s="2" t="inlineStr">
        <x:is>
          <x:t xml:space="preserve">2011-09-29</x:t>
        </x:is>
      </x:c>
      <x:c r="J1990" s="3" t="inlineStr">
        <x:is>
          <x:t xml:space="preserve">深圳市罗湖区深南东路3027号瑞和大厦</x:t>
        </x:is>
      </x:c>
      <x:c r="K1990" s="12" t="str">
        <x:f>LEFT("914403006188425849",18)</x:f>
        <x:v>914403006188425900</x:v>
      </x:c>
    </x:row>
    <x:row r="1991">
      <x:c r="A1991" s="4" t="n">
        <x:v>1990</x:v>
      </x:c>
      <x:c r="B1991" s="4" t="inlineStr">
        <x:is>
          <x:t xml:space="preserve">002625</x:t>
        </x:is>
      </x:c>
      <x:c r="C1991" s="5" t="inlineStr">
        <x:is>
          <x:t xml:space="preserve">光启技术</x:t>
        </x:is>
      </x:c>
      <x:c r="D1991" s="5" t="inlineStr">
        <x:is>
          <x:t xml:space="preserve">光启技术股份有限公司</x:t>
        </x:is>
      </x:c>
      <x:c r="E1991" s="4" t="inlineStr">
        <x:is>
          <x:t xml:space="preserve">广东省</x:t>
        </x:is>
      </x:c>
      <x:c r="F1991" s="4" t="inlineStr">
        <x:is>
          <x:t xml:space="preserve">深圳市</x:t>
        </x:is>
      </x:c>
      <x:c r="G1991" s="5" t="inlineStr">
        <x:is>
          <x:t xml:space="preserve">广东省-深圳市</x:t>
        </x:is>
      </x:c>
      <x:c r="H1991" s="4" t="inlineStr">
        <x:is>
          <x:t xml:space="preserve">航天航空</x:t>
        </x:is>
      </x:c>
      <x:c r="I1991" s="4" t="inlineStr">
        <x:is>
          <x:t xml:space="preserve">2011-11-03</x:t>
        </x:is>
      </x:c>
      <x:c r="J1991" s="5" t="inlineStr">
        <x:is>
          <x:t xml:space="preserve">深圳市南山区粤海街道麻岭社区高新中一道9号软件大厦3层</x:t>
        </x:is>
      </x:c>
      <x:c r="K1991" s="12" t="str">
        <x:f>LEFT("91330000730337692W",18)</x:f>
        <x:v>91330000730337692W</x:v>
      </x:c>
    </x:row>
    <x:row r="1992">
      <x:c r="A1992" s="2" t="n">
        <x:v>1991</x:v>
      </x:c>
      <x:c r="B1992" s="2" t="inlineStr">
        <x:is>
          <x:t xml:space="preserve">002638</x:t>
        </x:is>
      </x:c>
      <x:c r="C1992" s="3" t="inlineStr">
        <x:is>
          <x:t xml:space="preserve">勤上股份</x:t>
        </x:is>
      </x:c>
      <x:c r="D1992" s="3" t="inlineStr">
        <x:is>
          <x:t xml:space="preserve">东莞勤上光电股份有限公司</x:t>
        </x:is>
      </x:c>
      <x:c r="E1992" s="2" t="inlineStr">
        <x:is>
          <x:t xml:space="preserve">广东省</x:t>
        </x:is>
      </x:c>
      <x:c r="F1992" s="2" t="inlineStr">
        <x:is>
          <x:t xml:space="preserve">东莞市</x:t>
        </x:is>
      </x:c>
      <x:c r="G1992" s="3" t="inlineStr">
        <x:is>
          <x:t xml:space="preserve">广东省-东莞市</x:t>
        </x:is>
      </x:c>
      <x:c r="H1992" s="2" t="inlineStr">
        <x:is>
          <x:t xml:space="preserve">光学光电子</x:t>
        </x:is>
      </x:c>
      <x:c r="I1992" s="2" t="inlineStr">
        <x:is>
          <x:t xml:space="preserve">2011-11-25</x:t>
        </x:is>
      </x:c>
      <x:c r="J1992" s="3" t="inlineStr">
        <x:is>
          <x:t xml:space="preserve">广东省东莞市常平镇横江厦工业四路3号</x:t>
        </x:is>
      </x:c>
      <x:c r="K1992" s="12" t="str">
        <x:f>LEFT("91441900618360497D",18)</x:f>
        <x:v>91441900618360497D</x:v>
      </x:c>
    </x:row>
    <x:row r="1993">
      <x:c r="A1993" s="4" t="n">
        <x:v>1992</x:v>
      </x:c>
      <x:c r="B1993" s="4" t="inlineStr">
        <x:is>
          <x:t xml:space="preserve">002647</x:t>
        </x:is>
      </x:c>
      <x:c r="C1993" s="5" t="inlineStr">
        <x:is>
          <x:t xml:space="preserve">*ST仁东</x:t>
        </x:is>
      </x:c>
      <x:c r="D1993" s="5" t="inlineStr">
        <x:is>
          <x:t xml:space="preserve">仁东控股集团股份有限公司</x:t>
        </x:is>
      </x:c>
      <x:c r="E1993" s="4" t="inlineStr">
        <x:is>
          <x:t xml:space="preserve">广东省</x:t>
        </x:is>
      </x:c>
      <x:c r="F1993" s="4" t="inlineStr">
        <x:is>
          <x:t xml:space="preserve">广州市</x:t>
        </x:is>
      </x:c>
      <x:c r="G1993" s="5" t="inlineStr">
        <x:is>
          <x:t xml:space="preserve">广东省-广州市</x:t>
        </x:is>
      </x:c>
      <x:c r="H1993" s="4" t="inlineStr">
        <x:is>
          <x:t xml:space="preserve">多元金融</x:t>
        </x:is>
      </x:c>
      <x:c r="I1993" s="4" t="inlineStr">
        <x:is>
          <x:t xml:space="preserve">2011-12-28</x:t>
        </x:is>
      </x:c>
      <x:c r="J1993" s="5" t="inlineStr">
        <x:is>
          <x:t xml:space="preserve">广州市南沙区横沥镇明珠一街1号405房-R05-A030</x:t>
        </x:is>
      </x:c>
      <x:c r="K1993" s="12" t="str">
        <x:f>LEFT("91330000753974205M",18)</x:f>
        <x:v>91330000753974205M</x:v>
      </x:c>
    </x:row>
    <x:row r="1994">
      <x:c r="A1994" s="2" t="n">
        <x:v>1993</x:v>
      </x:c>
      <x:c r="B1994" s="2" t="inlineStr">
        <x:is>
          <x:t xml:space="preserve">002654</x:t>
        </x:is>
      </x:c>
      <x:c r="C1994" s="3" t="inlineStr">
        <x:is>
          <x:t xml:space="preserve">万润科技</x:t>
        </x:is>
      </x:c>
      <x:c r="D1994" s="3" t="inlineStr">
        <x:is>
          <x:t xml:space="preserve">深圳万润科技股份有限公司</x:t>
        </x:is>
      </x:c>
      <x:c r="E1994" s="2" t="inlineStr">
        <x:is>
          <x:t xml:space="preserve">广东省</x:t>
        </x:is>
      </x:c>
      <x:c r="F1994" s="2" t="inlineStr">
        <x:is>
          <x:t xml:space="preserve">深圳市</x:t>
        </x:is>
      </x:c>
      <x:c r="G1994" s="3" t="inlineStr">
        <x:is>
          <x:t xml:space="preserve">广东省-深圳市</x:t>
        </x:is>
      </x:c>
      <x:c r="H1994" s="2" t="inlineStr">
        <x:is>
          <x:t xml:space="preserve">文化传媒</x:t>
        </x:is>
      </x:c>
      <x:c r="I1994" s="2" t="inlineStr">
        <x:is>
          <x:t xml:space="preserve">2012-02-17</x:t>
        </x:is>
      </x:c>
      <x:c r="J1994" s="3" t="inlineStr">
        <x:is>
          <x:t xml:space="preserve">深圳市光明新区凤凰街道光侨大道2519号</x:t>
        </x:is>
      </x:c>
      <x:c r="K1994" s="12" t="str">
        <x:f>LEFT("914403007451740990",18)</x:f>
        <x:v>914403007451740900</x:v>
      </x:c>
    </x:row>
    <x:row r="1995">
      <x:c r="A1995" s="4" t="n">
        <x:v>1994</x:v>
      </x:c>
      <x:c r="B1995" s="4" t="inlineStr">
        <x:is>
          <x:t xml:space="preserve">002656</x:t>
        </x:is>
      </x:c>
      <x:c r="C1995" s="5" t="inlineStr">
        <x:is>
          <x:t xml:space="preserve">*ST摩登</x:t>
        </x:is>
      </x:c>
      <x:c r="D1995" s="5" t="inlineStr">
        <x:is>
          <x:t xml:space="preserve">摩登大道时尚集团股份有限公司</x:t>
        </x:is>
      </x:c>
      <x:c r="E1995" s="4" t="inlineStr">
        <x:is>
          <x:t xml:space="preserve">广东省</x:t>
        </x:is>
      </x:c>
      <x:c r="F1995" s="4" t="inlineStr">
        <x:is>
          <x:t xml:space="preserve">广州市</x:t>
        </x:is>
      </x:c>
      <x:c r="G1995" s="5" t="inlineStr">
        <x:is>
          <x:t xml:space="preserve">广东省-广州市</x:t>
        </x:is>
      </x:c>
      <x:c r="H1995" s="4" t="inlineStr">
        <x:is>
          <x:t xml:space="preserve">纺织服装</x:t>
        </x:is>
      </x:c>
      <x:c r="I1995" s="4" t="inlineStr">
        <x:is>
          <x:t xml:space="preserve">2012-02-28</x:t>
        </x:is>
      </x:c>
      <x:c r="J1995" s="5" t="inlineStr">
        <x:is>
          <x:t xml:space="preserve">广州市黄埔区科学城光谱中路23号</x:t>
        </x:is>
      </x:c>
      <x:c r="K1995" s="12" t="str">
        <x:f>LEFT("91440101739729668K",18)</x:f>
        <x:v>91440101739729668K</x:v>
      </x:c>
    </x:row>
    <x:row r="1996">
      <x:c r="A1996" s="2" t="n">
        <x:v>1995</x:v>
      </x:c>
      <x:c r="B1996" s="2" t="inlineStr">
        <x:is>
          <x:t xml:space="preserve">002660</x:t>
        </x:is>
      </x:c>
      <x:c r="C1996" s="3" t="inlineStr">
        <x:is>
          <x:t xml:space="preserve">茂硕电源</x:t>
        </x:is>
      </x:c>
      <x:c r="D1996" s="3" t="inlineStr">
        <x:is>
          <x:t xml:space="preserve">茂硕电源科技股份有限公司</x:t>
        </x:is>
      </x:c>
      <x:c r="E1996" s="2" t="inlineStr">
        <x:is>
          <x:t xml:space="preserve">广东省</x:t>
        </x:is>
      </x:c>
      <x:c r="F1996" s="2" t="inlineStr">
        <x:is>
          <x:t xml:space="preserve">深圳市</x:t>
        </x:is>
      </x:c>
      <x:c r="G1996" s="3" t="inlineStr">
        <x:is>
          <x:t xml:space="preserve">广东省-深圳市</x:t>
        </x:is>
      </x:c>
      <x:c r="H1996" s="2" t="inlineStr">
        <x:is>
          <x:t xml:space="preserve">消费电子</x:t>
        </x:is>
      </x:c>
      <x:c r="I1996" s="2" t="inlineStr">
        <x:is>
          <x:t xml:space="preserve">2012-03-16</x:t>
        </x:is>
      </x:c>
      <x:c r="J1996" s="3" t="inlineStr">
        <x:is>
          <x:t xml:space="preserve">广东省深圳市南山区松白路关外小白芒桑泰工业园</x:t>
        </x:is>
      </x:c>
      <x:c r="K1996" s="12" t="str">
        <x:f>LEFT("91440300786559921G",18)</x:f>
        <x:v>91440300786559921G</x:v>
      </x:c>
    </x:row>
    <x:row r="1997">
      <x:c r="A1997" s="4" t="n">
        <x:v>1996</x:v>
      </x:c>
      <x:c r="B1997" s="4" t="inlineStr">
        <x:is>
          <x:t xml:space="preserve">002663</x:t>
        </x:is>
      </x:c>
      <x:c r="C1997" s="5" t="inlineStr">
        <x:is>
          <x:t xml:space="preserve">普邦股份</x:t>
        </x:is>
      </x:c>
      <x:c r="D1997" s="5" t="inlineStr">
        <x:is>
          <x:t xml:space="preserve">广州普邦园林股份有限公司</x:t>
        </x:is>
      </x:c>
      <x:c r="E1997" s="4" t="inlineStr">
        <x:is>
          <x:t xml:space="preserve">广东省</x:t>
        </x:is>
      </x:c>
      <x:c r="F1997" s="4" t="inlineStr">
        <x:is>
          <x:t xml:space="preserve">广州市</x:t>
        </x:is>
      </x:c>
      <x:c r="G1997" s="5" t="inlineStr">
        <x:is>
          <x:t xml:space="preserve">广东省-广州市</x:t>
        </x:is>
      </x:c>
      <x:c r="H1997" s="4" t="inlineStr">
        <x:is>
          <x:t xml:space="preserve">工程建设</x:t>
        </x:is>
      </x:c>
      <x:c r="I1997" s="4" t="inlineStr">
        <x:is>
          <x:t xml:space="preserve">2012-03-16</x:t>
        </x:is>
      </x:c>
      <x:c r="J1997" s="5" t="inlineStr">
        <x:is>
          <x:t xml:space="preserve">广州市越秀区寺右新马路北二街26号之一二层217室</x:t>
        </x:is>
      </x:c>
      <x:c r="K1997" s="12" t="str">
        <x:f>LEFT("91440101231229718W",18)</x:f>
        <x:v>91440101231229718W</x:v>
      </x:c>
    </x:row>
    <x:row r="1998">
      <x:c r="A1998" s="2" t="n">
        <x:v>1997</x:v>
      </x:c>
      <x:c r="B1998" s="2" t="inlineStr">
        <x:is>
          <x:t xml:space="preserve">002666</x:t>
        </x:is>
      </x:c>
      <x:c r="C1998" s="3" t="inlineStr">
        <x:is>
          <x:t xml:space="preserve">德联集团</x:t>
        </x:is>
      </x:c>
      <x:c r="D1998" s="3" t="inlineStr">
        <x:is>
          <x:t xml:space="preserve">广东德联集团股份有限公司</x:t>
        </x:is>
      </x:c>
      <x:c r="E1998" s="2" t="inlineStr">
        <x:is>
          <x:t xml:space="preserve">广东省</x:t>
        </x:is>
      </x:c>
      <x:c r="F1998" s="2" t="inlineStr">
        <x:is>
          <x:t xml:space="preserve">佛山市</x:t>
        </x:is>
      </x:c>
      <x:c r="G1998" s="3" t="inlineStr">
        <x:is>
          <x:t xml:space="preserve">广东省-佛山市</x:t>
        </x:is>
      </x:c>
      <x:c r="H1998" s="2" t="inlineStr">
        <x:is>
          <x:t xml:space="preserve">化学制品</x:t>
        </x:is>
      </x:c>
      <x:c r="I1998" s="2" t="inlineStr">
        <x:is>
          <x:t xml:space="preserve">2012-03-27</x:t>
        </x:is>
      </x:c>
      <x:c r="J1998" s="3" t="inlineStr">
        <x:is>
          <x:t xml:space="preserve">佛山市南海区狮山镇松岗虹岭二路386号</x:t>
        </x:is>
      </x:c>
      <x:c r="K1998" s="12" t="str">
        <x:f>LEFT("91440600279991461Y",18)</x:f>
        <x:v>91440600279991461Y</x:v>
      </x:c>
    </x:row>
    <x:row r="1999">
      <x:c r="A1999" s="4" t="n">
        <x:v>1998</x:v>
      </x:c>
      <x:c r="B1999" s="4" t="inlineStr">
        <x:is>
          <x:t xml:space="preserve">002668</x:t>
        </x:is>
      </x:c>
      <x:c r="C1999" s="5" t="inlineStr">
        <x:is>
          <x:t xml:space="preserve">TCL智家</x:t>
        </x:is>
      </x:c>
      <x:c r="D1999" s="5" t="inlineStr">
        <x:is>
          <x:t xml:space="preserve">广东TCL智慧家电股份有限公司</x:t>
        </x:is>
      </x:c>
      <x:c r="E1999" s="4" t="inlineStr">
        <x:is>
          <x:t xml:space="preserve">广东省</x:t>
        </x:is>
      </x:c>
      <x:c r="F1999" s="4" t="inlineStr">
        <x:is>
          <x:t xml:space="preserve">中山市</x:t>
        </x:is>
      </x:c>
      <x:c r="G1999" s="5" t="inlineStr">
        <x:is>
          <x:t xml:space="preserve">广东省-中山市</x:t>
        </x:is>
      </x:c>
      <x:c r="H1999" s="4" t="inlineStr">
        <x:is>
          <x:t xml:space="preserve">家电行业</x:t>
        </x:is>
      </x:c>
      <x:c r="I1999" s="4" t="inlineStr">
        <x:is>
          <x:t xml:space="preserve">2012-04-16</x:t>
        </x:is>
      </x:c>
      <x:c r="J1999" s="5" t="inlineStr">
        <x:is>
          <x:t xml:space="preserve">广东省中山市南头镇南头大道中59号2楼A1</x:t>
        </x:is>
      </x:c>
      <x:c r="K1999" s="12" t="str">
        <x:f>LEFT("91440000743693119N",18)</x:f>
        <x:v>91440000743693119N</x:v>
      </x:c>
    </x:row>
    <x:row r="2000">
      <x:c r="A2000" s="2" t="n">
        <x:v>1999</x:v>
      </x:c>
      <x:c r="B2000" s="2" t="inlineStr">
        <x:is>
          <x:t xml:space="preserve">002672</x:t>
        </x:is>
      </x:c>
      <x:c r="C2000" s="3" t="inlineStr">
        <x:is>
          <x:t xml:space="preserve">东江环保</x:t>
        </x:is>
      </x:c>
      <x:c r="D2000" s="3" t="inlineStr">
        <x:is>
          <x:t xml:space="preserve">东江环保股份有限公司</x:t>
        </x:is>
      </x:c>
      <x:c r="E2000" s="2" t="inlineStr">
        <x:is>
          <x:t xml:space="preserve">广东省</x:t>
        </x:is>
      </x:c>
      <x:c r="F2000" s="2" t="inlineStr">
        <x:is>
          <x:t xml:space="preserve">深圳市</x:t>
        </x:is>
      </x:c>
      <x:c r="G2000" s="3" t="inlineStr">
        <x:is>
          <x:t xml:space="preserve">广东省-深圳市</x:t>
        </x:is>
      </x:c>
      <x:c r="H2000" s="2" t="inlineStr">
        <x:is>
          <x:t xml:space="preserve">环保工程</x:t>
        </x:is>
      </x:c>
      <x:c r="I2000" s="2" t="inlineStr">
        <x:is>
          <x:t xml:space="preserve">2012-04-26</x:t>
        </x:is>
      </x:c>
      <x:c r="J2000" s="3" t="inlineStr">
        <x:is>
          <x:t xml:space="preserve">深圳市南山区科技园北区朗山路9号东江环保大楼1楼、3楼、8楼北面、9-12楼</x:t>
        </x:is>
      </x:c>
      <x:c r="K2000" s="12" t="str">
        <x:f>LEFT("91440300715234767U",18)</x:f>
        <x:v>91440300715234767U</x:v>
      </x:c>
    </x:row>
    <x:row r="2001">
      <x:c r="A2001" s="4" t="n">
        <x:v>2000</x:v>
      </x:c>
      <x:c r="B2001" s="4" t="inlineStr">
        <x:is>
          <x:t xml:space="preserve">002676</x:t>
        </x:is>
      </x:c>
      <x:c r="C2001" s="5" t="inlineStr">
        <x:is>
          <x:t xml:space="preserve">顺威股份</x:t>
        </x:is>
      </x:c>
      <x:c r="D2001" s="5" t="inlineStr">
        <x:is>
          <x:t xml:space="preserve">广东顺威精密塑料股份有限公司</x:t>
        </x:is>
      </x:c>
      <x:c r="E2001" s="4" t="inlineStr">
        <x:is>
          <x:t xml:space="preserve">广东省</x:t>
        </x:is>
      </x:c>
      <x:c r="F2001" s="4" t="inlineStr">
        <x:is>
          <x:t xml:space="preserve">佛山市</x:t>
        </x:is>
      </x:c>
      <x:c r="G2001" s="5" t="inlineStr">
        <x:is>
          <x:t xml:space="preserve">广东省-佛山市</x:t>
        </x:is>
      </x:c>
      <x:c r="H2001" s="4" t="inlineStr">
        <x:is>
          <x:t xml:space="preserve">家电行业</x:t>
        </x:is>
      </x:c>
      <x:c r="I2001" s="4" t="inlineStr">
        <x:is>
          <x:t xml:space="preserve">2012-05-25</x:t>
        </x:is>
      </x:c>
      <x:c r="J2001" s="5" t="inlineStr">
        <x:is>
          <x:t xml:space="preserve">佛山市顺德区高新区(容桂)科苑一路6号</x:t>
        </x:is>
      </x:c>
      <x:c r="K2001" s="12" t="str">
        <x:f>LEFT("91440606617639488M",18)</x:f>
        <x:v>91440606617639488M</x:v>
      </x:c>
    </x:row>
    <x:row r="2002">
      <x:c r="A2002" s="2" t="n">
        <x:v>2001</x:v>
      </x:c>
      <x:c r="B2002" s="2" t="inlineStr">
        <x:is>
          <x:t xml:space="preserve">002678</x:t>
        </x:is>
      </x:c>
      <x:c r="C2002" s="3" t="inlineStr">
        <x:is>
          <x:t xml:space="preserve">珠江钢琴</x:t>
        </x:is>
      </x:c>
      <x:c r="D2002" s="3" t="inlineStr">
        <x:is>
          <x:t xml:space="preserve">广州珠江钢琴集团股份有限公司</x:t>
        </x:is>
      </x:c>
      <x:c r="E2002" s="2" t="inlineStr">
        <x:is>
          <x:t xml:space="preserve">广东省</x:t>
        </x:is>
      </x:c>
      <x:c r="F2002" s="2" t="inlineStr">
        <x:is>
          <x:t xml:space="preserve">广州市</x:t>
        </x:is>
      </x:c>
      <x:c r="G2002" s="3" t="inlineStr">
        <x:is>
          <x:t xml:space="preserve">广东省-广州市</x:t>
        </x:is>
      </x:c>
      <x:c r="H2002" s="2" t="inlineStr">
        <x:is>
          <x:t xml:space="preserve">家用轻工</x:t>
        </x:is>
      </x:c>
      <x:c r="I2002" s="2" t="inlineStr">
        <x:is>
          <x:t xml:space="preserve">2012-05-30</x:t>
        </x:is>
      </x:c>
      <x:c r="J2002" s="3" t="inlineStr">
        <x:is>
          <x:t xml:space="preserve">广州市增城区永宁街香山大道38号1号楼、厂房(自编号3号楼)</x:t>
        </x:is>
      </x:c>
      <x:c r="K2002" s="12" t="str">
        <x:f>LEFT("91440101190432444P",18)</x:f>
        <x:v>91440101190432444P</x:v>
      </x:c>
    </x:row>
    <x:row r="2003">
      <x:c r="A2003" s="4" t="n">
        <x:v>2002</x:v>
      </x:c>
      <x:c r="B2003" s="4" t="inlineStr">
        <x:is>
          <x:t xml:space="preserve">002681</x:t>
        </x:is>
      </x:c>
      <x:c r="C2003" s="5" t="inlineStr">
        <x:is>
          <x:t xml:space="preserve">奋达科技</x:t>
        </x:is>
      </x:c>
      <x:c r="D2003" s="5" t="inlineStr">
        <x:is>
          <x:t xml:space="preserve">深圳市奋达科技股份有限公司</x:t>
        </x:is>
      </x:c>
      <x:c r="E2003" s="4" t="inlineStr">
        <x:is>
          <x:t xml:space="preserve">广东省</x:t>
        </x:is>
      </x:c>
      <x:c r="F2003" s="4" t="inlineStr">
        <x:is>
          <x:t xml:space="preserve">深圳市</x:t>
        </x:is>
      </x:c>
      <x:c r="G2003" s="5" t="inlineStr">
        <x:is>
          <x:t xml:space="preserve">广东省-深圳市</x:t>
        </x:is>
      </x:c>
      <x:c r="H2003" s="4" t="inlineStr">
        <x:is>
          <x:t xml:space="preserve">消费电子</x:t>
        </x:is>
      </x:c>
      <x:c r="I2003" s="4" t="inlineStr">
        <x:is>
          <x:t xml:space="preserve">2012-06-05</x:t>
        </x:is>
      </x:c>
      <x:c r="J2003" s="5" t="inlineStr">
        <x:is>
          <x:t xml:space="preserve">深圳市宝安区石岩洲石路奋达科技园</x:t>
        </x:is>
      </x:c>
      <x:c r="K2003" s="12" t="str">
        <x:f>LEFT("91440300619290232U",18)</x:f>
        <x:v>91440300619290232U</x:v>
      </x:c>
    </x:row>
    <x:row r="2004">
      <x:c r="A2004" s="2" t="n">
        <x:v>2003</x:v>
      </x:c>
      <x:c r="B2004" s="2" t="inlineStr">
        <x:is>
          <x:t xml:space="preserve">002683</x:t>
        </x:is>
      </x:c>
      <x:c r="C2004" s="3" t="inlineStr">
        <x:is>
          <x:t xml:space="preserve">广东宏大</x:t>
        </x:is>
      </x:c>
      <x:c r="D2004" s="3" t="inlineStr">
        <x:is>
          <x:t xml:space="preserve">广东宏大控股集团股份有限公司</x:t>
        </x:is>
      </x:c>
      <x:c r="E2004" s="2" t="inlineStr">
        <x:is>
          <x:t xml:space="preserve">广东省</x:t>
        </x:is>
      </x:c>
      <x:c r="F2004" s="2" t="inlineStr">
        <x:is>
          <x:t xml:space="preserve">广州市</x:t>
        </x:is>
      </x:c>
      <x:c r="G2004" s="3" t="inlineStr">
        <x:is>
          <x:t xml:space="preserve">广东省-广州市</x:t>
        </x:is>
      </x:c>
      <x:c r="H2004" s="2" t="inlineStr">
        <x:is>
          <x:t xml:space="preserve">采掘行业</x:t>
        </x:is>
      </x:c>
      <x:c r="I2004" s="2" t="inlineStr">
        <x:is>
          <x:t xml:space="preserve">2012-06-12</x:t>
        </x:is>
      </x:c>
      <x:c r="J2004" s="3" t="inlineStr">
        <x:is>
          <x:t xml:space="preserve">广州市天河区珠江新城华夏路49号津滨腾越大厦北塔21楼</x:t>
        </x:is>
      </x:c>
      <x:c r="K2004" s="12" t="str">
        <x:f>LEFT("91440000190321349C",18)</x:f>
        <x:v>91440000190321349C</x:v>
      </x:c>
    </x:row>
    <x:row r="2005">
      <x:c r="A2005" s="4" t="n">
        <x:v>2004</x:v>
      </x:c>
      <x:c r="B2005" s="4" t="inlineStr">
        <x:is>
          <x:t xml:space="preserve">002705</x:t>
        </x:is>
      </x:c>
      <x:c r="C2005" s="5" t="inlineStr">
        <x:is>
          <x:t xml:space="preserve">新宝股份</x:t>
        </x:is>
      </x:c>
      <x:c r="D2005" s="5" t="inlineStr">
        <x:is>
          <x:t xml:space="preserve">广东新宝电器股份有限公司</x:t>
        </x:is>
      </x:c>
      <x:c r="E2005" s="4" t="inlineStr">
        <x:is>
          <x:t xml:space="preserve">广东省</x:t>
        </x:is>
      </x:c>
      <x:c r="F2005" s="4" t="inlineStr">
        <x:is>
          <x:t xml:space="preserve">佛山市</x:t>
        </x:is>
      </x:c>
      <x:c r="G2005" s="5" t="inlineStr">
        <x:is>
          <x:t xml:space="preserve">广东省-佛山市</x:t>
        </x:is>
      </x:c>
      <x:c r="H2005" s="4" t="inlineStr">
        <x:is>
          <x:t xml:space="preserve">家电行业</x:t>
        </x:is>
      </x:c>
      <x:c r="I2005" s="4" t="inlineStr">
        <x:is>
          <x:t xml:space="preserve">2014-01-21</x:t>
        </x:is>
      </x:c>
      <x:c r="J2005" s="5" t="inlineStr">
        <x:is>
          <x:t xml:space="preserve">佛山市顺德区勒流镇政和南路</x:t>
        </x:is>
      </x:c>
      <x:c r="K2005" s="12" t="str">
        <x:f>LEFT("91440000617653845D",18)</x:f>
        <x:v>91440000617653845D</x:v>
      </x:c>
    </x:row>
    <x:row r="2006">
      <x:c r="A2006" s="2" t="n">
        <x:v>2005</x:v>
      </x:c>
      <x:c r="B2006" s="2" t="inlineStr">
        <x:is>
          <x:t xml:space="preserve">002709</x:t>
        </x:is>
      </x:c>
      <x:c r="C2006" s="3" t="inlineStr">
        <x:is>
          <x:t xml:space="preserve">天赐材料</x:t>
        </x:is>
      </x:c>
      <x:c r="D2006" s="3" t="inlineStr">
        <x:is>
          <x:t xml:space="preserve">广州天赐高新材料股份有限公司</x:t>
        </x:is>
      </x:c>
      <x:c r="E2006" s="2" t="inlineStr">
        <x:is>
          <x:t xml:space="preserve">广东省</x:t>
        </x:is>
      </x:c>
      <x:c r="F2006" s="2" t="inlineStr">
        <x:is>
          <x:t xml:space="preserve">广州市</x:t>
        </x:is>
      </x:c>
      <x:c r="G2006" s="3" t="inlineStr">
        <x:is>
          <x:t xml:space="preserve">广东省-广州市</x:t>
        </x:is>
      </x:c>
      <x:c r="H2006" s="2" t="inlineStr">
        <x:is>
          <x:t xml:space="preserve">化工行业</x:t>
        </x:is>
      </x:c>
      <x:c r="I2006" s="2" t="inlineStr">
        <x:is>
          <x:t xml:space="preserve">2014-01-23</x:t>
        </x:is>
      </x:c>
      <x:c r="J2006" s="3" t="inlineStr">
        <x:is>
          <x:t xml:space="preserve">广州市黄埔区云埔工业区东诚片康达路8号</x:t>
        </x:is>
      </x:c>
      <x:c r="K2006" s="12" t="str">
        <x:f>LEFT("91440101723773883M",18)</x:f>
        <x:v>91440101723773883M</x:v>
      </x:c>
    </x:row>
    <x:row r="2007">
      <x:c r="A2007" s="4" t="n">
        <x:v>2006</x:v>
      </x:c>
      <x:c r="B2007" s="4" t="inlineStr">
        <x:is>
          <x:t xml:space="preserve">002715</x:t>
        </x:is>
      </x:c>
      <x:c r="C2007" s="5" t="inlineStr">
        <x:is>
          <x:t xml:space="preserve">登云股份</x:t>
        </x:is>
      </x:c>
      <x:c r="D2007" s="5" t="inlineStr">
        <x:is>
          <x:t xml:space="preserve">怀集登云汽配股份有限公司</x:t>
        </x:is>
      </x:c>
      <x:c r="E2007" s="4" t="inlineStr">
        <x:is>
          <x:t xml:space="preserve">广东省</x:t>
        </x:is>
      </x:c>
      <x:c r="F2007" s="4" t="inlineStr">
        <x:is>
          <x:t xml:space="preserve">肇庆市</x:t>
        </x:is>
      </x:c>
      <x:c r="G2007" s="5" t="inlineStr">
        <x:is>
          <x:t xml:space="preserve">广东省-肇庆市</x:t>
        </x:is>
      </x:c>
      <x:c r="H2007" s="4" t="inlineStr">
        <x:is>
          <x:t xml:space="preserve">汽车行业</x:t>
        </x:is>
      </x:c>
      <x:c r="I2007" s="4" t="inlineStr">
        <x:is>
          <x:t xml:space="preserve">2014-02-19</x:t>
        </x:is>
      </x:c>
      <x:c r="J2007" s="5" t="inlineStr">
        <x:is>
          <x:t xml:space="preserve">怀集县怀城镇登云亭</x:t>
        </x:is>
      </x:c>
      <x:c r="K2007" s="12" t="str">
        <x:f>LEFT("91441200707565259C",18)</x:f>
        <x:v>91441200707565259C</x:v>
      </x:c>
    </x:row>
    <x:row r="2008">
      <x:c r="A2008" s="2" t="n">
        <x:v>2007</x:v>
      </x:c>
      <x:c r="B2008" s="2" t="inlineStr">
        <x:is>
          <x:t xml:space="preserve">002717</x:t>
        </x:is>
      </x:c>
      <x:c r="C2008" s="3" t="inlineStr">
        <x:is>
          <x:t xml:space="preserve">岭南股份</x:t>
        </x:is>
      </x:c>
      <x:c r="D2008" s="3" t="inlineStr">
        <x:is>
          <x:t xml:space="preserve">岭南生态文旅股份有限公司</x:t>
        </x:is>
      </x:c>
      <x:c r="E2008" s="2" t="inlineStr">
        <x:is>
          <x:t xml:space="preserve">广东省</x:t>
        </x:is>
      </x:c>
      <x:c r="F2008" s="2" t="inlineStr">
        <x:is>
          <x:t xml:space="preserve">中山市</x:t>
        </x:is>
      </x:c>
      <x:c r="G2008" s="3" t="inlineStr">
        <x:is>
          <x:t xml:space="preserve">广东省-中山市</x:t>
        </x:is>
      </x:c>
      <x:c r="H2008" s="2" t="inlineStr">
        <x:is>
          <x:t xml:space="preserve">环保工程</x:t>
        </x:is>
      </x:c>
      <x:c r="I2008" s="2" t="inlineStr">
        <x:is>
          <x:t xml:space="preserve">2014-02-19</x:t>
        </x:is>
      </x:c>
      <x:c r="J2008" s="3" t="inlineStr">
        <x:is>
          <x:t xml:space="preserve">中山市火炬开发区中山六路66号建大花园17栋12楼</x:t>
        </x:is>
      </x:c>
      <x:c r="K2008" s="12" t="str">
        <x:f>LEFT("91441900708010087G",18)</x:f>
        <x:v>91441900708010087G</x:v>
      </x:c>
    </x:row>
    <x:row r="2009">
      <x:c r="A2009" s="4" t="n">
        <x:v>2008</x:v>
      </x:c>
      <x:c r="B2009" s="4" t="inlineStr">
        <x:is>
          <x:t xml:space="preserve">002723</x:t>
        </x:is>
      </x:c>
      <x:c r="C2009" s="5" t="inlineStr">
        <x:is>
          <x:t xml:space="preserve">小崧股份</x:t>
        </x:is>
      </x:c>
      <x:c r="D2009" s="5" t="inlineStr">
        <x:is>
          <x:t xml:space="preserve">广东小崧科技股份有限公司</x:t>
        </x:is>
      </x:c>
      <x:c r="E2009" s="4" t="inlineStr">
        <x:is>
          <x:t xml:space="preserve">广东省</x:t>
        </x:is>
      </x:c>
      <x:c r="F2009" s="4" t="inlineStr">
        <x:is>
          <x:t xml:space="preserve">江门市</x:t>
        </x:is>
      </x:c>
      <x:c r="G2009" s="5" t="inlineStr">
        <x:is>
          <x:t xml:space="preserve">广东省-江门市</x:t>
        </x:is>
      </x:c>
      <x:c r="H2009" s="4" t="inlineStr">
        <x:is>
          <x:t xml:space="preserve">家电行业</x:t>
        </x:is>
      </x:c>
      <x:c r="I2009" s="4" t="inlineStr">
        <x:is>
          <x:t xml:space="preserve">2014-01-29</x:t>
        </x:is>
      </x:c>
      <x:c r="J2009" s="5" t="inlineStr">
        <x:is>
          <x:t xml:space="preserve">江门市蓬江区棠下镇金桐路21号</x:t>
        </x:is>
      </x:c>
      <x:c r="K2009" s="12" t="str">
        <x:f>LEFT("91440700669806671P",18)</x:f>
        <x:v>91440700669806671P</x:v>
      </x:c>
    </x:row>
    <x:row r="2010">
      <x:c r="A2010" s="2" t="n">
        <x:v>2009</x:v>
      </x:c>
      <x:c r="B2010" s="2" t="inlineStr">
        <x:is>
          <x:t xml:space="preserve">002724</x:t>
        </x:is>
      </x:c>
      <x:c r="C2010" s="3" t="inlineStr">
        <x:is>
          <x:t xml:space="preserve">海洋王</x:t>
        </x:is>
      </x:c>
      <x:c r="D2010" s="3" t="inlineStr">
        <x:is>
          <x:t xml:space="preserve">海洋王照明科技股份有限公司</x:t>
        </x:is>
      </x:c>
      <x:c r="E2010" s="2" t="inlineStr">
        <x:is>
          <x:t xml:space="preserve">广东省</x:t>
        </x:is>
      </x:c>
      <x:c r="F2010" s="2" t="inlineStr">
        <x:is>
          <x:t xml:space="preserve">深圳市</x:t>
        </x:is>
      </x:c>
      <x:c r="G2010" s="3" t="inlineStr">
        <x:is>
          <x:t xml:space="preserve">广东省-深圳市</x:t>
        </x:is>
      </x:c>
      <x:c r="H2010" s="2" t="inlineStr">
        <x:is>
          <x:t xml:space="preserve">电子元件</x:t>
        </x:is>
      </x:c>
      <x:c r="I2010" s="2" t="inlineStr">
        <x:is>
          <x:t xml:space="preserve">2014-11-04</x:t>
        </x:is>
      </x:c>
      <x:c r="J2010" s="3" t="inlineStr">
        <x:is>
          <x:t xml:space="preserve">深圳市光明区光明街道东周社区聚丰路1601号海洋王科技楼B栋一层</x:t>
        </x:is>
      </x:c>
      <x:c r="K2010" s="12" t="str">
        <x:f>LEFT("91440300192368087N",18)</x:f>
        <x:v>91440300192368087N</x:v>
      </x:c>
    </x:row>
    <x:row r="2011">
      <x:c r="A2011" s="4" t="n">
        <x:v>2010</x:v>
      </x:c>
      <x:c r="B2011" s="4" t="inlineStr">
        <x:is>
          <x:t xml:space="preserve">002728</x:t>
        </x:is>
      </x:c>
      <x:c r="C2011" s="5" t="inlineStr">
        <x:is>
          <x:t xml:space="preserve">特一药业</x:t>
        </x:is>
      </x:c>
      <x:c r="D2011" s="5" t="inlineStr">
        <x:is>
          <x:t xml:space="preserve">特一药业集团股份有限公司</x:t>
        </x:is>
      </x:c>
      <x:c r="E2011" s="4" t="inlineStr">
        <x:is>
          <x:t xml:space="preserve">广东省</x:t>
        </x:is>
      </x:c>
      <x:c r="F2011" s="4" t="inlineStr">
        <x:is>
          <x:t xml:space="preserve">台山市</x:t>
        </x:is>
      </x:c>
      <x:c r="G2011" s="5" t="inlineStr">
        <x:is>
          <x:t xml:space="preserve">广东省-台山市</x:t>
        </x:is>
      </x:c>
      <x:c r="H2011" s="4" t="inlineStr">
        <x:is>
          <x:t xml:space="preserve">中药</x:t>
        </x:is>
      </x:c>
      <x:c r="I2011" s="4" t="inlineStr">
        <x:is>
          <x:t xml:space="preserve">2014-07-31</x:t>
        </x:is>
      </x:c>
      <x:c r="J2011" s="5" t="inlineStr">
        <x:is>
          <x:t xml:space="preserve">台山市台城长兴路9、11号</x:t>
        </x:is>
      </x:c>
      <x:c r="K2011" s="12" t="str">
        <x:f>LEFT("91440700738598678Q",18)</x:f>
        <x:v>91440700738598678Q</x:v>
      </x:c>
    </x:row>
    <x:row r="2012">
      <x:c r="A2012" s="2" t="n">
        <x:v>2011</x:v>
      </x:c>
      <x:c r="B2012" s="2" t="inlineStr">
        <x:is>
          <x:t xml:space="preserve">002732</x:t>
        </x:is>
      </x:c>
      <x:c r="C2012" s="3" t="inlineStr">
        <x:is>
          <x:t xml:space="preserve">燕塘乳业</x:t>
        </x:is>
      </x:c>
      <x:c r="D2012" s="3" t="inlineStr">
        <x:is>
          <x:t xml:space="preserve">广东燕塘乳业股份有限公司</x:t>
        </x:is>
      </x:c>
      <x:c r="E2012" s="2" t="inlineStr">
        <x:is>
          <x:t xml:space="preserve">广东省</x:t>
        </x:is>
      </x:c>
      <x:c r="F2012" s="2" t="inlineStr">
        <x:is>
          <x:t xml:space="preserve">广州市</x:t>
        </x:is>
      </x:c>
      <x:c r="G2012" s="3" t="inlineStr">
        <x:is>
          <x:t xml:space="preserve">广东省-广州市</x:t>
        </x:is>
      </x:c>
      <x:c r="H2012" s="2" t="inlineStr">
        <x:is>
          <x:t xml:space="preserve">食品饮料</x:t>
        </x:is>
      </x:c>
      <x:c r="I2012" s="2" t="inlineStr">
        <x:is>
          <x:t xml:space="preserve">2014-12-05</x:t>
        </x:is>
      </x:c>
      <x:c r="J2012" s="3" t="inlineStr">
        <x:is>
          <x:t xml:space="preserve">广州市黄埔区香荔路188号</x:t>
        </x:is>
      </x:c>
      <x:c r="K2012" s="12" t="str">
        <x:f>LEFT("91440000617435581X",18)</x:f>
        <x:v>91440000617435581X</x:v>
      </x:c>
    </x:row>
    <x:row r="2013">
      <x:c r="A2013" s="4" t="n">
        <x:v>2012</x:v>
      </x:c>
      <x:c r="B2013" s="4" t="inlineStr">
        <x:is>
          <x:t xml:space="preserve">002733</x:t>
        </x:is>
      </x:c>
      <x:c r="C2013" s="5" t="inlineStr">
        <x:is>
          <x:t xml:space="preserve">雄韬股份</x:t>
        </x:is>
      </x:c>
      <x:c r="D2013" s="5" t="inlineStr">
        <x:is>
          <x:t xml:space="preserve">深圳市雄韬电源科技股份有限公司</x:t>
        </x:is>
      </x:c>
      <x:c r="E2013" s="4" t="inlineStr">
        <x:is>
          <x:t xml:space="preserve">广东省</x:t>
        </x:is>
      </x:c>
      <x:c r="F2013" s="4" t="inlineStr">
        <x:is>
          <x:t xml:space="preserve">深圳市</x:t>
        </x:is>
      </x:c>
      <x:c r="G2013" s="5" t="inlineStr">
        <x:is>
          <x:t xml:space="preserve">广东省-深圳市</x:t>
        </x:is>
      </x:c>
      <x:c r="H2013" s="4" t="inlineStr">
        <x:is>
          <x:t xml:space="preserve">电池</x:t>
        </x:is>
      </x:c>
      <x:c r="I2013" s="4" t="inlineStr">
        <x:is>
          <x:t xml:space="preserve">2014-12-03</x:t>
        </x:is>
      </x:c>
      <x:c r="J2013" s="5" t="inlineStr">
        <x:is>
          <x:t xml:space="preserve">深圳市大鹏新区大鹏街道同富工业区雄韬科技园办公楼、1#、2#、3#、8#厂房及9#厂房南栋1至5层</x:t>
        </x:is>
      </x:c>
      <x:c r="K2013" s="12" t="str">
        <x:f>LEFT("91440300192290291B",18)</x:f>
        <x:v>91440300192290291B</x:v>
      </x:c>
    </x:row>
    <x:row r="2014">
      <x:c r="A2014" s="2" t="n">
        <x:v>2013</x:v>
      </x:c>
      <x:c r="B2014" s="2" t="inlineStr">
        <x:is>
          <x:t xml:space="preserve">002735</x:t>
        </x:is>
      </x:c>
      <x:c r="C2014" s="3" t="inlineStr">
        <x:is>
          <x:t xml:space="preserve">王子新材</x:t>
        </x:is>
      </x:c>
      <x:c r="D2014" s="3" t="inlineStr">
        <x:is>
          <x:t xml:space="preserve">深圳王子新材料股份有限公司</x:t>
        </x:is>
      </x:c>
      <x:c r="E2014" s="2" t="inlineStr">
        <x:is>
          <x:t xml:space="preserve">广东省</x:t>
        </x:is>
      </x:c>
      <x:c r="F2014" s="2" t="inlineStr">
        <x:is>
          <x:t xml:space="preserve">深圳市</x:t>
        </x:is>
      </x:c>
      <x:c r="G2014" s="3" t="inlineStr">
        <x:is>
          <x:t xml:space="preserve">广东省-深圳市</x:t>
        </x:is>
      </x:c>
      <x:c r="H2014" s="2" t="inlineStr">
        <x:is>
          <x:t xml:space="preserve">包装材料</x:t>
        </x:is>
      </x:c>
      <x:c r="I2014" s="2" t="inlineStr">
        <x:is>
          <x:t xml:space="preserve">2014-12-03</x:t>
        </x:is>
      </x:c>
      <x:c r="J2014" s="3" t="inlineStr">
        <x:is>
          <x:t xml:space="preserve">深圳市龙华区龙华街道奋进路4号王子工业园</x:t>
        </x:is>
      </x:c>
      <x:c r="K2014" s="12" t="str">
        <x:f>LEFT("91440300279344432Y",18)</x:f>
        <x:v>91440300279344432Y</x:v>
      </x:c>
    </x:row>
    <x:row r="2015">
      <x:c r="A2015" s="4" t="n">
        <x:v>2014</x:v>
      </x:c>
      <x:c r="B2015" s="4" t="inlineStr">
        <x:is>
          <x:t xml:space="preserve">002736</x:t>
        </x:is>
      </x:c>
      <x:c r="C2015" s="5" t="inlineStr">
        <x:is>
          <x:t xml:space="preserve">国信证券</x:t>
        </x:is>
      </x:c>
      <x:c r="D2015" s="5" t="inlineStr">
        <x:is>
          <x:t xml:space="preserve">国信证券股份有限公司</x:t>
        </x:is>
      </x:c>
      <x:c r="E2015" s="4" t="inlineStr">
        <x:is>
          <x:t xml:space="preserve">广东省</x:t>
        </x:is>
      </x:c>
      <x:c r="F2015" s="4" t="inlineStr">
        <x:is>
          <x:t xml:space="preserve">深圳市</x:t>
        </x:is>
      </x:c>
      <x:c r="G2015" s="5" t="inlineStr">
        <x:is>
          <x:t xml:space="preserve">广东省-深圳市</x:t>
        </x:is>
      </x:c>
      <x:c r="H2015" s="4" t="inlineStr">
        <x:is>
          <x:t xml:space="preserve">券商信托</x:t>
        </x:is>
      </x:c>
      <x:c r="I2015" s="4" t="inlineStr">
        <x:is>
          <x:t xml:space="preserve">2014-12-29</x:t>
        </x:is>
      </x:c>
      <x:c r="J2015" s="5" t="inlineStr">
        <x:is>
          <x:t xml:space="preserve">深圳市罗湖区红岭中路1012号国信证券大厦十六层至二十六层</x:t>
        </x:is>
      </x:c>
      <x:c r="K2015" s="12" t="str">
        <x:f>LEFT("914403001922784445",18)</x:f>
        <x:v>914403001922784400</x:v>
      </x:c>
    </x:row>
    <x:row r="2016">
      <x:c r="A2016" s="2" t="n">
        <x:v>2015</x:v>
      </x:c>
      <x:c r="B2016" s="2" t="inlineStr">
        <x:is>
          <x:t xml:space="preserve">002741</x:t>
        </x:is>
      </x:c>
      <x:c r="C2016" s="3" t="inlineStr">
        <x:is>
          <x:t xml:space="preserve">光华科技</x:t>
        </x:is>
      </x:c>
      <x:c r="D2016" s="3" t="inlineStr">
        <x:is>
          <x:t xml:space="preserve">广东光华科技股份有限公司</x:t>
        </x:is>
      </x:c>
      <x:c r="E2016" s="2" t="inlineStr">
        <x:is>
          <x:t xml:space="preserve">广东省</x:t>
        </x:is>
      </x:c>
      <x:c r="F2016" s="2" t="inlineStr">
        <x:is>
          <x:t xml:space="preserve">汕头市</x:t>
        </x:is>
      </x:c>
      <x:c r="G2016" s="3" t="inlineStr">
        <x:is>
          <x:t xml:space="preserve">广东省-汕头市</x:t>
        </x:is>
      </x:c>
      <x:c r="H2016" s="2" t="inlineStr">
        <x:is>
          <x:t xml:space="preserve">电子化学品</x:t>
        </x:is>
      </x:c>
      <x:c r="I2016" s="2" t="inlineStr">
        <x:is>
          <x:t xml:space="preserve">2015-02-16</x:t>
        </x:is>
      </x:c>
      <x:c r="J2016" s="3" t="inlineStr">
        <x:is>
          <x:t xml:space="preserve">广东省汕头市大学路295号</x:t>
        </x:is>
      </x:c>
      <x:c r="K2016" s="12" t="str">
        <x:f>LEFT("91440500192821099K",18)</x:f>
        <x:v>91440500192821099K</x:v>
      </x:c>
    </x:row>
    <x:row r="2017">
      <x:c r="A2017" s="4" t="n">
        <x:v>2016</x:v>
      </x:c>
      <x:c r="B2017" s="4" t="inlineStr">
        <x:is>
          <x:t xml:space="preserve">002745</x:t>
        </x:is>
      </x:c>
      <x:c r="C2017" s="5" t="inlineStr">
        <x:is>
          <x:t xml:space="preserve">木林森</x:t>
        </x:is>
      </x:c>
      <x:c r="D2017" s="5" t="inlineStr">
        <x:is>
          <x:t xml:space="preserve">木林森股份有限公司</x:t>
        </x:is>
      </x:c>
      <x:c r="E2017" s="4" t="inlineStr">
        <x:is>
          <x:t xml:space="preserve">广东省</x:t>
        </x:is>
      </x:c>
      <x:c r="F2017" s="4" t="inlineStr">
        <x:is>
          <x:t xml:space="preserve">中山市</x:t>
        </x:is>
      </x:c>
      <x:c r="G2017" s="5" t="inlineStr">
        <x:is>
          <x:t xml:space="preserve">广东省-中山市</x:t>
        </x:is>
      </x:c>
      <x:c r="H2017" s="4" t="inlineStr">
        <x:is>
          <x:t xml:space="preserve">光学光电子</x:t>
        </x:is>
      </x:c>
      <x:c r="I2017" s="4" t="inlineStr">
        <x:is>
          <x:t xml:space="preserve">2015-02-17</x:t>
        </x:is>
      </x:c>
      <x:c r="J2017" s="5" t="inlineStr">
        <x:is>
          <x:t xml:space="preserve">广东省中山市小榄镇木林森大道1号</x:t>
        </x:is>
      </x:c>
      <x:c r="K2017" s="12" t="str">
        <x:f>LEFT("914420002821438692",18)</x:f>
        <x:v>914420002821438700</x:v>
      </x:c>
    </x:row>
    <x:row r="2018">
      <x:c r="A2018" s="2" t="n">
        <x:v>2017</x:v>
      </x:c>
      <x:c r="B2018" s="2" t="inlineStr">
        <x:is>
          <x:t xml:space="preserve">002757</x:t>
        </x:is>
      </x:c>
      <x:c r="C2018" s="3" t="inlineStr">
        <x:is>
          <x:t xml:space="preserve">南兴股份</x:t>
        </x:is>
      </x:c>
      <x:c r="D2018" s="3" t="inlineStr">
        <x:is>
          <x:t xml:space="preserve">南兴装备股份有限公司</x:t>
        </x:is>
      </x:c>
      <x:c r="E2018" s="2" t="inlineStr">
        <x:is>
          <x:t xml:space="preserve">广东省</x:t>
        </x:is>
      </x:c>
      <x:c r="F2018" s="2" t="inlineStr">
        <x:is>
          <x:t xml:space="preserve">东莞市</x:t>
        </x:is>
      </x:c>
      <x:c r="G2018" s="3" t="inlineStr">
        <x:is>
          <x:t xml:space="preserve">广东省-东莞市</x:t>
        </x:is>
      </x:c>
      <x:c r="H2018" s="2" t="inlineStr">
        <x:is>
          <x:t xml:space="preserve">专用设备</x:t>
        </x:is>
      </x:c>
      <x:c r="I2018" s="2" t="inlineStr">
        <x:is>
          <x:t xml:space="preserve">2015-05-27</x:t>
        </x:is>
      </x:c>
      <x:c r="J2018" s="3" t="inlineStr">
        <x:is>
          <x:t xml:space="preserve">东莞市厚街镇科技工业园南兴路</x:t>
        </x:is>
      </x:c>
      <x:c r="K2018" s="12" t="str">
        <x:f>LEFT("91441900617769290H",18)</x:f>
        <x:v>91441900617769290H</x:v>
      </x:c>
    </x:row>
    <x:row r="2019">
      <x:c r="A2019" s="4" t="n">
        <x:v>2018</x:v>
      </x:c>
      <x:c r="B2019" s="4" t="inlineStr">
        <x:is>
          <x:t xml:space="preserve">002759</x:t>
        </x:is>
      </x:c>
      <x:c r="C2019" s="5" t="inlineStr">
        <x:is>
          <x:t xml:space="preserve">天际股份</x:t>
        </x:is>
      </x:c>
      <x:c r="D2019" s="5" t="inlineStr">
        <x:is>
          <x:t xml:space="preserve">天际新能源科技股份有限公司</x:t>
        </x:is>
      </x:c>
      <x:c r="E2019" s="4" t="inlineStr">
        <x:is>
          <x:t xml:space="preserve">广东省</x:t>
        </x:is>
      </x:c>
      <x:c r="F2019" s="4" t="inlineStr">
        <x:is>
          <x:t xml:space="preserve">汕头市</x:t>
        </x:is>
      </x:c>
      <x:c r="G2019" s="5" t="inlineStr">
        <x:is>
          <x:t xml:space="preserve">广东省-汕头市</x:t>
        </x:is>
      </x:c>
      <x:c r="H2019" s="4" t="inlineStr">
        <x:is>
          <x:t xml:space="preserve">电池</x:t>
        </x:is>
      </x:c>
      <x:c r="I2019" s="4" t="inlineStr">
        <x:is>
          <x:t xml:space="preserve">2015-05-28</x:t>
        </x:is>
      </x:c>
      <x:c r="J2019" s="5" t="inlineStr">
        <x:is>
          <x:t xml:space="preserve">广东省汕头市潮汕路金园工业城12-12片区</x:t>
        </x:is>
      </x:c>
      <x:c r="K2019" s="12" t="str">
        <x:f>LEFT("9144050061839817XE",18)</x:f>
        <x:v>9144050061839817XE</x:v>
      </x:c>
    </x:row>
    <x:row r="2020">
      <x:c r="A2020" s="2" t="n">
        <x:v>2019</x:v>
      </x:c>
      <x:c r="B2020" s="2" t="inlineStr">
        <x:is>
          <x:t xml:space="preserve">002762</x:t>
        </x:is>
      </x:c>
      <x:c r="C2020" s="3" t="inlineStr">
        <x:is>
          <x:t xml:space="preserve">*ST金比</x:t>
        </x:is>
      </x:c>
      <x:c r="D2020" s="3" t="inlineStr">
        <x:is>
          <x:t xml:space="preserve">金发拉比妇婴童用品股份有限公司</x:t>
        </x:is>
      </x:c>
      <x:c r="E2020" s="2" t="inlineStr">
        <x:is>
          <x:t xml:space="preserve">广东省</x:t>
        </x:is>
      </x:c>
      <x:c r="F2020" s="2" t="inlineStr">
        <x:is>
          <x:t xml:space="preserve">汕头市</x:t>
        </x:is>
      </x:c>
      <x:c r="G2020" s="3" t="inlineStr">
        <x:is>
          <x:t xml:space="preserve">广东省-汕头市</x:t>
        </x:is>
      </x:c>
      <x:c r="H2020" s="2" t="inlineStr">
        <x:is>
          <x:t xml:space="preserve">纺织服装</x:t>
        </x:is>
      </x:c>
      <x:c r="I2020" s="2" t="inlineStr">
        <x:is>
          <x:t xml:space="preserve">2015-06-10</x:t>
        </x:is>
      </x:c>
      <x:c r="J2020" s="3" t="inlineStr">
        <x:is>
          <x:t xml:space="preserve">广东省汕头市金平区鮀浦鮀济南路107号</x:t>
        </x:is>
      </x:c>
      <x:c r="K2020" s="12" t="str">
        <x:f>LEFT("91440500231741981J",18)</x:f>
        <x:v>91440500231741981J</x:v>
      </x:c>
    </x:row>
    <x:row r="2021">
      <x:c r="A2021" s="4" t="n">
        <x:v>2020</x:v>
      </x:c>
      <x:c r="B2021" s="4" t="inlineStr">
        <x:is>
          <x:t xml:space="preserve">002763</x:t>
        </x:is>
      </x:c>
      <x:c r="C2021" s="5" t="inlineStr">
        <x:is>
          <x:t xml:space="preserve">汇洁股份</x:t>
        </x:is>
      </x:c>
      <x:c r="D2021" s="5" t="inlineStr">
        <x:is>
          <x:t xml:space="preserve">深圳汇洁集团股份有限公司</x:t>
        </x:is>
      </x:c>
      <x:c r="E2021" s="4" t="inlineStr">
        <x:is>
          <x:t xml:space="preserve">广东省</x:t>
        </x:is>
      </x:c>
      <x:c r="F2021" s="4" t="inlineStr">
        <x:is>
          <x:t xml:space="preserve">深圳市</x:t>
        </x:is>
      </x:c>
      <x:c r="G2021" s="5" t="inlineStr">
        <x:is>
          <x:t xml:space="preserve">广东省-深圳市</x:t>
        </x:is>
      </x:c>
      <x:c r="H2021" s="4" t="inlineStr">
        <x:is>
          <x:t xml:space="preserve">纺织服装</x:t>
        </x:is>
      </x:c>
      <x:c r="I2021" s="4" t="inlineStr">
        <x:is>
          <x:t xml:space="preserve">2015-06-10</x:t>
        </x:is>
      </x:c>
      <x:c r="J2021" s="5" t="inlineStr">
        <x:is>
          <x:t xml:space="preserve">深圳市福田区沙头街道天安社区泰然四路85号泰然立城B座401-610(4-6层)</x:t>
        </x:is>
      </x:c>
      <x:c r="K2021" s="12" t="str">
        <x:f>LEFT("914403006658540006",18)</x:f>
        <x:v>914403006658540000</x:v>
      </x:c>
    </x:row>
    <x:row r="2022">
      <x:c r="A2022" s="2" t="n">
        <x:v>2021</x:v>
      </x:c>
      <x:c r="B2022" s="2" t="inlineStr">
        <x:is>
          <x:t xml:space="preserve">002766</x:t>
        </x:is>
      </x:c>
      <x:c r="C2022" s="3" t="inlineStr">
        <x:is>
          <x:t xml:space="preserve">索菱股份</x:t>
        </x:is>
      </x:c>
      <x:c r="D2022" s="3" t="inlineStr">
        <x:is>
          <x:t xml:space="preserve">深圳市索菱实业股份有限公司</x:t>
        </x:is>
      </x:c>
      <x:c r="E2022" s="2" t="inlineStr">
        <x:is>
          <x:t xml:space="preserve">广东省</x:t>
        </x:is>
      </x:c>
      <x:c r="F2022" s="2" t="inlineStr">
        <x:is>
          <x:t xml:space="preserve">深圳市</x:t>
        </x:is>
      </x:c>
      <x:c r="G2022" s="3" t="inlineStr">
        <x:is>
          <x:t xml:space="preserve">广东省-深圳市</x:t>
        </x:is>
      </x:c>
      <x:c r="H2022" s="2" t="inlineStr">
        <x:is>
          <x:t xml:space="preserve">汽车零部件</x:t>
        </x:is>
      </x:c>
      <x:c r="I2022" s="2" t="inlineStr">
        <x:is>
          <x:t xml:space="preserve">2015-06-11</x:t>
        </x:is>
      </x:c>
      <x:c r="J2022" s="3" t="inlineStr">
        <x:is>
          <x:t xml:space="preserve">深圳市南山区粤海街道海珠社区海德一道88号中洲控股金融中心B栋34M02</x:t>
        </x:is>
      </x:c>
      <x:c r="K2022" s="12" t="str">
        <x:f>LEFT("9144030027939160XU",18)</x:f>
        <x:v>9144030027939160XU</x:v>
      </x:c>
    </x:row>
    <x:row r="2023">
      <x:c r="A2023" s="4" t="n">
        <x:v>2022</x:v>
      </x:c>
      <x:c r="B2023" s="4" t="inlineStr">
        <x:is>
          <x:t xml:space="preserve">002769</x:t>
        </x:is>
      </x:c>
      <x:c r="C2023" s="5" t="inlineStr">
        <x:is>
          <x:t xml:space="preserve">普路通</x:t>
        </x:is>
      </x:c>
      <x:c r="D2023" s="5" t="inlineStr">
        <x:is>
          <x:t xml:space="preserve">广东省普路通供应链管理股份有限公司</x:t>
        </x:is>
      </x:c>
      <x:c r="E2023" s="4" t="inlineStr">
        <x:is>
          <x:t xml:space="preserve">广东省</x:t>
        </x:is>
      </x:c>
      <x:c r="F2023" s="4" t="inlineStr">
        <x:is>
          <x:t xml:space="preserve">广州市</x:t>
        </x:is>
      </x:c>
      <x:c r="G2023" s="5" t="inlineStr">
        <x:is>
          <x:t xml:space="preserve">广东省-广州市</x:t>
        </x:is>
      </x:c>
      <x:c r="H2023" s="4" t="inlineStr">
        <x:is>
          <x:t xml:space="preserve">交运物流</x:t>
        </x:is>
      </x:c>
      <x:c r="I2023" s="4" t="inlineStr">
        <x:is>
          <x:t xml:space="preserve">2015-06-29</x:t>
        </x:is>
      </x:c>
      <x:c r="J2023" s="5" t="inlineStr">
        <x:is>
          <x:t xml:space="preserve">广州市花都区雅正路10号之一智都数字经济产业园3号楼5楼</x:t>
        </x:is>
      </x:c>
      <x:c r="K2023" s="12" t="str">
        <x:f>LEFT("91440300783905518J",18)</x:f>
        <x:v>91440300783905518J</x:v>
      </x:c>
    </x:row>
    <x:row r="2024">
      <x:c r="A2024" s="2" t="n">
        <x:v>2023</x:v>
      </x:c>
      <x:c r="B2024" s="2" t="inlineStr">
        <x:is>
          <x:t xml:space="preserve">002774</x:t>
        </x:is>
      </x:c>
      <x:c r="C2024" s="3" t="inlineStr">
        <x:is>
          <x:t xml:space="preserve">快意电梯</x:t>
        </x:is>
      </x:c>
      <x:c r="D2024" s="3" t="inlineStr">
        <x:is>
          <x:t xml:space="preserve">快意电梯股份有限公司</x:t>
        </x:is>
      </x:c>
      <x:c r="E2024" s="2" t="inlineStr">
        <x:is>
          <x:t xml:space="preserve">广东省</x:t>
        </x:is>
      </x:c>
      <x:c r="F2024" s="2" t="inlineStr">
        <x:is>
          <x:t xml:space="preserve">东莞市</x:t>
        </x:is>
      </x:c>
      <x:c r="G2024" s="3" t="inlineStr">
        <x:is>
          <x:t xml:space="preserve">广东省-东莞市</x:t>
        </x:is>
      </x:c>
      <x:c r="H2024" s="2" t="inlineStr">
        <x:is>
          <x:t xml:space="preserve">专用设备</x:t>
        </x:is>
      </x:c>
      <x:c r="I2024" s="2" t="inlineStr">
        <x:is>
          <x:t xml:space="preserve">2017-03-24</x:t>
        </x:is>
      </x:c>
      <x:c r="J2024" s="3" t="inlineStr">
        <x:is>
          <x:t xml:space="preserve">广东省东莞市清溪镇青滨东路160号2号楼107室</x:t>
        </x:is>
      </x:c>
      <x:c r="K2024" s="12" t="str">
        <x:f>LEFT("91441900708017879M",18)</x:f>
        <x:v>91441900708017879M</x:v>
      </x:c>
    </x:row>
    <x:row r="2025">
      <x:c r="A2025" s="4" t="n">
        <x:v>2024</x:v>
      </x:c>
      <x:c r="B2025" s="4" t="inlineStr">
        <x:is>
          <x:t xml:space="preserve">002775</x:t>
        </x:is>
      </x:c>
      <x:c r="C2025" s="5" t="inlineStr">
        <x:is>
          <x:t xml:space="preserve">文科股份</x:t>
        </x:is>
      </x:c>
      <x:c r="D2025" s="5" t="inlineStr">
        <x:is>
          <x:t xml:space="preserve">广东文科绿色科技股份有限公司</x:t>
        </x:is>
      </x:c>
      <x:c r="E2025" s="4" t="inlineStr">
        <x:is>
          <x:t xml:space="preserve">广东省</x:t>
        </x:is>
      </x:c>
      <x:c r="F2025" s="4" t="inlineStr">
        <x:is>
          <x:t xml:space="preserve">佛山市</x:t>
        </x:is>
      </x:c>
      <x:c r="G2025" s="5" t="inlineStr">
        <x:is>
          <x:t xml:space="preserve">广东省-佛山市</x:t>
        </x:is>
      </x:c>
      <x:c r="H2025" s="4" t="inlineStr">
        <x:is>
          <x:t xml:space="preserve">工程建设</x:t>
        </x:is>
      </x:c>
      <x:c r="I2025" s="4" t="inlineStr">
        <x:is>
          <x:t xml:space="preserve">2015-06-29</x:t>
        </x:is>
      </x:c>
      <x:c r="J2025" s="5" t="inlineStr">
        <x:is>
          <x:t xml:space="preserve">广东省佛山市顺德区乐从镇东平社区佛山新城天虹路46号信保广场1号楼29楼02至04单元</x:t>
        </x:is>
      </x:c>
      <x:c r="K2025" s="12" t="str">
        <x:f>LEFT("91440300279296274G",18)</x:f>
        <x:v>91440300279296274G</x:v>
      </x:c>
    </x:row>
    <x:row r="2026">
      <x:c r="A2026" s="2" t="n">
        <x:v>2025</x:v>
      </x:c>
      <x:c r="B2026" s="2" t="inlineStr">
        <x:is>
          <x:t xml:space="preserve">002782</x:t>
        </x:is>
      </x:c>
      <x:c r="C2026" s="3" t="inlineStr">
        <x:is>
          <x:t xml:space="preserve">可立克</x:t>
        </x:is>
      </x:c>
      <x:c r="D2026" s="3" t="inlineStr">
        <x:is>
          <x:t xml:space="preserve">深圳可立克科技股份有限公司</x:t>
        </x:is>
      </x:c>
      <x:c r="E2026" s="2" t="inlineStr">
        <x:is>
          <x:t xml:space="preserve">广东省</x:t>
        </x:is>
      </x:c>
      <x:c r="F2026" s="2" t="inlineStr">
        <x:is>
          <x:t xml:space="preserve">深圳市</x:t>
        </x:is>
      </x:c>
      <x:c r="G2026" s="3" t="inlineStr">
        <x:is>
          <x:t xml:space="preserve">广东省-深圳市</x:t>
        </x:is>
      </x:c>
      <x:c r="H2026" s="2" t="inlineStr">
        <x:is>
          <x:t xml:space="preserve">电子元件</x:t>
        </x:is>
      </x:c>
      <x:c r="I2026" s="2" t="inlineStr">
        <x:is>
          <x:t xml:space="preserve">2015-12-22</x:t>
        </x:is>
      </x:c>
      <x:c r="J2026" s="3" t="inlineStr">
        <x:is>
          <x:t xml:space="preserve">深圳市宝安区福海街道新田社区正中工业厂区厂房7栋7栋2层</x:t>
        </x:is>
      </x:c>
      <x:c r="K2026" s="12" t="str">
        <x:f>LEFT("914403007576217064",18)</x:f>
        <x:v>914403007576217100</x:v>
      </x:c>
    </x:row>
    <x:row r="2027">
      <x:c r="A2027" s="4" t="n">
        <x:v>2026</x:v>
      </x:c>
      <x:c r="B2027" s="4" t="inlineStr">
        <x:is>
          <x:t xml:space="preserve">002786</x:t>
        </x:is>
      </x:c>
      <x:c r="C2027" s="5" t="inlineStr">
        <x:is>
          <x:t xml:space="preserve">银宝山新</x:t>
        </x:is>
      </x:c>
      <x:c r="D2027" s="5" t="inlineStr">
        <x:is>
          <x:t xml:space="preserve">深圳市银宝山新科技股份有限公司</x:t>
        </x:is>
      </x:c>
      <x:c r="E2027" s="4" t="inlineStr">
        <x:is>
          <x:t xml:space="preserve">广东省</x:t>
        </x:is>
      </x:c>
      <x:c r="F2027" s="4" t="inlineStr">
        <x:is>
          <x:t xml:space="preserve">深圳市</x:t>
        </x:is>
      </x:c>
      <x:c r="G2027" s="5" t="inlineStr">
        <x:is>
          <x:t xml:space="preserve">广东省-深圳市</x:t>
        </x:is>
      </x:c>
      <x:c r="H2027" s="4" t="inlineStr">
        <x:is>
          <x:t xml:space="preserve">专用设备</x:t>
        </x:is>
      </x:c>
      <x:c r="I2027" s="4" t="inlineStr">
        <x:is>
          <x:t xml:space="preserve">2015-12-23</x:t>
        </x:is>
      </x:c>
      <x:c r="J2027" s="5" t="inlineStr">
        <x:is>
          <x:t xml:space="preserve">深圳市宝安区石岩街道官田社区宝石东路塘坑路口东1号603/606</x:t>
        </x:is>
      </x:c>
      <x:c r="K2027" s="12" t="str">
        <x:f>LEFT("91440300724726827W",18)</x:f>
        <x:v>91440300724726827W</x:v>
      </x:c>
    </x:row>
    <x:row r="2028">
      <x:c r="A2028" s="2" t="n">
        <x:v>2027</x:v>
      </x:c>
      <x:c r="B2028" s="2" t="inlineStr">
        <x:is>
          <x:t xml:space="preserve">002789</x:t>
        </x:is>
      </x:c>
      <x:c r="C2028" s="3" t="inlineStr">
        <x:is>
          <x:t xml:space="preserve">*ST建艺</x:t>
        </x:is>
      </x:c>
      <x:c r="D2028" s="3" t="inlineStr">
        <x:is>
          <x:t xml:space="preserve">深圳市建艺装饰集团股份有限公司</x:t>
        </x:is>
      </x:c>
      <x:c r="E2028" s="2" t="inlineStr">
        <x:is>
          <x:t xml:space="preserve">广东省</x:t>
        </x:is>
      </x:c>
      <x:c r="F2028" s="2" t="inlineStr">
        <x:is>
          <x:t xml:space="preserve">深圳市</x:t>
        </x:is>
      </x:c>
      <x:c r="G2028" s="3" t="inlineStr">
        <x:is>
          <x:t xml:space="preserve">广东省-深圳市</x:t>
        </x:is>
      </x:c>
      <x:c r="H2028" s="2" t="inlineStr">
        <x:is>
          <x:t xml:space="preserve">装修装饰</x:t>
        </x:is>
      </x:c>
      <x:c r="I2028" s="2" t="inlineStr">
        <x:is>
          <x:t xml:space="preserve">2016-03-11</x:t>
        </x:is>
      </x:c>
      <x:c r="J2028" s="3" t="inlineStr">
        <x:is>
          <x:t xml:space="preserve">深圳市福田区福保街道福保社区槟榔道8号建艺集团六层</x:t>
        </x:is>
      </x:c>
      <x:c r="K2028" s="12" t="str">
        <x:f>LEFT("914403001922545226",18)</x:f>
        <x:v>914403001922545300</x:v>
      </x:c>
    </x:row>
    <x:row r="2029">
      <x:c r="A2029" s="4" t="n">
        <x:v>2028</x:v>
      </x:c>
      <x:c r="B2029" s="4" t="inlineStr">
        <x:is>
          <x:t xml:space="preserve">002791</x:t>
        </x:is>
      </x:c>
      <x:c r="C2029" s="5" t="inlineStr">
        <x:is>
          <x:t xml:space="preserve">坚朗五金</x:t>
        </x:is>
      </x:c>
      <x:c r="D2029" s="5" t="inlineStr">
        <x:is>
          <x:t xml:space="preserve">广东坚朗五金制品股份有限公司</x:t>
        </x:is>
      </x:c>
      <x:c r="E2029" s="4" t="inlineStr">
        <x:is>
          <x:t xml:space="preserve">广东省</x:t>
        </x:is>
      </x:c>
      <x:c r="F2029" s="4" t="inlineStr">
        <x:is>
          <x:t xml:space="preserve">东莞市</x:t>
        </x:is>
      </x:c>
      <x:c r="G2029" s="5" t="inlineStr">
        <x:is>
          <x:t xml:space="preserve">广东省-东莞市</x:t>
        </x:is>
      </x:c>
      <x:c r="H2029" s="4" t="inlineStr">
        <x:is>
          <x:t xml:space="preserve">装修建材</x:t>
        </x:is>
      </x:c>
      <x:c r="I2029" s="4" t="inlineStr">
        <x:is>
          <x:t xml:space="preserve">2016-03-29</x:t>
        </x:is>
      </x:c>
      <x:c r="J2029" s="5" t="inlineStr">
        <x:is>
          <x:t xml:space="preserve">广东省东莞市塘厦镇大坪坚朗路3号</x:t>
        </x:is>
      </x:c>
      <x:c r="K2029" s="12" t="str">
        <x:f>LEFT("914419007520851901",18)</x:f>
        <x:v>914419007520851800</x:v>
      </x:c>
    </x:row>
    <x:row r="2030">
      <x:c r="A2030" s="2" t="n">
        <x:v>2029</x:v>
      </x:c>
      <x:c r="B2030" s="2" t="inlineStr">
        <x:is>
          <x:t xml:space="preserve">002792</x:t>
        </x:is>
      </x:c>
      <x:c r="C2030" s="3" t="inlineStr">
        <x:is>
          <x:t xml:space="preserve">通宇通讯</x:t>
        </x:is>
      </x:c>
      <x:c r="D2030" s="3" t="inlineStr">
        <x:is>
          <x:t xml:space="preserve">广东通宇通讯股份有限公司</x:t>
        </x:is>
      </x:c>
      <x:c r="E2030" s="2" t="inlineStr">
        <x:is>
          <x:t xml:space="preserve">广东省</x:t>
        </x:is>
      </x:c>
      <x:c r="F2030" s="2" t="inlineStr">
        <x:is>
          <x:t xml:space="preserve">中山市</x:t>
        </x:is>
      </x:c>
      <x:c r="G2030" s="3" t="inlineStr">
        <x:is>
          <x:t xml:space="preserve">广东省-中山市</x:t>
        </x:is>
      </x:c>
      <x:c r="H2030" s="2" t="inlineStr">
        <x:is>
          <x:t xml:space="preserve">通讯行业</x:t>
        </x:is>
      </x:c>
      <x:c r="I2030" s="2" t="inlineStr">
        <x:is>
          <x:t xml:space="preserve">2016-03-28</x:t>
        </x:is>
      </x:c>
      <x:c r="J2030" s="3" t="inlineStr">
        <x:is>
          <x:t xml:space="preserve">广东省中山市火炬开发区东镇东二路1号</x:t>
        </x:is>
      </x:c>
      <x:c r="K2030" s="12" t="str">
        <x:f>LEFT("91442000617978068F",18)</x:f>
        <x:v>91442000617978068F</x:v>
      </x:c>
    </x:row>
    <x:row r="2031">
      <x:c r="A2031" s="4" t="n">
        <x:v>2030</x:v>
      </x:c>
      <x:c r="B2031" s="4" t="inlineStr">
        <x:is>
          <x:t xml:space="preserve">002797</x:t>
        </x:is>
      </x:c>
      <x:c r="C2031" s="5" t="inlineStr">
        <x:is>
          <x:t xml:space="preserve">第一创业</x:t>
        </x:is>
      </x:c>
      <x:c r="D2031" s="5" t="inlineStr">
        <x:is>
          <x:t xml:space="preserve">第一创业证券股份有限公司</x:t>
        </x:is>
      </x:c>
      <x:c r="E2031" s="4" t="inlineStr">
        <x:is>
          <x:t xml:space="preserve">广东省</x:t>
        </x:is>
      </x:c>
      <x:c r="F2031" s="4" t="inlineStr">
        <x:is>
          <x:t xml:space="preserve">深圳市</x:t>
        </x:is>
      </x:c>
      <x:c r="G2031" s="5" t="inlineStr">
        <x:is>
          <x:t xml:space="preserve">广东省-深圳市</x:t>
        </x:is>
      </x:c>
      <x:c r="H2031" s="4" t="inlineStr">
        <x:is>
          <x:t xml:space="preserve">券商信托</x:t>
        </x:is>
      </x:c>
      <x:c r="I2031" s="4" t="inlineStr">
        <x:is>
          <x:t xml:space="preserve">2016-05-11</x:t>
        </x:is>
      </x:c>
      <x:c r="J2031" s="5" t="inlineStr">
        <x:is>
          <x:t xml:space="preserve">深圳市福田区福华一路115号投行大厦20楼</x:t>
        </x:is>
      </x:c>
      <x:c r="K2031" s="12" t="str">
        <x:f>LEFT("91440300707743879G",18)</x:f>
        <x:v>91440300707743879G</x:v>
      </x:c>
    </x:row>
    <x:row r="2032">
      <x:c r="A2032" s="2" t="n">
        <x:v>2031</x:v>
      </x:c>
      <x:c r="B2032" s="2" t="inlineStr">
        <x:is>
          <x:t xml:space="preserve">002806</x:t>
        </x:is>
      </x:c>
      <x:c r="C2032" s="3" t="inlineStr">
        <x:is>
          <x:t xml:space="preserve">华锋股份</x:t>
        </x:is>
      </x:c>
      <x:c r="D2032" s="3" t="inlineStr">
        <x:is>
          <x:t xml:space="preserve">广东华锋新能源科技股份有限公司</x:t>
        </x:is>
      </x:c>
      <x:c r="E2032" s="2" t="inlineStr">
        <x:is>
          <x:t xml:space="preserve">广东省</x:t>
        </x:is>
      </x:c>
      <x:c r="F2032" s="2" t="inlineStr">
        <x:is>
          <x:t xml:space="preserve">肇庆市</x:t>
        </x:is>
      </x:c>
      <x:c r="G2032" s="3" t="inlineStr">
        <x:is>
          <x:t xml:space="preserve">广东省-肇庆市</x:t>
        </x:is>
      </x:c>
      <x:c r="H2032" s="2" t="inlineStr">
        <x:is>
          <x:t xml:space="preserve">汽车零部件</x:t>
        </x:is>
      </x:c>
      <x:c r="I2032" s="2" t="inlineStr">
        <x:is>
          <x:t xml:space="preserve">2016-07-26</x:t>
        </x:is>
      </x:c>
      <x:c r="J2032" s="3" t="inlineStr">
        <x:is>
          <x:t xml:space="preserve">肇庆市端州区立信路6号新港湾置业广场1栋101号商铺</x:t>
        </x:is>
      </x:c>
      <x:c r="K2032" s="12" t="str">
        <x:f>LEFT("914412006178489259",18)</x:f>
        <x:v>914412006178489200</x:v>
      </x:c>
    </x:row>
    <x:row r="2033">
      <x:c r="A2033" s="4" t="n">
        <x:v>2032</x:v>
      </x:c>
      <x:c r="B2033" s="4" t="inlineStr">
        <x:is>
          <x:t xml:space="preserve">002809</x:t>
        </x:is>
      </x:c>
      <x:c r="C2033" s="5" t="inlineStr">
        <x:is>
          <x:t xml:space="preserve">红墙股份</x:t>
        </x:is>
      </x:c>
      <x:c r="D2033" s="5" t="inlineStr">
        <x:is>
          <x:t xml:space="preserve">广东红墙新材料股份有限公司</x:t>
        </x:is>
      </x:c>
      <x:c r="E2033" s="4" t="inlineStr">
        <x:is>
          <x:t xml:space="preserve">广东省</x:t>
        </x:is>
      </x:c>
      <x:c r="F2033" s="4" t="inlineStr">
        <x:is>
          <x:t xml:space="preserve">惠州市</x:t>
        </x:is>
      </x:c>
      <x:c r="G2033" s="5" t="inlineStr">
        <x:is>
          <x:t xml:space="preserve">广东省-惠州市</x:t>
        </x:is>
      </x:c>
      <x:c r="H2033" s="4" t="inlineStr">
        <x:is>
          <x:t xml:space="preserve">化工行业</x:t>
        </x:is>
      </x:c>
      <x:c r="I2033" s="4" t="inlineStr">
        <x:is>
          <x:t xml:space="preserve">2016-08-23</x:t>
        </x:is>
      </x:c>
      <x:c r="J2033" s="5" t="inlineStr">
        <x:is>
          <x:t xml:space="preserve">广东省惠州市博罗县石湾镇科技产业园</x:t>
        </x:is>
      </x:c>
      <x:c r="K2033" s="12" t="str">
        <x:f>LEFT("91441300773069982C",18)</x:f>
        <x:v>91441300773069982C</x:v>
      </x:c>
    </x:row>
    <x:row r="2034">
      <x:c r="A2034" s="2" t="n">
        <x:v>2033</x:v>
      </x:c>
      <x:c r="B2034" s="2" t="inlineStr">
        <x:is>
          <x:t xml:space="preserve">002811</x:t>
        </x:is>
      </x:c>
      <x:c r="C2034" s="3" t="inlineStr">
        <x:is>
          <x:t xml:space="preserve">郑中设计</x:t>
        </x:is>
      </x:c>
      <x:c r="D2034" s="3" t="inlineStr">
        <x:is>
          <x:t xml:space="preserve">深圳市郑中设计股份有限公司</x:t>
        </x:is>
      </x:c>
      <x:c r="E2034" s="2" t="inlineStr">
        <x:is>
          <x:t xml:space="preserve">广东省</x:t>
        </x:is>
      </x:c>
      <x:c r="F2034" s="2" t="inlineStr">
        <x:is>
          <x:t xml:space="preserve">深圳市</x:t>
        </x:is>
      </x:c>
      <x:c r="G2034" s="3" t="inlineStr">
        <x:is>
          <x:t xml:space="preserve">广东省-深圳市</x:t>
        </x:is>
      </x:c>
      <x:c r="H2034" s="2" t="inlineStr">
        <x:is>
          <x:t xml:space="preserve">专业服务</x:t>
        </x:is>
      </x:c>
      <x:c r="I2034" s="2" t="inlineStr">
        <x:is>
          <x:t xml:space="preserve">2016-09-08</x:t>
        </x:is>
      </x:c>
      <x:c r="J2034" s="3" t="inlineStr">
        <x:is>
          <x:t xml:space="preserve">深圳市福田区中心区益田路与福华路交汇处卓越时代广场4B01、4B02</x:t>
        </x:is>
      </x:c>
      <x:c r="K2034" s="12" t="str">
        <x:f>LEFT("914403001923003657",18)</x:f>
        <x:v>914403001923003600</x:v>
      </x:c>
    </x:row>
    <x:row r="2035">
      <x:c r="A2035" s="4" t="n">
        <x:v>2034</x:v>
      </x:c>
      <x:c r="B2035" s="4" t="inlineStr">
        <x:is>
          <x:t xml:space="preserve">002813</x:t>
        </x:is>
      </x:c>
      <x:c r="C2035" s="5" t="inlineStr">
        <x:is>
          <x:t xml:space="preserve">路畅科技</x:t>
        </x:is>
      </x:c>
      <x:c r="D2035" s="5" t="inlineStr">
        <x:is>
          <x:t xml:space="preserve">深圳市路畅科技股份有限公司</x:t>
        </x:is>
      </x:c>
      <x:c r="E2035" s="4" t="inlineStr">
        <x:is>
          <x:t xml:space="preserve">广东省</x:t>
        </x:is>
      </x:c>
      <x:c r="F2035" s="4" t="inlineStr">
        <x:is>
          <x:t xml:space="preserve">深圳市</x:t>
        </x:is>
      </x:c>
      <x:c r="G2035" s="5" t="inlineStr">
        <x:is>
          <x:t xml:space="preserve">广东省-深圳市</x:t>
        </x:is>
      </x:c>
      <x:c r="H2035" s="4" t="inlineStr">
        <x:is>
          <x:t xml:space="preserve">汽车零部件</x:t>
        </x:is>
      </x:c>
      <x:c r="I2035" s="4" t="inlineStr">
        <x:is>
          <x:t xml:space="preserve">2016-10-12</x:t>
        </x:is>
      </x:c>
      <x:c r="J2035" s="5" t="inlineStr">
        <x:is>
          <x:t xml:space="preserve">深圳市南山区海天一路11号5栋C座8楼、9楼</x:t>
        </x:is>
      </x:c>
      <x:c r="K2035" s="12" t="str">
        <x:f>LEFT("91440300792564532T",18)</x:f>
        <x:v>91440300792564532T</x:v>
      </x:c>
    </x:row>
    <x:row r="2036">
      <x:c r="A2036" s="2" t="n">
        <x:v>2035</x:v>
      </x:c>
      <x:c r="B2036" s="2" t="inlineStr">
        <x:is>
          <x:t xml:space="preserve">002815</x:t>
        </x:is>
      </x:c>
      <x:c r="C2036" s="3" t="inlineStr">
        <x:is>
          <x:t xml:space="preserve">崇达技术</x:t>
        </x:is>
      </x:c>
      <x:c r="D2036" s="3" t="inlineStr">
        <x:is>
          <x:t xml:space="preserve">崇达技术股份有限公司</x:t>
        </x:is>
      </x:c>
      <x:c r="E2036" s="2" t="inlineStr">
        <x:is>
          <x:t xml:space="preserve">广东省</x:t>
        </x:is>
      </x:c>
      <x:c r="F2036" s="2" t="inlineStr">
        <x:is>
          <x:t xml:space="preserve">深圳市</x:t>
        </x:is>
      </x:c>
      <x:c r="G2036" s="3" t="inlineStr">
        <x:is>
          <x:t xml:space="preserve">广东省-深圳市</x:t>
        </x:is>
      </x:c>
      <x:c r="H2036" s="2" t="inlineStr">
        <x:is>
          <x:t xml:space="preserve">电子元件</x:t>
        </x:is>
      </x:c>
      <x:c r="I2036" s="2" t="inlineStr">
        <x:is>
          <x:t xml:space="preserve">2016-10-12</x:t>
        </x:is>
      </x:c>
      <x:c r="J2036" s="3" t="inlineStr">
        <x:is>
          <x:t xml:space="preserve">深圳市光明区凤凰街道东坑社区科能路(南延伸段)808号崇达大厦19层</x:t>
        </x:is>
      </x:c>
      <x:c r="K2036" s="12" t="str">
        <x:f>LEFT("91440300192337600C",18)</x:f>
        <x:v>91440300192337600C</x:v>
      </x:c>
    </x:row>
    <x:row r="2037">
      <x:c r="A2037" s="4" t="n">
        <x:v>2036</x:v>
      </x:c>
      <x:c r="B2037" s="4" t="inlineStr">
        <x:is>
          <x:t xml:space="preserve">002816</x:t>
        </x:is>
      </x:c>
      <x:c r="C2037" s="5" t="inlineStr">
        <x:is>
          <x:t xml:space="preserve">和科达</x:t>
        </x:is>
      </x:c>
      <x:c r="D2037" s="5" t="inlineStr">
        <x:is>
          <x:t xml:space="preserve">深圳市和科达精密清洗设备股份有限公司</x:t>
        </x:is>
      </x:c>
      <x:c r="E2037" s="4" t="inlineStr">
        <x:is>
          <x:t xml:space="preserve">广东省</x:t>
        </x:is>
      </x:c>
      <x:c r="F2037" s="4" t="inlineStr">
        <x:is>
          <x:t xml:space="preserve">深圳市</x:t>
        </x:is>
      </x:c>
      <x:c r="G2037" s="5" t="inlineStr">
        <x:is>
          <x:t xml:space="preserve">广东省-深圳市</x:t>
        </x:is>
      </x:c>
      <x:c r="H2037" s="4" t="inlineStr">
        <x:is>
          <x:t xml:space="preserve">专用设备</x:t>
        </x:is>
      </x:c>
      <x:c r="I2037" s="4" t="inlineStr">
        <x:is>
          <x:t xml:space="preserve">2016-10-25</x:t>
        </x:is>
      </x:c>
      <x:c r="J2037" s="5" t="inlineStr">
        <x:is>
          <x:t xml:space="preserve">深圳市龙华区大浪街道浪口社区华荣路294号和科达工业园2栋1层-3层</x:t>
        </x:is>
      </x:c>
      <x:c r="K2037" s="12" t="str">
        <x:f>LEFT("91440300683766012Q",18)</x:f>
        <x:v>91440300683766012Q</x:v>
      </x:c>
    </x:row>
    <x:row r="2038">
      <x:c r="A2038" s="2" t="n">
        <x:v>2037</x:v>
      </x:c>
      <x:c r="B2038" s="2" t="inlineStr">
        <x:is>
          <x:t xml:space="preserve">002822</x:t>
        </x:is>
      </x:c>
      <x:c r="C2038" s="3" t="inlineStr">
        <x:is>
          <x:t xml:space="preserve">*ST中装</x:t>
        </x:is>
      </x:c>
      <x:c r="D2038" s="3" t="inlineStr">
        <x:is>
          <x:t xml:space="preserve">深圳市中装建设集团股份有限公司</x:t>
        </x:is>
      </x:c>
      <x:c r="E2038" s="2" t="inlineStr">
        <x:is>
          <x:t xml:space="preserve">广东省</x:t>
        </x:is>
      </x:c>
      <x:c r="F2038" s="2" t="inlineStr">
        <x:is>
          <x:t xml:space="preserve">深圳市</x:t>
        </x:is>
      </x:c>
      <x:c r="G2038" s="3" t="inlineStr">
        <x:is>
          <x:t xml:space="preserve">广东省-深圳市</x:t>
        </x:is>
      </x:c>
      <x:c r="H2038" s="2" t="inlineStr">
        <x:is>
          <x:t xml:space="preserve">装修装饰</x:t>
        </x:is>
      </x:c>
      <x:c r="I2038" s="2" t="inlineStr">
        <x:is>
          <x:t xml:space="preserve">2016-11-29</x:t>
        </x:is>
      </x:c>
      <x:c r="J2038" s="3" t="inlineStr">
        <x:is>
          <x:t xml:space="preserve">深圳市罗湖区深南东路4002号鸿隆世纪广场四—五层(仅限办公)</x:t>
        </x:is>
      </x:c>
      <x:c r="K2038" s="12" t="str">
        <x:f>LEFT("914403001922663713",18)</x:f>
        <x:v>914403001922663700</x:v>
      </x:c>
    </x:row>
    <x:row r="2039">
      <x:c r="A2039" s="4" t="n">
        <x:v>2038</x:v>
      </x:c>
      <x:c r="B2039" s="4" t="inlineStr">
        <x:is>
          <x:t xml:space="preserve">002823</x:t>
        </x:is>
      </x:c>
      <x:c r="C2039" s="5" t="inlineStr">
        <x:is>
          <x:t xml:space="preserve">凯中精密</x:t>
        </x:is>
      </x:c>
      <x:c r="D2039" s="5" t="inlineStr">
        <x:is>
          <x:t xml:space="preserve">深圳市凯中精密技术股份有限公司</x:t>
        </x:is>
      </x:c>
      <x:c r="E2039" s="4" t="inlineStr">
        <x:is>
          <x:t xml:space="preserve">广东省</x:t>
        </x:is>
      </x:c>
      <x:c r="F2039" s="4" t="inlineStr">
        <x:is>
          <x:t xml:space="preserve">深圳市</x:t>
        </x:is>
      </x:c>
      <x:c r="G2039" s="5" t="inlineStr">
        <x:is>
          <x:t xml:space="preserve">广东省-深圳市</x:t>
        </x:is>
      </x:c>
      <x:c r="H2039" s="4" t="inlineStr">
        <x:is>
          <x:t xml:space="preserve">电机</x:t>
        </x:is>
      </x:c>
      <x:c r="I2039" s="4" t="inlineStr">
        <x:is>
          <x:t xml:space="preserve">2016-11-24</x:t>
        </x:is>
      </x:c>
      <x:c r="J2039" s="5" t="inlineStr">
        <x:is>
          <x:t xml:space="preserve">深圳市坪山区龙田街道规划四路1号</x:t>
        </x:is>
      </x:c>
      <x:c r="K2039" s="12" t="str">
        <x:f>LEFT("91440300682020833Q",18)</x:f>
        <x:v>91440300682020833Q</x:v>
      </x:c>
    </x:row>
    <x:row r="2040">
      <x:c r="A2040" s="2" t="n">
        <x:v>2039</x:v>
      </x:c>
      <x:c r="B2040" s="2" t="inlineStr">
        <x:is>
          <x:t xml:space="preserve">002824</x:t>
        </x:is>
      </x:c>
      <x:c r="C2040" s="3" t="inlineStr">
        <x:is>
          <x:t xml:space="preserve">和胜股份</x:t>
        </x:is>
      </x:c>
      <x:c r="D2040" s="3" t="inlineStr">
        <x:is>
          <x:t xml:space="preserve">广东和胜工业铝材股份有限公司</x:t>
        </x:is>
      </x:c>
      <x:c r="E2040" s="2" t="inlineStr">
        <x:is>
          <x:t xml:space="preserve">广东省</x:t>
        </x:is>
      </x:c>
      <x:c r="F2040" s="2" t="inlineStr">
        <x:is>
          <x:t xml:space="preserve">中山市</x:t>
        </x:is>
      </x:c>
      <x:c r="G2040" s="3" t="inlineStr">
        <x:is>
          <x:t xml:space="preserve">广东省-中山市</x:t>
        </x:is>
      </x:c>
      <x:c r="H2040" s="2" t="inlineStr">
        <x:is>
          <x:t xml:space="preserve">有色金属</x:t>
        </x:is>
      </x:c>
      <x:c r="I2040" s="2" t="inlineStr">
        <x:is>
          <x:t xml:space="preserve">2017-01-12</x:t>
        </x:is>
      </x:c>
      <x:c r="J2040" s="3" t="inlineStr">
        <x:is>
          <x:t xml:space="preserve">中山市三乡镇前陇工业区美源路5号,中山市三乡镇西山社区华曦路3号</x:t>
        </x:is>
      </x:c>
      <x:c r="K2040" s="12" t="str">
        <x:f>LEFT("914420007740162414",18)</x:f>
        <x:v>914420007740162400</x:v>
      </x:c>
    </x:row>
    <x:row r="2041">
      <x:c r="A2041" s="4" t="n">
        <x:v>2040</x:v>
      </x:c>
      <x:c r="B2041" s="4" t="inlineStr">
        <x:is>
          <x:t xml:space="preserve">002830</x:t>
        </x:is>
      </x:c>
      <x:c r="C2041" s="5" t="inlineStr">
        <x:is>
          <x:t xml:space="preserve">名雕股份</x:t>
        </x:is>
      </x:c>
      <x:c r="D2041" s="5" t="inlineStr">
        <x:is>
          <x:t xml:space="preserve">深圳市名雕装饰股份有限公司</x:t>
        </x:is>
      </x:c>
      <x:c r="E2041" s="4" t="inlineStr">
        <x:is>
          <x:t xml:space="preserve">广东省</x:t>
        </x:is>
      </x:c>
      <x:c r="F2041" s="4" t="inlineStr">
        <x:is>
          <x:t xml:space="preserve">深圳市</x:t>
        </x:is>
      </x:c>
      <x:c r="G2041" s="5" t="inlineStr">
        <x:is>
          <x:t xml:space="preserve">广东省-深圳市</x:t>
        </x:is>
      </x:c>
      <x:c r="H2041" s="4" t="inlineStr">
        <x:is>
          <x:t xml:space="preserve">装修装饰</x:t>
        </x:is>
      </x:c>
      <x:c r="I2041" s="4" t="inlineStr">
        <x:is>
          <x:t xml:space="preserve">2016-12-13</x:t>
        </x:is>
      </x:c>
      <x:c r="J2041" s="5" t="inlineStr">
        <x:is>
          <x:t xml:space="preserve">深圳市罗湖区笋岗梨园路8号HALO广场(笋岗3号仓库整栋)3层15-16室</x:t>
        </x:is>
      </x:c>
      <x:c r="K2041" s="12" t="str">
        <x:f>LEFT("914403007152286075",18)</x:f>
        <x:v>914403007152286100</x:v>
      </x:c>
    </x:row>
    <x:row r="2042">
      <x:c r="A2042" s="2" t="n">
        <x:v>2041</x:v>
      </x:c>
      <x:c r="B2042" s="2" t="inlineStr">
        <x:is>
          <x:t xml:space="preserve">002831</x:t>
        </x:is>
      </x:c>
      <x:c r="C2042" s="3" t="inlineStr">
        <x:is>
          <x:t xml:space="preserve">裕同科技</x:t>
        </x:is>
      </x:c>
      <x:c r="D2042" s="3" t="inlineStr">
        <x:is>
          <x:t xml:space="preserve">深圳市裕同包装科技股份有限公司</x:t>
        </x:is>
      </x:c>
      <x:c r="E2042" s="2" t="inlineStr">
        <x:is>
          <x:t xml:space="preserve">广东省</x:t>
        </x:is>
      </x:c>
      <x:c r="F2042" s="2" t="inlineStr">
        <x:is>
          <x:t xml:space="preserve">深圳市</x:t>
        </x:is>
      </x:c>
      <x:c r="G2042" s="3" t="inlineStr">
        <x:is>
          <x:t xml:space="preserve">广东省-深圳市</x:t>
        </x:is>
      </x:c>
      <x:c r="H2042" s="2" t="inlineStr">
        <x:is>
          <x:t xml:space="preserve">造纸印刷</x:t>
        </x:is>
      </x:c>
      <x:c r="I2042" s="2" t="inlineStr">
        <x:is>
          <x:t xml:space="preserve">2016-12-16</x:t>
        </x:is>
      </x:c>
      <x:c r="J2042" s="3" t="inlineStr">
        <x:is>
          <x:t xml:space="preserve">深圳市宝安区石岩街道石龙社区石环路1号办公楼三层、厂房D一层、厂房E一层</x:t>
        </x:is>
      </x:c>
      <x:c r="K2042" s="12" t="str">
        <x:f>LEFT("914403007341708695",18)</x:f>
        <x:v>914403007341708700</x:v>
      </x:c>
    </x:row>
    <x:row r="2043">
      <x:c r="A2043" s="4" t="n">
        <x:v>2042</x:v>
      </x:c>
      <x:c r="B2043" s="4" t="inlineStr">
        <x:is>
          <x:t xml:space="preserve">002832</x:t>
        </x:is>
      </x:c>
      <x:c r="C2043" s="5" t="inlineStr">
        <x:is>
          <x:t xml:space="preserve">比音勒芬</x:t>
        </x:is>
      </x:c>
      <x:c r="D2043" s="5" t="inlineStr">
        <x:is>
          <x:t xml:space="preserve">比音勒芬服饰股份有限公司</x:t>
        </x:is>
      </x:c>
      <x:c r="E2043" s="4" t="inlineStr">
        <x:is>
          <x:t xml:space="preserve">广东省</x:t>
        </x:is>
      </x:c>
      <x:c r="F2043" s="4" t="inlineStr">
        <x:is>
          <x:t xml:space="preserve">广州市</x:t>
        </x:is>
      </x:c>
      <x:c r="G2043" s="5" t="inlineStr">
        <x:is>
          <x:t xml:space="preserve">广东省-广州市</x:t>
        </x:is>
      </x:c>
      <x:c r="H2043" s="4" t="inlineStr">
        <x:is>
          <x:t xml:space="preserve">纺织服装</x:t>
        </x:is>
      </x:c>
      <x:c r="I2043" s="4" t="inlineStr">
        <x:is>
          <x:t xml:space="preserve">2016-12-23</x:t>
        </x:is>
      </x:c>
      <x:c r="J2043" s="5" t="inlineStr">
        <x:is>
          <x:t xml:space="preserve">广东省广州市番禺区南村镇兴业大道东608号</x:t>
        </x:is>
      </x:c>
      <x:c r="K2043" s="12" t="str">
        <x:f>LEFT("914401017462725710",18)</x:f>
        <x:v>914401017462725800</x:v>
      </x:c>
    </x:row>
    <x:row r="2044">
      <x:c r="A2044" s="2" t="n">
        <x:v>2043</x:v>
      </x:c>
      <x:c r="B2044" s="2" t="inlineStr">
        <x:is>
          <x:t xml:space="preserve">002833</x:t>
        </x:is>
      </x:c>
      <x:c r="C2044" s="3" t="inlineStr">
        <x:is>
          <x:t xml:space="preserve">弘亚数控</x:t>
        </x:is>
      </x:c>
      <x:c r="D2044" s="3" t="inlineStr">
        <x:is>
          <x:t xml:space="preserve">广州弘亚数控机械集团股份有限公司</x:t>
        </x:is>
      </x:c>
      <x:c r="E2044" s="2" t="inlineStr">
        <x:is>
          <x:t xml:space="preserve">广东省</x:t>
        </x:is>
      </x:c>
      <x:c r="F2044" s="2" t="inlineStr">
        <x:is>
          <x:t xml:space="preserve">广州市</x:t>
        </x:is>
      </x:c>
      <x:c r="G2044" s="3" t="inlineStr">
        <x:is>
          <x:t xml:space="preserve">广东省-广州市</x:t>
        </x:is>
      </x:c>
      <x:c r="H2044" s="2" t="inlineStr">
        <x:is>
          <x:t xml:space="preserve">专用设备</x:t>
        </x:is>
      </x:c>
      <x:c r="I2044" s="2" t="inlineStr">
        <x:is>
          <x:t xml:space="preserve">2016-12-28</x:t>
        </x:is>
      </x:c>
      <x:c r="J2044" s="3" t="inlineStr">
        <x:is>
          <x:t xml:space="preserve">广州市黄埔区云埔工业区云开路3号</x:t>
        </x:is>
      </x:c>
      <x:c r="K2044" s="12" t="str">
        <x:f>LEFT("914401017955284063",18)</x:f>
        <x:v>914401017955284100</x:v>
      </x:c>
    </x:row>
    <x:row r="2045">
      <x:c r="A2045" s="4" t="n">
        <x:v>2044</x:v>
      </x:c>
      <x:c r="B2045" s="4" t="inlineStr">
        <x:is>
          <x:t xml:space="preserve">002835</x:t>
        </x:is>
      </x:c>
      <x:c r="C2045" s="5" t="inlineStr">
        <x:is>
          <x:t xml:space="preserve">同为股份</x:t>
        </x:is>
      </x:c>
      <x:c r="D2045" s="5" t="inlineStr">
        <x:is>
          <x:t xml:space="preserve">深圳市同为数码科技股份有限公司</x:t>
        </x:is>
      </x:c>
      <x:c r="E2045" s="4" t="inlineStr">
        <x:is>
          <x:t xml:space="preserve">广东省</x:t>
        </x:is>
      </x:c>
      <x:c r="F2045" s="4" t="inlineStr">
        <x:is>
          <x:t xml:space="preserve">深圳市</x:t>
        </x:is>
      </x:c>
      <x:c r="G2045" s="5" t="inlineStr">
        <x:is>
          <x:t xml:space="preserve">广东省-深圳市</x:t>
        </x:is>
      </x:c>
      <x:c r="H2045" s="4" t="inlineStr">
        <x:is>
          <x:t xml:space="preserve">计算机设备</x:t>
        </x:is>
      </x:c>
      <x:c r="I2045" s="4" t="inlineStr">
        <x:is>
          <x:t xml:space="preserve">2016-12-28</x:t>
        </x:is>
      </x:c>
      <x:c r="J2045" s="5" t="inlineStr">
        <x:is>
          <x:t xml:space="preserve">深圳市南山区粤海街道深圳湾科技生态园9栋B4座23楼</x:t>
        </x:is>
      </x:c>
      <x:c r="K2045" s="12" t="str">
        <x:f>LEFT("91440300770326146B",18)</x:f>
        <x:v>91440300770326146B</x:v>
      </x:c>
    </x:row>
    <x:row r="2046">
      <x:c r="A2046" s="2" t="n">
        <x:v>2045</x:v>
      </x:c>
      <x:c r="B2046" s="2" t="inlineStr">
        <x:is>
          <x:t xml:space="preserve">002836</x:t>
        </x:is>
      </x:c>
      <x:c r="C2046" s="3" t="inlineStr">
        <x:is>
          <x:t xml:space="preserve">新宏泽</x:t>
        </x:is>
      </x:c>
      <x:c r="D2046" s="3" t="inlineStr">
        <x:is>
          <x:t xml:space="preserve">广东新宏泽包装股份有限公司</x:t>
        </x:is>
      </x:c>
      <x:c r="E2046" s="2" t="inlineStr">
        <x:is>
          <x:t xml:space="preserve">广东省</x:t>
        </x:is>
      </x:c>
      <x:c r="F2046" s="2" t="inlineStr">
        <x:is>
          <x:t xml:space="preserve">潮州市</x:t>
        </x:is>
      </x:c>
      <x:c r="G2046" s="3" t="inlineStr">
        <x:is>
          <x:t xml:space="preserve">广东省-潮州市</x:t>
        </x:is>
      </x:c>
      <x:c r="H2046" s="2" t="inlineStr">
        <x:is>
          <x:t xml:space="preserve">造纸印刷</x:t>
        </x:is>
      </x:c>
      <x:c r="I2046" s="2" t="inlineStr">
        <x:is>
          <x:t xml:space="preserve">2016-12-29</x:t>
        </x:is>
      </x:c>
      <x:c r="J2046" s="3" t="inlineStr">
        <x:is>
          <x:t xml:space="preserve">广东省潮州市潮州大道北片工业区北站二路宏泽工业园</x:t>
        </x:is>
      </x:c>
      <x:c r="K2046" s="12" t="str">
        <x:f>LEFT("91445100784885395B",18)</x:f>
        <x:v>91445100784885395B</x:v>
      </x:c>
    </x:row>
    <x:row r="2047">
      <x:c r="A2047" s="4" t="n">
        <x:v>2046</x:v>
      </x:c>
      <x:c r="B2047" s="4" t="inlineStr">
        <x:is>
          <x:t xml:space="preserve">002837</x:t>
        </x:is>
      </x:c>
      <x:c r="C2047" s="5" t="inlineStr">
        <x:is>
          <x:t xml:space="preserve">英维克</x:t>
        </x:is>
      </x:c>
      <x:c r="D2047" s="5" t="inlineStr">
        <x:is>
          <x:t xml:space="preserve">深圳市英维克科技股份有限公司</x:t>
        </x:is>
      </x:c>
      <x:c r="E2047" s="4" t="inlineStr">
        <x:is>
          <x:t xml:space="preserve">广东省</x:t>
        </x:is>
      </x:c>
      <x:c r="F2047" s="4" t="inlineStr">
        <x:is>
          <x:t xml:space="preserve">深圳市</x:t>
        </x:is>
      </x:c>
      <x:c r="G2047" s="5" t="inlineStr">
        <x:is>
          <x:t xml:space="preserve">广东省-深圳市</x:t>
        </x:is>
      </x:c>
      <x:c r="H2047" s="4" t="inlineStr">
        <x:is>
          <x:t xml:space="preserve">专用设备</x:t>
        </x:is>
      </x:c>
      <x:c r="I2047" s="4" t="inlineStr">
        <x:is>
          <x:t xml:space="preserve">2016-12-29</x:t>
        </x:is>
      </x:c>
      <x:c r="J2047" s="5" t="inlineStr">
        <x:is>
          <x:t xml:space="preserve">深圳市龙华区观澜街道观光路1303号鸿信工业园9号厂房1-3楼</x:t>
        </x:is>
      </x:c>
      <x:c r="K2047" s="12" t="str">
        <x:f>LEFT("9144030077877383X6",18)</x:f>
        <x:v>9144030077877383X6</x:v>
      </x:c>
    </x:row>
    <x:row r="2048">
      <x:c r="A2048" s="2" t="n">
        <x:v>2047</x:v>
      </x:c>
      <x:c r="B2048" s="2" t="inlineStr">
        <x:is>
          <x:t xml:space="preserve">002841</x:t>
        </x:is>
      </x:c>
      <x:c r="C2048" s="3" t="inlineStr">
        <x:is>
          <x:t xml:space="preserve">视源股份</x:t>
        </x:is>
      </x:c>
      <x:c r="D2048" s="3" t="inlineStr">
        <x:is>
          <x:t xml:space="preserve">广州视源电子科技股份有限公司</x:t>
        </x:is>
      </x:c>
      <x:c r="E2048" s="2" t="inlineStr">
        <x:is>
          <x:t xml:space="preserve">广东省</x:t>
        </x:is>
      </x:c>
      <x:c r="F2048" s="2" t="inlineStr">
        <x:is>
          <x:t xml:space="preserve">广州市</x:t>
        </x:is>
      </x:c>
      <x:c r="G2048" s="3" t="inlineStr">
        <x:is>
          <x:t xml:space="preserve">广东省-广州市</x:t>
        </x:is>
      </x:c>
      <x:c r="H2048" s="2" t="inlineStr">
        <x:is>
          <x:t xml:space="preserve">消费电子</x:t>
        </x:is>
      </x:c>
      <x:c r="I2048" s="2" t="inlineStr">
        <x:is>
          <x:t xml:space="preserve">2017-01-19</x:t>
        </x:is>
      </x:c>
      <x:c r="J2048" s="3" t="inlineStr">
        <x:is>
          <x:t xml:space="preserve">广州市黄埔区云埔四路6号</x:t>
        </x:is>
      </x:c>
      <x:c r="K2048" s="12" t="str">
        <x:f>LEFT("914401167837604004",18)</x:f>
        <x:v>914401167837604000</x:v>
      </x:c>
    </x:row>
    <x:row r="2049">
      <x:c r="A2049" s="4" t="n">
        <x:v>2048</x:v>
      </x:c>
      <x:c r="B2049" s="4" t="inlineStr">
        <x:is>
          <x:t xml:space="preserve">002842</x:t>
        </x:is>
      </x:c>
      <x:c r="C2049" s="5" t="inlineStr">
        <x:is>
          <x:t xml:space="preserve">翔鹭钨业</x:t>
        </x:is>
      </x:c>
      <x:c r="D2049" s="5" t="inlineStr">
        <x:is>
          <x:t xml:space="preserve">广东翔鹭钨业股份有限公司</x:t>
        </x:is>
      </x:c>
      <x:c r="E2049" s="4" t="inlineStr">
        <x:is>
          <x:t xml:space="preserve">广东省</x:t>
        </x:is>
      </x:c>
      <x:c r="F2049" s="4" t="inlineStr">
        <x:is>
          <x:t xml:space="preserve">潮州市</x:t>
        </x:is>
      </x:c>
      <x:c r="G2049" s="5" t="inlineStr">
        <x:is>
          <x:t xml:space="preserve">广东省-潮州市</x:t>
        </x:is>
      </x:c>
      <x:c r="H2049" s="4" t="inlineStr">
        <x:is>
          <x:t xml:space="preserve">小金属</x:t>
        </x:is>
      </x:c>
      <x:c r="I2049" s="4" t="inlineStr">
        <x:is>
          <x:t xml:space="preserve">2017-01-19</x:t>
        </x:is>
      </x:c>
      <x:c r="J2049" s="5" t="inlineStr">
        <x:is>
          <x:t xml:space="preserve">广东省潮州市湘桥区官塘镇庵头工业区</x:t>
        </x:is>
      </x:c>
      <x:c r="K2049" s="12" t="str">
        <x:f>LEFT("914451002823643033",18)</x:f>
        <x:v>914451002823643000</x:v>
      </x:c>
    </x:row>
    <x:row r="2050">
      <x:c r="A2050" s="2" t="n">
        <x:v>2049</x:v>
      </x:c>
      <x:c r="B2050" s="2" t="inlineStr">
        <x:is>
          <x:t xml:space="preserve">002845</x:t>
        </x:is>
      </x:c>
      <x:c r="C2050" s="3" t="inlineStr">
        <x:is>
          <x:t xml:space="preserve">同兴达</x:t>
        </x:is>
      </x:c>
      <x:c r="D2050" s="3" t="inlineStr">
        <x:is>
          <x:t xml:space="preserve">深圳同兴达科技股份有限公司</x:t>
        </x:is>
      </x:c>
      <x:c r="E2050" s="2" t="inlineStr">
        <x:is>
          <x:t xml:space="preserve">广东省</x:t>
        </x:is>
      </x:c>
      <x:c r="F2050" s="2" t="inlineStr">
        <x:is>
          <x:t xml:space="preserve">深圳市</x:t>
        </x:is>
      </x:c>
      <x:c r="G2050" s="3" t="inlineStr">
        <x:is>
          <x:t xml:space="preserve">广东省-深圳市</x:t>
        </x:is>
      </x:c>
      <x:c r="H2050" s="2" t="inlineStr">
        <x:is>
          <x:t xml:space="preserve">光学光电子</x:t>
        </x:is>
      </x:c>
      <x:c r="I2050" s="2" t="inlineStr">
        <x:is>
          <x:t xml:space="preserve">2017-01-25</x:t>
        </x:is>
      </x:c>
      <x:c r="J2050" s="3" t="inlineStr">
        <x:is>
          <x:t xml:space="preserve">深圳市龙华区观湖街道鹭湖社区澜清一路3号荣超新时代广场B座1801-2118</x:t>
        </x:is>
      </x:c>
      <x:c r="K2050" s="12" t="str">
        <x:f>LEFT("91440300761963645H",18)</x:f>
        <x:v>91440300761963645H</x:v>
      </x:c>
    </x:row>
    <x:row r="2051">
      <x:c r="A2051" s="4" t="n">
        <x:v>2050</x:v>
      </x:c>
      <x:c r="B2051" s="4" t="inlineStr">
        <x:is>
          <x:t xml:space="preserve">002846</x:t>
        </x:is>
      </x:c>
      <x:c r="C2051" s="5" t="inlineStr">
        <x:is>
          <x:t xml:space="preserve">英联股份</x:t>
        </x:is>
      </x:c>
      <x:c r="D2051" s="5" t="inlineStr">
        <x:is>
          <x:t xml:space="preserve">广东英联包装股份有限公司</x:t>
        </x:is>
      </x:c>
      <x:c r="E2051" s="4" t="inlineStr">
        <x:is>
          <x:t xml:space="preserve">广东省</x:t>
        </x:is>
      </x:c>
      <x:c r="F2051" s="4" t="inlineStr">
        <x:is>
          <x:t xml:space="preserve">汕头市</x:t>
        </x:is>
      </x:c>
      <x:c r="G2051" s="5" t="inlineStr">
        <x:is>
          <x:t xml:space="preserve">广东省-汕头市</x:t>
        </x:is>
      </x:c>
      <x:c r="H2051" s="4" t="inlineStr">
        <x:is>
          <x:t xml:space="preserve">包装材料</x:t>
        </x:is>
      </x:c>
      <x:c r="I2051" s="4" t="inlineStr">
        <x:is>
          <x:t xml:space="preserve">2017-02-07</x:t>
        </x:is>
      </x:c>
      <x:c r="J2051" s="5" t="inlineStr">
        <x:is>
          <x:t xml:space="preserve">汕头市濠江区达南路中段</x:t>
        </x:is>
      </x:c>
      <x:c r="K2051" s="12" t="str">
        <x:f>LEFT("91440500784860067G",18)</x:f>
        <x:v>91440500784860067G</x:v>
      </x:c>
    </x:row>
    <x:row r="2052">
      <x:c r="A2052" s="2" t="n">
        <x:v>2051</x:v>
      </x:c>
      <x:c r="B2052" s="2" t="inlineStr">
        <x:is>
          <x:t xml:space="preserve">002850</x:t>
        </x:is>
      </x:c>
      <x:c r="C2052" s="3" t="inlineStr">
        <x:is>
          <x:t xml:space="preserve">科达利</x:t>
        </x:is>
      </x:c>
      <x:c r="D2052" s="3" t="inlineStr">
        <x:is>
          <x:t xml:space="preserve">深圳市科达利实业股份有限公司</x:t>
        </x:is>
      </x:c>
      <x:c r="E2052" s="2" t="inlineStr">
        <x:is>
          <x:t xml:space="preserve">广东省</x:t>
        </x:is>
      </x:c>
      <x:c r="F2052" s="2" t="inlineStr">
        <x:is>
          <x:t xml:space="preserve">深圳市</x:t>
        </x:is>
      </x:c>
      <x:c r="G2052" s="3" t="inlineStr">
        <x:is>
          <x:t xml:space="preserve">广东省-深圳市</x:t>
        </x:is>
      </x:c>
      <x:c r="H2052" s="2" t="inlineStr">
        <x:is>
          <x:t xml:space="preserve">电池</x:t>
        </x:is>
      </x:c>
      <x:c r="I2052" s="2" t="inlineStr">
        <x:is>
          <x:t xml:space="preserve">2017-03-02</x:t>
        </x:is>
      </x:c>
      <x:c r="J2052" s="3" t="inlineStr">
        <x:is>
          <x:t xml:space="preserve">深圳市龙华区大浪街道同胜社区中建科技厂区厂房一1层</x:t>
        </x:is>
      </x:c>
      <x:c r="K2052" s="12" t="str">
        <x:f>LEFT("914403002792732914",18)</x:f>
        <x:v>914403002792732900</x:v>
      </x:c>
    </x:row>
    <x:row r="2053">
      <x:c r="A2053" s="4" t="n">
        <x:v>2052</x:v>
      </x:c>
      <x:c r="B2053" s="4" t="inlineStr">
        <x:is>
          <x:t xml:space="preserve">002851</x:t>
        </x:is>
      </x:c>
      <x:c r="C2053" s="5" t="inlineStr">
        <x:is>
          <x:t xml:space="preserve">麦格米特</x:t>
        </x:is>
      </x:c>
      <x:c r="D2053" s="5" t="inlineStr">
        <x:is>
          <x:t xml:space="preserve">深圳麦格米特电气股份有限公司</x:t>
        </x:is>
      </x:c>
      <x:c r="E2053" s="4" t="inlineStr">
        <x:is>
          <x:t xml:space="preserve">广东省</x:t>
        </x:is>
      </x:c>
      <x:c r="F2053" s="4" t="inlineStr">
        <x:is>
          <x:t xml:space="preserve">深圳市</x:t>
        </x:is>
      </x:c>
      <x:c r="G2053" s="5" t="inlineStr">
        <x:is>
          <x:t xml:space="preserve">广东省-深圳市</x:t>
        </x:is>
      </x:c>
      <x:c r="H2053" s="4" t="inlineStr">
        <x:is>
          <x:t xml:space="preserve">电源设备</x:t>
        </x:is>
      </x:c>
      <x:c r="I2053" s="4" t="inlineStr">
        <x:is>
          <x:t xml:space="preserve">2017-03-06</x:t>
        </x:is>
      </x:c>
      <x:c r="J2053" s="5" t="inlineStr">
        <x:is>
          <x:t xml:space="preserve">深圳市南山区高新区北区朗山路13号清华紫光科技园5层A、B、C501-503、D、E</x:t>
        </x:is>
      </x:c>
      <x:c r="K2053" s="12" t="str">
        <x:f>LEFT("914403007525239714",18)</x:f>
        <x:v>914403007525239700</x:v>
      </x:c>
    </x:row>
    <x:row r="2054">
      <x:c r="A2054" s="2" t="n">
        <x:v>2053</x:v>
      </x:c>
      <x:c r="B2054" s="2" t="inlineStr">
        <x:is>
          <x:t xml:space="preserve">002853</x:t>
        </x:is>
      </x:c>
      <x:c r="C2054" s="3" t="inlineStr">
        <x:is>
          <x:t xml:space="preserve">皮阿诺</x:t>
        </x:is>
      </x:c>
      <x:c r="D2054" s="3" t="inlineStr">
        <x:is>
          <x:t xml:space="preserve">广东皮阿诺科学艺术家居股份有限公司</x:t>
        </x:is>
      </x:c>
      <x:c r="E2054" s="2" t="inlineStr">
        <x:is>
          <x:t xml:space="preserve">广东省</x:t>
        </x:is>
      </x:c>
      <x:c r="F2054" s="2" t="inlineStr">
        <x:is>
          <x:t xml:space="preserve">中山市</x:t>
        </x:is>
      </x:c>
      <x:c r="G2054" s="3" t="inlineStr">
        <x:is>
          <x:t xml:space="preserve">广东省-中山市</x:t>
        </x:is>
      </x:c>
      <x:c r="H2054" s="2" t="inlineStr">
        <x:is>
          <x:t xml:space="preserve">木业家具</x:t>
        </x:is>
      </x:c>
      <x:c r="I2054" s="2" t="inlineStr">
        <x:is>
          <x:t xml:space="preserve">2017-03-10</x:t>
        </x:is>
      </x:c>
      <x:c r="J2054" s="3" t="inlineStr">
        <x:is>
          <x:t xml:space="preserve">中山市阜沙镇上南村(一照多址)</x:t>
        </x:is>
      </x:c>
      <x:c r="K2054" s="12" t="str">
        <x:f>LEFT("914420007762392620",18)</x:f>
        <x:v>914420007762392600</x:v>
      </x:c>
    </x:row>
    <x:row r="2055">
      <x:c r="A2055" s="4" t="n">
        <x:v>2054</x:v>
      </x:c>
      <x:c r="B2055" s="4" t="inlineStr">
        <x:is>
          <x:t xml:space="preserve">002855</x:t>
        </x:is>
      </x:c>
      <x:c r="C2055" s="5" t="inlineStr">
        <x:is>
          <x:t xml:space="preserve">捷荣技术</x:t>
        </x:is>
      </x:c>
      <x:c r="D2055" s="5" t="inlineStr">
        <x:is>
          <x:t xml:space="preserve">东莞捷荣技术股份有限公司</x:t>
        </x:is>
      </x:c>
      <x:c r="E2055" s="4" t="inlineStr">
        <x:is>
          <x:t xml:space="preserve">广东省</x:t>
        </x:is>
      </x:c>
      <x:c r="F2055" s="4" t="inlineStr">
        <x:is>
          <x:t xml:space="preserve">东莞市</x:t>
        </x:is>
      </x:c>
      <x:c r="G2055" s="5" t="inlineStr">
        <x:is>
          <x:t xml:space="preserve">广东省-东莞市</x:t>
        </x:is>
      </x:c>
      <x:c r="H2055" s="4" t="inlineStr">
        <x:is>
          <x:t xml:space="preserve">消费电子</x:t>
        </x:is>
      </x:c>
      <x:c r="I2055" s="4" t="inlineStr">
        <x:is>
          <x:t xml:space="preserve">2017-03-21</x:t>
        </x:is>
      </x:c>
      <x:c r="J2055" s="5" t="inlineStr">
        <x:is>
          <x:t xml:space="preserve">广东省东莞市长安镇长安步步高路408号</x:t>
        </x:is>
      </x:c>
      <x:c r="K2055" s="12" t="str">
        <x:f>LEFT("914419006665116754",18)</x:f>
        <x:v>914419006665116800</x:v>
      </x:c>
    </x:row>
    <x:row r="2056">
      <x:c r="A2056" s="2" t="n">
        <x:v>2055</x:v>
      </x:c>
      <x:c r="B2056" s="2" t="inlineStr">
        <x:is>
          <x:t xml:space="preserve">002856</x:t>
        </x:is>
      </x:c>
      <x:c r="C2056" s="3" t="inlineStr">
        <x:is>
          <x:t xml:space="preserve">美芝股份</x:t>
        </x:is>
      </x:c>
      <x:c r="D2056" s="3" t="inlineStr">
        <x:is>
          <x:t xml:space="preserve">深圳市美芝装饰设计工程股份有限公司</x:t>
        </x:is>
      </x:c>
      <x:c r="E2056" s="2" t="inlineStr">
        <x:is>
          <x:t xml:space="preserve">广东省</x:t>
        </x:is>
      </x:c>
      <x:c r="F2056" s="2" t="inlineStr">
        <x:is>
          <x:t xml:space="preserve">深圳市</x:t>
        </x:is>
      </x:c>
      <x:c r="G2056" s="3" t="inlineStr">
        <x:is>
          <x:t xml:space="preserve">广东省-深圳市</x:t>
        </x:is>
      </x:c>
      <x:c r="H2056" s="2" t="inlineStr">
        <x:is>
          <x:t xml:space="preserve">装修装饰</x:t>
        </x:is>
      </x:c>
      <x:c r="I2056" s="2" t="inlineStr">
        <x:is>
          <x:t xml:space="preserve">2017-03-20</x:t>
        </x:is>
      </x:c>
      <x:c r="J2056" s="3" t="inlineStr">
        <x:is>
          <x:t xml:space="preserve">深圳市福田区梅林街道梅丰社区梅秀路2号深华科技园厂房1栋401</x:t>
        </x:is>
      </x:c>
      <x:c r="K2056" s="12" t="str">
        <x:f>LEFT("91440300192178451A",18)</x:f>
        <x:v>91440300192178451A</x:v>
      </x:c>
    </x:row>
    <x:row r="2057">
      <x:c r="A2057" s="4" t="n">
        <x:v>2056</x:v>
      </x:c>
      <x:c r="B2057" s="4" t="inlineStr">
        <x:is>
          <x:t xml:space="preserve">002862</x:t>
        </x:is>
      </x:c>
      <x:c r="C2057" s="5" t="inlineStr">
        <x:is>
          <x:t xml:space="preserve">实丰文化</x:t>
        </x:is>
      </x:c>
      <x:c r="D2057" s="5" t="inlineStr">
        <x:is>
          <x:t xml:space="preserve">实丰文化发展股份有限公司</x:t>
        </x:is>
      </x:c>
      <x:c r="E2057" s="4" t="inlineStr">
        <x:is>
          <x:t xml:space="preserve">广东省</x:t>
        </x:is>
      </x:c>
      <x:c r="F2057" s="4" t="inlineStr">
        <x:is>
          <x:t xml:space="preserve">汕头市</x:t>
        </x:is>
      </x:c>
      <x:c r="G2057" s="5" t="inlineStr">
        <x:is>
          <x:t xml:space="preserve">广东省-汕头市</x:t>
        </x:is>
      </x:c>
      <x:c r="H2057" s="4" t="inlineStr">
        <x:is>
          <x:t xml:space="preserve">家用轻工</x:t>
        </x:is>
      </x:c>
      <x:c r="I2057" s="4" t="inlineStr">
        <x:is>
          <x:t xml:space="preserve">2017-04-11</x:t>
        </x:is>
      </x:c>
      <x:c r="J2057" s="5" t="inlineStr">
        <x:is>
          <x:t xml:space="preserve">广东省汕头市澄海区文冠路澄华工业区</x:t>
        </x:is>
      </x:c>
      <x:c r="K2057" s="12" t="str">
        <x:f>LEFT("91440500193146857E",18)</x:f>
        <x:v>91440500193146857E</x:v>
      </x:c>
    </x:row>
    <x:row r="2058">
      <x:c r="A2058" s="2" t="n">
        <x:v>2057</x:v>
      </x:c>
      <x:c r="B2058" s="2" t="inlineStr">
        <x:is>
          <x:t xml:space="preserve">002867</x:t>
        </x:is>
      </x:c>
      <x:c r="C2058" s="3" t="inlineStr">
        <x:is>
          <x:t xml:space="preserve">周大生</x:t>
        </x:is>
      </x:c>
      <x:c r="D2058" s="3" t="inlineStr">
        <x:is>
          <x:t xml:space="preserve">周大生珠宝股份有限公司</x:t>
        </x:is>
      </x:c>
      <x:c r="E2058" s="2" t="inlineStr">
        <x:is>
          <x:t xml:space="preserve">广东省</x:t>
        </x:is>
      </x:c>
      <x:c r="F2058" s="2" t="inlineStr">
        <x:is>
          <x:t xml:space="preserve">深圳市</x:t>
        </x:is>
      </x:c>
      <x:c r="G2058" s="3" t="inlineStr">
        <x:is>
          <x:t xml:space="preserve">广东省-深圳市</x:t>
        </x:is>
      </x:c>
      <x:c r="H2058" s="2" t="inlineStr">
        <x:is>
          <x:t xml:space="preserve">珠宝首饰</x:t>
        </x:is>
      </x:c>
      <x:c r="I2058" s="2" t="inlineStr">
        <x:is>
          <x:t xml:space="preserve">2017-04-27</x:t>
        </x:is>
      </x:c>
      <x:c r="J2058" s="3" t="inlineStr">
        <x:is>
          <x:t xml:space="preserve">深圳市罗湖区翠竹街道布心路3033号水贝壹号A座19-23楼</x:t>
        </x:is>
      </x:c>
      <x:c r="K2058" s="12" t="str">
        <x:f>LEFT("914403006685020514",18)</x:f>
        <x:v>914403006685020500</x:v>
      </x:c>
    </x:row>
    <x:row r="2059">
      <x:c r="A2059" s="4" t="n">
        <x:v>2058</x:v>
      </x:c>
      <x:c r="B2059" s="4" t="inlineStr">
        <x:is>
          <x:t xml:space="preserve">002869</x:t>
        </x:is>
      </x:c>
      <x:c r="C2059" s="5" t="inlineStr">
        <x:is>
          <x:t xml:space="preserve">金溢科技</x:t>
        </x:is>
      </x:c>
      <x:c r="D2059" s="5" t="inlineStr">
        <x:is>
          <x:t xml:space="preserve">深圳市金溢科技股份有限公司</x:t>
        </x:is>
      </x:c>
      <x:c r="E2059" s="4" t="inlineStr">
        <x:is>
          <x:t xml:space="preserve">广东省</x:t>
        </x:is>
      </x:c>
      <x:c r="F2059" s="4" t="inlineStr">
        <x:is>
          <x:t xml:space="preserve">深圳市</x:t>
        </x:is>
      </x:c>
      <x:c r="G2059" s="5" t="inlineStr">
        <x:is>
          <x:t xml:space="preserve">广东省-深圳市</x:t>
        </x:is>
      </x:c>
      <x:c r="H2059" s="4" t="inlineStr">
        <x:is>
          <x:t xml:space="preserve">电子元件</x:t>
        </x:is>
      </x:c>
      <x:c r="I2059" s="4" t="inlineStr">
        <x:is>
          <x:t xml:space="preserve">2017-05-15</x:t>
        </x:is>
      </x:c>
      <x:c r="J2059" s="5" t="inlineStr">
        <x:is>
          <x:t xml:space="preserve">深圳市南山区粤海街道高新区社区科技南路16号深圳湾科技生态园11栋A1901-08号、A2001-08号</x:t>
        </x:is>
      </x:c>
      <x:c r="K2059" s="12" t="str">
        <x:f>LEFT("91440300761987321E",18)</x:f>
        <x:v>91440300761987321E</x:v>
      </x:c>
    </x:row>
    <x:row r="2060">
      <x:c r="A2060" s="2" t="n">
        <x:v>2059</x:v>
      </x:c>
      <x:c r="B2060" s="2" t="inlineStr">
        <x:is>
          <x:t xml:space="preserve">002870</x:t>
        </x:is>
      </x:c>
      <x:c r="C2060" s="3" t="inlineStr">
        <x:is>
          <x:t xml:space="preserve">香山股份</x:t>
        </x:is>
      </x:c>
      <x:c r="D2060" s="3" t="inlineStr">
        <x:is>
          <x:t xml:space="preserve">广东香山衡器集团股份有限公司</x:t>
        </x:is>
      </x:c>
      <x:c r="E2060" s="2" t="inlineStr">
        <x:is>
          <x:t xml:space="preserve">广东省</x:t>
        </x:is>
      </x:c>
      <x:c r="F2060" s="2" t="inlineStr">
        <x:is>
          <x:t xml:space="preserve">中山市</x:t>
        </x:is>
      </x:c>
      <x:c r="G2060" s="3" t="inlineStr">
        <x:is>
          <x:t xml:space="preserve">广东省-中山市</x:t>
        </x:is>
      </x:c>
      <x:c r="H2060" s="2" t="inlineStr">
        <x:is>
          <x:t xml:space="preserve">汽车零部件</x:t>
        </x:is>
      </x:c>
      <x:c r="I2060" s="2" t="inlineStr">
        <x:is>
          <x:t xml:space="preserve">2017-05-15</x:t>
        </x:is>
      </x:c>
      <x:c r="J2060" s="3" t="inlineStr">
        <x:is>
          <x:t xml:space="preserve">广东省中山市东区起湾道东侧白沙湾工业园区</x:t>
        </x:is>
      </x:c>
      <x:c r="K2060" s="12" t="str">
        <x:f>LEFT("9144200071482954XH",18)</x:f>
        <x:v>9144200071482954XH</x:v>
      </x:c>
    </x:row>
    <x:row r="2061">
      <x:c r="A2061" s="4" t="n">
        <x:v>2060</x:v>
      </x:c>
      <x:c r="B2061" s="4" t="inlineStr">
        <x:is>
          <x:t xml:space="preserve">002875</x:t>
        </x:is>
      </x:c>
      <x:c r="C2061" s="5" t="inlineStr">
        <x:is>
          <x:t xml:space="preserve">安奈儿</x:t>
        </x:is>
      </x:c>
      <x:c r="D2061" s="5" t="inlineStr">
        <x:is>
          <x:t xml:space="preserve">深圳市安奈儿股份有限公司</x:t>
        </x:is>
      </x:c>
      <x:c r="E2061" s="4" t="inlineStr">
        <x:is>
          <x:t xml:space="preserve">广东省</x:t>
        </x:is>
      </x:c>
      <x:c r="F2061" s="4" t="inlineStr">
        <x:is>
          <x:t xml:space="preserve">深圳市</x:t>
        </x:is>
      </x:c>
      <x:c r="G2061" s="5" t="inlineStr">
        <x:is>
          <x:t xml:space="preserve">广东省-深圳市</x:t>
        </x:is>
      </x:c>
      <x:c r="H2061" s="4" t="inlineStr">
        <x:is>
          <x:t xml:space="preserve">纺织服装</x:t>
        </x:is>
      </x:c>
      <x:c r="I2061" s="4" t="inlineStr">
        <x:is>
          <x:t xml:space="preserve">2017-06-01</x:t>
        </x:is>
      </x:c>
      <x:c r="J2061" s="5" t="inlineStr">
        <x:is>
          <x:t xml:space="preserve">深圳市龙岗区坂田街道雪岗路2018号天安云谷产业园一期3栋A座13-17楼</x:t>
        </x:is>
      </x:c>
      <x:c r="K2061" s="12" t="str">
        <x:f>LEFT("91440300732059841W",18)</x:f>
        <x:v>91440300732059841W</x:v>
      </x:c>
    </x:row>
    <x:row r="2062">
      <x:c r="A2062" s="2" t="n">
        <x:v>2061</x:v>
      </x:c>
      <x:c r="B2062" s="2" t="inlineStr">
        <x:is>
          <x:t xml:space="preserve">002876</x:t>
        </x:is>
      </x:c>
      <x:c r="C2062" s="3" t="inlineStr">
        <x:is>
          <x:t xml:space="preserve">三利谱</x:t>
        </x:is>
      </x:c>
      <x:c r="D2062" s="3" t="inlineStr">
        <x:is>
          <x:t xml:space="preserve">深圳市三利谱光电科技股份有限公司</x:t>
        </x:is>
      </x:c>
      <x:c r="E2062" s="2" t="inlineStr">
        <x:is>
          <x:t xml:space="preserve">广东省</x:t>
        </x:is>
      </x:c>
      <x:c r="F2062" s="2" t="inlineStr">
        <x:is>
          <x:t xml:space="preserve">深圳市</x:t>
        </x:is>
      </x:c>
      <x:c r="G2062" s="3" t="inlineStr">
        <x:is>
          <x:t xml:space="preserve">广东省-深圳市</x:t>
        </x:is>
      </x:c>
      <x:c r="H2062" s="2" t="inlineStr">
        <x:is>
          <x:t xml:space="preserve">光学光电子</x:t>
        </x:is>
      </x:c>
      <x:c r="I2062" s="2" t="inlineStr">
        <x:is>
          <x:t xml:space="preserve">2017-05-25</x:t>
        </x:is>
      </x:c>
      <x:c r="J2062" s="3" t="inlineStr">
        <x:is>
          <x:t xml:space="preserve">深圳市光明新区公明办事处楼村社区第二工业区同富一路5号第1-9栋</x:t>
        </x:is>
      </x:c>
      <x:c r="K2062" s="12" t="str">
        <x:f>LEFT("91440300661021378W",18)</x:f>
        <x:v>91440300661021378W</x:v>
      </x:c>
    </x:row>
    <x:row r="2063">
      <x:c r="A2063" s="4" t="n">
        <x:v>2062</x:v>
      </x:c>
      <x:c r="B2063" s="4" t="inlineStr">
        <x:is>
          <x:t xml:space="preserve">002880</x:t>
        </x:is>
      </x:c>
      <x:c r="C2063" s="5" t="inlineStr">
        <x:is>
          <x:t xml:space="preserve">卫光生物</x:t>
        </x:is>
      </x:c>
      <x:c r="D2063" s="5" t="inlineStr">
        <x:is>
          <x:t xml:space="preserve">深圳市卫光生物制品股份有限公司</x:t>
        </x:is>
      </x:c>
      <x:c r="E2063" s="4" t="inlineStr">
        <x:is>
          <x:t xml:space="preserve">广东省</x:t>
        </x:is>
      </x:c>
      <x:c r="F2063" s="4" t="inlineStr">
        <x:is>
          <x:t xml:space="preserve">深圳市</x:t>
        </x:is>
      </x:c>
      <x:c r="G2063" s="5" t="inlineStr">
        <x:is>
          <x:t xml:space="preserve">广东省-深圳市</x:t>
        </x:is>
      </x:c>
      <x:c r="H2063" s="4" t="inlineStr">
        <x:is>
          <x:t xml:space="preserve">生物制品</x:t>
        </x:is>
      </x:c>
      <x:c r="I2063" s="4" t="inlineStr">
        <x:is>
          <x:t xml:space="preserve">2017-06-16</x:t>
        </x:is>
      </x:c>
      <x:c r="J2063" s="5" t="inlineStr">
        <x:is>
          <x:t xml:space="preserve">深圳市光明区光明街道碧眼社区光侨大道3402号办公楼一层</x:t>
        </x:is>
      </x:c>
      <x:c r="K2063" s="12" t="str">
        <x:f>LEFT("91440300192471818P",18)</x:f>
        <x:v>91440300192471818P</x:v>
      </x:c>
    </x:row>
    <x:row r="2064">
      <x:c r="A2064" s="2" t="n">
        <x:v>2063</x:v>
      </x:c>
      <x:c r="B2064" s="2" t="inlineStr">
        <x:is>
          <x:t xml:space="preserve">002881</x:t>
        </x:is>
      </x:c>
      <x:c r="C2064" s="3" t="inlineStr">
        <x:is>
          <x:t xml:space="preserve">美格智能</x:t>
        </x:is>
      </x:c>
      <x:c r="D2064" s="3" t="inlineStr">
        <x:is>
          <x:t xml:space="preserve">美格智能技术股份有限公司</x:t>
        </x:is>
      </x:c>
      <x:c r="E2064" s="2" t="inlineStr">
        <x:is>
          <x:t xml:space="preserve">广东省</x:t>
        </x:is>
      </x:c>
      <x:c r="F2064" s="2" t="inlineStr">
        <x:is>
          <x:t xml:space="preserve">深圳市</x:t>
        </x:is>
      </x:c>
      <x:c r="G2064" s="3" t="inlineStr">
        <x:is>
          <x:t xml:space="preserve">广东省-深圳市</x:t>
        </x:is>
      </x:c>
      <x:c r="H2064" s="2" t="inlineStr">
        <x:is>
          <x:t xml:space="preserve">消费电子</x:t>
        </x:is>
      </x:c>
      <x:c r="I2064" s="2" t="inlineStr">
        <x:is>
          <x:t xml:space="preserve">2017-06-22</x:t>
        </x:is>
      </x:c>
      <x:c r="J2064" s="3" t="inlineStr">
        <x:is>
          <x:t xml:space="preserve">深圳市宝安区福永街道凤凰社区岭下路5号办公楼2层</x:t>
        </x:is>
      </x:c>
      <x:c r="K2064" s="12" t="str">
        <x:f>LEFT("91440300799218456D",18)</x:f>
        <x:v>91440300799218456D</x:v>
      </x:c>
    </x:row>
    <x:row r="2065">
      <x:c r="A2065" s="4" t="n">
        <x:v>2064</x:v>
      </x:c>
      <x:c r="B2065" s="4" t="inlineStr">
        <x:is>
          <x:t xml:space="preserve">002882</x:t>
        </x:is>
      </x:c>
      <x:c r="C2065" s="5" t="inlineStr">
        <x:is>
          <x:t xml:space="preserve">金龙羽</x:t>
        </x:is>
      </x:c>
      <x:c r="D2065" s="5" t="inlineStr">
        <x:is>
          <x:t xml:space="preserve">金龙羽集团股份有限公司</x:t>
        </x:is>
      </x:c>
      <x:c r="E2065" s="4" t="inlineStr">
        <x:is>
          <x:t xml:space="preserve">广东省</x:t>
        </x:is>
      </x:c>
      <x:c r="F2065" s="4" t="inlineStr">
        <x:is>
          <x:t xml:space="preserve">深圳市</x:t>
        </x:is>
      </x:c>
      <x:c r="G2065" s="5" t="inlineStr">
        <x:is>
          <x:t xml:space="preserve">广东省-深圳市</x:t>
        </x:is>
      </x:c>
      <x:c r="H2065" s="4" t="inlineStr">
        <x:is>
          <x:t xml:space="preserve">输配电气</x:t>
        </x:is>
      </x:c>
      <x:c r="I2065" s="4" t="inlineStr">
        <x:is>
          <x:t xml:space="preserve">2017-07-17</x:t>
        </x:is>
      </x:c>
      <x:c r="J2065" s="5" t="inlineStr">
        <x:is>
          <x:t xml:space="preserve">深圳市龙岗区吉华街道吉华路288号金龙羽工业园</x:t>
        </x:is>
      </x:c>
      <x:c r="K2065" s="12" t="str">
        <x:f>LEFT("91440300192425168B",18)</x:f>
        <x:v>91440300192425168B</x:v>
      </x:c>
    </x:row>
    <x:row r="2066">
      <x:c r="A2066" s="2" t="n">
        <x:v>2065</x:v>
      </x:c>
      <x:c r="B2066" s="2" t="inlineStr">
        <x:is>
          <x:t xml:space="preserve">002884</x:t>
        </x:is>
      </x:c>
      <x:c r="C2066" s="3" t="inlineStr">
        <x:is>
          <x:t xml:space="preserve">凌霄泵业</x:t>
        </x:is>
      </x:c>
      <x:c r="D2066" s="3" t="inlineStr">
        <x:is>
          <x:t xml:space="preserve">广东凌霄泵业股份有限公司</x:t>
        </x:is>
      </x:c>
      <x:c r="E2066" s="2" t="inlineStr">
        <x:is>
          <x:t xml:space="preserve">广东省</x:t>
        </x:is>
      </x:c>
      <x:c r="F2066" s="2" t="inlineStr">
        <x:is>
          <x:t xml:space="preserve">阳春市</x:t>
        </x:is>
      </x:c>
      <x:c r="G2066" s="3" t="inlineStr">
        <x:is>
          <x:t xml:space="preserve">广东省-阳春市</x:t>
        </x:is>
      </x:c>
      <x:c r="H2066" s="2" t="inlineStr">
        <x:is>
          <x:t xml:space="preserve">机械行业</x:t>
        </x:is>
      </x:c>
      <x:c r="I2066" s="2" t="inlineStr">
        <x:is>
          <x:t xml:space="preserve">2017-07-11</x:t>
        </x:is>
      </x:c>
      <x:c r="J2066" s="3" t="inlineStr">
        <x:is>
          <x:t xml:space="preserve">阳春市春城镇春江大道117号</x:t>
        </x:is>
      </x:c>
      <x:c r="K2066" s="12" t="str">
        <x:f>LEFT("914417007075999693",18)</x:f>
        <x:v>914417007075999700</x:v>
      </x:c>
    </x:row>
    <x:row r="2067">
      <x:c r="A2067" s="4" t="n">
        <x:v>2066</x:v>
      </x:c>
      <x:c r="B2067" s="4" t="inlineStr">
        <x:is>
          <x:t xml:space="preserve">002885</x:t>
        </x:is>
      </x:c>
      <x:c r="C2067" s="5" t="inlineStr">
        <x:is>
          <x:t xml:space="preserve">京泉华</x:t>
        </x:is>
      </x:c>
      <x:c r="D2067" s="5" t="inlineStr">
        <x:is>
          <x:t xml:space="preserve">深圳市京泉华科技股份有限公司</x:t>
        </x:is>
      </x:c>
      <x:c r="E2067" s="4" t="inlineStr">
        <x:is>
          <x:t xml:space="preserve">广东省</x:t>
        </x:is>
      </x:c>
      <x:c r="F2067" s="4" t="inlineStr">
        <x:is>
          <x:t xml:space="preserve">深圳市</x:t>
        </x:is>
      </x:c>
      <x:c r="G2067" s="5" t="inlineStr">
        <x:is>
          <x:t xml:space="preserve">广东省-深圳市</x:t>
        </x:is>
      </x:c>
      <x:c r="H2067" s="4" t="inlineStr">
        <x:is>
          <x:t xml:space="preserve">消费电子</x:t>
        </x:is>
      </x:c>
      <x:c r="I2067" s="4" t="inlineStr">
        <x:is>
          <x:t xml:space="preserve">2017-06-27</x:t>
        </x:is>
      </x:c>
      <x:c r="J2067" s="5" t="inlineStr">
        <x:is>
          <x:t xml:space="preserve">深圳市龙华新观澜街道桂月路325号京泉华工业园</x:t>
        </x:is>
      </x:c>
      <x:c r="K2067" s="12" t="str">
        <x:f>LEFT("91440300279247552R",18)</x:f>
        <x:v>91440300279247552R</x:v>
      </x:c>
    </x:row>
    <x:row r="2068">
      <x:c r="A2068" s="2" t="n">
        <x:v>2067</x:v>
      </x:c>
      <x:c r="B2068" s="2" t="inlineStr">
        <x:is>
          <x:t xml:space="preserve">002886</x:t>
        </x:is>
      </x:c>
      <x:c r="C2068" s="3" t="inlineStr">
        <x:is>
          <x:t xml:space="preserve">沃特股份</x:t>
        </x:is>
      </x:c>
      <x:c r="D2068" s="3" t="inlineStr">
        <x:is>
          <x:t xml:space="preserve">深圳市沃特新材料股份有限公司</x:t>
        </x:is>
      </x:c>
      <x:c r="E2068" s="2" t="inlineStr">
        <x:is>
          <x:t xml:space="preserve">广东省</x:t>
        </x:is>
      </x:c>
      <x:c r="F2068" s="2" t="inlineStr">
        <x:is>
          <x:t xml:space="preserve">深圳市</x:t>
        </x:is>
      </x:c>
      <x:c r="G2068" s="3" t="inlineStr">
        <x:is>
          <x:t xml:space="preserve">广东省-深圳市</x:t>
        </x:is>
      </x:c>
      <x:c r="H2068" s="2" t="inlineStr">
        <x:is>
          <x:t xml:space="preserve">塑胶制品</x:t>
        </x:is>
      </x:c>
      <x:c r="I2068" s="2" t="inlineStr">
        <x:is>
          <x:t xml:space="preserve">2017-06-27</x:t>
        </x:is>
      </x:c>
      <x:c r="J2068" s="3" t="inlineStr">
        <x:is>
          <x:t xml:space="preserve">深圳市南山区西丽街道西丽社区留新四路万科云城三期C区九栋B座3101房(国际创新谷7栋B座3101房)</x:t>
        </x:is>
      </x:c>
      <x:c r="K2068" s="12" t="str">
        <x:f>LEFT("9144030073416109X8",18)</x:f>
        <x:v>9144030073416109X8</x:v>
      </x:c>
    </x:row>
    <x:row r="2069">
      <x:c r="A2069" s="4" t="n">
        <x:v>2068</x:v>
      </x:c>
      <x:c r="B2069" s="4" t="inlineStr">
        <x:is>
          <x:t xml:space="preserve">002888</x:t>
        </x:is>
      </x:c>
      <x:c r="C2069" s="5" t="inlineStr">
        <x:is>
          <x:t xml:space="preserve">惠威科技</x:t>
        </x:is>
      </x:c>
      <x:c r="D2069" s="5" t="inlineStr">
        <x:is>
          <x:t xml:space="preserve">广东惠威电声科技股份有限公司</x:t>
        </x:is>
      </x:c>
      <x:c r="E2069" s="4" t="inlineStr">
        <x:is>
          <x:t xml:space="preserve">广东省</x:t>
        </x:is>
      </x:c>
      <x:c r="F2069" s="4" t="inlineStr">
        <x:is>
          <x:t xml:space="preserve">中山市</x:t>
        </x:is>
      </x:c>
      <x:c r="G2069" s="5" t="inlineStr">
        <x:is>
          <x:t xml:space="preserve">广东省-中山市</x:t>
        </x:is>
      </x:c>
      <x:c r="H2069" s="4" t="inlineStr">
        <x:is>
          <x:t xml:space="preserve">消费电子</x:t>
        </x:is>
      </x:c>
      <x:c r="I2069" s="4" t="inlineStr">
        <x:is>
          <x:t xml:space="preserve">2017-07-21</x:t>
        </x:is>
      </x:c>
      <x:c r="J2069" s="5" t="inlineStr">
        <x:is>
          <x:t xml:space="preserve">中山市翠亨新区扬帆路8号万滨万潮广场7栋101卡</x:t>
        </x:is>
      </x:c>
      <x:c r="K2069" s="12" t="str">
        <x:f>LEFT("914401156185158235",18)</x:f>
        <x:v>914401156185158300</x:v>
      </x:c>
    </x:row>
    <x:row r="2070">
      <x:c r="A2070" s="2" t="n">
        <x:v>2069</x:v>
      </x:c>
      <x:c r="B2070" s="2" t="inlineStr">
        <x:is>
          <x:t xml:space="preserve">002889</x:t>
        </x:is>
      </x:c>
      <x:c r="C2070" s="3" t="inlineStr">
        <x:is>
          <x:t xml:space="preserve">东方嘉盛</x:t>
        </x:is>
      </x:c>
      <x:c r="D2070" s="3" t="inlineStr">
        <x:is>
          <x:t xml:space="preserve">深圳市东方嘉盛供应链股份有限公司</x:t>
        </x:is>
      </x:c>
      <x:c r="E2070" s="2" t="inlineStr">
        <x:is>
          <x:t xml:space="preserve">广东省</x:t>
        </x:is>
      </x:c>
      <x:c r="F2070" s="2" t="inlineStr">
        <x:is>
          <x:t xml:space="preserve">深圳市</x:t>
        </x:is>
      </x:c>
      <x:c r="G2070" s="3" t="inlineStr">
        <x:is>
          <x:t xml:space="preserve">广东省-深圳市</x:t>
        </x:is>
      </x:c>
      <x:c r="H2070" s="2" t="inlineStr">
        <x:is>
          <x:t xml:space="preserve">交运物流</x:t>
        </x:is>
      </x:c>
      <x:c r="I2070" s="2" t="inlineStr">
        <x:is>
          <x:t xml:space="preserve">2017-07-31</x:t>
        </x:is>
      </x:c>
      <x:c r="J2070" s="3" t="inlineStr">
        <x:is>
          <x:t xml:space="preserve">深圳市前海深港合作区南山街道临海大道53号招商保税前海仓四号仓库4401</x:t>
        </x:is>
      </x:c>
      <x:c r="K2070" s="12" t="str">
        <x:f>LEFT("91440300729872524X",18)</x:f>
        <x:v>91440300729872524X</x:v>
      </x:c>
    </x:row>
    <x:row r="2071">
      <x:c r="A2071" s="4" t="n">
        <x:v>2070</x:v>
      </x:c>
      <x:c r="B2071" s="4" t="inlineStr">
        <x:is>
          <x:t xml:space="preserve">002898</x:t>
        </x:is>
      </x:c>
      <x:c r="C2071" s="5" t="inlineStr">
        <x:is>
          <x:t xml:space="preserve">*ST赛隆</x:t>
        </x:is>
      </x:c>
      <x:c r="D2071" s="5" t="inlineStr">
        <x:is>
          <x:t xml:space="preserve">赛隆药业集团股份有限公司</x:t>
        </x:is>
      </x:c>
      <x:c r="E2071" s="4" t="inlineStr">
        <x:is>
          <x:t xml:space="preserve">广东省</x:t>
        </x:is>
      </x:c>
      <x:c r="F2071" s="4" t="inlineStr">
        <x:is>
          <x:t xml:space="preserve">珠海市</x:t>
        </x:is>
      </x:c>
      <x:c r="G2071" s="5" t="inlineStr">
        <x:is>
          <x:t xml:space="preserve">广东省-珠海市</x:t>
        </x:is>
      </x:c>
      <x:c r="H2071" s="4" t="inlineStr">
        <x:is>
          <x:t xml:space="preserve">医药制造</x:t>
        </x:is>
      </x:c>
      <x:c r="I2071" s="4" t="inlineStr">
        <x:is>
          <x:t xml:space="preserve">2017-09-12</x:t>
        </x:is>
      </x:c>
      <x:c r="J2071" s="5" t="inlineStr">
        <x:is>
          <x:t xml:space="preserve">广东省珠海市香洲区南湾北路31号2单元21层</x:t>
        </x:is>
      </x:c>
      <x:c r="K2071" s="12" t="str">
        <x:f>LEFT("91440400737568573N",18)</x:f>
        <x:v>91440400737568573N</x:v>
      </x:c>
    </x:row>
    <x:row r="2072">
      <x:c r="A2072" s="2" t="n">
        <x:v>2071</x:v>
      </x:c>
      <x:c r="B2072" s="2" t="inlineStr">
        <x:is>
          <x:t xml:space="preserve">002902</x:t>
        </x:is>
      </x:c>
      <x:c r="C2072" s="3" t="inlineStr">
        <x:is>
          <x:t xml:space="preserve">铭普光磁</x:t>
        </x:is>
      </x:c>
      <x:c r="D2072" s="3" t="inlineStr">
        <x:is>
          <x:t xml:space="preserve">东莞铭普光磁股份有限公司</x:t>
        </x:is>
      </x:c>
      <x:c r="E2072" s="2" t="inlineStr">
        <x:is>
          <x:t xml:space="preserve">广东省</x:t>
        </x:is>
      </x:c>
      <x:c r="F2072" s="2" t="inlineStr">
        <x:is>
          <x:t xml:space="preserve">东莞市</x:t>
        </x:is>
      </x:c>
      <x:c r="G2072" s="3" t="inlineStr">
        <x:is>
          <x:t xml:space="preserve">广东省-东莞市</x:t>
        </x:is>
      </x:c>
      <x:c r="H2072" s="2" t="inlineStr">
        <x:is>
          <x:t xml:space="preserve">通信设备</x:t>
        </x:is>
      </x:c>
      <x:c r="I2072" s="2" t="inlineStr">
        <x:is>
          <x:t xml:space="preserve">2017-09-29</x:t>
        </x:is>
      </x:c>
      <x:c r="J2072" s="3" t="inlineStr">
        <x:is>
          <x:t xml:space="preserve">广东省东莞市石排镇东园大道石排段157号1号楼</x:t>
        </x:is>
      </x:c>
      <x:c r="K2072" s="12" t="str">
        <x:f>LEFT("91441900677058765M",18)</x:f>
        <x:v>91441900677058765M</x:v>
      </x:c>
    </x:row>
    <x:row r="2073">
      <x:c r="A2073" s="4" t="n">
        <x:v>2072</x:v>
      </x:c>
      <x:c r="B2073" s="4" t="inlineStr">
        <x:is>
          <x:t xml:space="preserve">002905</x:t>
        </x:is>
      </x:c>
      <x:c r="C2073" s="5" t="inlineStr">
        <x:is>
          <x:t xml:space="preserve">金逸影视</x:t>
        </x:is>
      </x:c>
      <x:c r="D2073" s="5" t="inlineStr">
        <x:is>
          <x:t xml:space="preserve">广州金逸影视传媒股份有限公司</x:t>
        </x:is>
      </x:c>
      <x:c r="E2073" s="4" t="inlineStr">
        <x:is>
          <x:t xml:space="preserve">广东省</x:t>
        </x:is>
      </x:c>
      <x:c r="F2073" s="4" t="inlineStr">
        <x:is>
          <x:t xml:space="preserve">广州市</x:t>
        </x:is>
      </x:c>
      <x:c r="G2073" s="5" t="inlineStr">
        <x:is>
          <x:t xml:space="preserve">广东省-广州市</x:t>
        </x:is>
      </x:c>
      <x:c r="H2073" s="4" t="inlineStr">
        <x:is>
          <x:t xml:space="preserve">文化传媒</x:t>
        </x:is>
      </x:c>
      <x:c r="I2073" s="4" t="inlineStr">
        <x:is>
          <x:t xml:space="preserve">2017-10-16</x:t>
        </x:is>
      </x:c>
      <x:c r="J2073" s="5" t="inlineStr">
        <x:is>
          <x:t xml:space="preserve">广州市天河区华成路8号之一402房之一</x:t>
        </x:is>
      </x:c>
      <x:c r="K2073" s="12" t="str">
        <x:f>LEFT("914401017594041317",18)</x:f>
        <x:v>914401017594041300</x:v>
      </x:c>
    </x:row>
    <x:row r="2074">
      <x:c r="A2074" s="2" t="n">
        <x:v>2073</x:v>
      </x:c>
      <x:c r="B2074" s="2" t="inlineStr">
        <x:is>
          <x:t xml:space="preserve">002906</x:t>
        </x:is>
      </x:c>
      <x:c r="C2074" s="3" t="inlineStr">
        <x:is>
          <x:t xml:space="preserve">华阳集团</x:t>
        </x:is>
      </x:c>
      <x:c r="D2074" s="3" t="inlineStr">
        <x:is>
          <x:t xml:space="preserve">惠州市华阳集团股份有限公司</x:t>
        </x:is>
      </x:c>
      <x:c r="E2074" s="2" t="inlineStr">
        <x:is>
          <x:t xml:space="preserve">广东省</x:t>
        </x:is>
      </x:c>
      <x:c r="F2074" s="2" t="inlineStr">
        <x:is>
          <x:t xml:space="preserve">惠州市</x:t>
        </x:is>
      </x:c>
      <x:c r="G2074" s="3" t="inlineStr">
        <x:is>
          <x:t xml:space="preserve">广东省-惠州市</x:t>
        </x:is>
      </x:c>
      <x:c r="H2074" s="2" t="inlineStr">
        <x:is>
          <x:t xml:space="preserve">汽车零部件</x:t>
        </x:is>
      </x:c>
      <x:c r="I2074" s="2" t="inlineStr">
        <x:is>
          <x:t xml:space="preserve">2017-10-13</x:t>
        </x:is>
      </x:c>
      <x:c r="J2074" s="3" t="inlineStr">
        <x:is>
          <x:t xml:space="preserve">惠州市东江高新科技产业园上霞北路1号华阳工业园A区集团办公大楼</x:t>
        </x:is>
      </x:c>
      <x:c r="K2074" s="12" t="str">
        <x:f>LEFT("91441300195992483B",18)</x:f>
        <x:v>91441300195992483B</x:v>
      </x:c>
    </x:row>
    <x:row r="2075">
      <x:c r="A2075" s="4" t="n">
        <x:v>2074</x:v>
      </x:c>
      <x:c r="B2075" s="4" t="inlineStr">
        <x:is>
          <x:t xml:space="preserve">002908</x:t>
        </x:is>
      </x:c>
      <x:c r="C2075" s="5" t="inlineStr">
        <x:is>
          <x:t xml:space="preserve">德生科技</x:t>
        </x:is>
      </x:c>
      <x:c r="D2075" s="5" t="inlineStr">
        <x:is>
          <x:t xml:space="preserve">广东德生科技股份有限公司</x:t>
        </x:is>
      </x:c>
      <x:c r="E2075" s="4" t="inlineStr">
        <x:is>
          <x:t xml:space="preserve">广东省</x:t>
        </x:is>
      </x:c>
      <x:c r="F2075" s="4" t="inlineStr">
        <x:is>
          <x:t xml:space="preserve">广州市</x:t>
        </x:is>
      </x:c>
      <x:c r="G2075" s="5" t="inlineStr">
        <x:is>
          <x:t xml:space="preserve">广东省-广州市</x:t>
        </x:is>
      </x:c>
      <x:c r="H2075" s="4" t="inlineStr">
        <x:is>
          <x:t xml:space="preserve">软件开发</x:t>
        </x:is>
      </x:c>
      <x:c r="I2075" s="4" t="inlineStr">
        <x:is>
          <x:t xml:space="preserve">2017-10-20</x:t>
        </x:is>
      </x:c>
      <x:c r="J2075" s="5" t="inlineStr">
        <x:is>
          <x:t xml:space="preserve">广东省广州市天河区软件路15号第二层201室、三、四层</x:t>
        </x:is>
      </x:c>
      <x:c r="K2075" s="12" t="str">
        <x:f>LEFT("914400007076853577",18)</x:f>
        <x:v>914400007076853600</x:v>
      </x:c>
    </x:row>
    <x:row r="2076">
      <x:c r="A2076" s="2" t="n">
        <x:v>2075</x:v>
      </x:c>
      <x:c r="B2076" s="2" t="inlineStr">
        <x:is>
          <x:t xml:space="preserve">002909</x:t>
        </x:is>
      </x:c>
      <x:c r="C2076" s="3" t="inlineStr">
        <x:is>
          <x:t xml:space="preserve">集泰股份</x:t>
        </x:is>
      </x:c>
      <x:c r="D2076" s="3" t="inlineStr">
        <x:is>
          <x:t xml:space="preserve">广州集泰化工股份有限公司</x:t>
        </x:is>
      </x:c>
      <x:c r="E2076" s="2" t="inlineStr">
        <x:is>
          <x:t xml:space="preserve">广东省</x:t>
        </x:is>
      </x:c>
      <x:c r="F2076" s="2" t="inlineStr">
        <x:is>
          <x:t xml:space="preserve">广州市</x:t>
        </x:is>
      </x:c>
      <x:c r="G2076" s="3" t="inlineStr">
        <x:is>
          <x:t xml:space="preserve">广东省-广州市</x:t>
        </x:is>
      </x:c>
      <x:c r="H2076" s="2" t="inlineStr">
        <x:is>
          <x:t xml:space="preserve">化工行业</x:t>
        </x:is>
      </x:c>
      <x:c r="I2076" s="2" t="inlineStr">
        <x:is>
          <x:t xml:space="preserve">2017-10-26</x:t>
        </x:is>
      </x:c>
      <x:c r="J2076" s="3" t="inlineStr">
        <x:is>
          <x:t xml:space="preserve">广州市高新技术产业开发区南翔一路62号自编六栋二楼、五楼</x:t>
        </x:is>
      </x:c>
      <x:c r="K2076" s="12" t="str">
        <x:f>LEFT("914401017910336929",18)</x:f>
        <x:v>914401017910336900</x:v>
      </x:c>
    </x:row>
    <x:row r="2077">
      <x:c r="A2077" s="4" t="n">
        <x:v>2076</x:v>
      </x:c>
      <x:c r="B2077" s="4" t="inlineStr">
        <x:is>
          <x:t xml:space="preserve">002911</x:t>
        </x:is>
      </x:c>
      <x:c r="C2077" s="5" t="inlineStr">
        <x:is>
          <x:t xml:space="preserve">佛燃能源</x:t>
        </x:is>
      </x:c>
      <x:c r="D2077" s="5" t="inlineStr">
        <x:is>
          <x:t xml:space="preserve">佛燃能源集团股份有限公司</x:t>
        </x:is>
      </x:c>
      <x:c r="E2077" s="4" t="inlineStr">
        <x:is>
          <x:t xml:space="preserve">广东省</x:t>
        </x:is>
      </x:c>
      <x:c r="F2077" s="4" t="inlineStr">
        <x:is>
          <x:t xml:space="preserve">佛山市</x:t>
        </x:is>
      </x:c>
      <x:c r="G2077" s="5" t="inlineStr">
        <x:is>
          <x:t xml:space="preserve">广东省-佛山市</x:t>
        </x:is>
      </x:c>
      <x:c r="H2077" s="4" t="inlineStr">
        <x:is>
          <x:t xml:space="preserve">燃气</x:t>
        </x:is>
      </x:c>
      <x:c r="I2077" s="4" t="inlineStr">
        <x:is>
          <x:t xml:space="preserve">2017-11-22</x:t>
        </x:is>
      </x:c>
      <x:c r="J2077" s="5" t="inlineStr">
        <x:is>
          <x:t xml:space="preserve">佛山市禅城区季华五路25号</x:t>
        </x:is>
      </x:c>
      <x:c r="K2077" s="12" t="str">
        <x:f>LEFT("91440600456073048K",18)</x:f>
        <x:v>91440600456073048K</x:v>
      </x:c>
    </x:row>
    <x:row r="2078">
      <x:c r="A2078" s="2" t="n">
        <x:v>2077</x:v>
      </x:c>
      <x:c r="B2078" s="2" t="inlineStr">
        <x:is>
          <x:t xml:space="preserve">002912</x:t>
        </x:is>
      </x:c>
      <x:c r="C2078" s="3" t="inlineStr">
        <x:is>
          <x:t xml:space="preserve">中新赛克</x:t>
        </x:is>
      </x:c>
      <x:c r="D2078" s="3" t="inlineStr">
        <x:is>
          <x:t xml:space="preserve">深圳市中新赛克科技股份有限公司</x:t>
        </x:is>
      </x:c>
      <x:c r="E2078" s="2" t="inlineStr">
        <x:is>
          <x:t xml:space="preserve">广东省</x:t>
        </x:is>
      </x:c>
      <x:c r="F2078" s="2" t="inlineStr">
        <x:is>
          <x:t xml:space="preserve">深圳市</x:t>
        </x:is>
      </x:c>
      <x:c r="G2078" s="3" t="inlineStr">
        <x:is>
          <x:t xml:space="preserve">广东省-深圳市</x:t>
        </x:is>
      </x:c>
      <x:c r="H2078" s="2" t="inlineStr">
        <x:is>
          <x:t xml:space="preserve">互联网服务</x:t>
        </x:is>
      </x:c>
      <x:c r="I2078" s="2" t="inlineStr">
        <x:is>
          <x:t xml:space="preserve">2017-11-21</x:t>
        </x:is>
      </x:c>
      <x:c r="J2078" s="3" t="inlineStr">
        <x:is>
          <x:t xml:space="preserve">深圳市南山区粤海街道高新区社区高新南七道20号深圳国家工程实验室大楼A1403</x:t>
        </x:is>
      </x:c>
      <x:c r="K2078" s="12" t="str">
        <x:f>LEFT("91440300746615781R",18)</x:f>
        <x:v>91440300746615781R</x:v>
      </x:c>
    </x:row>
    <x:row r="2079">
      <x:c r="A2079" s="4" t="n">
        <x:v>2078</x:v>
      </x:c>
      <x:c r="B2079" s="4" t="inlineStr">
        <x:is>
          <x:t xml:space="preserve">002916</x:t>
        </x:is>
      </x:c>
      <x:c r="C2079" s="5" t="inlineStr">
        <x:is>
          <x:t xml:space="preserve">深南电路</x:t>
        </x:is>
      </x:c>
      <x:c r="D2079" s="5" t="inlineStr">
        <x:is>
          <x:t xml:space="preserve">深南电路股份有限公司</x:t>
        </x:is>
      </x:c>
      <x:c r="E2079" s="4" t="inlineStr">
        <x:is>
          <x:t xml:space="preserve">广东省</x:t>
        </x:is>
      </x:c>
      <x:c r="F2079" s="4" t="inlineStr">
        <x:is>
          <x:t xml:space="preserve">深圳市</x:t>
        </x:is>
      </x:c>
      <x:c r="G2079" s="5" t="inlineStr">
        <x:is>
          <x:t xml:space="preserve">广东省-深圳市</x:t>
        </x:is>
      </x:c>
      <x:c r="H2079" s="4" t="inlineStr">
        <x:is>
          <x:t xml:space="preserve">电子元件</x:t>
        </x:is>
      </x:c>
      <x:c r="I2079" s="4" t="inlineStr">
        <x:is>
          <x:t xml:space="preserve">2017-12-13</x:t>
        </x:is>
      </x:c>
      <x:c r="J2079" s="5" t="inlineStr">
        <x:is>
          <x:t xml:space="preserve">深圳市龙岗区坪地街道盐龙大道1639号(一照多址企业)</x:t>
        </x:is>
      </x:c>
      <x:c r="K2079" s="12" t="str">
        <x:f>LEFT("914403001921957616",18)</x:f>
        <x:v>914403001921957600</x:v>
      </x:c>
    </x:row>
    <x:row r="2080">
      <x:c r="A2080" s="2" t="n">
        <x:v>2079</x:v>
      </x:c>
      <x:c r="B2080" s="2" t="inlineStr">
        <x:is>
          <x:t xml:space="preserve">002917</x:t>
        </x:is>
      </x:c>
      <x:c r="C2080" s="3" t="inlineStr">
        <x:is>
          <x:t xml:space="preserve">金奥博</x:t>
        </x:is>
      </x:c>
      <x:c r="D2080" s="3" t="inlineStr">
        <x:is>
          <x:t xml:space="preserve">深圳市金奥博科技股份有限公司</x:t>
        </x:is>
      </x:c>
      <x:c r="E2080" s="2" t="inlineStr">
        <x:is>
          <x:t xml:space="preserve">广东省</x:t>
        </x:is>
      </x:c>
      <x:c r="F2080" s="2" t="inlineStr">
        <x:is>
          <x:t xml:space="preserve">深圳市</x:t>
        </x:is>
      </x:c>
      <x:c r="G2080" s="3" t="inlineStr">
        <x:is>
          <x:t xml:space="preserve">广东省-深圳市</x:t>
        </x:is>
      </x:c>
      <x:c r="H2080" s="2" t="inlineStr">
        <x:is>
          <x:t xml:space="preserve">化工行业</x:t>
        </x:is>
      </x:c>
      <x:c r="I2080" s="2" t="inlineStr">
        <x:is>
          <x:t xml:space="preserve">2017-12-08</x:t>
        </x:is>
      </x:c>
      <x:c r="J2080" s="3" t="inlineStr">
        <x:is>
          <x:t xml:space="preserve">深圳市南山区粤海街道滨海社区高新南十道63号高新区联合总部大厦33层</x:t>
        </x:is>
      </x:c>
      <x:c r="K2080" s="12" t="str">
        <x:f>LEFT("91440300279482691G",18)</x:f>
        <x:v>91440300279482691G</x:v>
      </x:c>
    </x:row>
    <x:row r="2081">
      <x:c r="A2081" s="4" t="n">
        <x:v>2080</x:v>
      </x:c>
      <x:c r="B2081" s="4" t="inlineStr">
        <x:is>
          <x:t xml:space="preserve">002918</x:t>
        </x:is>
      </x:c>
      <x:c r="C2081" s="5" t="inlineStr">
        <x:is>
          <x:t xml:space="preserve">蒙娜丽莎</x:t>
        </x:is>
      </x:c>
      <x:c r="D2081" s="5" t="inlineStr">
        <x:is>
          <x:t xml:space="preserve">蒙娜丽莎集团股份有限公司</x:t>
        </x:is>
      </x:c>
      <x:c r="E2081" s="4" t="inlineStr">
        <x:is>
          <x:t xml:space="preserve">广东省</x:t>
        </x:is>
      </x:c>
      <x:c r="F2081" s="4" t="inlineStr">
        <x:is>
          <x:t xml:space="preserve">佛山市</x:t>
        </x:is>
      </x:c>
      <x:c r="G2081" s="5" t="inlineStr">
        <x:is>
          <x:t xml:space="preserve">广东省-佛山市</x:t>
        </x:is>
      </x:c>
      <x:c r="H2081" s="4" t="inlineStr">
        <x:is>
          <x:t xml:space="preserve">装修建材</x:t>
        </x:is>
      </x:c>
      <x:c r="I2081" s="4" t="inlineStr">
        <x:is>
          <x:t xml:space="preserve">2017-12-19</x:t>
        </x:is>
      </x:c>
      <x:c r="J2081" s="5" t="inlineStr">
        <x:is>
          <x:t xml:space="preserve">佛山市南海区西樵轻纺城工业园</x:t>
        </x:is>
      </x:c>
      <x:c r="K2081" s="12" t="str">
        <x:f>LEFT("91440600708114839J",18)</x:f>
        <x:v>91440600708114839J</x:v>
      </x:c>
    </x:row>
    <x:row r="2082">
      <x:c r="A2082" s="2" t="n">
        <x:v>2081</x:v>
      </x:c>
      <x:c r="B2082" s="2" t="inlineStr">
        <x:is>
          <x:t xml:space="preserve">002919</x:t>
        </x:is>
      </x:c>
      <x:c r="C2082" s="3" t="inlineStr">
        <x:is>
          <x:t xml:space="preserve">名臣健康</x:t>
        </x:is>
      </x:c>
      <x:c r="D2082" s="3" t="inlineStr">
        <x:is>
          <x:t xml:space="preserve">名臣健康用品股份有限公司</x:t>
        </x:is>
      </x:c>
      <x:c r="E2082" s="2" t="inlineStr">
        <x:is>
          <x:t xml:space="preserve">广东省</x:t>
        </x:is>
      </x:c>
      <x:c r="F2082" s="2" t="inlineStr">
        <x:is>
          <x:t xml:space="preserve">汕头市</x:t>
        </x:is>
      </x:c>
      <x:c r="G2082" s="3" t="inlineStr">
        <x:is>
          <x:t xml:space="preserve">广东省-汕头市</x:t>
        </x:is>
      </x:c>
      <x:c r="H2082" s="2" t="inlineStr">
        <x:is>
          <x:t xml:space="preserve">游戏</x:t>
        </x:is>
      </x:c>
      <x:c r="I2082" s="2" t="inlineStr">
        <x:is>
          <x:t xml:space="preserve">2017-12-18</x:t>
        </x:is>
      </x:c>
      <x:c r="J2082" s="3" t="inlineStr">
        <x:is>
          <x:t xml:space="preserve">汕头市澄海区莲南工业区</x:t>
        </x:is>
      </x:c>
      <x:c r="K2082" s="12" t="str">
        <x:f>LEFT("91440500193161133K",18)</x:f>
        <x:v>91440500193161133K</x:v>
      </x:c>
    </x:row>
    <x:row r="2083">
      <x:c r="A2083" s="4" t="n">
        <x:v>2082</x:v>
      </x:c>
      <x:c r="B2083" s="4" t="inlineStr">
        <x:is>
          <x:t xml:space="preserve">002920</x:t>
        </x:is>
      </x:c>
      <x:c r="C2083" s="5" t="inlineStr">
        <x:is>
          <x:t xml:space="preserve">德赛西威</x:t>
        </x:is>
      </x:c>
      <x:c r="D2083" s="5" t="inlineStr">
        <x:is>
          <x:t xml:space="preserve">惠州市德赛西威汽车电子股份有限公司</x:t>
        </x:is>
      </x:c>
      <x:c r="E2083" s="4" t="inlineStr">
        <x:is>
          <x:t xml:space="preserve">广东省</x:t>
        </x:is>
      </x:c>
      <x:c r="F2083" s="4" t="inlineStr">
        <x:is>
          <x:t xml:space="preserve">惠州市</x:t>
        </x:is>
      </x:c>
      <x:c r="G2083" s="5" t="inlineStr">
        <x:is>
          <x:t xml:space="preserve">广东省-惠州市</x:t>
        </x:is>
      </x:c>
      <x:c r="H2083" s="4" t="inlineStr">
        <x:is>
          <x:t xml:space="preserve">汽车行业</x:t>
        </x:is>
      </x:c>
      <x:c r="I2083" s="4" t="inlineStr">
        <x:is>
          <x:t xml:space="preserve">2017-12-26</x:t>
        </x:is>
      </x:c>
      <x:c r="J2083" s="5" t="inlineStr">
        <x:is>
          <x:t xml:space="preserve">惠州仲恺高新区和畅五路西103号(一照多址)</x:t>
        </x:is>
      </x:c>
      <x:c r="K2083" s="12" t="str">
        <x:f>LEFT("91441300617881792D",18)</x:f>
        <x:v>91441300617881792D</x:v>
      </x:c>
    </x:row>
    <x:row r="2084">
      <x:c r="A2084" s="2" t="n">
        <x:v>2083</x:v>
      </x:c>
      <x:c r="B2084" s="2" t="inlineStr">
        <x:is>
          <x:t xml:space="preserve">002922</x:t>
        </x:is>
      </x:c>
      <x:c r="C2084" s="3" t="inlineStr">
        <x:is>
          <x:t xml:space="preserve">伊戈尔</x:t>
        </x:is>
      </x:c>
      <x:c r="D2084" s="3" t="inlineStr">
        <x:is>
          <x:t xml:space="preserve">伊戈尔电气股份有限公司</x:t>
        </x:is>
      </x:c>
      <x:c r="E2084" s="2" t="inlineStr">
        <x:is>
          <x:t xml:space="preserve">广东省</x:t>
        </x:is>
      </x:c>
      <x:c r="F2084" s="2" t="inlineStr">
        <x:is>
          <x:t xml:space="preserve">佛山市</x:t>
        </x:is>
      </x:c>
      <x:c r="G2084" s="3" t="inlineStr">
        <x:is>
          <x:t xml:space="preserve">广东省-佛山市</x:t>
        </x:is>
      </x:c>
      <x:c r="H2084" s="2" t="inlineStr">
        <x:is>
          <x:t xml:space="preserve">电子元件</x:t>
        </x:is>
      </x:c>
      <x:c r="I2084" s="2" t="inlineStr">
        <x:is>
          <x:t xml:space="preserve">2017-12-29</x:t>
        </x:is>
      </x:c>
      <x:c r="J2084" s="3" t="inlineStr">
        <x:is>
          <x:t xml:space="preserve">广东省佛山市南海区简平路桂城科技园A3号</x:t>
        </x:is>
      </x:c>
      <x:c r="K2084" s="12" t="str">
        <x:f>LEFT("91440600719208822U",18)</x:f>
        <x:v>91440600719208822U</x:v>
      </x:c>
    </x:row>
    <x:row r="2085">
      <x:c r="A2085" s="4" t="n">
        <x:v>2084</x:v>
      </x:c>
      <x:c r="B2085" s="4" t="inlineStr">
        <x:is>
          <x:t xml:space="preserve">002923</x:t>
        </x:is>
      </x:c>
      <x:c r="C2085" s="5" t="inlineStr">
        <x:is>
          <x:t xml:space="preserve">润都股份</x:t>
        </x:is>
      </x:c>
      <x:c r="D2085" s="5" t="inlineStr">
        <x:is>
          <x:t xml:space="preserve">珠海润都制药股份有限公司</x:t>
        </x:is>
      </x:c>
      <x:c r="E2085" s="4" t="inlineStr">
        <x:is>
          <x:t xml:space="preserve">广东省</x:t>
        </x:is>
      </x:c>
      <x:c r="F2085" s="4" t="inlineStr">
        <x:is>
          <x:t xml:space="preserve">珠海市</x:t>
        </x:is>
      </x:c>
      <x:c r="G2085" s="5" t="inlineStr">
        <x:is>
          <x:t xml:space="preserve">广东省-珠海市</x:t>
        </x:is>
      </x:c>
      <x:c r="H2085" s="4" t="inlineStr">
        <x:is>
          <x:t xml:space="preserve">医药制造</x:t>
        </x:is>
      </x:c>
      <x:c r="I2085" s="4" t="inlineStr">
        <x:is>
          <x:t xml:space="preserve">2018-01-05</x:t>
        </x:is>
      </x:c>
      <x:c r="J2085" s="5" t="inlineStr">
        <x:is>
          <x:t xml:space="preserve">珠海市金湾区三灶镇机场北路6号</x:t>
        </x:is>
      </x:c>
      <x:c r="K2085" s="12" t="str">
        <x:f>LEFT("91440400192520640G",18)</x:f>
        <x:v>91440400192520640G</x:v>
      </x:c>
    </x:row>
    <x:row r="2086">
      <x:c r="A2086" s="2" t="n">
        <x:v>2085</x:v>
      </x:c>
      <x:c r="B2086" s="2" t="inlineStr">
        <x:is>
          <x:t xml:space="preserve">002930</x:t>
        </x:is>
      </x:c>
      <x:c r="C2086" s="3" t="inlineStr">
        <x:is>
          <x:t xml:space="preserve">宏川智慧</x:t>
        </x:is>
      </x:c>
      <x:c r="D2086" s="3" t="inlineStr">
        <x:is>
          <x:t xml:space="preserve">广东宏川智慧物流股份有限公司</x:t>
        </x:is>
      </x:c>
      <x:c r="E2086" s="2" t="inlineStr">
        <x:is>
          <x:t xml:space="preserve">广东省</x:t>
        </x:is>
      </x:c>
      <x:c r="F2086" s="2" t="inlineStr">
        <x:is>
          <x:t xml:space="preserve">东莞市</x:t>
        </x:is>
      </x:c>
      <x:c r="G2086" s="3" t="inlineStr">
        <x:is>
          <x:t xml:space="preserve">广东省-东莞市</x:t>
        </x:is>
      </x:c>
      <x:c r="H2086" s="2" t="inlineStr">
        <x:is>
          <x:t xml:space="preserve">交运物流</x:t>
        </x:is>
      </x:c>
      <x:c r="I2086" s="2" t="inlineStr">
        <x:is>
          <x:t xml:space="preserve">2018-03-28</x:t>
        </x:is>
      </x:c>
      <x:c r="J2086" s="3" t="inlineStr">
        <x:is>
          <x:t xml:space="preserve">东莞市沙田镇立沙岛淡水河口南岸三江公司行政楼三楼</x:t>
        </x:is>
      </x:c>
      <x:c r="K2086" s="12" t="str">
        <x:f>LEFT("914419000567906972",18)</x:f>
        <x:v>914419000567907000</x:v>
      </x:c>
    </x:row>
    <x:row r="2087">
      <x:c r="A2087" s="4" t="n">
        <x:v>2086</x:v>
      </x:c>
      <x:c r="B2087" s="4" t="inlineStr">
        <x:is>
          <x:t xml:space="preserve">002938</x:t>
        </x:is>
      </x:c>
      <x:c r="C2087" s="5" t="inlineStr">
        <x:is>
          <x:t xml:space="preserve">鹏鼎控股</x:t>
        </x:is>
      </x:c>
      <x:c r="D2087" s="5" t="inlineStr">
        <x:is>
          <x:t xml:space="preserve">鹏鼎控股(深圳)股份有限公司</x:t>
        </x:is>
      </x:c>
      <x:c r="E2087" s="4" t="inlineStr">
        <x:is>
          <x:t xml:space="preserve">广东省</x:t>
        </x:is>
      </x:c>
      <x:c r="F2087" s="4" t="inlineStr">
        <x:is>
          <x:t xml:space="preserve">深圳市</x:t>
        </x:is>
      </x:c>
      <x:c r="G2087" s="5" t="inlineStr">
        <x:is>
          <x:t xml:space="preserve">广东省-深圳市</x:t>
        </x:is>
      </x:c>
      <x:c r="H2087" s="4" t="inlineStr">
        <x:is>
          <x:t xml:space="preserve">电子元件</x:t>
        </x:is>
      </x:c>
      <x:c r="I2087" s="4" t="inlineStr">
        <x:is>
          <x:t xml:space="preserve">2018-09-18</x:t>
        </x:is>
      </x:c>
      <x:c r="J2087" s="5" t="inlineStr">
        <x:is>
          <x:t xml:space="preserve">广东省深圳市宝安区新安街道海滨社区海秀路2038号鹏鼎时代大厦A座27层</x:t>
        </x:is>
      </x:c>
      <x:c r="K2087" s="12" t="str">
        <x:f>LEFT("9144030070855050X9",18)</x:f>
        <x:v>9144030070855050X9</x:v>
      </x:c>
    </x:row>
    <x:row r="2088">
      <x:c r="A2088" s="2" t="n">
        <x:v>2087</x:v>
      </x:c>
      <x:c r="B2088" s="2" t="inlineStr">
        <x:is>
          <x:t xml:space="preserve">002939</x:t>
        </x:is>
      </x:c>
      <x:c r="C2088" s="3" t="inlineStr">
        <x:is>
          <x:t xml:space="preserve">长城证券</x:t>
        </x:is>
      </x:c>
      <x:c r="D2088" s="3" t="inlineStr">
        <x:is>
          <x:t xml:space="preserve">长城证券股份有限公司</x:t>
        </x:is>
      </x:c>
      <x:c r="E2088" s="2" t="inlineStr">
        <x:is>
          <x:t xml:space="preserve">广东省</x:t>
        </x:is>
      </x:c>
      <x:c r="F2088" s="2" t="inlineStr">
        <x:is>
          <x:t xml:space="preserve">深圳市</x:t>
        </x:is>
      </x:c>
      <x:c r="G2088" s="3" t="inlineStr">
        <x:is>
          <x:t xml:space="preserve">广东省-深圳市</x:t>
        </x:is>
      </x:c>
      <x:c r="H2088" s="2" t="inlineStr">
        <x:is>
          <x:t xml:space="preserve">券商信托</x:t>
        </x:is>
      </x:c>
      <x:c r="I2088" s="2" t="inlineStr">
        <x:is>
          <x:t xml:space="preserve">2018-10-26</x:t>
        </x:is>
      </x:c>
      <x:c r="J2088" s="3" t="inlineStr">
        <x:is>
          <x:t xml:space="preserve">广东省深圳市福田区福田街道金田路2026号能源大厦南塔楼10-19层</x:t>
        </x:is>
      </x:c>
      <x:c r="K2088" s="12" t="str">
        <x:f>LEFT("91440300192431912U",18)</x:f>
        <x:v>91440300192431912U</x:v>
      </x:c>
    </x:row>
    <x:row r="2089">
      <x:c r="A2089" s="4" t="n">
        <x:v>2088</x:v>
      </x:c>
      <x:c r="B2089" s="4" t="inlineStr">
        <x:is>
          <x:t xml:space="preserve">002949</x:t>
        </x:is>
      </x:c>
      <x:c r="C2089" s="5" t="inlineStr">
        <x:is>
          <x:t xml:space="preserve">华阳国际</x:t>
        </x:is>
      </x:c>
      <x:c r="D2089" s="5" t="inlineStr">
        <x:is>
          <x:t xml:space="preserve">深圳市华阳国际工程设计股份有限公司</x:t>
        </x:is>
      </x:c>
      <x:c r="E2089" s="4" t="inlineStr">
        <x:is>
          <x:t xml:space="preserve">广东省</x:t>
        </x:is>
      </x:c>
      <x:c r="F2089" s="4" t="inlineStr">
        <x:is>
          <x:t xml:space="preserve">深圳市</x:t>
        </x:is>
      </x:c>
      <x:c r="G2089" s="5" t="inlineStr">
        <x:is>
          <x:t xml:space="preserve">广东省-深圳市</x:t>
        </x:is>
      </x:c>
      <x:c r="H2089" s="4" t="inlineStr">
        <x:is>
          <x:t xml:space="preserve">工程咨询服务</x:t>
        </x:is>
      </x:c>
      <x:c r="I2089" s="4" t="inlineStr">
        <x:is>
          <x:t xml:space="preserve">2019-02-26</x:t>
        </x:is>
      </x:c>
      <x:c r="J2089" s="5" t="inlineStr">
        <x:is>
          <x:t xml:space="preserve">深圳市龙华区民治街道北站社区龙华设计产业园总部大厦3栋101</x:t>
        </x:is>
      </x:c>
      <x:c r="K2089" s="12" t="str">
        <x:f>LEFT("91440300192239795N",18)</x:f>
        <x:v>91440300192239795N</x:v>
      </x:c>
    </x:row>
    <x:row r="2090">
      <x:c r="A2090" s="2" t="n">
        <x:v>2089</x:v>
      </x:c>
      <x:c r="B2090" s="2" t="inlineStr">
        <x:is>
          <x:t xml:space="preserve">002953</x:t>
        </x:is>
      </x:c>
      <x:c r="C2090" s="3" t="inlineStr">
        <x:is>
          <x:t xml:space="preserve">日丰股份</x:t>
        </x:is>
      </x:c>
      <x:c r="D2090" s="3" t="inlineStr">
        <x:is>
          <x:t xml:space="preserve">广东日丰电缆股份有限公司</x:t>
        </x:is>
      </x:c>
      <x:c r="E2090" s="2" t="inlineStr">
        <x:is>
          <x:t xml:space="preserve">广东省</x:t>
        </x:is>
      </x:c>
      <x:c r="F2090" s="2" t="inlineStr">
        <x:is>
          <x:t xml:space="preserve">中山市</x:t>
        </x:is>
      </x:c>
      <x:c r="G2090" s="3" t="inlineStr">
        <x:is>
          <x:t xml:space="preserve">广东省-中山市</x:t>
        </x:is>
      </x:c>
      <x:c r="H2090" s="2" t="inlineStr">
        <x:is>
          <x:t xml:space="preserve">电网设备</x:t>
        </x:is>
      </x:c>
      <x:c r="I2090" s="2" t="inlineStr">
        <x:is>
          <x:t xml:space="preserve">2019-05-09</x:t>
        </x:is>
      </x:c>
      <x:c r="J2090" s="3" t="inlineStr">
        <x:is>
          <x:t xml:space="preserve">中山市西区广丰工业园(一照多址)</x:t>
        </x:is>
      </x:c>
      <x:c r="K2090" s="12" t="str">
        <x:f>LEFT("914420006981927364",18)</x:f>
        <x:v>914420006981927400</x:v>
      </x:c>
    </x:row>
    <x:row r="2091">
      <x:c r="A2091" s="4" t="n">
        <x:v>2090</x:v>
      </x:c>
      <x:c r="B2091" s="4" t="inlineStr">
        <x:is>
          <x:t xml:space="preserve">002955</x:t>
        </x:is>
      </x:c>
      <x:c r="C2091" s="5" t="inlineStr">
        <x:is>
          <x:t xml:space="preserve">鸿合科技</x:t>
        </x:is>
      </x:c>
      <x:c r="D2091" s="5" t="inlineStr">
        <x:is>
          <x:t xml:space="preserve">鸿合科技股份有限公司</x:t>
        </x:is>
      </x:c>
      <x:c r="E2091" s="4" t="inlineStr">
        <x:is>
          <x:t xml:space="preserve">广东省</x:t>
        </x:is>
      </x:c>
      <x:c r="F2091" s="4" t="inlineStr">
        <x:is>
          <x:t xml:space="preserve">深圳市</x:t>
        </x:is>
      </x:c>
      <x:c r="G2091" s="5" t="inlineStr">
        <x:is>
          <x:t xml:space="preserve">广东省-深圳市</x:t>
        </x:is>
      </x:c>
      <x:c r="H2091" s="4" t="inlineStr">
        <x:is>
          <x:t xml:space="preserve">光学光电子</x:t>
        </x:is>
      </x:c>
      <x:c r="I2091" s="4" t="inlineStr">
        <x:is>
          <x:t xml:space="preserve">2019-05-23</x:t>
        </x:is>
      </x:c>
      <x:c r="J2091" s="5" t="inlineStr">
        <x:is>
          <x:t xml:space="preserve">深圳市坪山区坑梓街道沙田社区丹梓北路1号鸿合大厦1栋B座101</x:t>
        </x:is>
      </x:c>
      <x:c r="K2091" s="12" t="str">
        <x:f>LEFT("91110108556883208U",18)</x:f>
        <x:v>91110108556883208U</x:v>
      </x:c>
    </x:row>
    <x:row r="2092">
      <x:c r="A2092" s="2" t="n">
        <x:v>2091</x:v>
      </x:c>
      <x:c r="B2092" s="2" t="inlineStr">
        <x:is>
          <x:t xml:space="preserve">002957</x:t>
        </x:is>
      </x:c>
      <x:c r="C2092" s="3" t="inlineStr">
        <x:is>
          <x:t xml:space="preserve">科瑞技术</x:t>
        </x:is>
      </x:c>
      <x:c r="D2092" s="3" t="inlineStr">
        <x:is>
          <x:t xml:space="preserve">深圳科瑞技术股份有限公司</x:t>
        </x:is>
      </x:c>
      <x:c r="E2092" s="2" t="inlineStr">
        <x:is>
          <x:t xml:space="preserve">广东省</x:t>
        </x:is>
      </x:c>
      <x:c r="F2092" s="2" t="inlineStr">
        <x:is>
          <x:t xml:space="preserve">深圳市</x:t>
        </x:is>
      </x:c>
      <x:c r="G2092" s="3" t="inlineStr">
        <x:is>
          <x:t xml:space="preserve">广东省-深圳市</x:t>
        </x:is>
      </x:c>
      <x:c r="H2092" s="2" t="inlineStr">
        <x:is>
          <x:t xml:space="preserve">专用设备</x:t>
        </x:is>
      </x:c>
      <x:c r="I2092" s="2" t="inlineStr">
        <x:is>
          <x:t xml:space="preserve">2019-07-26</x:t>
        </x:is>
      </x:c>
      <x:c r="J2092" s="3" t="inlineStr">
        <x:is>
          <x:t xml:space="preserve">深圳市光明区玉塘街道田寮社区光侨路科瑞智造产业园瑞明大厦A塔20层</x:t>
        </x:is>
      </x:c>
      <x:c r="K2092" s="12" t="str">
        <x:f>LEFT("9144030072854000X9",18)</x:f>
        <x:v>9144030072854000X9</x:v>
      </x:c>
    </x:row>
    <x:row r="2093">
      <x:c r="A2093" s="4" t="n">
        <x:v>2092</x:v>
      </x:c>
      <x:c r="B2093" s="4" t="inlineStr">
        <x:is>
          <x:t xml:space="preserve">002959</x:t>
        </x:is>
      </x:c>
      <x:c r="C2093" s="5" t="inlineStr">
        <x:is>
          <x:t xml:space="preserve">小熊电器</x:t>
        </x:is>
      </x:c>
      <x:c r="D2093" s="5" t="inlineStr">
        <x:is>
          <x:t xml:space="preserve">小熊电器股份有限公司</x:t>
        </x:is>
      </x:c>
      <x:c r="E2093" s="4" t="inlineStr">
        <x:is>
          <x:t xml:space="preserve">广东省</x:t>
        </x:is>
      </x:c>
      <x:c r="F2093" s="4" t="inlineStr">
        <x:is>
          <x:t xml:space="preserve">佛山市</x:t>
        </x:is>
      </x:c>
      <x:c r="G2093" s="5" t="inlineStr">
        <x:is>
          <x:t xml:space="preserve">广东省-佛山市</x:t>
        </x:is>
      </x:c>
      <x:c r="H2093" s="4" t="inlineStr">
        <x:is>
          <x:t xml:space="preserve">家电行业</x:t>
        </x:is>
      </x:c>
      <x:c r="I2093" s="4" t="inlineStr">
        <x:is>
          <x:t xml:space="preserve">2019-08-23</x:t>
        </x:is>
      </x:c>
      <x:c r="J2093" s="5" t="inlineStr">
        <x:is>
          <x:t xml:space="preserve">佛山市顺德区勒流街道富裕村委会富安集约工业区5-2-1号地</x:t>
        </x:is>
      </x:c>
      <x:c r="K2093" s="12" t="str">
        <x:f>LEFT("91440606786454927J",18)</x:f>
        <x:v>91440606786454927J</x:v>
      </x:c>
    </x:row>
    <x:row r="2094">
      <x:c r="A2094" s="2" t="n">
        <x:v>2093</x:v>
      </x:c>
      <x:c r="B2094" s="2" t="inlineStr">
        <x:is>
          <x:t xml:space="preserve">002965</x:t>
        </x:is>
      </x:c>
      <x:c r="C2094" s="3" t="inlineStr">
        <x:is>
          <x:t xml:space="preserve">祥鑫科技</x:t>
        </x:is>
      </x:c>
      <x:c r="D2094" s="3" t="inlineStr">
        <x:is>
          <x:t xml:space="preserve">祥鑫科技股份有限公司</x:t>
        </x:is>
      </x:c>
      <x:c r="E2094" s="2" t="inlineStr">
        <x:is>
          <x:t xml:space="preserve">广东省</x:t>
        </x:is>
      </x:c>
      <x:c r="F2094" s="2" t="inlineStr">
        <x:is>
          <x:t xml:space="preserve">东莞市</x:t>
        </x:is>
      </x:c>
      <x:c r="G2094" s="3" t="inlineStr">
        <x:is>
          <x:t xml:space="preserve">广东省-东莞市</x:t>
        </x:is>
      </x:c>
      <x:c r="H2094" s="2" t="inlineStr">
        <x:is>
          <x:t xml:space="preserve">通用设备</x:t>
        </x:is>
      </x:c>
      <x:c r="I2094" s="2" t="inlineStr">
        <x:is>
          <x:t xml:space="preserve">2019-10-25</x:t>
        </x:is>
      </x:c>
      <x:c r="J2094" s="3" t="inlineStr">
        <x:is>
          <x:t xml:space="preserve">广东省东莞市长安镇长安建安路893号</x:t>
        </x:is>
      </x:c>
      <x:c r="K2094" s="12" t="str">
        <x:f>LEFT("9144190076291807XU",18)</x:f>
        <x:v>9144190076291807XU</x:v>
      </x:c>
    </x:row>
    <x:row r="2095">
      <x:c r="A2095" s="4" t="n">
        <x:v>2094</x:v>
      </x:c>
      <x:c r="B2095" s="4" t="inlineStr">
        <x:is>
          <x:t xml:space="preserve">002967</x:t>
        </x:is>
      </x:c>
      <x:c r="C2095" s="5" t="inlineStr">
        <x:is>
          <x:t xml:space="preserve">广电计量</x:t>
        </x:is>
      </x:c>
      <x:c r="D2095" s="5" t="inlineStr">
        <x:is>
          <x:t xml:space="preserve">广电计量检测集团股份有限公司</x:t>
        </x:is>
      </x:c>
      <x:c r="E2095" s="4" t="inlineStr">
        <x:is>
          <x:t xml:space="preserve">广东省</x:t>
        </x:is>
      </x:c>
      <x:c r="F2095" s="4" t="inlineStr">
        <x:is>
          <x:t xml:space="preserve">广州市</x:t>
        </x:is>
      </x:c>
      <x:c r="G2095" s="5" t="inlineStr">
        <x:is>
          <x:t xml:space="preserve">广东省-广州市</x:t>
        </x:is>
      </x:c>
      <x:c r="H2095" s="4" t="inlineStr">
        <x:is>
          <x:t xml:space="preserve">专业服务</x:t>
        </x:is>
      </x:c>
      <x:c r="I2095" s="4" t="inlineStr">
        <x:is>
          <x:t xml:space="preserve">2019-11-08</x:t>
        </x:is>
      </x:c>
      <x:c r="J2095" s="5" t="inlineStr">
        <x:is>
          <x:t xml:space="preserve">广东省广州市番禺区石碁镇创运路8号</x:t>
        </x:is>
      </x:c>
      <x:c r="K2095" s="12" t="str">
        <x:f>LEFT("914401017397031187",18)</x:f>
        <x:v>914401017397031200</x:v>
      </x:c>
    </x:row>
    <x:row r="2096">
      <x:c r="A2096" s="2" t="n">
        <x:v>2095</x:v>
      </x:c>
      <x:c r="B2096" s="2" t="inlineStr">
        <x:is>
          <x:t xml:space="preserve">002970</x:t>
        </x:is>
      </x:c>
      <x:c r="C2096" s="3" t="inlineStr">
        <x:is>
          <x:t xml:space="preserve">锐明技术</x:t>
        </x:is>
      </x:c>
      <x:c r="D2096" s="3" t="inlineStr">
        <x:is>
          <x:t xml:space="preserve">深圳市锐明技术股份有限公司</x:t>
        </x:is>
      </x:c>
      <x:c r="E2096" s="2" t="inlineStr">
        <x:is>
          <x:t xml:space="preserve">广东省</x:t>
        </x:is>
      </x:c>
      <x:c r="F2096" s="2" t="inlineStr">
        <x:is>
          <x:t xml:space="preserve">深圳市</x:t>
        </x:is>
      </x:c>
      <x:c r="G2096" s="3" t="inlineStr">
        <x:is>
          <x:t xml:space="preserve">广东省-深圳市</x:t>
        </x:is>
      </x:c>
      <x:c r="H2096" s="2" t="inlineStr">
        <x:is>
          <x:t xml:space="preserve">计算机设备</x:t>
        </x:is>
      </x:c>
      <x:c r="I2096" s="2" t="inlineStr">
        <x:is>
          <x:t xml:space="preserve">2019-12-17</x:t>
        </x:is>
      </x:c>
      <x:c r="J2096" s="3" t="inlineStr">
        <x:is>
          <x:t xml:space="preserve">广东省深圳市南山区学苑大道1001号南山智园B1栋21-23楼</x:t>
        </x:is>
      </x:c>
      <x:c r="K2096" s="12" t="str">
        <x:f>LEFT("914403007412480386",18)</x:f>
        <x:v>914403007412480400</x:v>
      </x:c>
    </x:row>
    <x:row r="2097">
      <x:c r="A2097" s="4" t="n">
        <x:v>2096</x:v>
      </x:c>
      <x:c r="B2097" s="4" t="inlineStr">
        <x:is>
          <x:t xml:space="preserve">002972</x:t>
        </x:is>
      </x:c>
      <x:c r="C2097" s="5" t="inlineStr">
        <x:is>
          <x:t xml:space="preserve">科安达</x:t>
        </x:is>
      </x:c>
      <x:c r="D2097" s="5" t="inlineStr">
        <x:is>
          <x:t xml:space="preserve">深圳科安达电子科技股份有限公司</x:t>
        </x:is>
      </x:c>
      <x:c r="E2097" s="4" t="inlineStr">
        <x:is>
          <x:t xml:space="preserve">广东省</x:t>
        </x:is>
      </x:c>
      <x:c r="F2097" s="4" t="inlineStr">
        <x:is>
          <x:t xml:space="preserve">深圳市</x:t>
        </x:is>
      </x:c>
      <x:c r="G2097" s="5" t="inlineStr">
        <x:is>
          <x:t xml:space="preserve">广东省-深圳市</x:t>
        </x:is>
      </x:c>
      <x:c r="H2097" s="4" t="inlineStr">
        <x:is>
          <x:t xml:space="preserve">交运设备</x:t>
        </x:is>
      </x:c>
      <x:c r="I2097" s="4" t="inlineStr">
        <x:is>
          <x:t xml:space="preserve">2019-12-27</x:t>
        </x:is>
      </x:c>
      <x:c r="J2097" s="5" t="inlineStr">
        <x:is>
          <x:t xml:space="preserve">深圳市福田区深南大道1006号深圳国际创新中心C栋14层</x:t>
        </x:is>
      </x:c>
      <x:c r="K2097" s="12" t="str">
        <x:f>LEFT("91440300708434226X",18)</x:f>
        <x:v>91440300708434226X</x:v>
      </x:c>
    </x:row>
    <x:row r="2098">
      <x:c r="A2098" s="2" t="n">
        <x:v>2097</x:v>
      </x:c>
      <x:c r="B2098" s="2" t="inlineStr">
        <x:is>
          <x:t xml:space="preserve">002973</x:t>
        </x:is>
      </x:c>
      <x:c r="C2098" s="3" t="inlineStr">
        <x:is>
          <x:t xml:space="preserve">侨银股份</x:t>
        </x:is>
      </x:c>
      <x:c r="D2098" s="3" t="inlineStr">
        <x:is>
          <x:t xml:space="preserve">侨银城市管理股份有限公司</x:t>
        </x:is>
      </x:c>
      <x:c r="E2098" s="2" t="inlineStr">
        <x:is>
          <x:t xml:space="preserve">广东省</x:t>
        </x:is>
      </x:c>
      <x:c r="F2098" s="2" t="inlineStr">
        <x:is>
          <x:t xml:space="preserve">广州市</x:t>
        </x:is>
      </x:c>
      <x:c r="G2098" s="3" t="inlineStr">
        <x:is>
          <x:t xml:space="preserve">广东省-广州市</x:t>
        </x:is>
      </x:c>
      <x:c r="H2098" s="2" t="inlineStr">
        <x:is>
          <x:t xml:space="preserve">环保行业</x:t>
        </x:is>
      </x:c>
      <x:c r="I2098" s="2" t="inlineStr">
        <x:is>
          <x:t xml:space="preserve">2020-01-06</x:t>
        </x:is>
      </x:c>
      <x:c r="J2098" s="3" t="inlineStr">
        <x:is>
          <x:t xml:space="preserve">广州市从化街口街开源路23号三层自编A318</x:t>
        </x:is>
      </x:c>
      <x:c r="K2098" s="12" t="str">
        <x:f>LEFT("914401847329631528",18)</x:f>
        <x:v>914401847329631500</x:v>
      </x:c>
    </x:row>
    <x:row r="2099">
      <x:c r="A2099" s="4" t="n">
        <x:v>2098</x:v>
      </x:c>
      <x:c r="B2099" s="4" t="inlineStr">
        <x:is>
          <x:t xml:space="preserve">002975</x:t>
        </x:is>
      </x:c>
      <x:c r="C2099" s="5" t="inlineStr">
        <x:is>
          <x:t xml:space="preserve">博杰股份</x:t>
        </x:is>
      </x:c>
      <x:c r="D2099" s="5" t="inlineStr">
        <x:is>
          <x:t xml:space="preserve">珠海博杰电子股份有限公司</x:t>
        </x:is>
      </x:c>
      <x:c r="E2099" s="4" t="inlineStr">
        <x:is>
          <x:t xml:space="preserve">广东省</x:t>
        </x:is>
      </x:c>
      <x:c r="F2099" s="4" t="inlineStr">
        <x:is>
          <x:t xml:space="preserve">珠海市</x:t>
        </x:is>
      </x:c>
      <x:c r="G2099" s="5" t="inlineStr">
        <x:is>
          <x:t xml:space="preserve">广东省-珠海市</x:t>
        </x:is>
      </x:c>
      <x:c r="H2099" s="4" t="inlineStr">
        <x:is>
          <x:t xml:space="preserve">专用设备</x:t>
        </x:is>
      </x:c>
      <x:c r="I2099" s="4" t="inlineStr">
        <x:is>
          <x:t xml:space="preserve">2020-02-05</x:t>
        </x:is>
      </x:c>
      <x:c r="J2099" s="5" t="inlineStr">
        <x:is>
          <x:t xml:space="preserve">珠海市香洲区福田路10号厂房1一楼-1、二楼、三楼-1</x:t>
        </x:is>
      </x:c>
      <x:c r="K2099" s="12" t="str">
        <x:f>LEFT("91440400775088415F",18)</x:f>
        <x:v>91440400775088415F</x:v>
      </x:c>
    </x:row>
    <x:row r="2100">
      <x:c r="A2100" s="2" t="n">
        <x:v>2099</x:v>
      </x:c>
      <x:c r="B2100" s="2" t="inlineStr">
        <x:is>
          <x:t xml:space="preserve">002979</x:t>
        </x:is>
      </x:c>
      <x:c r="C2100" s="3" t="inlineStr">
        <x:is>
          <x:t xml:space="preserve">雷赛智能</x:t>
        </x:is>
      </x:c>
      <x:c r="D2100" s="3" t="inlineStr">
        <x:is>
          <x:t xml:space="preserve">深圳市雷赛智能控制股份有限公司</x:t>
        </x:is>
      </x:c>
      <x:c r="E2100" s="2" t="inlineStr">
        <x:is>
          <x:t xml:space="preserve">广东省</x:t>
        </x:is>
      </x:c>
      <x:c r="F2100" s="2" t="inlineStr">
        <x:is>
          <x:t xml:space="preserve">深圳市</x:t>
        </x:is>
      </x:c>
      <x:c r="G2100" s="3" t="inlineStr">
        <x:is>
          <x:t xml:space="preserve">广东省-深圳市</x:t>
        </x:is>
      </x:c>
      <x:c r="H2100" s="2" t="inlineStr">
        <x:is>
          <x:t xml:space="preserve">专用设备</x:t>
        </x:is>
      </x:c>
      <x:c r="I2100" s="2" t="inlineStr">
        <x:is>
          <x:t xml:space="preserve">2020-04-08</x:t>
        </x:is>
      </x:c>
      <x:c r="J2100" s="3" t="inlineStr">
        <x:is>
          <x:t xml:space="preserve">深圳市南山区西丽街道曙光社区智谷研发楼B栋15-20层</x:t>
        </x:is>
      </x:c>
      <x:c r="K2100" s="12" t="str">
        <x:f>LEFT("914403007979580040",18)</x:f>
        <x:v>914403007979580000</x:v>
      </x:c>
    </x:row>
    <x:row r="2101">
      <x:c r="A2101" s="4" t="n">
        <x:v>2100</x:v>
      </x:c>
      <x:c r="B2101" s="4" t="inlineStr">
        <x:is>
          <x:t xml:space="preserve">002980</x:t>
        </x:is>
      </x:c>
      <x:c r="C2101" s="5" t="inlineStr">
        <x:is>
          <x:t xml:space="preserve">华盛昌</x:t>
        </x:is>
      </x:c>
      <x:c r="D2101" s="5" t="inlineStr">
        <x:is>
          <x:t xml:space="preserve">深圳市华盛昌科技实业股份有限公司</x:t>
        </x:is>
      </x:c>
      <x:c r="E2101" s="4" t="inlineStr">
        <x:is>
          <x:t xml:space="preserve">广东省</x:t>
        </x:is>
      </x:c>
      <x:c r="F2101" s="4" t="inlineStr">
        <x:is>
          <x:t xml:space="preserve">深圳市</x:t>
        </x:is>
      </x:c>
      <x:c r="G2101" s="5" t="inlineStr">
        <x:is>
          <x:t xml:space="preserve">广东省-深圳市</x:t>
        </x:is>
      </x:c>
      <x:c r="H2101" s="4" t="inlineStr">
        <x:is>
          <x:t xml:space="preserve">仪器仪表</x:t>
        </x:is>
      </x:c>
      <x:c r="I2101" s="4" t="inlineStr">
        <x:is>
          <x:t xml:space="preserve">2020-04-15</x:t>
        </x:is>
      </x:c>
      <x:c r="J2101" s="5" t="inlineStr">
        <x:is>
          <x:t xml:space="preserve">深圳市南山区西丽街道阳光社区松白路1002号百旺信工业园19栋101-501,21栋</x:t>
        </x:is>
      </x:c>
      <x:c r="K2101" s="12" t="str">
        <x:f>LEFT("91440300618871772D",18)</x:f>
        <x:v>91440300618871772D</x:v>
      </x:c>
    </x:row>
    <x:row r="2102">
      <x:c r="A2102" s="2" t="n">
        <x:v>2101</x:v>
      </x:c>
      <x:c r="B2102" s="2" t="inlineStr">
        <x:is>
          <x:t xml:space="preserve">002981</x:t>
        </x:is>
      </x:c>
      <x:c r="C2102" s="3" t="inlineStr">
        <x:is>
          <x:t xml:space="preserve">朝阳科技</x:t>
        </x:is>
      </x:c>
      <x:c r="D2102" s="3" t="inlineStr">
        <x:is>
          <x:t xml:space="preserve">广东朝阳电子科技股份有限公司</x:t>
        </x:is>
      </x:c>
      <x:c r="E2102" s="2" t="inlineStr">
        <x:is>
          <x:t xml:space="preserve">广东省</x:t>
        </x:is>
      </x:c>
      <x:c r="F2102" s="2" t="inlineStr">
        <x:is>
          <x:t xml:space="preserve">东莞市</x:t>
        </x:is>
      </x:c>
      <x:c r="G2102" s="3" t="inlineStr">
        <x:is>
          <x:t xml:space="preserve">广东省-东莞市</x:t>
        </x:is>
      </x:c>
      <x:c r="H2102" s="2" t="inlineStr">
        <x:is>
          <x:t xml:space="preserve">消费电子</x:t>
        </x:is>
      </x:c>
      <x:c r="I2102" s="2" t="inlineStr">
        <x:is>
          <x:t xml:space="preserve">2020-04-17</x:t>
        </x:is>
      </x:c>
      <x:c r="J2102" s="3" t="inlineStr">
        <x:is>
          <x:t xml:space="preserve">东莞市企石镇旧围工业区</x:t>
        </x:is>
      </x:c>
      <x:c r="K2102" s="12" t="str">
        <x:f>LEFT("9144190077308594XD",18)</x:f>
        <x:v>9144190077308594XD</x:v>
      </x:c>
    </x:row>
    <x:row r="2103">
      <x:c r="A2103" s="4" t="n">
        <x:v>2102</x:v>
      </x:c>
      <x:c r="B2103" s="4" t="inlineStr">
        <x:is>
          <x:t xml:space="preserve">002986</x:t>
        </x:is>
      </x:c>
      <x:c r="C2103" s="5" t="inlineStr">
        <x:is>
          <x:t xml:space="preserve">宇新股份</x:t>
        </x:is>
      </x:c>
      <x:c r="D2103" s="5" t="inlineStr">
        <x:is>
          <x:t xml:space="preserve">广东宇新能源科技股份有限公司</x:t>
        </x:is>
      </x:c>
      <x:c r="E2103" s="4" t="inlineStr">
        <x:is>
          <x:t xml:space="preserve">广东省</x:t>
        </x:is>
      </x:c>
      <x:c r="F2103" s="4" t="inlineStr">
        <x:is>
          <x:t xml:space="preserve">惠州市</x:t>
        </x:is>
      </x:c>
      <x:c r="G2103" s="5" t="inlineStr">
        <x:is>
          <x:t xml:space="preserve">广东省-惠州市</x:t>
        </x:is>
      </x:c>
      <x:c r="H2103" s="4" t="inlineStr">
        <x:is>
          <x:t xml:space="preserve">化工行业</x:t>
        </x:is>
      </x:c>
      <x:c r="I2103" s="4" t="inlineStr">
        <x:is>
          <x:t xml:space="preserve">2020-06-02</x:t>
        </x:is>
      </x:c>
      <x:c r="J2103" s="5" t="inlineStr">
        <x:is>
          <x:t xml:space="preserve">广东省惠州市惠东县惠州新材料产业园新材二路8号</x:t>
        </x:is>
      </x:c>
      <x:c r="K2103" s="12" t="str">
        <x:f>LEFT("91430100694045819W",18)</x:f>
        <x:v>91430100694045819W</x:v>
      </x:c>
    </x:row>
    <x:row r="2104">
      <x:c r="A2104" s="2" t="n">
        <x:v>2103</x:v>
      </x:c>
      <x:c r="B2104" s="2" t="inlineStr">
        <x:is>
          <x:t xml:space="preserve">002988</x:t>
        </x:is>
      </x:c>
      <x:c r="C2104" s="3" t="inlineStr">
        <x:is>
          <x:t xml:space="preserve">豪美新材</x:t>
        </x:is>
      </x:c>
      <x:c r="D2104" s="3" t="inlineStr">
        <x:is>
          <x:t xml:space="preserve">广东豪美新材股份有限公司</x:t>
        </x:is>
      </x:c>
      <x:c r="E2104" s="2" t="inlineStr">
        <x:is>
          <x:t xml:space="preserve">广东省</x:t>
        </x:is>
      </x:c>
      <x:c r="F2104" s="2" t="inlineStr">
        <x:is>
          <x:t xml:space="preserve">清远市</x:t>
        </x:is>
      </x:c>
      <x:c r="G2104" s="3" t="inlineStr">
        <x:is>
          <x:t xml:space="preserve">广东省-清远市</x:t>
        </x:is>
      </x:c>
      <x:c r="H2104" s="2" t="inlineStr">
        <x:is>
          <x:t xml:space="preserve">有色金属</x:t>
        </x:is>
      </x:c>
      <x:c r="I2104" s="2" t="inlineStr">
        <x:is>
          <x:t xml:space="preserve">2020-05-18</x:t>
        </x:is>
      </x:c>
      <x:c r="J2104" s="3" t="inlineStr">
        <x:is>
          <x:t xml:space="preserve">清远市高新技术产业开发区泰基工业城</x:t>
        </x:is>
      </x:c>
      <x:c r="K2104" s="12" t="str">
        <x:f>LEFT("91441800765734276T",18)</x:f>
        <x:v>91441800765734276T</x:v>
      </x:c>
    </x:row>
    <x:row r="2105">
      <x:c r="A2105" s="4" t="n">
        <x:v>2104</x:v>
      </x:c>
      <x:c r="B2105" s="4" t="inlineStr">
        <x:is>
          <x:t xml:space="preserve">002989</x:t>
        </x:is>
      </x:c>
      <x:c r="C2105" s="5" t="inlineStr">
        <x:is>
          <x:t xml:space="preserve">中天精装</x:t>
        </x:is>
      </x:c>
      <x:c r="D2105" s="5" t="inlineStr">
        <x:is>
          <x:t xml:space="preserve">深圳中天精装股份有限公司</x:t>
        </x:is>
      </x:c>
      <x:c r="E2105" s="4" t="inlineStr">
        <x:is>
          <x:t xml:space="preserve">广东省</x:t>
        </x:is>
      </x:c>
      <x:c r="F2105" s="4" t="inlineStr">
        <x:is>
          <x:t xml:space="preserve">深圳市</x:t>
        </x:is>
      </x:c>
      <x:c r="G2105" s="5" t="inlineStr">
        <x:is>
          <x:t xml:space="preserve">广东省-深圳市</x:t>
        </x:is>
      </x:c>
      <x:c r="H2105" s="4" t="inlineStr">
        <x:is>
          <x:t xml:space="preserve">装修装饰</x:t>
        </x:is>
      </x:c>
      <x:c r="I2105" s="4" t="inlineStr">
        <x:is>
          <x:t xml:space="preserve">2020-06-10</x:t>
        </x:is>
      </x:c>
      <x:c r="J2105" s="5" t="inlineStr">
        <x:is>
          <x:t xml:space="preserve">深圳市福田区车公庙泰然八路深业泰然大厦C座8楼</x:t>
        </x:is>
      </x:c>
      <x:c r="K2105" s="12" t="str">
        <x:f>LEFT("91440300724738801E",18)</x:f>
        <x:v>91440300724738801E</x:v>
      </x:c>
    </x:row>
    <x:row r="2106">
      <x:c r="A2106" s="2" t="n">
        <x:v>2105</x:v>
      </x:c>
      <x:c r="B2106" s="2" t="inlineStr">
        <x:is>
          <x:t xml:space="preserve">002990</x:t>
        </x:is>
      </x:c>
      <x:c r="C2106" s="3" t="inlineStr">
        <x:is>
          <x:t xml:space="preserve">盛视科技</x:t>
        </x:is>
      </x:c>
      <x:c r="D2106" s="3" t="inlineStr">
        <x:is>
          <x:t xml:space="preserve">盛视科技股份有限公司</x:t>
        </x:is>
      </x:c>
      <x:c r="E2106" s="2" t="inlineStr">
        <x:is>
          <x:t xml:space="preserve">广东省</x:t>
        </x:is>
      </x:c>
      <x:c r="F2106" s="2" t="inlineStr">
        <x:is>
          <x:t xml:space="preserve">深圳市</x:t>
        </x:is>
      </x:c>
      <x:c r="G2106" s="3" t="inlineStr">
        <x:is>
          <x:t xml:space="preserve">广东省-深圳市</x:t>
        </x:is>
      </x:c>
      <x:c r="H2106" s="2" t="inlineStr">
        <x:is>
          <x:t xml:space="preserve">互联网服务</x:t>
        </x:is>
      </x:c>
      <x:c r="I2106" s="2" t="inlineStr">
        <x:is>
          <x:t xml:space="preserve">2020-05-25</x:t>
        </x:is>
      </x:c>
      <x:c r="J2106" s="3" t="inlineStr">
        <x:is>
          <x:t xml:space="preserve">深圳市福田区沙头街道天安社区泰然七路25号泰然苍松大厦十七层1705</x:t>
        </x:is>
      </x:c>
      <x:c r="K2106" s="12" t="str">
        <x:f>LEFT("914403002793071563",18)</x:f>
        <x:v>914403002793071600</x:v>
      </x:c>
    </x:row>
    <x:row r="2107">
      <x:c r="A2107" s="4" t="n">
        <x:v>2106</x:v>
      </x:c>
      <x:c r="B2107" s="4" t="inlineStr">
        <x:is>
          <x:t xml:space="preserve">002992</x:t>
        </x:is>
      </x:c>
      <x:c r="C2107" s="5" t="inlineStr">
        <x:is>
          <x:t xml:space="preserve">宝明科技</x:t>
        </x:is>
      </x:c>
      <x:c r="D2107" s="5" t="inlineStr">
        <x:is>
          <x:t xml:space="preserve">深圳市宝明科技股份有限公司</x:t>
        </x:is>
      </x:c>
      <x:c r="E2107" s="4" t="inlineStr">
        <x:is>
          <x:t xml:space="preserve">广东省</x:t>
        </x:is>
      </x:c>
      <x:c r="F2107" s="4" t="inlineStr">
        <x:is>
          <x:t xml:space="preserve">深圳市</x:t>
        </x:is>
      </x:c>
      <x:c r="G2107" s="5" t="inlineStr">
        <x:is>
          <x:t xml:space="preserve">广东省-深圳市</x:t>
        </x:is>
      </x:c>
      <x:c r="H2107" s="4" t="inlineStr">
        <x:is>
          <x:t xml:space="preserve">光学光电子</x:t>
        </x:is>
      </x:c>
      <x:c r="I2107" s="4" t="inlineStr">
        <x:is>
          <x:t xml:space="preserve">2020-08-03</x:t>
        </x:is>
      </x:c>
      <x:c r="J2107" s="5" t="inlineStr">
        <x:is>
          <x:t xml:space="preserve">深圳市龙华区民治街道北站社区汇隆商务中心2号楼3001</x:t>
        </x:is>
      </x:c>
      <x:c r="K2107" s="12" t="str">
        <x:f>LEFT("91440300790476774P",18)</x:f>
        <x:v>91440300790476774P</x:v>
      </x:c>
    </x:row>
    <x:row r="2108">
      <x:c r="A2108" s="2" t="n">
        <x:v>2107</x:v>
      </x:c>
      <x:c r="B2108" s="2" t="inlineStr">
        <x:is>
          <x:t xml:space="preserve">002993</x:t>
        </x:is>
      </x:c>
      <x:c r="C2108" s="3" t="inlineStr">
        <x:is>
          <x:t xml:space="preserve">奥海科技</x:t>
        </x:is>
      </x:c>
      <x:c r="D2108" s="3" t="inlineStr">
        <x:is>
          <x:t xml:space="preserve">东莞市奥海科技股份有限公司</x:t>
        </x:is>
      </x:c>
      <x:c r="E2108" s="2" t="inlineStr">
        <x:is>
          <x:t xml:space="preserve">广东省</x:t>
        </x:is>
      </x:c>
      <x:c r="F2108" s="2" t="inlineStr">
        <x:is>
          <x:t xml:space="preserve">东莞市</x:t>
        </x:is>
      </x:c>
      <x:c r="G2108" s="3" t="inlineStr">
        <x:is>
          <x:t xml:space="preserve">广东省-东莞市</x:t>
        </x:is>
      </x:c>
      <x:c r="H2108" s="2" t="inlineStr">
        <x:is>
          <x:t xml:space="preserve">消费电子</x:t>
        </x:is>
      </x:c>
      <x:c r="I2108" s="2" t="inlineStr">
        <x:is>
          <x:t xml:space="preserve">2020-08-17</x:t>
        </x:is>
      </x:c>
      <x:c r="J2108" s="3" t="inlineStr">
        <x:is>
          <x:t xml:space="preserve">东莞市塘厦镇蛟乙塘振龙东路6号</x:t>
        </x:is>
      </x:c>
      <x:c r="K2108" s="12" t="str">
        <x:f>LEFT("91441900590133320P",18)</x:f>
        <x:v>91441900590133320P</x:v>
      </x:c>
    </x:row>
    <x:row r="2109">
      <x:c r="A2109" s="4" t="n">
        <x:v>2108</x:v>
      </x:c>
      <x:c r="B2109" s="4" t="inlineStr">
        <x:is>
          <x:t xml:space="preserve">002999</x:t>
        </x:is>
      </x:c>
      <x:c r="C2109" s="5" t="inlineStr">
        <x:is>
          <x:t xml:space="preserve">天禾股份</x:t>
        </x:is>
      </x:c>
      <x:c r="D2109" s="5" t="inlineStr">
        <x:is>
          <x:t xml:space="preserve">广东天禾农资股份有限公司</x:t>
        </x:is>
      </x:c>
      <x:c r="E2109" s="4" t="inlineStr">
        <x:is>
          <x:t xml:space="preserve">广东省</x:t>
        </x:is>
      </x:c>
      <x:c r="F2109" s="4" t="inlineStr">
        <x:is>
          <x:t xml:space="preserve">广州市</x:t>
        </x:is>
      </x:c>
      <x:c r="G2109" s="5" t="inlineStr">
        <x:is>
          <x:t xml:space="preserve">广东省-广州市</x:t>
        </x:is>
      </x:c>
      <x:c r="H2109" s="4" t="inlineStr">
        <x:is>
          <x:t xml:space="preserve">化肥行业</x:t>
        </x:is>
      </x:c>
      <x:c r="I2109" s="4" t="inlineStr">
        <x:is>
          <x:t xml:space="preserve">2020-09-03</x:t>
        </x:is>
      </x:c>
      <x:c r="J2109" s="5" t="inlineStr">
        <x:is>
          <x:t xml:space="preserve">广州市越秀区东风东路709号</x:t>
        </x:is>
      </x:c>
      <x:c r="K2109" s="12" t="str">
        <x:f>LEFT("91440000685245560D",18)</x:f>
        <x:v>91440000685245560D</x:v>
      </x:c>
    </x:row>
    <x:row r="2110">
      <x:c r="A2110" s="2" t="n">
        <x:v>2109</x:v>
      </x:c>
      <x:c r="B2110" s="2" t="inlineStr">
        <x:is>
          <x:t xml:space="preserve">003003</x:t>
        </x:is>
      </x:c>
      <x:c r="C2110" s="3" t="inlineStr">
        <x:is>
          <x:t xml:space="preserve">天元股份</x:t>
        </x:is>
      </x:c>
      <x:c r="D2110" s="3" t="inlineStr">
        <x:is>
          <x:t xml:space="preserve">广东天元实业集团股份有限公司</x:t>
        </x:is>
      </x:c>
      <x:c r="E2110" s="2" t="inlineStr">
        <x:is>
          <x:t xml:space="preserve">广东省</x:t>
        </x:is>
      </x:c>
      <x:c r="F2110" s="2" t="inlineStr">
        <x:is>
          <x:t xml:space="preserve">东莞市</x:t>
        </x:is>
      </x:c>
      <x:c r="G2110" s="3" t="inlineStr">
        <x:is>
          <x:t xml:space="preserve">广东省-东莞市</x:t>
        </x:is>
      </x:c>
      <x:c r="H2110" s="2" t="inlineStr">
        <x:is>
          <x:t xml:space="preserve">包装材料</x:t>
        </x:is>
      </x:c>
      <x:c r="I2110" s="2" t="inlineStr">
        <x:is>
          <x:t xml:space="preserve">2020-09-21</x:t>
        </x:is>
      </x:c>
      <x:c r="J2110" s="3" t="inlineStr">
        <x:is>
          <x:t xml:space="preserve">广东省东莞市清溪镇青滨东路128号</x:t>
        </x:is>
      </x:c>
      <x:c r="K2110" s="12" t="str">
        <x:f>LEFT("91441900699792784T",18)</x:f>
        <x:v>91441900699792784T</x:v>
      </x:c>
    </x:row>
    <x:row r="2111">
      <x:c r="A2111" s="4" t="n">
        <x:v>2110</x:v>
      </x:c>
      <x:c r="B2111" s="4" t="inlineStr">
        <x:is>
          <x:t xml:space="preserve">003010</x:t>
        </x:is>
      </x:c>
      <x:c r="C2111" s="5" t="inlineStr">
        <x:is>
          <x:t xml:space="preserve">若羽臣</x:t>
        </x:is>
      </x:c>
      <x:c r="D2111" s="5" t="inlineStr">
        <x:is>
          <x:t xml:space="preserve">广州若羽臣科技股份有限公司</x:t>
        </x:is>
      </x:c>
      <x:c r="E2111" s="4" t="inlineStr">
        <x:is>
          <x:t xml:space="preserve">广东省</x:t>
        </x:is>
      </x:c>
      <x:c r="F2111" s="4" t="inlineStr">
        <x:is>
          <x:t xml:space="preserve">广州市</x:t>
        </x:is>
      </x:c>
      <x:c r="G2111" s="5" t="inlineStr">
        <x:is>
          <x:t xml:space="preserve">广东省-广州市</x:t>
        </x:is>
      </x:c>
      <x:c r="H2111" s="4" t="inlineStr">
        <x:is>
          <x:t xml:space="preserve">电子信息</x:t>
        </x:is>
      </x:c>
      <x:c r="I2111" s="4" t="inlineStr">
        <x:is>
          <x:t xml:space="preserve">2020-09-25</x:t>
        </x:is>
      </x:c>
      <x:c r="J2111" s="5" t="inlineStr">
        <x:is>
          <x:t xml:space="preserve">广州市黄埔区大沙地东319号607房自编A</x:t>
        </x:is>
      </x:c>
      <x:c r="K2111" s="12" t="str">
        <x:f>LEFT("91440101574030356J",18)</x:f>
        <x:v>91440101574030356J</x:v>
      </x:c>
    </x:row>
    <x:row r="2112">
      <x:c r="A2112" s="2" t="n">
        <x:v>2111</x:v>
      </x:c>
      <x:c r="B2112" s="2" t="inlineStr">
        <x:is>
          <x:t xml:space="preserve">003012</x:t>
        </x:is>
      </x:c>
      <x:c r="C2112" s="3" t="inlineStr">
        <x:is>
          <x:t xml:space="preserve">东鹏控股</x:t>
        </x:is>
      </x:c>
      <x:c r="D2112" s="3" t="inlineStr">
        <x:is>
          <x:t xml:space="preserve">广东东鹏控股股份有限公司</x:t>
        </x:is>
      </x:c>
      <x:c r="E2112" s="2" t="inlineStr">
        <x:is>
          <x:t xml:space="preserve">广东省</x:t>
        </x:is>
      </x:c>
      <x:c r="F2112" s="2" t="inlineStr">
        <x:is>
          <x:t xml:space="preserve">清远市</x:t>
        </x:is>
      </x:c>
      <x:c r="G2112" s="3" t="inlineStr">
        <x:is>
          <x:t xml:space="preserve">广东省-清远市</x:t>
        </x:is>
      </x:c>
      <x:c r="H2112" s="2" t="inlineStr">
        <x:is>
          <x:t xml:space="preserve">装修建材</x:t>
        </x:is>
      </x:c>
      <x:c r="I2112" s="2" t="inlineStr">
        <x:is>
          <x:t xml:space="preserve">2020-10-19</x:t>
        </x:is>
      </x:c>
      <x:c r="J2112" s="3" t="inlineStr">
        <x:is>
          <x:t xml:space="preserve">清远市高新技术开发区陶瓷工业城内</x:t>
        </x:is>
      </x:c>
      <x:c r="K2112" s="12" t="str">
        <x:f>LEFT("914418005847345763",18)</x:f>
        <x:v>914418005847345800</x:v>
      </x:c>
    </x:row>
    <x:row r="2113">
      <x:c r="A2113" s="4" t="n">
        <x:v>2112</x:v>
      </x:c>
      <x:c r="B2113" s="4" t="inlineStr">
        <x:is>
          <x:t xml:space="preserve">003013</x:t>
        </x:is>
      </x:c>
      <x:c r="C2113" s="5" t="inlineStr">
        <x:is>
          <x:t xml:space="preserve">地铁设计</x:t>
        </x:is>
      </x:c>
      <x:c r="D2113" s="5" t="inlineStr">
        <x:is>
          <x:t xml:space="preserve">广州地铁设计研究院股份有限公司</x:t>
        </x:is>
      </x:c>
      <x:c r="E2113" s="4" t="inlineStr">
        <x:is>
          <x:t xml:space="preserve">广东省</x:t>
        </x:is>
      </x:c>
      <x:c r="F2113" s="4" t="inlineStr">
        <x:is>
          <x:t xml:space="preserve">广州市</x:t>
        </x:is>
      </x:c>
      <x:c r="G2113" s="5" t="inlineStr">
        <x:is>
          <x:t xml:space="preserve">广东省-广州市</x:t>
        </x:is>
      </x:c>
      <x:c r="H2113" s="4" t="inlineStr">
        <x:is>
          <x:t xml:space="preserve">工程咨询服务</x:t>
        </x:is>
      </x:c>
      <x:c r="I2113" s="4" t="inlineStr">
        <x:is>
          <x:t xml:space="preserve">2020-10-22</x:t>
        </x:is>
      </x:c>
      <x:c r="J2113" s="5" t="inlineStr">
        <x:is>
          <x:t xml:space="preserve">广州市白云区云城北二路129号地铁设计大厦</x:t>
        </x:is>
      </x:c>
      <x:c r="K2113" s="12" t="str">
        <x:f>LEFT("91440101190517616D",18)</x:f>
        <x:v>91440101190517616D</x:v>
      </x:c>
    </x:row>
    <x:row r="2114">
      <x:c r="A2114" s="2" t="n">
        <x:v>2113</x:v>
      </x:c>
      <x:c r="B2114" s="2" t="inlineStr">
        <x:is>
          <x:t xml:space="preserve">003018</x:t>
        </x:is>
      </x:c>
      <x:c r="C2114" s="3" t="inlineStr">
        <x:is>
          <x:t xml:space="preserve">金富科技</x:t>
        </x:is>
      </x:c>
      <x:c r="D2114" s="3" t="inlineStr">
        <x:is>
          <x:t xml:space="preserve">金富科技股份有限公司</x:t>
        </x:is>
      </x:c>
      <x:c r="E2114" s="2" t="inlineStr">
        <x:is>
          <x:t xml:space="preserve">广东省</x:t>
        </x:is>
      </x:c>
      <x:c r="F2114" s="2" t="inlineStr">
        <x:is>
          <x:t xml:space="preserve">东莞市</x:t>
        </x:is>
      </x:c>
      <x:c r="G2114" s="3" t="inlineStr">
        <x:is>
          <x:t xml:space="preserve">广东省-东莞市</x:t>
        </x:is>
      </x:c>
      <x:c r="H2114" s="2" t="inlineStr">
        <x:is>
          <x:t xml:space="preserve">塑胶制品</x:t>
        </x:is>
      </x:c>
      <x:c r="I2114" s="2" t="inlineStr">
        <x:is>
          <x:t xml:space="preserve">2020-11-06</x:t>
        </x:is>
      </x:c>
      <x:c r="J2114" s="3" t="inlineStr">
        <x:is>
          <x:t xml:space="preserve">广东省东莞市厚街镇恒通路10号</x:t>
        </x:is>
      </x:c>
      <x:c r="K2114" s="12" t="str">
        <x:f>LEFT("91441900726525623G",18)</x:f>
        <x:v>91441900726525623G</x:v>
      </x:c>
    </x:row>
    <x:row r="2115">
      <x:c r="A2115" s="4" t="n">
        <x:v>2114</x:v>
      </x:c>
      <x:c r="B2115" s="4" t="inlineStr">
        <x:is>
          <x:t xml:space="preserve">003021</x:t>
        </x:is>
      </x:c>
      <x:c r="C2115" s="5" t="inlineStr">
        <x:is>
          <x:t xml:space="preserve">兆威机电</x:t>
        </x:is>
      </x:c>
      <x:c r="D2115" s="5" t="inlineStr">
        <x:is>
          <x:t xml:space="preserve">深圳市兆威机电股份有限公司</x:t>
        </x:is>
      </x:c>
      <x:c r="E2115" s="4" t="inlineStr">
        <x:is>
          <x:t xml:space="preserve">广东省</x:t>
        </x:is>
      </x:c>
      <x:c r="F2115" s="4" t="inlineStr">
        <x:is>
          <x:t xml:space="preserve">深圳市</x:t>
        </x:is>
      </x:c>
      <x:c r="G2115" s="5" t="inlineStr">
        <x:is>
          <x:t xml:space="preserve">广东省-深圳市</x:t>
        </x:is>
      </x:c>
      <x:c r="H2115" s="4" t="inlineStr">
        <x:is>
          <x:t xml:space="preserve">电机</x:t>
        </x:is>
      </x:c>
      <x:c r="I2115" s="4" t="inlineStr">
        <x:is>
          <x:t xml:space="preserve">2020-12-04</x:t>
        </x:is>
      </x:c>
      <x:c r="J2115" s="5" t="inlineStr">
        <x:is>
          <x:t xml:space="preserve">深圳市宝安区燕罗街道燕川社区燕湖路62号办公楼101</x:t>
        </x:is>
      </x:c>
      <x:c r="K2115" s="12" t="str">
        <x:f>LEFT("91440300728548191B",18)</x:f>
        <x:v>91440300728548191B</x:v>
      </x:c>
    </x:row>
    <x:row r="2116">
      <x:c r="A2116" s="2" t="n">
        <x:v>2115</x:v>
      </x:c>
      <x:c r="B2116" s="2" t="inlineStr">
        <x:is>
          <x:t xml:space="preserve">003028</x:t>
        </x:is>
      </x:c>
      <x:c r="C2116" s="3" t="inlineStr">
        <x:is>
          <x:t xml:space="preserve">振邦智能</x:t>
        </x:is>
      </x:c>
      <x:c r="D2116" s="3" t="inlineStr">
        <x:is>
          <x:t xml:space="preserve">深圳市振邦智能科技股份有限公司</x:t>
        </x:is>
      </x:c>
      <x:c r="E2116" s="2" t="inlineStr">
        <x:is>
          <x:t xml:space="preserve">广东省</x:t>
        </x:is>
      </x:c>
      <x:c r="F2116" s="2" t="inlineStr">
        <x:is>
          <x:t xml:space="preserve">深圳市</x:t>
        </x:is>
      </x:c>
      <x:c r="G2116" s="3" t="inlineStr">
        <x:is>
          <x:t xml:space="preserve">广东省-深圳市</x:t>
        </x:is>
      </x:c>
      <x:c r="H2116" s="2" t="inlineStr">
        <x:is>
          <x:t xml:space="preserve">消费电子</x:t>
        </x:is>
      </x:c>
      <x:c r="I2116" s="2" t="inlineStr">
        <x:is>
          <x:t xml:space="preserve">2020-12-28</x:t>
        </x:is>
      </x:c>
      <x:c r="J2116" s="3" t="inlineStr">
        <x:is>
          <x:t xml:space="preserve">深圳市光明区玉塘街道长圳社区长悦路2号振为科技园1栋1-13层、2栋8-10层</x:t>
        </x:is>
      </x:c>
      <x:c r="K2116" s="12" t="str">
        <x:f>LEFT("9144030071521706XE",18)</x:f>
        <x:v>9144030071521706XE</x:v>
      </x:c>
    </x:row>
    <x:row r="2117">
      <x:c r="A2117" s="4" t="n">
        <x:v>2116</x:v>
      </x:c>
      <x:c r="B2117" s="4" t="inlineStr">
        <x:is>
          <x:t xml:space="preserve">003035</x:t>
        </x:is>
      </x:c>
      <x:c r="C2117" s="5" t="inlineStr">
        <x:is>
          <x:t xml:space="preserve">南网能源</x:t>
        </x:is>
      </x:c>
      <x:c r="D2117" s="5" t="inlineStr">
        <x:is>
          <x:t xml:space="preserve">南方电网综合能源股份有限公司</x:t>
        </x:is>
      </x:c>
      <x:c r="E2117" s="4" t="inlineStr">
        <x:is>
          <x:t xml:space="preserve">广东省</x:t>
        </x:is>
      </x:c>
      <x:c r="F2117" s="4" t="inlineStr">
        <x:is>
          <x:t xml:space="preserve">广州市</x:t>
        </x:is>
      </x:c>
      <x:c r="G2117" s="5" t="inlineStr">
        <x:is>
          <x:t xml:space="preserve">广东省-广州市</x:t>
        </x:is>
      </x:c>
      <x:c r="H2117" s="4" t="inlineStr">
        <x:is>
          <x:t xml:space="preserve">专业服务</x:t>
        </x:is>
      </x:c>
      <x:c r="I2117" s="4" t="inlineStr">
        <x:is>
          <x:t xml:space="preserve">2021-01-19</x:t>
        </x:is>
      </x:c>
      <x:c r="J2117" s="5" t="inlineStr">
        <x:is>
          <x:t xml:space="preserve">广东省广州开发区香山路2号、科翔路11号(自编1栋1-01房)</x:t>
        </x:is>
      </x:c>
      <x:c r="K2117" s="12" t="str">
        <x:f>LEFT("914400005666840936",18)</x:f>
        <x:v>914400005666841000</x:v>
      </x:c>
    </x:row>
    <x:row r="2118">
      <x:c r="A2118" s="2" t="n">
        <x:v>2117</x:v>
      </x:c>
      <x:c r="B2118" s="2" t="inlineStr">
        <x:is>
          <x:t xml:space="preserve">003037</x:t>
        </x:is>
      </x:c>
      <x:c r="C2118" s="3" t="inlineStr">
        <x:is>
          <x:t xml:space="preserve">三和管桩</x:t>
        </x:is>
      </x:c>
      <x:c r="D2118" s="3" t="inlineStr">
        <x:is>
          <x:t xml:space="preserve">广东三和管桩股份有限公司</x:t>
        </x:is>
      </x:c>
      <x:c r="E2118" s="2" t="inlineStr">
        <x:is>
          <x:t xml:space="preserve">广东省</x:t>
        </x:is>
      </x:c>
      <x:c r="F2118" s="2" t="inlineStr">
        <x:is>
          <x:t xml:space="preserve">中山市</x:t>
        </x:is>
      </x:c>
      <x:c r="G2118" s="3" t="inlineStr">
        <x:is>
          <x:t xml:space="preserve">广东省-中山市</x:t>
        </x:is>
      </x:c>
      <x:c r="H2118" s="2" t="inlineStr">
        <x:is>
          <x:t xml:space="preserve">水泥建材</x:t>
        </x:is>
      </x:c>
      <x:c r="I2118" s="2" t="inlineStr">
        <x:is>
          <x:t xml:space="preserve">2021-02-04</x:t>
        </x:is>
      </x:c>
      <x:c r="J2118" s="3" t="inlineStr">
        <x:is>
          <x:t xml:space="preserve">广东省中山市小榄镇同兴东路30号</x:t>
        </x:is>
      </x:c>
      <x:c r="K2118" s="12" t="str">
        <x:f>LEFT("91442000755618423K",18)</x:f>
        <x:v>91442000755618423K</x:v>
      </x:c>
    </x:row>
    <x:row r="2119">
      <x:c r="A2119" s="4" t="n">
        <x:v>2118</x:v>
      </x:c>
      <x:c r="B2119" s="4" t="inlineStr">
        <x:is>
          <x:t xml:space="preserve">003039</x:t>
        </x:is>
      </x:c>
      <x:c r="C2119" s="5" t="inlineStr">
        <x:is>
          <x:t xml:space="preserve">顺控发展</x:t>
        </x:is>
      </x:c>
      <x:c r="D2119" s="5" t="inlineStr">
        <x:is>
          <x:t xml:space="preserve">广东顺控发展股份有限公司</x:t>
        </x:is>
      </x:c>
      <x:c r="E2119" s="4" t="inlineStr">
        <x:is>
          <x:t xml:space="preserve">广东省</x:t>
        </x:is>
      </x:c>
      <x:c r="F2119" s="4" t="inlineStr">
        <x:is>
          <x:t xml:space="preserve">佛山市</x:t>
        </x:is>
      </x:c>
      <x:c r="G2119" s="5" t="inlineStr">
        <x:is>
          <x:t xml:space="preserve">广东省-佛山市</x:t>
        </x:is>
      </x:c>
      <x:c r="H2119" s="4" t="inlineStr">
        <x:is>
          <x:t xml:space="preserve">公用事业</x:t>
        </x:is>
      </x:c>
      <x:c r="I2119" s="4" t="inlineStr">
        <x:is>
          <x:t xml:space="preserve">2021-03-08</x:t>
        </x:is>
      </x:c>
      <x:c r="J2119" s="5" t="inlineStr">
        <x:is>
          <x:t xml:space="preserve">佛山市顺德区大良街道办事处德和社区居民委员会新城区观绿路4号恒实置业广场1号楼1901-1905、20层</x:t>
        </x:is>
      </x:c>
      <x:c r="K2119" s="12" t="str">
        <x:f>LEFT("91440606279985694J",18)</x:f>
        <x:v>91440606279985694J</x:v>
      </x:c>
    </x:row>
    <x:row r="2120">
      <x:c r="A2120" s="2" t="n">
        <x:v>2119</x:v>
      </x:c>
      <x:c r="B2120" s="2" t="inlineStr">
        <x:is>
          <x:t xml:space="preserve">003040</x:t>
        </x:is>
      </x:c>
      <x:c r="C2120" s="3" t="inlineStr">
        <x:is>
          <x:t xml:space="preserve">楚天龙</x:t>
        </x:is>
      </x:c>
      <x:c r="D2120" s="3" t="inlineStr">
        <x:is>
          <x:t xml:space="preserve">楚天龙股份有限公司</x:t>
        </x:is>
      </x:c>
      <x:c r="E2120" s="2" t="inlineStr">
        <x:is>
          <x:t xml:space="preserve">广东省</x:t>
        </x:is>
      </x:c>
      <x:c r="F2120" s="2" t="inlineStr">
        <x:is>
          <x:t xml:space="preserve">东莞市</x:t>
        </x:is>
      </x:c>
      <x:c r="G2120" s="3" t="inlineStr">
        <x:is>
          <x:t xml:space="preserve">广东省-东莞市</x:t>
        </x:is>
      </x:c>
      <x:c r="H2120" s="2" t="inlineStr">
        <x:is>
          <x:t xml:space="preserve">通信设备</x:t>
        </x:is>
      </x:c>
      <x:c r="I2120" s="2" t="inlineStr">
        <x:is>
          <x:t xml:space="preserve">2021-03-22</x:t>
        </x:is>
      </x:c>
      <x:c r="J2120" s="3" t="inlineStr">
        <x:is>
          <x:t xml:space="preserve">广东省东莞市凤岗镇竹尾田易发工业区</x:t>
        </x:is>
      </x:c>
      <x:c r="K2120" s="12" t="str">
        <x:f>LEFT("914419007436747351",18)</x:f>
        <x:v>914419007436747400</x:v>
      </x:c>
    </x:row>
    <x:row r="2121">
      <x:c r="A2121" s="4" t="n">
        <x:v>2120</x:v>
      </x:c>
      <x:c r="B2121" s="4" t="inlineStr">
        <x:is>
          <x:t xml:space="preserve">003816</x:t>
        </x:is>
      </x:c>
      <x:c r="C2121" s="5" t="inlineStr">
        <x:is>
          <x:t xml:space="preserve">中国广核</x:t>
        </x:is>
      </x:c>
      <x:c r="D2121" s="5" t="inlineStr">
        <x:is>
          <x:t xml:space="preserve">中国广核电力股份有限公司</x:t>
        </x:is>
      </x:c>
      <x:c r="E2121" s="4" t="inlineStr">
        <x:is>
          <x:t xml:space="preserve">广东省</x:t>
        </x:is>
      </x:c>
      <x:c r="F2121" s="4" t="inlineStr">
        <x:is>
          <x:t xml:space="preserve">深圳市</x:t>
        </x:is>
      </x:c>
      <x:c r="G2121" s="5" t="inlineStr">
        <x:is>
          <x:t xml:space="preserve">广东省-深圳市</x:t>
        </x:is>
      </x:c>
      <x:c r="H2121" s="4" t="inlineStr">
        <x:is>
          <x:t xml:space="preserve">电力行业</x:t>
        </x:is>
      </x:c>
      <x:c r="I2121" s="4" t="inlineStr">
        <x:is>
          <x:t xml:space="preserve">2019-08-26</x:t>
        </x:is>
      </x:c>
      <x:c r="J2121" s="5" t="inlineStr">
        <x:is>
          <x:t xml:space="preserve">中国广东省深圳市福田区深南大道2002号中广核大厦南楼18楼</x:t>
        </x:is>
      </x:c>
      <x:c r="K2121" s="12" t="str">
        <x:f>LEFT("91440300093677087R",18)</x:f>
        <x:v>91440300093677087R</x:v>
      </x:c>
    </x:row>
    <x:row r="2122">
      <x:c r="A2122" s="2" t="n">
        <x:v>2121</x:v>
      </x:c>
      <x:c r="B2122" s="2" t="inlineStr">
        <x:is>
          <x:t xml:space="preserve">300004</x:t>
        </x:is>
      </x:c>
      <x:c r="C2122" s="3" t="inlineStr">
        <x:is>
          <x:t xml:space="preserve">南风股份</x:t>
        </x:is>
      </x:c>
      <x:c r="D2122" s="3" t="inlineStr">
        <x:is>
          <x:t xml:space="preserve">南方风机股份有限公司</x:t>
        </x:is>
      </x:c>
      <x:c r="E2122" s="2" t="inlineStr">
        <x:is>
          <x:t xml:space="preserve">广东省</x:t>
        </x:is>
      </x:c>
      <x:c r="F2122" s="2" t="inlineStr">
        <x:is>
          <x:t xml:space="preserve">佛山市</x:t>
        </x:is>
      </x:c>
      <x:c r="G2122" s="3" t="inlineStr">
        <x:is>
          <x:t xml:space="preserve">广东省-佛山市</x:t>
        </x:is>
      </x:c>
      <x:c r="H2122" s="2" t="inlineStr">
        <x:is>
          <x:t xml:space="preserve">专用设备</x:t>
        </x:is>
      </x:c>
      <x:c r="I2122" s="2" t="inlineStr">
        <x:is>
          <x:t xml:space="preserve">2009-10-30</x:t>
        </x:is>
      </x:c>
      <x:c r="J2122" s="3" t="inlineStr">
        <x:is>
          <x:t xml:space="preserve">佛山市南海区小塘三环西路(狮南段)31号</x:t>
        </x:is>
      </x:c>
      <x:c r="K2122" s="12" t="str">
        <x:f>LEFT("914406007192139717",18)</x:f>
        <x:v>914406007192139800</x:v>
      </x:c>
    </x:row>
    <x:row r="2123">
      <x:c r="A2123" s="4" t="n">
        <x:v>2122</x:v>
      </x:c>
      <x:c r="B2123" s="4" t="inlineStr">
        <x:is>
          <x:t xml:space="preserve">300012</x:t>
        </x:is>
      </x:c>
      <x:c r="C2123" s="5" t="inlineStr">
        <x:is>
          <x:t xml:space="preserve">华测检测</x:t>
        </x:is>
      </x:c>
      <x:c r="D2123" s="5" t="inlineStr">
        <x:is>
          <x:t xml:space="preserve">华测检测认证集团股份有限公司</x:t>
        </x:is>
      </x:c>
      <x:c r="E2123" s="4" t="inlineStr">
        <x:is>
          <x:t xml:space="preserve">广东省</x:t>
        </x:is>
      </x:c>
      <x:c r="F2123" s="4" t="inlineStr">
        <x:is>
          <x:t xml:space="preserve">深圳市</x:t>
        </x:is>
      </x:c>
      <x:c r="G2123" s="5" t="inlineStr">
        <x:is>
          <x:t xml:space="preserve">广东省-深圳市</x:t>
        </x:is>
      </x:c>
      <x:c r="H2123" s="4" t="inlineStr">
        <x:is>
          <x:t xml:space="preserve">专业服务</x:t>
        </x:is>
      </x:c>
      <x:c r="I2123" s="4" t="inlineStr">
        <x:is>
          <x:t xml:space="preserve">2009-10-30</x:t>
        </x:is>
      </x:c>
      <x:c r="J2123" s="5" t="inlineStr">
        <x:is>
          <x:t xml:space="preserve">深圳市宝安区新安街道兴东社区华测检测大楼1号楼101</x:t>
        </x:is>
      </x:c>
      <x:c r="K2123" s="12" t="str">
        <x:f>LEFT("91440300757618160G",18)</x:f>
        <x:v>91440300757618160G</x:v>
      </x:c>
    </x:row>
    <x:row r="2124">
      <x:c r="A2124" s="2" t="n">
        <x:v>2123</x:v>
      </x:c>
      <x:c r="B2124" s="2" t="inlineStr">
        <x:is>
          <x:t xml:space="preserve">300014</x:t>
        </x:is>
      </x:c>
      <x:c r="C2124" s="3" t="inlineStr">
        <x:is>
          <x:t xml:space="preserve">亿纬锂能</x:t>
        </x:is>
      </x:c>
      <x:c r="D2124" s="3" t="inlineStr">
        <x:is>
          <x:t xml:space="preserve">惠州亿纬锂能股份有限公司</x:t>
        </x:is>
      </x:c>
      <x:c r="E2124" s="2" t="inlineStr">
        <x:is>
          <x:t xml:space="preserve">广东省</x:t>
        </x:is>
      </x:c>
      <x:c r="F2124" s="2" t="inlineStr">
        <x:is>
          <x:t xml:space="preserve">惠州市</x:t>
        </x:is>
      </x:c>
      <x:c r="G2124" s="3" t="inlineStr">
        <x:is>
          <x:t xml:space="preserve">广东省-惠州市</x:t>
        </x:is>
      </x:c>
      <x:c r="H2124" s="2" t="inlineStr">
        <x:is>
          <x:t xml:space="preserve">电池</x:t>
        </x:is>
      </x:c>
      <x:c r="I2124" s="2" t="inlineStr">
        <x:is>
          <x:t xml:space="preserve">2009-10-30</x:t>
        </x:is>
      </x:c>
      <x:c r="J2124" s="3" t="inlineStr">
        <x:is>
          <x:t xml:space="preserve">惠州市仲恺高新区惠风七路38号</x:t>
        </x:is>
      </x:c>
      <x:c r="K2124" s="12" t="str">
        <x:f>LEFT("91441300734122111K",18)</x:f>
        <x:v>91441300734122111K</x:v>
      </x:c>
    </x:row>
    <x:row r="2125">
      <x:c r="A2125" s="4" t="n">
        <x:v>2124</x:v>
      </x:c>
      <x:c r="B2125" s="4" t="inlineStr">
        <x:is>
          <x:t xml:space="preserve">300030</x:t>
        </x:is>
      </x:c>
      <x:c r="C2125" s="5" t="inlineStr">
        <x:is>
          <x:t xml:space="preserve">阳普医疗</x:t>
        </x:is>
      </x:c>
      <x:c r="D2125" s="5" t="inlineStr">
        <x:is>
          <x:t xml:space="preserve">阳普医疗科技股份有限公司</x:t>
        </x:is>
      </x:c>
      <x:c r="E2125" s="4" t="inlineStr">
        <x:is>
          <x:t xml:space="preserve">广东省</x:t>
        </x:is>
      </x:c>
      <x:c r="F2125" s="4" t="inlineStr">
        <x:is>
          <x:t xml:space="preserve">珠海市</x:t>
        </x:is>
      </x:c>
      <x:c r="G2125" s="5" t="inlineStr">
        <x:is>
          <x:t xml:space="preserve">广东省-珠海市</x:t>
        </x:is>
      </x:c>
      <x:c r="H2125" s="4" t="inlineStr">
        <x:is>
          <x:t xml:space="preserve">医疗器械</x:t>
        </x:is>
      </x:c>
      <x:c r="I2125" s="4" t="inlineStr">
        <x:is>
          <x:t xml:space="preserve">2009-12-25</x:t>
        </x:is>
      </x:c>
      <x:c r="J2125" s="5" t="inlineStr">
        <x:is>
          <x:t xml:space="preserve">珠海市横琴新区环岛东路3000号横琴国际商务中心801-8017室</x:t>
        </x:is>
      </x:c>
      <x:c r="K2125" s="12" t="str">
        <x:f>LEFT("91440101618681696W",18)</x:f>
        <x:v>91440101618681696W</x:v>
      </x:c>
    </x:row>
    <x:row r="2126">
      <x:c r="A2126" s="2" t="n">
        <x:v>2125</x:v>
      </x:c>
      <x:c r="B2126" s="2" t="inlineStr">
        <x:is>
          <x:t xml:space="preserve">300037</x:t>
        </x:is>
      </x:c>
      <x:c r="C2126" s="3" t="inlineStr">
        <x:is>
          <x:t xml:space="preserve">新宙邦</x:t>
        </x:is>
      </x:c>
      <x:c r="D2126" s="3" t="inlineStr">
        <x:is>
          <x:t xml:space="preserve">深圳新宙邦科技股份有限公司</x:t>
        </x:is>
      </x:c>
      <x:c r="E2126" s="2" t="inlineStr">
        <x:is>
          <x:t xml:space="preserve">广东省</x:t>
        </x:is>
      </x:c>
      <x:c r="F2126" s="2" t="inlineStr">
        <x:is>
          <x:t xml:space="preserve">深圳市</x:t>
        </x:is>
      </x:c>
      <x:c r="G2126" s="3" t="inlineStr">
        <x:is>
          <x:t xml:space="preserve">广东省-深圳市</x:t>
        </x:is>
      </x:c>
      <x:c r="H2126" s="2" t="inlineStr">
        <x:is>
          <x:t xml:space="preserve">电池</x:t>
        </x:is>
      </x:c>
      <x:c r="I2126" s="2" t="inlineStr">
        <x:is>
          <x:t xml:space="preserve">2010-01-08</x:t>
        </x:is>
      </x:c>
      <x:c r="J2126" s="3" t="inlineStr">
        <x:is>
          <x:t xml:space="preserve">中国广东省深圳市坪山区坪山街道六联社区昌业路9号新宙邦科技大厦1901室</x:t>
        </x:is>
      </x:c>
      <x:c r="K2126" s="12" t="str">
        <x:f>LEFT("91440300736252008C",18)</x:f>
        <x:v>91440300736252008C</x:v>
      </x:c>
    </x:row>
    <x:row r="2127">
      <x:c r="A2127" s="4" t="n">
        <x:v>2126</x:v>
      </x:c>
      <x:c r="B2127" s="4" t="inlineStr">
        <x:is>
          <x:t xml:space="preserve">300042</x:t>
        </x:is>
      </x:c>
      <x:c r="C2127" s="5" t="inlineStr">
        <x:is>
          <x:t xml:space="preserve">朗科科技</x:t>
        </x:is>
      </x:c>
      <x:c r="D2127" s="5" t="inlineStr">
        <x:is>
          <x:t xml:space="preserve">深圳市朗科科技股份有限公司</x:t>
        </x:is>
      </x:c>
      <x:c r="E2127" s="4" t="inlineStr">
        <x:is>
          <x:t xml:space="preserve">广东省</x:t>
        </x:is>
      </x:c>
      <x:c r="F2127" s="4" t="inlineStr">
        <x:is>
          <x:t xml:space="preserve">深圳市</x:t>
        </x:is>
      </x:c>
      <x:c r="G2127" s="5" t="inlineStr">
        <x:is>
          <x:t xml:space="preserve">广东省-深圳市</x:t>
        </x:is>
      </x:c>
      <x:c r="H2127" s="4" t="inlineStr">
        <x:is>
          <x:t xml:space="preserve">半导体</x:t>
        </x:is>
      </x:c>
      <x:c r="I2127" s="4" t="inlineStr">
        <x:is>
          <x:t xml:space="preserve">2010-01-08</x:t>
        </x:is>
      </x:c>
      <x:c r="J2127" s="5" t="inlineStr">
        <x:is>
          <x:t xml:space="preserve">深圳市南山区高新区南区高新南六道10号朗科大厦16、18、19层</x:t>
        </x:is>
      </x:c>
      <x:c r="K2127" s="12" t="str">
        <x:f>LEFT("91440300708442322G",18)</x:f>
        <x:v>91440300708442322G</x:v>
      </x:c>
    </x:row>
    <x:row r="2128">
      <x:c r="A2128" s="2" t="n">
        <x:v>2127</x:v>
      </x:c>
      <x:c r="B2128" s="2" t="inlineStr">
        <x:is>
          <x:t xml:space="preserve">300043</x:t>
        </x:is>
      </x:c>
      <x:c r="C2128" s="3" t="inlineStr">
        <x:is>
          <x:t xml:space="preserve">星辉娱乐</x:t>
        </x:is>
      </x:c>
      <x:c r="D2128" s="3" t="inlineStr">
        <x:is>
          <x:t xml:space="preserve">星辉互动娱乐股份有限公司</x:t>
        </x:is>
      </x:c>
      <x:c r="E2128" s="2" t="inlineStr">
        <x:is>
          <x:t xml:space="preserve">广东省</x:t>
        </x:is>
      </x:c>
      <x:c r="F2128" s="2" t="inlineStr">
        <x:is>
          <x:t xml:space="preserve">汕头市</x:t>
        </x:is>
      </x:c>
      <x:c r="G2128" s="3" t="inlineStr">
        <x:is>
          <x:t xml:space="preserve">广东省-汕头市</x:t>
        </x:is>
      </x:c>
      <x:c r="H2128" s="2" t="inlineStr">
        <x:is>
          <x:t xml:space="preserve">游戏</x:t>
        </x:is>
      </x:c>
      <x:c r="I2128" s="2" t="inlineStr">
        <x:is>
          <x:t xml:space="preserve">2010-01-20</x:t>
        </x:is>
      </x:c>
      <x:c r="J2128" s="3" t="inlineStr">
        <x:is>
          <x:t xml:space="preserve">汕头市澄海区星辉工业园(上华镇夏岛路北侧)</x:t>
        </x:is>
      </x:c>
      <x:c r="K2128" s="12" t="str">
        <x:f>LEFT("91440500708047971Q",18)</x:f>
        <x:v>91440500708047971Q</x:v>
      </x:c>
    </x:row>
    <x:row r="2129">
      <x:c r="A2129" s="4" t="n">
        <x:v>2128</x:v>
      </x:c>
      <x:c r="B2129" s="4" t="inlineStr">
        <x:is>
          <x:t xml:space="preserve">300044</x:t>
        </x:is>
      </x:c>
      <x:c r="C2129" s="5" t="inlineStr">
        <x:is>
          <x:t xml:space="preserve">ST赛为</x:t>
        </x:is>
      </x:c>
      <x:c r="D2129" s="5" t="inlineStr">
        <x:is>
          <x:t xml:space="preserve">深圳市赛为智能股份有限公司</x:t>
        </x:is>
      </x:c>
      <x:c r="E2129" s="4" t="inlineStr">
        <x:is>
          <x:t xml:space="preserve">广东省</x:t>
        </x:is>
      </x:c>
      <x:c r="F2129" s="4" t="inlineStr">
        <x:is>
          <x:t xml:space="preserve">深圳市</x:t>
        </x:is>
      </x:c>
      <x:c r="G2129" s="5" t="inlineStr">
        <x:is>
          <x:t xml:space="preserve">广东省-深圳市</x:t>
        </x:is>
      </x:c>
      <x:c r="H2129" s="4" t="inlineStr">
        <x:is>
          <x:t xml:space="preserve">互联网服务</x:t>
        </x:is>
      </x:c>
      <x:c r="I2129" s="4" t="inlineStr">
        <x:is>
          <x:t xml:space="preserve">2010-01-20</x:t>
        </x:is>
      </x:c>
      <x:c r="J2129" s="5" t="inlineStr">
        <x:is>
          <x:t xml:space="preserve">深圳市龙岗区南湾街道下李朗社区联李东路8号赛为大楼A101至15楼</x:t>
        </x:is>
      </x:c>
      <x:c r="K2129" s="12" t="str">
        <x:f>LEFT("91440300279316343L",18)</x:f>
        <x:v>91440300279316343L</x:v>
      </x:c>
    </x:row>
    <x:row r="2130">
      <x:c r="A2130" s="2" t="n">
        <x:v>2129</x:v>
      </x:c>
      <x:c r="B2130" s="2" t="inlineStr">
        <x:is>
          <x:t xml:space="preserve">300047</x:t>
        </x:is>
      </x:c>
      <x:c r="C2130" s="3" t="inlineStr">
        <x:is>
          <x:t xml:space="preserve">天源迪科</x:t>
        </x:is>
      </x:c>
      <x:c r="D2130" s="3" t="inlineStr">
        <x:is>
          <x:t xml:space="preserve">深圳天源迪科信息技术股份有限公司</x:t>
        </x:is>
      </x:c>
      <x:c r="E2130" s="2" t="inlineStr">
        <x:is>
          <x:t xml:space="preserve">广东省</x:t>
        </x:is>
      </x:c>
      <x:c r="F2130" s="2" t="inlineStr">
        <x:is>
          <x:t xml:space="preserve">深圳市</x:t>
        </x:is>
      </x:c>
      <x:c r="G2130" s="3" t="inlineStr">
        <x:is>
          <x:t xml:space="preserve">广东省-深圳市</x:t>
        </x:is>
      </x:c>
      <x:c r="H2130" s="2" t="inlineStr">
        <x:is>
          <x:t xml:space="preserve">软件服务</x:t>
        </x:is>
      </x:c>
      <x:c r="I2130" s="2" t="inlineStr">
        <x:is>
          <x:t xml:space="preserve">2010-01-20</x:t>
        </x:is>
      </x:c>
      <x:c r="J2130" s="3" t="inlineStr">
        <x:is>
          <x:t xml:space="preserve">深圳市福田区梅林街道梅亭社区广夏路1号创智云中心A栋2501</x:t>
        </x:is>
      </x:c>
      <x:c r="K2130" s="12" t="str">
        <x:f>LEFT("914403006188564330",18)</x:f>
        <x:v>914403006188564400</x:v>
      </x:c>
    </x:row>
    <x:row r="2131">
      <x:c r="A2131" s="4" t="n">
        <x:v>2130</x:v>
      </x:c>
      <x:c r="B2131" s="4" t="inlineStr">
        <x:is>
          <x:t xml:space="preserve">300050</x:t>
        </x:is>
      </x:c>
      <x:c r="C2131" s="5" t="inlineStr">
        <x:is>
          <x:t xml:space="preserve">世纪鼎利</x:t>
        </x:is>
      </x:c>
      <x:c r="D2131" s="5" t="inlineStr">
        <x:is>
          <x:t xml:space="preserve">珠海世纪鼎利科技股份有限公司</x:t>
        </x:is>
      </x:c>
      <x:c r="E2131" s="4" t="inlineStr">
        <x:is>
          <x:t xml:space="preserve">广东省</x:t>
        </x:is>
      </x:c>
      <x:c r="F2131" s="4" t="inlineStr">
        <x:is>
          <x:t xml:space="preserve">珠海市</x:t>
        </x:is>
      </x:c>
      <x:c r="G2131" s="5" t="inlineStr">
        <x:is>
          <x:t xml:space="preserve">广东省-珠海市</x:t>
        </x:is>
      </x:c>
      <x:c r="H2131" s="4" t="inlineStr">
        <x:is>
          <x:t xml:space="preserve">通信服务</x:t>
        </x:is>
      </x:c>
      <x:c r="I2131" s="4" t="inlineStr">
        <x:is>
          <x:t xml:space="preserve">2010-01-20</x:t>
        </x:is>
      </x:c>
      <x:c r="J2131" s="5" t="inlineStr">
        <x:is>
          <x:t xml:space="preserve">广东省珠海市港湾大道科技五路8号一层</x:t>
        </x:is>
      </x:c>
      <x:c r="K2131" s="12" t="str">
        <x:f>LEFT("91440400733108473F",18)</x:f>
        <x:v>91440400733108473F</x:v>
      </x:c>
    </x:row>
    <x:row r="2132">
      <x:c r="A2132" s="2" t="n">
        <x:v>2131</x:v>
      </x:c>
      <x:c r="B2132" s="2" t="inlineStr">
        <x:is>
          <x:t xml:space="preserve">300052</x:t>
        </x:is>
      </x:c>
      <x:c r="C2132" s="3" t="inlineStr">
        <x:is>
          <x:t xml:space="preserve">ST中青宝</x:t>
        </x:is>
      </x:c>
      <x:c r="D2132" s="3" t="inlineStr">
        <x:is>
          <x:t xml:space="preserve">深圳中青宝互动网络股份有限公司</x:t>
        </x:is>
      </x:c>
      <x:c r="E2132" s="2" t="inlineStr">
        <x:is>
          <x:t xml:space="preserve">广东省</x:t>
        </x:is>
      </x:c>
      <x:c r="F2132" s="2" t="inlineStr">
        <x:is>
          <x:t xml:space="preserve">深圳市</x:t>
        </x:is>
      </x:c>
      <x:c r="G2132" s="3" t="inlineStr">
        <x:is>
          <x:t xml:space="preserve">广东省-深圳市</x:t>
        </x:is>
      </x:c>
      <x:c r="H2132" s="2" t="inlineStr">
        <x:is>
          <x:t xml:space="preserve">游戏</x:t>
        </x:is>
      </x:c>
      <x:c r="I2132" s="2" t="inlineStr">
        <x:is>
          <x:t xml:space="preserve">2010-02-11</x:t>
        </x:is>
      </x:c>
      <x:c r="J2132" s="3" t="inlineStr">
        <x:is>
          <x:t xml:space="preserve">深圳市福田区华强北街道福强社区深南中路2070号电子科技大厦C座43A</x:t>
        </x:is>
      </x:c>
      <x:c r="K2132" s="12" t="str">
        <x:f>LEFT("914403007525245953",18)</x:f>
        <x:v>914403007525246000</x:v>
      </x:c>
    </x:row>
    <x:row r="2133">
      <x:c r="A2133" s="4" t="n">
        <x:v>2132</x:v>
      </x:c>
      <x:c r="B2133" s="4" t="inlineStr">
        <x:is>
          <x:t xml:space="preserve">300053</x:t>
        </x:is>
      </x:c>
      <x:c r="C2133" s="5" t="inlineStr">
        <x:is>
          <x:t xml:space="preserve">航宇微</x:t>
        </x:is>
      </x:c>
      <x:c r="D2133" s="5" t="inlineStr">
        <x:is>
          <x:t xml:space="preserve">珠海航宇微科技股份有限公司</x:t>
        </x:is>
      </x:c>
      <x:c r="E2133" s="4" t="inlineStr">
        <x:is>
          <x:t xml:space="preserve">广东省</x:t>
        </x:is>
      </x:c>
      <x:c r="F2133" s="4" t="inlineStr">
        <x:is>
          <x:t xml:space="preserve">珠海市</x:t>
        </x:is>
      </x:c>
      <x:c r="G2133" s="5" t="inlineStr">
        <x:is>
          <x:t xml:space="preserve">广东省-珠海市</x:t>
        </x:is>
      </x:c>
      <x:c r="H2133" s="4" t="inlineStr">
        <x:is>
          <x:t xml:space="preserve">半导体</x:t>
        </x:is>
      </x:c>
      <x:c r="I2133" s="4" t="inlineStr">
        <x:is>
          <x:t xml:space="preserve">2010-02-11</x:t>
        </x:is>
      </x:c>
      <x:c r="J2133" s="5" t="inlineStr">
        <x:is>
          <x:t xml:space="preserve">广东省珠海市唐家东岸白沙路1号欧比特科技园</x:t>
        </x:is>
      </x:c>
      <x:c r="K2133" s="12" t="str">
        <x:f>LEFT("91440400721169041N",18)</x:f>
        <x:v>91440400721169041N</x:v>
      </x:c>
    </x:row>
    <x:row r="2134">
      <x:c r="A2134" s="2" t="n">
        <x:v>2133</x:v>
      </x:c>
      <x:c r="B2134" s="2" t="inlineStr">
        <x:is>
          <x:t xml:space="preserve">300057</x:t>
        </x:is>
      </x:c>
      <x:c r="C2134" s="3" t="inlineStr">
        <x:is>
          <x:t xml:space="preserve">万顺新材</x:t>
        </x:is>
      </x:c>
      <x:c r="D2134" s="3" t="inlineStr">
        <x:is>
          <x:t xml:space="preserve">汕头万顺新材集团股份有限公司</x:t>
        </x:is>
      </x:c>
      <x:c r="E2134" s="2" t="inlineStr">
        <x:is>
          <x:t xml:space="preserve">广东省</x:t>
        </x:is>
      </x:c>
      <x:c r="F2134" s="2" t="inlineStr">
        <x:is>
          <x:t xml:space="preserve">汕头市</x:t>
        </x:is>
      </x:c>
      <x:c r="G2134" s="3" t="inlineStr">
        <x:is>
          <x:t xml:space="preserve">广东省-汕头市</x:t>
        </x:is>
      </x:c>
      <x:c r="H2134" s="2" t="inlineStr">
        <x:is>
          <x:t xml:space="preserve">有色金属</x:t>
        </x:is>
      </x:c>
      <x:c r="I2134" s="2" t="inlineStr">
        <x:is>
          <x:t xml:space="preserve">2010-02-26</x:t>
        </x:is>
      </x:c>
      <x:c r="J2134" s="3" t="inlineStr">
        <x:is>
          <x:t xml:space="preserve">广东省汕头保税区万顺工业园</x:t>
        </x:is>
      </x:c>
      <x:c r="K2134" s="12" t="str">
        <x:f>LEFT("914405007076475882",18)</x:f>
        <x:v>914405007076475900</x:v>
      </x:c>
    </x:row>
    <x:row r="2135">
      <x:c r="A2135" s="4" t="n">
        <x:v>2134</x:v>
      </x:c>
      <x:c r="B2135" s="4" t="inlineStr">
        <x:is>
          <x:t xml:space="preserve">300063</x:t>
        </x:is>
      </x:c>
      <x:c r="C2135" s="5" t="inlineStr">
        <x:is>
          <x:t xml:space="preserve">天龙集团</x:t>
        </x:is>
      </x:c>
      <x:c r="D2135" s="5" t="inlineStr">
        <x:is>
          <x:t xml:space="preserve">广东天龙科技集团股份有限公司</x:t>
        </x:is>
      </x:c>
      <x:c r="E2135" s="4" t="inlineStr">
        <x:is>
          <x:t xml:space="preserve">广东省</x:t>
        </x:is>
      </x:c>
      <x:c r="F2135" s="4" t="inlineStr">
        <x:is>
          <x:t xml:space="preserve">肇庆市</x:t>
        </x:is>
      </x:c>
      <x:c r="G2135" s="5" t="inlineStr">
        <x:is>
          <x:t xml:space="preserve">广东省-肇庆市</x:t>
        </x:is>
      </x:c>
      <x:c r="H2135" s="4" t="inlineStr">
        <x:is>
          <x:t xml:space="preserve">文化传媒</x:t>
        </x:is>
      </x:c>
      <x:c r="I2135" s="4" t="inlineStr">
        <x:is>
          <x:t xml:space="preserve">2010-03-26</x:t>
        </x:is>
      </x:c>
      <x:c r="J2135" s="5" t="inlineStr">
        <x:is>
          <x:t xml:space="preserve">广东省肇庆市金渡工业园内</x:t>
        </x:is>
      </x:c>
      <x:c r="K2135" s="12" t="str">
        <x:f>LEFT("91441200726484120B",18)</x:f>
        <x:v>91441200726484120B</x:v>
      </x:c>
    </x:row>
    <x:row r="2136">
      <x:c r="A2136" s="2" t="n">
        <x:v>2135</x:v>
      </x:c>
      <x:c r="B2136" s="2" t="inlineStr">
        <x:is>
          <x:t xml:space="preserve">300077</x:t>
        </x:is>
      </x:c>
      <x:c r="C2136" s="3" t="inlineStr">
        <x:is>
          <x:t xml:space="preserve">国民技术</x:t>
        </x:is>
      </x:c>
      <x:c r="D2136" s="3" t="inlineStr">
        <x:is>
          <x:t xml:space="preserve">国民技术股份有限公司</x:t>
        </x:is>
      </x:c>
      <x:c r="E2136" s="2" t="inlineStr">
        <x:is>
          <x:t xml:space="preserve">广东省</x:t>
        </x:is>
      </x:c>
      <x:c r="F2136" s="2" t="inlineStr">
        <x:is>
          <x:t xml:space="preserve">深圳市</x:t>
        </x:is>
      </x:c>
      <x:c r="G2136" s="3" t="inlineStr">
        <x:is>
          <x:t xml:space="preserve">广东省-深圳市</x:t>
        </x:is>
      </x:c>
      <x:c r="H2136" s="2" t="inlineStr">
        <x:is>
          <x:t xml:space="preserve">半导体</x:t>
        </x:is>
      </x:c>
      <x:c r="I2136" s="2" t="inlineStr">
        <x:is>
          <x:t xml:space="preserve">2010-04-30</x:t>
        </x:is>
      </x:c>
      <x:c r="J2136" s="3" t="inlineStr">
        <x:is>
          <x:t xml:space="preserve">深圳市南山区西丽街道松坪山社区宝深路109号国民技术大厦1楼</x:t>
        </x:is>
      </x:c>
      <x:c r="K2136" s="12" t="str">
        <x:f>LEFT("914403007152844811",18)</x:f>
        <x:v>914403007152844800</x:v>
      </x:c>
    </x:row>
    <x:row r="2137">
      <x:c r="A2137" s="4" t="n">
        <x:v>2136</x:v>
      </x:c>
      <x:c r="B2137" s="4" t="inlineStr">
        <x:is>
          <x:t xml:space="preserve">300083</x:t>
        </x:is>
      </x:c>
      <x:c r="C2137" s="5" t="inlineStr">
        <x:is>
          <x:t xml:space="preserve">创世纪</x:t>
        </x:is>
      </x:c>
      <x:c r="D2137" s="5" t="inlineStr">
        <x:is>
          <x:t xml:space="preserve">广东创世纪智能装备集团股份有限公司</x:t>
        </x:is>
      </x:c>
      <x:c r="E2137" s="4" t="inlineStr">
        <x:is>
          <x:t xml:space="preserve">广东省</x:t>
        </x:is>
      </x:c>
      <x:c r="F2137" s="4" t="inlineStr">
        <x:is>
          <x:t xml:space="preserve">东莞市</x:t>
        </x:is>
      </x:c>
      <x:c r="G2137" s="5" t="inlineStr">
        <x:is>
          <x:t xml:space="preserve">广东省-东莞市</x:t>
        </x:is>
      </x:c>
      <x:c r="H2137" s="4" t="inlineStr">
        <x:is>
          <x:t xml:space="preserve">通用设备</x:t>
        </x:is>
      </x:c>
      <x:c r="I2137" s="4" t="inlineStr">
        <x:is>
          <x:t xml:space="preserve">2010-05-20</x:t>
        </x:is>
      </x:c>
      <x:c r="J2137" s="5" t="inlineStr">
        <x:is>
          <x:t xml:space="preserve">广东省东莞市沙田镇港前路26号</x:t>
        </x:is>
      </x:c>
      <x:c r="K2137" s="12" t="str">
        <x:f>LEFT("914419007480352033",18)</x:f>
        <x:v>914419007480352000</x:v>
      </x:c>
    </x:row>
    <x:row r="2138">
      <x:c r="A2138" s="2" t="n">
        <x:v>2137</x:v>
      </x:c>
      <x:c r="B2138" s="2" t="inlineStr">
        <x:is>
          <x:t xml:space="preserve">300085</x:t>
        </x:is>
      </x:c>
      <x:c r="C2138" s="3" t="inlineStr">
        <x:is>
          <x:t xml:space="preserve">银之杰</x:t>
        </x:is>
      </x:c>
      <x:c r="D2138" s="3" t="inlineStr">
        <x:is>
          <x:t xml:space="preserve">深圳市银之杰科技股份有限公司</x:t>
        </x:is>
      </x:c>
      <x:c r="E2138" s="2" t="inlineStr">
        <x:is>
          <x:t xml:space="preserve">广东省</x:t>
        </x:is>
      </x:c>
      <x:c r="F2138" s="2" t="inlineStr">
        <x:is>
          <x:t xml:space="preserve">深圳市</x:t>
        </x:is>
      </x:c>
      <x:c r="G2138" s="3" t="inlineStr">
        <x:is>
          <x:t xml:space="preserve">广东省-深圳市</x:t>
        </x:is>
      </x:c>
      <x:c r="H2138" s="2" t="inlineStr">
        <x:is>
          <x:t xml:space="preserve">软件服务</x:t>
        </x:is>
      </x:c>
      <x:c r="I2138" s="2" t="inlineStr">
        <x:is>
          <x:t xml:space="preserve">2010-05-26</x:t>
        </x:is>
      </x:c>
      <x:c r="J2138" s="3" t="inlineStr">
        <x:is>
          <x:t xml:space="preserve">深圳市福田区沙头街道天安社区车公庙泰然七路1号博今商务广场B座十二层</x:t>
        </x:is>
      </x:c>
      <x:c r="K2138" s="12" t="str">
        <x:f>LEFT("91440300708458455M",18)</x:f>
        <x:v>91440300708458455M</x:v>
      </x:c>
    </x:row>
    <x:row r="2139">
      <x:c r="A2139" s="4" t="n">
        <x:v>2138</x:v>
      </x:c>
      <x:c r="B2139" s="4" t="inlineStr">
        <x:is>
          <x:t xml:space="preserve">300094</x:t>
        </x:is>
      </x:c>
      <x:c r="C2139" s="5" t="inlineStr">
        <x:is>
          <x:t xml:space="preserve">国联水产</x:t>
        </x:is>
      </x:c>
      <x:c r="D2139" s="5" t="inlineStr">
        <x:is>
          <x:t xml:space="preserve">湛江国联水产开发股份有限公司</x:t>
        </x:is>
      </x:c>
      <x:c r="E2139" s="4" t="inlineStr">
        <x:is>
          <x:t xml:space="preserve">广东省</x:t>
        </x:is>
      </x:c>
      <x:c r="F2139" s="4" t="inlineStr">
        <x:is>
          <x:t xml:space="preserve">湛江市</x:t>
        </x:is>
      </x:c>
      <x:c r="G2139" s="5" t="inlineStr">
        <x:is>
          <x:t xml:space="preserve">广东省-湛江市</x:t>
        </x:is>
      </x:c>
      <x:c r="H2139" s="4" t="inlineStr">
        <x:is>
          <x:t xml:space="preserve">食品饮料</x:t>
        </x:is>
      </x:c>
      <x:c r="I2139" s="4" t="inlineStr">
        <x:is>
          <x:t xml:space="preserve">2010-07-08</x:t>
        </x:is>
      </x:c>
      <x:c r="J2139" s="5" t="inlineStr">
        <x:is>
          <x:t xml:space="preserve">湛江开发区平乐工业区永平南路,广东湛江吴川市黄坡镇(吴川)华昱产业转移工业园工业大道6号</x:t>
        </x:is>
      </x:c>
      <x:c r="K2139" s="12" t="str">
        <x:f>LEFT("91440800727060629M",18)</x:f>
        <x:v>91440800727060629M</x:v>
      </x:c>
    </x:row>
    <x:row r="2140">
      <x:c r="A2140" s="2" t="n">
        <x:v>2139</x:v>
      </x:c>
      <x:c r="B2140" s="2" t="inlineStr">
        <x:is>
          <x:t xml:space="preserve">300098</x:t>
        </x:is>
      </x:c>
      <x:c r="C2140" s="3" t="inlineStr">
        <x:is>
          <x:t xml:space="preserve">高新兴</x:t>
        </x:is>
      </x:c>
      <x:c r="D2140" s="3" t="inlineStr">
        <x:is>
          <x:t xml:space="preserve">高新兴科技集团股份有限公司</x:t>
        </x:is>
      </x:c>
      <x:c r="E2140" s="2" t="inlineStr">
        <x:is>
          <x:t xml:space="preserve">广东省</x:t>
        </x:is>
      </x:c>
      <x:c r="F2140" s="2" t="inlineStr">
        <x:is>
          <x:t xml:space="preserve">广州市</x:t>
        </x:is>
      </x:c>
      <x:c r="G2140" s="3" t="inlineStr">
        <x:is>
          <x:t xml:space="preserve">广东省-广州市</x:t>
        </x:is>
      </x:c>
      <x:c r="H2140" s="2" t="inlineStr">
        <x:is>
          <x:t xml:space="preserve">软件开发</x:t>
        </x:is>
      </x:c>
      <x:c r="I2140" s="2" t="inlineStr">
        <x:is>
          <x:t xml:space="preserve">2010-07-28</x:t>
        </x:is>
      </x:c>
      <x:c r="J2140" s="3" t="inlineStr">
        <x:is>
          <x:t xml:space="preserve">广州市黄埔区科学城开创大道2819号六楼</x:t>
        </x:is>
      </x:c>
      <x:c r="K2140" s="12" t="str">
        <x:f>LEFT("91440000617430553W",18)</x:f>
        <x:v>91440000617430553W</x:v>
      </x:c>
    </x:row>
    <x:row r="2141">
      <x:c r="A2141" s="4" t="n">
        <x:v>2140</x:v>
      </x:c>
      <x:c r="B2141" s="4" t="inlineStr">
        <x:is>
          <x:t xml:space="preserve">300112</x:t>
        </x:is>
      </x:c>
      <x:c r="C2141" s="5" t="inlineStr">
        <x:is>
          <x:t xml:space="preserve">万讯自控</x:t>
        </x:is>
      </x:c>
      <x:c r="D2141" s="5" t="inlineStr">
        <x:is>
          <x:t xml:space="preserve">深圳万讯自控股份有限公司</x:t>
        </x:is>
      </x:c>
      <x:c r="E2141" s="4" t="inlineStr">
        <x:is>
          <x:t xml:space="preserve">广东省</x:t>
        </x:is>
      </x:c>
      <x:c r="F2141" s="4" t="inlineStr">
        <x:is>
          <x:t xml:space="preserve">深圳市</x:t>
        </x:is>
      </x:c>
      <x:c r="G2141" s="5" t="inlineStr">
        <x:is>
          <x:t xml:space="preserve">广东省-深圳市</x:t>
        </x:is>
      </x:c>
      <x:c r="H2141" s="4" t="inlineStr">
        <x:is>
          <x:t xml:space="preserve">仪器仪表</x:t>
        </x:is>
      </x:c>
      <x:c r="I2141" s="4" t="inlineStr">
        <x:is>
          <x:t xml:space="preserve">2010-08-27</x:t>
        </x:is>
      </x:c>
      <x:c r="J2141" s="5" t="inlineStr">
        <x:is>
          <x:t xml:space="preserve">深圳市南山区高新技术产业园北区三号路万讯自控大楼1-6层</x:t>
        </x:is>
      </x:c>
      <x:c r="K2141" s="12" t="str">
        <x:f>LEFT("9144030061888635X4",18)</x:f>
        <x:v>9144030061888635X4</x:v>
      </x:c>
    </x:row>
    <x:row r="2142">
      <x:c r="A2142" s="2" t="n">
        <x:v>2141</x:v>
      </x:c>
      <x:c r="B2142" s="2" t="inlineStr">
        <x:is>
          <x:t xml:space="preserve">300115</x:t>
        </x:is>
      </x:c>
      <x:c r="C2142" s="3" t="inlineStr">
        <x:is>
          <x:t xml:space="preserve">长盈精密</x:t>
        </x:is>
      </x:c>
      <x:c r="D2142" s="3" t="inlineStr">
        <x:is>
          <x:t xml:space="preserve">深圳市长盈精密技术股份有限公司</x:t>
        </x:is>
      </x:c>
      <x:c r="E2142" s="2" t="inlineStr">
        <x:is>
          <x:t xml:space="preserve">广东省</x:t>
        </x:is>
      </x:c>
      <x:c r="F2142" s="2" t="inlineStr">
        <x:is>
          <x:t xml:space="preserve">深圳市</x:t>
        </x:is>
      </x:c>
      <x:c r="G2142" s="3" t="inlineStr">
        <x:is>
          <x:t xml:space="preserve">广东省-深圳市</x:t>
        </x:is>
      </x:c>
      <x:c r="H2142" s="2" t="inlineStr">
        <x:is>
          <x:t xml:space="preserve">消费电子</x:t>
        </x:is>
      </x:c>
      <x:c r="I2142" s="2" t="inlineStr">
        <x:is>
          <x:t xml:space="preserve">2010-09-02</x:t>
        </x:is>
      </x:c>
      <x:c r="J2142" s="3" t="inlineStr">
        <x:is>
          <x:t xml:space="preserve">深圳市宝安区燕罗街道罗田社区罗昌路88号厂房101至1501(一照多址企业)</x:t>
        </x:is>
      </x:c>
      <x:c r="K2142" s="12" t="str">
        <x:f>LEFT("9144030072988519X9",18)</x:f>
        <x:v>9144030072988519X9</x:v>
      </x:c>
    </x:row>
    <x:row r="2143">
      <x:c r="A2143" s="4" t="n">
        <x:v>2142</x:v>
      </x:c>
      <x:c r="B2143" s="4" t="inlineStr">
        <x:is>
          <x:t xml:space="preserve">300124</x:t>
        </x:is>
      </x:c>
      <x:c r="C2143" s="5" t="inlineStr">
        <x:is>
          <x:t xml:space="preserve">汇川技术</x:t>
        </x:is>
      </x:c>
      <x:c r="D2143" s="5" t="inlineStr">
        <x:is>
          <x:t xml:space="preserve">深圳市汇川技术股份有限公司</x:t>
        </x:is>
      </x:c>
      <x:c r="E2143" s="4" t="inlineStr">
        <x:is>
          <x:t xml:space="preserve">广东省</x:t>
        </x:is>
      </x:c>
      <x:c r="F2143" s="4" t="inlineStr">
        <x:is>
          <x:t xml:space="preserve">深圳市</x:t>
        </x:is>
      </x:c>
      <x:c r="G2143" s="5" t="inlineStr">
        <x:is>
          <x:t xml:space="preserve">广东省-深圳市</x:t>
        </x:is>
      </x:c>
      <x:c r="H2143" s="4" t="inlineStr">
        <x:is>
          <x:t xml:space="preserve">电子元件</x:t>
        </x:is>
      </x:c>
      <x:c r="I2143" s="4" t="inlineStr">
        <x:is>
          <x:t xml:space="preserve">2010-09-28</x:t>
        </x:is>
      </x:c>
      <x:c r="J2143" s="5" t="inlineStr">
        <x:is>
          <x:t xml:space="preserve">深圳市龙华区观湖街道鹭湖社区澜清二路6号汇川技术总部大厦1单元101</x:t>
        </x:is>
      </x:c>
      <x:c r="K2143" s="12" t="str">
        <x:f>LEFT("914403007488656882",18)</x:f>
        <x:v>914403007488656900</x:v>
      </x:c>
    </x:row>
    <x:row r="2144">
      <x:c r="A2144" s="2" t="n">
        <x:v>2143</x:v>
      </x:c>
      <x:c r="B2144" s="2" t="inlineStr">
        <x:is>
          <x:t xml:space="preserve">300130</x:t>
        </x:is>
      </x:c>
      <x:c r="C2144" s="3" t="inlineStr">
        <x:is>
          <x:t xml:space="preserve">新国都</x:t>
        </x:is>
      </x:c>
      <x:c r="D2144" s="3" t="inlineStr">
        <x:is>
          <x:t xml:space="preserve">深圳市新国都股份有限公司</x:t>
        </x:is>
      </x:c>
      <x:c r="E2144" s="2" t="inlineStr">
        <x:is>
          <x:t xml:space="preserve">广东省</x:t>
        </x:is>
      </x:c>
      <x:c r="F2144" s="2" t="inlineStr">
        <x:is>
          <x:t xml:space="preserve">深圳市</x:t>
        </x:is>
      </x:c>
      <x:c r="G2144" s="3" t="inlineStr">
        <x:is>
          <x:t xml:space="preserve">广东省-深圳市</x:t>
        </x:is>
      </x:c>
      <x:c r="H2144" s="2" t="inlineStr">
        <x:is>
          <x:t xml:space="preserve">计算机设备</x:t>
        </x:is>
      </x:c>
      <x:c r="I2144" s="2" t="inlineStr">
        <x:is>
          <x:t xml:space="preserve">2010-10-19</x:t>
        </x:is>
      </x:c>
      <x:c r="J2144" s="3" t="inlineStr">
        <x:is>
          <x:t xml:space="preserve">深圳市福田区深南路车公庙工业区泰然劲松大厦17A</x:t>
        </x:is>
      </x:c>
      <x:c r="K2144" s="12" t="str">
        <x:f>LEFT("914403007311028524",18)</x:f>
        <x:v>914403007311028500</x:v>
      </x:c>
    </x:row>
    <x:row r="2145">
      <x:c r="A2145" s="4" t="n">
        <x:v>2144</x:v>
      </x:c>
      <x:c r="B2145" s="4" t="inlineStr">
        <x:is>
          <x:t xml:space="preserve">300131</x:t>
        </x:is>
      </x:c>
      <x:c r="C2145" s="5" t="inlineStr">
        <x:is>
          <x:t xml:space="preserve">英唐智控</x:t>
        </x:is>
      </x:c>
      <x:c r="D2145" s="5" t="inlineStr">
        <x:is>
          <x:t xml:space="preserve">深圳市英唐智能控制股份有限公司</x:t>
        </x:is>
      </x:c>
      <x:c r="E2145" s="4" t="inlineStr">
        <x:is>
          <x:t xml:space="preserve">广东省</x:t>
        </x:is>
      </x:c>
      <x:c r="F2145" s="4" t="inlineStr">
        <x:is>
          <x:t xml:space="preserve">深圳市</x:t>
        </x:is>
      </x:c>
      <x:c r="G2145" s="5" t="inlineStr">
        <x:is>
          <x:t xml:space="preserve">广东省-深圳市</x:t>
        </x:is>
      </x:c>
      <x:c r="H2145" s="4" t="inlineStr">
        <x:is>
          <x:t xml:space="preserve">消费电子</x:t>
        </x:is>
      </x:c>
      <x:c r="I2145" s="4" t="inlineStr">
        <x:is>
          <x:t xml:space="preserve">2010-10-19</x:t>
        </x:is>
      </x:c>
      <x:c r="J2145" s="5" t="inlineStr">
        <x:is>
          <x:t xml:space="preserve">深圳市宝安区新安街道海旺社区宝兴路6号海纳百川总部大厦B座6层、7层、8层</x:t>
        </x:is>
      </x:c>
      <x:c r="K2145" s="12" t="str">
        <x:f>LEFT("914403007298707489",18)</x:f>
        <x:v>914403007298707500</x:v>
      </x:c>
    </x:row>
    <x:row r="2146">
      <x:c r="A2146" s="2" t="n">
        <x:v>2145</x:v>
      </x:c>
      <x:c r="B2146" s="2" t="inlineStr">
        <x:is>
          <x:t xml:space="preserve">300136</x:t>
        </x:is>
      </x:c>
      <x:c r="C2146" s="3" t="inlineStr">
        <x:is>
          <x:t xml:space="preserve">信维通信</x:t>
        </x:is>
      </x:c>
      <x:c r="D2146" s="3" t="inlineStr">
        <x:is>
          <x:t xml:space="preserve">深圳市信维通信股份有限公司</x:t>
        </x:is>
      </x:c>
      <x:c r="E2146" s="2" t="inlineStr">
        <x:is>
          <x:t xml:space="preserve">广东省</x:t>
        </x:is>
      </x:c>
      <x:c r="F2146" s="2" t="inlineStr">
        <x:is>
          <x:t xml:space="preserve">深圳市</x:t>
        </x:is>
      </x:c>
      <x:c r="G2146" s="3" t="inlineStr">
        <x:is>
          <x:t xml:space="preserve">广东省-深圳市</x:t>
        </x:is>
      </x:c>
      <x:c r="H2146" s="2" t="inlineStr">
        <x:is>
          <x:t xml:space="preserve">消费电子</x:t>
        </x:is>
      </x:c>
      <x:c r="I2146" s="2" t="inlineStr">
        <x:is>
          <x:t xml:space="preserve">2010-11-05</x:t>
        </x:is>
      </x:c>
      <x:c r="J2146" s="3" t="inlineStr">
        <x:is>
          <x:t xml:space="preserve">深圳市宝安区沙井街道西环路1013号A.B栋</x:t>
        </x:is>
      </x:c>
      <x:c r="K2146" s="12" t="str">
        <x:f>LEFT("914403007883357614",18)</x:f>
        <x:v>914403007883357600</x:v>
      </x:c>
    </x:row>
    <x:row r="2147">
      <x:c r="A2147" s="4" t="n">
        <x:v>2146</x:v>
      </x:c>
      <x:c r="B2147" s="4" t="inlineStr">
        <x:is>
          <x:t xml:space="preserve">300146</x:t>
        </x:is>
      </x:c>
      <x:c r="C2147" s="5" t="inlineStr">
        <x:is>
          <x:t xml:space="preserve">汤臣倍健</x:t>
        </x:is>
      </x:c>
      <x:c r="D2147" s="5" t="inlineStr">
        <x:is>
          <x:t xml:space="preserve">汤臣倍健股份有限公司</x:t>
        </x:is>
      </x:c>
      <x:c r="E2147" s="4" t="inlineStr">
        <x:is>
          <x:t xml:space="preserve">广东省</x:t>
        </x:is>
      </x:c>
      <x:c r="F2147" s="4" t="inlineStr">
        <x:is>
          <x:t xml:space="preserve">珠海市</x:t>
        </x:is>
      </x:c>
      <x:c r="G2147" s="5" t="inlineStr">
        <x:is>
          <x:t xml:space="preserve">广东省-珠海市</x:t>
        </x:is>
      </x:c>
      <x:c r="H2147" s="4" t="inlineStr">
        <x:is>
          <x:t xml:space="preserve">食品饮料</x:t>
        </x:is>
      </x:c>
      <x:c r="I2147" s="4" t="inlineStr">
        <x:is>
          <x:t xml:space="preserve">2010-12-15</x:t>
        </x:is>
      </x:c>
      <x:c r="J2147" s="5" t="inlineStr">
        <x:is>
          <x:t xml:space="preserve">广东省珠海市金湾区三灶科技工业园星汉路19号</x:t>
        </x:is>
      </x:c>
      <x:c r="K2147" s="12" t="str">
        <x:f>LEFT("914404007778052708",18)</x:f>
        <x:v>914404007778052700</x:v>
      </x:c>
    </x:row>
    <x:row r="2148">
      <x:c r="A2148" s="2" t="n">
        <x:v>2147</x:v>
      </x:c>
      <x:c r="B2148" s="2" t="inlineStr">
        <x:is>
          <x:t xml:space="preserve">300147</x:t>
        </x:is>
      </x:c>
      <x:c r="C2148" s="3" t="inlineStr">
        <x:is>
          <x:t xml:space="preserve">ST香雪</x:t>
        </x:is>
      </x:c>
      <x:c r="D2148" s="3" t="inlineStr">
        <x:is>
          <x:t xml:space="preserve">广州市香雪制药股份有限公司</x:t>
        </x:is>
      </x:c>
      <x:c r="E2148" s="2" t="inlineStr">
        <x:is>
          <x:t xml:space="preserve">广东省</x:t>
        </x:is>
      </x:c>
      <x:c r="F2148" s="2" t="inlineStr">
        <x:is>
          <x:t xml:space="preserve">广州市</x:t>
        </x:is>
      </x:c>
      <x:c r="G2148" s="3" t="inlineStr">
        <x:is>
          <x:t xml:space="preserve">广东省-广州市</x:t>
        </x:is>
      </x:c>
      <x:c r="H2148" s="2" t="inlineStr">
        <x:is>
          <x:t xml:space="preserve">中药</x:t>
        </x:is>
      </x:c>
      <x:c r="I2148" s="2" t="inlineStr">
        <x:is>
          <x:t xml:space="preserve">2010-12-15</x:t>
        </x:is>
      </x:c>
      <x:c r="J2148" s="3" t="inlineStr">
        <x:is>
          <x:t xml:space="preserve">广州市黄埔区广州开发区科学城金峰园路2号(自编第一、二、三、四、五、六、七、八栋)</x:t>
        </x:is>
      </x:c>
      <x:c r="K2148" s="12" t="str">
        <x:f>LEFT("91440000633210884T",18)</x:f>
        <x:v>91440000633210884T</x:v>
      </x:c>
    </x:row>
    <x:row r="2149">
      <x:c r="A2149" s="4" t="n">
        <x:v>2148</x:v>
      </x:c>
      <x:c r="B2149" s="4" t="inlineStr">
        <x:is>
          <x:t xml:space="preserve">300149</x:t>
        </x:is>
      </x:c>
      <x:c r="C2149" s="5" t="inlineStr">
        <x:is>
          <x:t xml:space="preserve">睿智医药</x:t>
        </x:is>
      </x:c>
      <x:c r="D2149" s="5" t="inlineStr">
        <x:is>
          <x:t xml:space="preserve">睿智医药科技股份有限公司</x:t>
        </x:is>
      </x:c>
      <x:c r="E2149" s="4" t="inlineStr">
        <x:is>
          <x:t xml:space="preserve">广东省</x:t>
        </x:is>
      </x:c>
      <x:c r="F2149" s="4" t="inlineStr">
        <x:is>
          <x:t xml:space="preserve">江门市</x:t>
        </x:is>
      </x:c>
      <x:c r="G2149" s="5" t="inlineStr">
        <x:is>
          <x:t xml:space="preserve">广东省-江门市</x:t>
        </x:is>
      </x:c>
      <x:c r="H2149" s="4" t="inlineStr">
        <x:is>
          <x:t xml:space="preserve">医疗行业</x:t>
        </x:is>
      </x:c>
      <x:c r="I2149" s="4" t="inlineStr">
        <x:is>
          <x:t xml:space="preserve">2010-12-22</x:t>
        </x:is>
      </x:c>
      <x:c r="J2149" s="5" t="inlineStr">
        <x:is>
          <x:t xml:space="preserve">江门市江海区胜利南路164号</x:t>
        </x:is>
      </x:c>
      <x:c r="K2149" s="12" t="str">
        <x:f>LEFT("9144070072115339X0",18)</x:f>
        <x:v>9144070072115339X0</x:v>
      </x:c>
    </x:row>
    <x:row r="2150">
      <x:c r="A2150" s="2" t="n">
        <x:v>2149</x:v>
      </x:c>
      <x:c r="B2150" s="2" t="inlineStr">
        <x:is>
          <x:t xml:space="preserve">300151</x:t>
        </x:is>
      </x:c>
      <x:c r="C2150" s="3" t="inlineStr">
        <x:is>
          <x:t xml:space="preserve">昌红科技</x:t>
        </x:is>
      </x:c>
      <x:c r="D2150" s="3" t="inlineStr">
        <x:is>
          <x:t xml:space="preserve">深圳市昌红科技股份有限公司</x:t>
        </x:is>
      </x:c>
      <x:c r="E2150" s="2" t="inlineStr">
        <x:is>
          <x:t xml:space="preserve">广东省</x:t>
        </x:is>
      </x:c>
      <x:c r="F2150" s="2" t="inlineStr">
        <x:is>
          <x:t xml:space="preserve">深圳市</x:t>
        </x:is>
      </x:c>
      <x:c r="G2150" s="3" t="inlineStr">
        <x:is>
          <x:t xml:space="preserve">广东省-深圳市</x:t>
        </x:is>
      </x:c>
      <x:c r="H2150" s="2" t="inlineStr">
        <x:is>
          <x:t xml:space="preserve">专用设备</x:t>
        </x:is>
      </x:c>
      <x:c r="I2150" s="2" t="inlineStr">
        <x:is>
          <x:t xml:space="preserve">2010-12-22</x:t>
        </x:is>
      </x:c>
      <x:c r="J2150" s="3" t="inlineStr">
        <x:is>
          <x:t xml:space="preserve">深圳市坪山区碧岭街道沙湖社区锦龙大道3号昌红科技公司1层至3层</x:t>
        </x:is>
      </x:c>
      <x:c r="K2150" s="12" t="str">
        <x:f>LEFT("91440300728543964T",18)</x:f>
        <x:v>91440300728543964T</x:v>
      </x:c>
    </x:row>
    <x:row r="2151">
      <x:c r="A2151" s="4" t="n">
        <x:v>2150</x:v>
      </x:c>
      <x:c r="B2151" s="4" t="inlineStr">
        <x:is>
          <x:t xml:space="preserve">300154</x:t>
        </x:is>
      </x:c>
      <x:c r="C2151" s="5" t="inlineStr">
        <x:is>
          <x:t xml:space="preserve">瑞凌股份</x:t>
        </x:is>
      </x:c>
      <x:c r="D2151" s="5" t="inlineStr">
        <x:is>
          <x:t xml:space="preserve">深圳市瑞凌实业集团股份有限公司</x:t>
        </x:is>
      </x:c>
      <x:c r="E2151" s="4" t="inlineStr">
        <x:is>
          <x:t xml:space="preserve">广东省</x:t>
        </x:is>
      </x:c>
      <x:c r="F2151" s="4" t="inlineStr">
        <x:is>
          <x:t xml:space="preserve">深圳市</x:t>
        </x:is>
      </x:c>
      <x:c r="G2151" s="5" t="inlineStr">
        <x:is>
          <x:t xml:space="preserve">广东省-深圳市</x:t>
        </x:is>
      </x:c>
      <x:c r="H2151" s="4" t="inlineStr">
        <x:is>
          <x:t xml:space="preserve">机械行业</x:t>
        </x:is>
      </x:c>
      <x:c r="I2151" s="4" t="inlineStr">
        <x:is>
          <x:t xml:space="preserve">2010-12-29</x:t>
        </x:is>
      </x:c>
      <x:c r="J2151" s="5" t="inlineStr">
        <x:is>
          <x:t xml:space="preserve">深圳市宝安区新安街道兴东社区67区隆昌路8号飞扬科技创新园B栋501(4-5楼)</x:t>
        </x:is>
      </x:c>
      <x:c r="K2151" s="12" t="str">
        <x:f>LEFT("914403007504895037",18)</x:f>
        <x:v>914403007504895000</x:v>
      </x:c>
    </x:row>
    <x:row r="2152">
      <x:c r="A2152" s="2" t="n">
        <x:v>2151</x:v>
      </x:c>
      <x:c r="B2152" s="2" t="inlineStr">
        <x:is>
          <x:t xml:space="preserve">300155</x:t>
        </x:is>
      </x:c>
      <x:c r="C2152" s="3" t="inlineStr">
        <x:is>
          <x:t xml:space="preserve">安居宝</x:t>
        </x:is>
      </x:c>
      <x:c r="D2152" s="3" t="inlineStr">
        <x:is>
          <x:t xml:space="preserve">广东安居宝数码科技股份有限公司</x:t>
        </x:is>
      </x:c>
      <x:c r="E2152" s="2" t="inlineStr">
        <x:is>
          <x:t xml:space="preserve">广东省</x:t>
        </x:is>
      </x:c>
      <x:c r="F2152" s="2" t="inlineStr">
        <x:is>
          <x:t xml:space="preserve">广州市</x:t>
        </x:is>
      </x:c>
      <x:c r="G2152" s="3" t="inlineStr">
        <x:is>
          <x:t xml:space="preserve">广东省-广州市</x:t>
        </x:is>
      </x:c>
      <x:c r="H2152" s="2" t="inlineStr">
        <x:is>
          <x:t xml:space="preserve">安防设备</x:t>
        </x:is>
      </x:c>
      <x:c r="I2152" s="2" t="inlineStr">
        <x:is>
          <x:t xml:space="preserve">2011-01-07</x:t>
        </x:is>
      </x:c>
      <x:c r="J2152" s="3" t="inlineStr">
        <x:is>
          <x:t xml:space="preserve">广州高新技术产业开发区科学城起云路6号自编一栋</x:t>
        </x:is>
      </x:c>
      <x:c r="K2152" s="12" t="str">
        <x:f>LEFT("91440101769537544R",18)</x:f>
        <x:v>91440101769537544R</x:v>
      </x:c>
    </x:row>
    <x:row r="2153">
      <x:c r="A2153" s="4" t="n">
        <x:v>2152</x:v>
      </x:c>
      <x:c r="B2153" s="4" t="inlineStr">
        <x:is>
          <x:t xml:space="preserve">300162</x:t>
        </x:is>
      </x:c>
      <x:c r="C2153" s="5" t="inlineStr">
        <x:is>
          <x:t xml:space="preserve">雷曼光电</x:t>
        </x:is>
      </x:c>
      <x:c r="D2153" s="5" t="inlineStr">
        <x:is>
          <x:t xml:space="preserve">深圳雷曼光电科技股份有限公司</x:t>
        </x:is>
      </x:c>
      <x:c r="E2153" s="4" t="inlineStr">
        <x:is>
          <x:t xml:space="preserve">广东省</x:t>
        </x:is>
      </x:c>
      <x:c r="F2153" s="4" t="inlineStr">
        <x:is>
          <x:t xml:space="preserve">深圳市</x:t>
        </x:is>
      </x:c>
      <x:c r="G2153" s="5" t="inlineStr">
        <x:is>
          <x:t xml:space="preserve">广东省-深圳市</x:t>
        </x:is>
      </x:c>
      <x:c r="H2153" s="4" t="inlineStr">
        <x:is>
          <x:t xml:space="preserve">光学光电子</x:t>
        </x:is>
      </x:c>
      <x:c r="I2153" s="4" t="inlineStr">
        <x:is>
          <x:t xml:space="preserve">2011-01-13</x:t>
        </x:is>
      </x:c>
      <x:c r="J2153" s="5" t="inlineStr">
        <x:is>
          <x:t xml:space="preserve">深圳市南山区松白路百旺信高科技工业园二区第八栋</x:t>
        </x:is>
      </x:c>
      <x:c r="K2153" s="12" t="str">
        <x:f>LEFT("91440300763458618K",18)</x:f>
        <x:v>91440300763458618K</x:v>
      </x:c>
    </x:row>
    <x:row r="2154">
      <x:c r="A2154" s="2" t="n">
        <x:v>2153</x:v>
      </x:c>
      <x:c r="B2154" s="2" t="inlineStr">
        <x:is>
          <x:t xml:space="preserve">300167</x:t>
        </x:is>
      </x:c>
      <x:c r="C2154" s="3" t="inlineStr">
        <x:is>
          <x:t xml:space="preserve">ST迪威迅</x:t>
        </x:is>
      </x:c>
      <x:c r="D2154" s="3" t="inlineStr">
        <x:is>
          <x:t xml:space="preserve">深圳市迪威迅股份有限公司</x:t>
        </x:is>
      </x:c>
      <x:c r="E2154" s="2" t="inlineStr">
        <x:is>
          <x:t xml:space="preserve">广东省</x:t>
        </x:is>
      </x:c>
      <x:c r="F2154" s="2" t="inlineStr">
        <x:is>
          <x:t xml:space="preserve">深圳市</x:t>
        </x:is>
      </x:c>
      <x:c r="G2154" s="3" t="inlineStr">
        <x:is>
          <x:t xml:space="preserve">广东省-深圳市</x:t>
        </x:is>
      </x:c>
      <x:c r="H2154" s="2" t="inlineStr">
        <x:is>
          <x:t xml:space="preserve">互联网服务</x:t>
        </x:is>
      </x:c>
      <x:c r="I2154" s="2" t="inlineStr">
        <x:is>
          <x:t xml:space="preserve">2011-01-25</x:t>
        </x:is>
      </x:c>
      <x:c r="J2154" s="3" t="inlineStr">
        <x:is>
          <x:t xml:space="preserve">深圳市南山区粤海街道科技园社区琼宇路10号澳特科兴科学园D栋2201</x:t>
        </x:is>
      </x:c>
      <x:c r="K2154" s="12" t="str">
        <x:f>LEFT("91440300732061351F",18)</x:f>
        <x:v>91440300732061351F</x:v>
      </x:c>
    </x:row>
    <x:row r="2155">
      <x:c r="A2155" s="4" t="n">
        <x:v>2154</x:v>
      </x:c>
      <x:c r="B2155" s="4" t="inlineStr">
        <x:is>
          <x:t xml:space="preserve">300173</x:t>
        </x:is>
      </x:c>
      <x:c r="C2155" s="5" t="inlineStr">
        <x:is>
          <x:t xml:space="preserve">ST福能</x:t>
        </x:is>
      </x:c>
      <x:c r="D2155" s="5" t="inlineStr">
        <x:is>
          <x:t xml:space="preserve">福能东方装备科技股份有限公司</x:t>
        </x:is>
      </x:c>
      <x:c r="E2155" s="4" t="inlineStr">
        <x:is>
          <x:t xml:space="preserve">广东省</x:t>
        </x:is>
      </x:c>
      <x:c r="F2155" s="4" t="inlineStr">
        <x:is>
          <x:t xml:space="preserve">佛山市</x:t>
        </x:is>
      </x:c>
      <x:c r="G2155" s="5" t="inlineStr">
        <x:is>
          <x:t xml:space="preserve">广东省-佛山市</x:t>
        </x:is>
      </x:c>
      <x:c r="H2155" s="4" t="inlineStr">
        <x:is>
          <x:t xml:space="preserve">专用设备</x:t>
        </x:is>
      </x:c>
      <x:c r="I2155" s="4" t="inlineStr">
        <x:is>
          <x:t xml:space="preserve">2011-02-01</x:t>
        </x:is>
      </x:c>
      <x:c r="J2155" s="5" t="inlineStr">
        <x:is>
          <x:t xml:space="preserve">佛山市禅城区祖庙街道朝东村大塘涌47号丰收街菁创社区项目一座二楼209室</x:t>
        </x:is>
      </x:c>
      <x:c r="K2155" s="12" t="str">
        <x:f>LEFT("91442000617979677N",18)</x:f>
        <x:v>91442000617979677N</x:v>
      </x:c>
    </x:row>
    <x:row r="2156">
      <x:c r="A2156" s="2" t="n">
        <x:v>2155</x:v>
      </x:c>
      <x:c r="B2156" s="2" t="inlineStr">
        <x:is>
          <x:t xml:space="preserve">300176</x:t>
        </x:is>
      </x:c>
      <x:c r="C2156" s="3" t="inlineStr">
        <x:is>
          <x:t xml:space="preserve">鸿特科技</x:t>
        </x:is>
      </x:c>
      <x:c r="D2156" s="3" t="inlineStr">
        <x:is>
          <x:t xml:space="preserve">广东鸿特科技股份有限公司</x:t>
        </x:is>
      </x:c>
      <x:c r="E2156" s="2" t="inlineStr">
        <x:is>
          <x:t xml:space="preserve">广东省</x:t>
        </x:is>
      </x:c>
      <x:c r="F2156" s="2" t="inlineStr">
        <x:is>
          <x:t xml:space="preserve">肇庆市</x:t>
        </x:is>
      </x:c>
      <x:c r="G2156" s="3" t="inlineStr">
        <x:is>
          <x:t xml:space="preserve">广东省-肇庆市</x:t>
        </x:is>
      </x:c>
      <x:c r="H2156" s="2" t="inlineStr">
        <x:is>
          <x:t xml:space="preserve">汽车行业</x:t>
        </x:is>
      </x:c>
      <x:c r="I2156" s="2" t="inlineStr">
        <x:is>
          <x:t xml:space="preserve">2011-02-15</x:t>
        </x:is>
      </x:c>
      <x:c r="J2156" s="3" t="inlineStr">
        <x:is>
          <x:t xml:space="preserve">广东省肇庆市鼎湖城区北十区</x:t>
        </x:is>
      </x:c>
      <x:c r="K2156" s="12" t="str">
        <x:f>LEFT("914412007528545278",18)</x:f>
        <x:v>914412007528545300</x:v>
      </x:c>
    </x:row>
    <x:row r="2157">
      <x:c r="A2157" s="4" t="n">
        <x:v>2156</x:v>
      </x:c>
      <x:c r="B2157" s="4" t="inlineStr">
        <x:is>
          <x:t xml:space="preserve">300177</x:t>
        </x:is>
      </x:c>
      <x:c r="C2157" s="5" t="inlineStr">
        <x:is>
          <x:t xml:space="preserve">中海达</x:t>
        </x:is>
      </x:c>
      <x:c r="D2157" s="5" t="inlineStr">
        <x:is>
          <x:t xml:space="preserve">广州中海达卫星导航技术股份有限公司</x:t>
        </x:is>
      </x:c>
      <x:c r="E2157" s="4" t="inlineStr">
        <x:is>
          <x:t xml:space="preserve">广东省</x:t>
        </x:is>
      </x:c>
      <x:c r="F2157" s="4" t="inlineStr">
        <x:is>
          <x:t xml:space="preserve">广州市</x:t>
        </x:is>
      </x:c>
      <x:c r="G2157" s="5" t="inlineStr">
        <x:is>
          <x:t xml:space="preserve">广东省-广州市</x:t>
        </x:is>
      </x:c>
      <x:c r="H2157" s="4" t="inlineStr">
        <x:is>
          <x:t xml:space="preserve">计算机设备</x:t>
        </x:is>
      </x:c>
      <x:c r="I2157" s="4" t="inlineStr">
        <x:is>
          <x:t xml:space="preserve">2011-02-15</x:t>
        </x:is>
      </x:c>
      <x:c r="J2157" s="5" t="inlineStr">
        <x:is>
          <x:t xml:space="preserve">广州市番禺区南村镇鸿创二街6号</x:t>
        </x:is>
      </x:c>
      <x:c r="K2157" s="12" t="str">
        <x:f>LEFT("9144010178894572X2",18)</x:f>
        <x:v>9144010178894572X2</x:v>
      </x:c>
    </x:row>
    <x:row r="2158">
      <x:c r="A2158" s="2" t="n">
        <x:v>2157</x:v>
      </x:c>
      <x:c r="B2158" s="2" t="inlineStr">
        <x:is>
          <x:t xml:space="preserve">300193</x:t>
        </x:is>
      </x:c>
      <x:c r="C2158" s="3" t="inlineStr">
        <x:is>
          <x:t xml:space="preserve">佳士科技</x:t>
        </x:is>
      </x:c>
      <x:c r="D2158" s="3" t="inlineStr">
        <x:is>
          <x:t xml:space="preserve">深圳市佳士科技股份有限公司</x:t>
        </x:is>
      </x:c>
      <x:c r="E2158" s="2" t="inlineStr">
        <x:is>
          <x:t xml:space="preserve">广东省</x:t>
        </x:is>
      </x:c>
      <x:c r="F2158" s="2" t="inlineStr">
        <x:is>
          <x:t xml:space="preserve">深圳市</x:t>
        </x:is>
      </x:c>
      <x:c r="G2158" s="3" t="inlineStr">
        <x:is>
          <x:t xml:space="preserve">广东省-深圳市</x:t>
        </x:is>
      </x:c>
      <x:c r="H2158" s="2" t="inlineStr">
        <x:is>
          <x:t xml:space="preserve">机械行业</x:t>
        </x:is>
      </x:c>
      <x:c r="I2158" s="2" t="inlineStr">
        <x:is>
          <x:t xml:space="preserve">2011-03-22</x:t>
        </x:is>
      </x:c>
      <x:c r="J2158" s="3" t="inlineStr">
        <x:is>
          <x:t xml:space="preserve">深圳市坪山新区青兰一路3号</x:t>
        </x:is>
      </x:c>
      <x:c r="K2158" s="12" t="str">
        <x:f>LEFT("91440300779889295U",18)</x:f>
        <x:v>91440300779889295U</x:v>
      </x:c>
    </x:row>
    <x:row r="2159">
      <x:c r="A2159" s="4" t="n">
        <x:v>2158</x:v>
      </x:c>
      <x:c r="B2159" s="4" t="inlineStr">
        <x:is>
          <x:t xml:space="preserve">300197</x:t>
        </x:is>
      </x:c>
      <x:c r="C2159" s="5" t="inlineStr">
        <x:is>
          <x:t xml:space="preserve">节能铁汉</x:t>
        </x:is>
      </x:c>
      <x:c r="D2159" s="5" t="inlineStr">
        <x:is>
          <x:t xml:space="preserve">中节能铁汉生态环境股份有限公司</x:t>
        </x:is>
      </x:c>
      <x:c r="E2159" s="4" t="inlineStr">
        <x:is>
          <x:t xml:space="preserve">广东省</x:t>
        </x:is>
      </x:c>
      <x:c r="F2159" s="4" t="inlineStr">
        <x:is>
          <x:t xml:space="preserve">深圳市</x:t>
        </x:is>
      </x:c>
      <x:c r="G2159" s="5" t="inlineStr">
        <x:is>
          <x:t xml:space="preserve">广东省-深圳市</x:t>
        </x:is>
      </x:c>
      <x:c r="H2159" s="4" t="inlineStr">
        <x:is>
          <x:t xml:space="preserve">环保行业</x:t>
        </x:is>
      </x:c>
      <x:c r="I2159" s="4" t="inlineStr">
        <x:is>
          <x:t xml:space="preserve">2011-03-29</x:t>
        </x:is>
      </x:c>
      <x:c r="J2159" s="5" t="inlineStr">
        <x:is>
          <x:t xml:space="preserve">深圳市龙岗区龙城街道黄阁坑社区黄阁北路449号龙岗天安数码创新园三号厂房B1401</x:t>
        </x:is>
      </x:c>
      <x:c r="K2159" s="12" t="str">
        <x:f>LEFT("91440300731109149K",18)</x:f>
        <x:v>91440300731109149K</x:v>
      </x:c>
    </x:row>
    <x:row r="2160">
      <x:c r="A2160" s="2" t="n">
        <x:v>2159</x:v>
      </x:c>
      <x:c r="B2160" s="2" t="inlineStr">
        <x:is>
          <x:t xml:space="preserve">300199</x:t>
        </x:is>
      </x:c>
      <x:c r="C2160" s="3" t="inlineStr">
        <x:is>
          <x:t xml:space="preserve">翰宇药业</x:t>
        </x:is>
      </x:c>
      <x:c r="D2160" s="3" t="inlineStr">
        <x:is>
          <x:t xml:space="preserve">深圳翰宇药业股份有限公司</x:t>
        </x:is>
      </x:c>
      <x:c r="E2160" s="2" t="inlineStr">
        <x:is>
          <x:t xml:space="preserve">广东省</x:t>
        </x:is>
      </x:c>
      <x:c r="F2160" s="2" t="inlineStr">
        <x:is>
          <x:t xml:space="preserve">深圳市</x:t>
        </x:is>
      </x:c>
      <x:c r="G2160" s="3" t="inlineStr">
        <x:is>
          <x:t xml:space="preserve">广东省-深圳市</x:t>
        </x:is>
      </x:c>
      <x:c r="H2160" s="2" t="inlineStr">
        <x:is>
          <x:t xml:space="preserve">医药制造</x:t>
        </x:is>
      </x:c>
      <x:c r="I2160" s="2" t="inlineStr">
        <x:is>
          <x:t xml:space="preserve">2011-04-07</x:t>
        </x:is>
      </x:c>
      <x:c r="J2160" s="3" t="inlineStr">
        <x:is>
          <x:t xml:space="preserve">深圳市龙华区观澜高新园区观盛四路7号翰宇创新产业大楼</x:t>
        </x:is>
      </x:c>
      <x:c r="K2160" s="12" t="str">
        <x:f>LEFT("91440300748855818E",18)</x:f>
        <x:v>91440300748855818E</x:v>
      </x:c>
    </x:row>
    <x:row r="2161">
      <x:c r="A2161" s="4" t="n">
        <x:v>2160</x:v>
      </x:c>
      <x:c r="B2161" s="4" t="inlineStr">
        <x:is>
          <x:t xml:space="preserve">300206</x:t>
        </x:is>
      </x:c>
      <x:c r="C2161" s="5" t="inlineStr">
        <x:is>
          <x:t xml:space="preserve">理邦仪器</x:t>
        </x:is>
      </x:c>
      <x:c r="D2161" s="5" t="inlineStr">
        <x:is>
          <x:t xml:space="preserve">深圳市理邦精密仪器股份有限公司</x:t>
        </x:is>
      </x:c>
      <x:c r="E2161" s="4" t="inlineStr">
        <x:is>
          <x:t xml:space="preserve">广东省</x:t>
        </x:is>
      </x:c>
      <x:c r="F2161" s="4" t="inlineStr">
        <x:is>
          <x:t xml:space="preserve">深圳市</x:t>
        </x:is>
      </x:c>
      <x:c r="G2161" s="5" t="inlineStr">
        <x:is>
          <x:t xml:space="preserve">广东省-深圳市</x:t>
        </x:is>
      </x:c>
      <x:c r="H2161" s="4" t="inlineStr">
        <x:is>
          <x:t xml:space="preserve">医疗器械</x:t>
        </x:is>
      </x:c>
      <x:c r="I2161" s="4" t="inlineStr">
        <x:is>
          <x:t xml:space="preserve">2011-04-21</x:t>
        </x:is>
      </x:c>
      <x:c r="J2161" s="5" t="inlineStr">
        <x:is>
          <x:t xml:space="preserve">深圳市坪山新区坑梓街道金沙社区金辉路15号</x:t>
        </x:is>
      </x:c>
      <x:c r="K2161" s="12" t="str">
        <x:f>LEFT("914403001923672010",18)</x:f>
        <x:v>914403001923672000</x:v>
      </x:c>
    </x:row>
    <x:row r="2162">
      <x:c r="A2162" s="2" t="n">
        <x:v>2161</x:v>
      </x:c>
      <x:c r="B2162" s="2" t="inlineStr">
        <x:is>
          <x:t xml:space="preserve">300207</x:t>
        </x:is>
      </x:c>
      <x:c r="C2162" s="3" t="inlineStr">
        <x:is>
          <x:t xml:space="preserve">欣旺达</x:t>
        </x:is>
      </x:c>
      <x:c r="D2162" s="3" t="inlineStr">
        <x:is>
          <x:t xml:space="preserve">欣旺达电子股份有限公司</x:t>
        </x:is>
      </x:c>
      <x:c r="E2162" s="2" t="inlineStr">
        <x:is>
          <x:t xml:space="preserve">广东省</x:t>
        </x:is>
      </x:c>
      <x:c r="F2162" s="2" t="inlineStr">
        <x:is>
          <x:t xml:space="preserve">深圳市</x:t>
        </x:is>
      </x:c>
      <x:c r="G2162" s="3" t="inlineStr">
        <x:is>
          <x:t xml:space="preserve">广东省-深圳市</x:t>
        </x:is>
      </x:c>
      <x:c r="H2162" s="2" t="inlineStr">
        <x:is>
          <x:t xml:space="preserve">电池</x:t>
        </x:is>
      </x:c>
      <x:c r="I2162" s="2" t="inlineStr">
        <x:is>
          <x:t xml:space="preserve">2011-04-21</x:t>
        </x:is>
      </x:c>
      <x:c r="J2162" s="3" t="inlineStr">
        <x:is>
          <x:t xml:space="preserve">深圳市宝安区石岩街道石龙社区颐和路2号综合楼1楼、2楼A-B区、2楼D区-9楼</x:t>
        </x:is>
      </x:c>
      <x:c r="K2162" s="12" t="str">
        <x:f>LEFT("91440300279446850J",18)</x:f>
        <x:v>91440300279446850J</x:v>
      </x:c>
    </x:row>
    <x:row r="2163">
      <x:c r="A2163" s="4" t="n">
        <x:v>2162</x:v>
      </x:c>
      <x:c r="B2163" s="4" t="inlineStr">
        <x:is>
          <x:t xml:space="preserve">300219</x:t>
        </x:is>
      </x:c>
      <x:c r="C2163" s="5" t="inlineStr">
        <x:is>
          <x:t xml:space="preserve">鸿利智汇</x:t>
        </x:is>
      </x:c>
      <x:c r="D2163" s="5" t="inlineStr">
        <x:is>
          <x:t xml:space="preserve">鸿利智汇集团股份有限公司</x:t>
        </x:is>
      </x:c>
      <x:c r="E2163" s="4" t="inlineStr">
        <x:is>
          <x:t xml:space="preserve">广东省</x:t>
        </x:is>
      </x:c>
      <x:c r="F2163" s="4" t="inlineStr">
        <x:is>
          <x:t xml:space="preserve">广州市</x:t>
        </x:is>
      </x:c>
      <x:c r="G2163" s="5" t="inlineStr">
        <x:is>
          <x:t xml:space="preserve">广东省-广州市</x:t>
        </x:is>
      </x:c>
      <x:c r="H2163" s="4" t="inlineStr">
        <x:is>
          <x:t xml:space="preserve">光学光电子</x:t>
        </x:is>
      </x:c>
      <x:c r="I2163" s="4" t="inlineStr">
        <x:is>
          <x:t xml:space="preserve">2011-05-18</x:t>
        </x:is>
      </x:c>
      <x:c r="J2163" s="5" t="inlineStr">
        <x:is>
          <x:t xml:space="preserve">广州市花都区花东镇先科一路1号</x:t>
        </x:is>
      </x:c>
      <x:c r="K2163" s="12" t="str">
        <x:f>LEFT("91440101761932988M",18)</x:f>
        <x:v>91440101761932988M</x:v>
      </x:c>
    </x:row>
    <x:row r="2164">
      <x:c r="A2164" s="2" t="n">
        <x:v>2163</x:v>
      </x:c>
      <x:c r="B2164" s="2" t="inlineStr">
        <x:is>
          <x:t xml:space="preserve">300221</x:t>
        </x:is>
      </x:c>
      <x:c r="C2164" s="3" t="inlineStr">
        <x:is>
          <x:t xml:space="preserve">银禧科技</x:t>
        </x:is>
      </x:c>
      <x:c r="D2164" s="3" t="inlineStr">
        <x:is>
          <x:t xml:space="preserve">广东银禧科技股份有限公司</x:t>
        </x:is>
      </x:c>
      <x:c r="E2164" s="2" t="inlineStr">
        <x:is>
          <x:t xml:space="preserve">广东省</x:t>
        </x:is>
      </x:c>
      <x:c r="F2164" s="2" t="inlineStr">
        <x:is>
          <x:t xml:space="preserve">东莞市</x:t>
        </x:is>
      </x:c>
      <x:c r="G2164" s="3" t="inlineStr">
        <x:is>
          <x:t xml:space="preserve">广东省-东莞市</x:t>
        </x:is>
      </x:c>
      <x:c r="H2164" s="2" t="inlineStr">
        <x:is>
          <x:t xml:space="preserve">塑胶制品</x:t>
        </x:is>
      </x:c>
      <x:c r="I2164" s="2" t="inlineStr">
        <x:is>
          <x:t xml:space="preserve">2011-05-25</x:t>
        </x:is>
      </x:c>
      <x:c r="J2164" s="3" t="inlineStr">
        <x:is>
          <x:t xml:space="preserve">广东省东莞市虎门镇居岐村</x:t>
        </x:is>
      </x:c>
      <x:c r="K2164" s="12" t="str">
        <x:f>LEFT("91441900618347778J",18)</x:f>
        <x:v>91441900618347778J</x:v>
      </x:c>
    </x:row>
    <x:row r="2165">
      <x:c r="A2165" s="4" t="n">
        <x:v>2164</x:v>
      </x:c>
      <x:c r="B2165" s="4" t="inlineStr">
        <x:is>
          <x:t xml:space="preserve">300227</x:t>
        </x:is>
      </x:c>
      <x:c r="C2165" s="5" t="inlineStr">
        <x:is>
          <x:t xml:space="preserve">光韵达</x:t>
        </x:is>
      </x:c>
      <x:c r="D2165" s="5" t="inlineStr">
        <x:is>
          <x:t xml:space="preserve">深圳光韵达光电科技股份有限公司</x:t>
        </x:is>
      </x:c>
      <x:c r="E2165" s="4" t="inlineStr">
        <x:is>
          <x:t xml:space="preserve">广东省</x:t>
        </x:is>
      </x:c>
      <x:c r="F2165" s="4" t="inlineStr">
        <x:is>
          <x:t xml:space="preserve">深圳市</x:t>
        </x:is>
      </x:c>
      <x:c r="G2165" s="5" t="inlineStr">
        <x:is>
          <x:t xml:space="preserve">广东省-深圳市</x:t>
        </x:is>
      </x:c>
      <x:c r="H2165" s="4" t="inlineStr">
        <x:is>
          <x:t xml:space="preserve">电子元件</x:t>
        </x:is>
      </x:c>
      <x:c r="I2165" s="4" t="inlineStr">
        <x:is>
          <x:t xml:space="preserve">2011-06-08</x:t>
        </x:is>
      </x:c>
      <x:c r="J2165" s="5" t="inlineStr">
        <x:is>
          <x:t xml:space="preserve">深圳市南山区沙河街道高发社区侨香路金迪世纪大厦A栋1201</x:t>
        </x:is>
      </x:c>
      <x:c r="K2165" s="12" t="str">
        <x:f>LEFT("91440300778790429A",18)</x:f>
        <x:v>91440300778790429A</x:v>
      </x:c>
    </x:row>
    <x:row r="2166">
      <x:c r="A2166" s="2" t="n">
        <x:v>2165</x:v>
      </x:c>
      <x:c r="B2166" s="2" t="inlineStr">
        <x:is>
          <x:t xml:space="preserve">300232</x:t>
        </x:is>
      </x:c>
      <x:c r="C2166" s="3" t="inlineStr">
        <x:is>
          <x:t xml:space="preserve">洲明科技</x:t>
        </x:is>
      </x:c>
      <x:c r="D2166" s="3" t="inlineStr">
        <x:is>
          <x:t xml:space="preserve">深圳市洲明科技股份有限公司</x:t>
        </x:is>
      </x:c>
      <x:c r="E2166" s="2" t="inlineStr">
        <x:is>
          <x:t xml:space="preserve">广东省</x:t>
        </x:is>
      </x:c>
      <x:c r="F2166" s="2" t="inlineStr">
        <x:is>
          <x:t xml:space="preserve">深圳市</x:t>
        </x:is>
      </x:c>
      <x:c r="G2166" s="3" t="inlineStr">
        <x:is>
          <x:t xml:space="preserve">广东省-深圳市</x:t>
        </x:is>
      </x:c>
      <x:c r="H2166" s="2" t="inlineStr">
        <x:is>
          <x:t xml:space="preserve">光学光电子</x:t>
        </x:is>
      </x:c>
      <x:c r="I2166" s="2" t="inlineStr">
        <x:is>
          <x:t xml:space="preserve">2011-06-22</x:t>
        </x:is>
      </x:c>
      <x:c r="J2166" s="3" t="inlineStr">
        <x:is>
          <x:t xml:space="preserve">深圳市宝安区福海街道和平社区同富裕工业区蚝业路18号B栋1-3楼</x:t>
        </x:is>
      </x:c>
      <x:c r="K2166" s="12" t="str">
        <x:f>LEFT("91440300767579994J",18)</x:f>
        <x:v>91440300767579994J</x:v>
      </x:c>
    </x:row>
    <x:row r="2167">
      <x:c r="A2167" s="4" t="n">
        <x:v>2166</x:v>
      </x:c>
      <x:c r="B2167" s="4" t="inlineStr">
        <x:is>
          <x:t xml:space="preserve">300235</x:t>
        </x:is>
      </x:c>
      <x:c r="C2167" s="5" t="inlineStr">
        <x:is>
          <x:t xml:space="preserve">方直科技</x:t>
        </x:is>
      </x:c>
      <x:c r="D2167" s="5" t="inlineStr">
        <x:is>
          <x:t xml:space="preserve">深圳市方直科技股份有限公司</x:t>
        </x:is>
      </x:c>
      <x:c r="E2167" s="4" t="inlineStr">
        <x:is>
          <x:t xml:space="preserve">广东省</x:t>
        </x:is>
      </x:c>
      <x:c r="F2167" s="4" t="inlineStr">
        <x:is>
          <x:t xml:space="preserve">深圳市</x:t>
        </x:is>
      </x:c>
      <x:c r="G2167" s="5" t="inlineStr">
        <x:is>
          <x:t xml:space="preserve">广东省-深圳市</x:t>
        </x:is>
      </x:c>
      <x:c r="H2167" s="4" t="inlineStr">
        <x:is>
          <x:t xml:space="preserve">软件开发</x:t>
        </x:is>
      </x:c>
      <x:c r="I2167" s="4" t="inlineStr">
        <x:is>
          <x:t xml:space="preserve">2011-06-29</x:t>
        </x:is>
      </x:c>
      <x:c r="J2167" s="5" t="inlineStr">
        <x:is>
          <x:t xml:space="preserve">深圳市南山区南头街道马家龙社区大新路198号创新大厦B栋901</x:t>
        </x:is>
      </x:c>
      <x:c r="K2167" s="12" t="str">
        <x:f>LEFT("91440300279416467B",18)</x:f>
        <x:v>91440300279416467B</x:v>
      </x:c>
    </x:row>
    <x:row r="2168">
      <x:c r="A2168" s="2" t="n">
        <x:v>2167</x:v>
      </x:c>
      <x:c r="B2168" s="2" t="inlineStr">
        <x:is>
          <x:t xml:space="preserve">300238</x:t>
        </x:is>
      </x:c>
      <x:c r="C2168" s="3" t="inlineStr">
        <x:is>
          <x:t xml:space="preserve">冠昊生物</x:t>
        </x:is>
      </x:c>
      <x:c r="D2168" s="3" t="inlineStr">
        <x:is>
          <x:t xml:space="preserve">冠昊生物科技股份有限公司</x:t>
        </x:is>
      </x:c>
      <x:c r="E2168" s="2" t="inlineStr">
        <x:is>
          <x:t xml:space="preserve">广东省</x:t>
        </x:is>
      </x:c>
      <x:c r="F2168" s="2" t="inlineStr">
        <x:is>
          <x:t xml:space="preserve">广州市</x:t>
        </x:is>
      </x:c>
      <x:c r="G2168" s="3" t="inlineStr">
        <x:is>
          <x:t xml:space="preserve">广东省-广州市</x:t>
        </x:is>
      </x:c>
      <x:c r="H2168" s="2" t="inlineStr">
        <x:is>
          <x:t xml:space="preserve">医疗器械</x:t>
        </x:is>
      </x:c>
      <x:c r="I2168" s="2" t="inlineStr">
        <x:is>
          <x:t xml:space="preserve">2011-07-06</x:t>
        </x:is>
      </x:c>
      <x:c r="J2168" s="3" t="inlineStr">
        <x:is>
          <x:t xml:space="preserve">广东省广州市黄埔区玉岩路12号</x:t>
        </x:is>
      </x:c>
      <x:c r="K2168" s="12" t="str">
        <x:f>LEFT("91440000707688515X",18)</x:f>
        <x:v>91440000707688515X</x:v>
      </x:c>
    </x:row>
    <x:row r="2169">
      <x:c r="A2169" s="4" t="n">
        <x:v>2168</x:v>
      </x:c>
      <x:c r="B2169" s="4" t="inlineStr">
        <x:is>
          <x:t xml:space="preserve">300241</x:t>
        </x:is>
      </x:c>
      <x:c r="C2169" s="5" t="inlineStr">
        <x:is>
          <x:t xml:space="preserve">瑞丰光电</x:t>
        </x:is>
      </x:c>
      <x:c r="D2169" s="5" t="inlineStr">
        <x:is>
          <x:t xml:space="preserve">深圳市瑞丰光电子股份有限公司</x:t>
        </x:is>
      </x:c>
      <x:c r="E2169" s="4" t="inlineStr">
        <x:is>
          <x:t xml:space="preserve">广东省</x:t>
        </x:is>
      </x:c>
      <x:c r="F2169" s="4" t="inlineStr">
        <x:is>
          <x:t xml:space="preserve">深圳市</x:t>
        </x:is>
      </x:c>
      <x:c r="G2169" s="5" t="inlineStr">
        <x:is>
          <x:t xml:space="preserve">广东省-深圳市</x:t>
        </x:is>
      </x:c>
      <x:c r="H2169" s="4" t="inlineStr">
        <x:is>
          <x:t xml:space="preserve">光学光电子</x:t>
        </x:is>
      </x:c>
      <x:c r="I2169" s="4" t="inlineStr">
        <x:is>
          <x:t xml:space="preserve">2011-07-12</x:t>
        </x:is>
      </x:c>
      <x:c r="J2169" s="5" t="inlineStr">
        <x:is>
          <x:t xml:space="preserve">深圳市光明区玉塘街道田寮社区融汇路与同观路交汇瑞丰光电大厦1栋1601(一照多址企业)</x:t>
        </x:is>
      </x:c>
      <x:c r="K2169" s="12" t="str">
        <x:f>LEFT("914403007152666039",18)</x:f>
        <x:v>914403007152666000</x:v>
      </x:c>
    </x:row>
    <x:row r="2170">
      <x:c r="A2170" s="2" t="n">
        <x:v>2169</x:v>
      </x:c>
      <x:c r="B2170" s="2" t="inlineStr">
        <x:is>
          <x:t xml:space="preserve">300242</x:t>
        </x:is>
      </x:c>
      <x:c r="C2170" s="3" t="inlineStr">
        <x:is>
          <x:t xml:space="preserve">佳云科技</x:t>
        </x:is>
      </x:c>
      <x:c r="D2170" s="3" t="inlineStr">
        <x:is>
          <x:t xml:space="preserve">广东佳云科技股份有限公司</x:t>
        </x:is>
      </x:c>
      <x:c r="E2170" s="2" t="inlineStr">
        <x:is>
          <x:t xml:space="preserve">广东省</x:t>
        </x:is>
      </x:c>
      <x:c r="F2170" s="2" t="inlineStr">
        <x:is>
          <x:t xml:space="preserve">东莞市</x:t>
        </x:is>
      </x:c>
      <x:c r="G2170" s="3" t="inlineStr">
        <x:is>
          <x:t xml:space="preserve">广东省-东莞市</x:t>
        </x:is>
      </x:c>
      <x:c r="H2170" s="2" t="inlineStr">
        <x:is>
          <x:t xml:space="preserve">文化传媒</x:t>
        </x:is>
      </x:c>
      <x:c r="I2170" s="2" t="inlineStr">
        <x:is>
          <x:t xml:space="preserve">2011-07-12</x:t>
        </x:is>
      </x:c>
      <x:c r="J2170" s="3" t="inlineStr">
        <x:is>
          <x:t xml:space="preserve">广东省东莞市横沥镇村头村工业区</x:t>
        </x:is>
      </x:c>
      <x:c r="K2170" s="12" t="str">
        <x:f>LEFT("91441900738599734U",18)</x:f>
        <x:v>91441900738599734U</x:v>
      </x:c>
    </x:row>
    <x:row r="2171">
      <x:c r="A2171" s="4" t="n">
        <x:v>2170</x:v>
      </x:c>
      <x:c r="B2171" s="4" t="inlineStr">
        <x:is>
          <x:t xml:space="preserve">300246</x:t>
        </x:is>
      </x:c>
      <x:c r="C2171" s="5" t="inlineStr">
        <x:is>
          <x:t xml:space="preserve">宝莱特</x:t>
        </x:is>
      </x:c>
      <x:c r="D2171" s="5" t="inlineStr">
        <x:is>
          <x:t xml:space="preserve">广东宝莱特医用科技股份有限公司</x:t>
        </x:is>
      </x:c>
      <x:c r="E2171" s="4" t="inlineStr">
        <x:is>
          <x:t xml:space="preserve">广东省</x:t>
        </x:is>
      </x:c>
      <x:c r="F2171" s="4" t="inlineStr">
        <x:is>
          <x:t xml:space="preserve">珠海市</x:t>
        </x:is>
      </x:c>
      <x:c r="G2171" s="5" t="inlineStr">
        <x:is>
          <x:t xml:space="preserve">广东省-珠海市</x:t>
        </x:is>
      </x:c>
      <x:c r="H2171" s="4" t="inlineStr">
        <x:is>
          <x:t xml:space="preserve">医疗器械</x:t>
        </x:is>
      </x:c>
      <x:c r="I2171" s="4" t="inlineStr">
        <x:is>
          <x:t xml:space="preserve">2011-07-19</x:t>
        </x:is>
      </x:c>
      <x:c r="J2171" s="5" t="inlineStr">
        <x:is>
          <x:t xml:space="preserve">广东省珠海市高新区科技创新海岸创新一路2号</x:t>
        </x:is>
      </x:c>
      <x:c r="K2171" s="12" t="str">
        <x:f>LEFT("914404006175020946",18)</x:f>
        <x:v>914404006175020900</x:v>
      </x:c>
    </x:row>
    <x:row r="2172">
      <x:c r="A2172" s="2" t="n">
        <x:v>2171</x:v>
      </x:c>
      <x:c r="B2172" s="2" t="inlineStr">
        <x:is>
          <x:t xml:space="preserve">300252</x:t>
        </x:is>
      </x:c>
      <x:c r="C2172" s="3" t="inlineStr">
        <x:is>
          <x:t xml:space="preserve">金信诺</x:t>
        </x:is>
      </x:c>
      <x:c r="D2172" s="3" t="inlineStr">
        <x:is>
          <x:t xml:space="preserve">深圳金信诺高新技术股份有限公司</x:t>
        </x:is>
      </x:c>
      <x:c r="E2172" s="2" t="inlineStr">
        <x:is>
          <x:t xml:space="preserve">广东省</x:t>
        </x:is>
      </x:c>
      <x:c r="F2172" s="2" t="inlineStr">
        <x:is>
          <x:t xml:space="preserve">深圳市</x:t>
        </x:is>
      </x:c>
      <x:c r="G2172" s="3" t="inlineStr">
        <x:is>
          <x:t xml:space="preserve">广东省-深圳市</x:t>
        </x:is>
      </x:c>
      <x:c r="H2172" s="2" t="inlineStr">
        <x:is>
          <x:t xml:space="preserve">通讯行业</x:t>
        </x:is>
      </x:c>
      <x:c r="I2172" s="2" t="inlineStr">
        <x:is>
          <x:t xml:space="preserve">2011-08-18</x:t>
        </x:is>
      </x:c>
      <x:c r="J2172" s="3" t="inlineStr">
        <x:is>
          <x:t xml:space="preserve">广东省深圳市龙岗区宝龙街道宝龙社区宝龙二路50号金信诺1号厂房1楼、19楼</x:t>
        </x:is>
      </x:c>
      <x:c r="K2172" s="12" t="str">
        <x:f>LEFT("91440300736281327C",18)</x:f>
        <x:v>91440300736281327C</x:v>
      </x:c>
    </x:row>
    <x:row r="2173">
      <x:c r="A2173" s="4" t="n">
        <x:v>2172</x:v>
      </x:c>
      <x:c r="B2173" s="4" t="inlineStr">
        <x:is>
          <x:t xml:space="preserve">300264</x:t>
        </x:is>
      </x:c>
      <x:c r="C2173" s="5" t="inlineStr">
        <x:is>
          <x:t xml:space="preserve">佳创视讯</x:t>
        </x:is>
      </x:c>
      <x:c r="D2173" s="5" t="inlineStr">
        <x:is>
          <x:t xml:space="preserve">深圳市佳创视讯技术股份有限公司</x:t>
        </x:is>
      </x:c>
      <x:c r="E2173" s="4" t="inlineStr">
        <x:is>
          <x:t xml:space="preserve">广东省</x:t>
        </x:is>
      </x:c>
      <x:c r="F2173" s="4" t="inlineStr">
        <x:is>
          <x:t xml:space="preserve">深圳市</x:t>
        </x:is>
      </x:c>
      <x:c r="G2173" s="5" t="inlineStr">
        <x:is>
          <x:t xml:space="preserve">广东省-深圳市</x:t>
        </x:is>
      </x:c>
      <x:c r="H2173" s="4" t="inlineStr">
        <x:is>
          <x:t xml:space="preserve">互联网服务</x:t>
        </x:is>
      </x:c>
      <x:c r="I2173" s="4" t="inlineStr">
        <x:is>
          <x:t xml:space="preserve">2011-09-16</x:t>
        </x:is>
      </x:c>
      <x:c r="J2173" s="5" t="inlineStr">
        <x:is>
          <x:t xml:space="preserve">深圳市光明区凤凰街道凤凰社区观光路2533号A2栋903-129</x:t>
        </x:is>
      </x:c>
      <x:c r="K2173" s="12" t="str">
        <x:f>LEFT("91440300724725736X",18)</x:f>
        <x:v>91440300724725736X</x:v>
      </x:c>
    </x:row>
    <x:row r="2174">
      <x:c r="A2174" s="2" t="n">
        <x:v>2173</x:v>
      </x:c>
      <x:c r="B2174" s="2" t="inlineStr">
        <x:is>
          <x:t xml:space="preserve">300269</x:t>
        </x:is>
      </x:c>
      <x:c r="C2174" s="3" t="inlineStr">
        <x:is>
          <x:t xml:space="preserve">联建光电</x:t>
        </x:is>
      </x:c>
      <x:c r="D2174" s="3" t="inlineStr">
        <x:is>
          <x:t xml:space="preserve">深圳市联建光电股份有限公司</x:t>
        </x:is>
      </x:c>
      <x:c r="E2174" s="2" t="inlineStr">
        <x:is>
          <x:t xml:space="preserve">广东省</x:t>
        </x:is>
      </x:c>
      <x:c r="F2174" s="2" t="inlineStr">
        <x:is>
          <x:t xml:space="preserve">深圳市</x:t>
        </x:is>
      </x:c>
      <x:c r="G2174" s="3" t="inlineStr">
        <x:is>
          <x:t xml:space="preserve">广东省-深圳市</x:t>
        </x:is>
      </x:c>
      <x:c r="H2174" s="2" t="inlineStr">
        <x:is>
          <x:t xml:space="preserve">互联网服务</x:t>
        </x:is>
      </x:c>
      <x:c r="I2174" s="2" t="inlineStr">
        <x:is>
          <x:t xml:space="preserve">2011-10-12</x:t>
        </x:is>
      </x:c>
      <x:c r="J2174" s="3" t="inlineStr">
        <x:is>
          <x:t xml:space="preserve">深圳市宝安区68区留仙三路安通达工业园厂区四号厂房2楼</x:t>
        </x:is>
      </x:c>
      <x:c r="K2174" s="12" t="str">
        <x:f>LEFT("914403007488688116",18)</x:f>
        <x:v>914403007488688100</x:v>
      </x:c>
    </x:row>
    <x:row r="2175">
      <x:c r="A2175" s="4" t="n">
        <x:v>2174</x:v>
      </x:c>
      <x:c r="B2175" s="4" t="inlineStr">
        <x:is>
          <x:t xml:space="preserve">300281</x:t>
        </x:is>
      </x:c>
      <x:c r="C2175" s="5" t="inlineStr">
        <x:is>
          <x:t xml:space="preserve">金明精机</x:t>
        </x:is>
      </x:c>
      <x:c r="D2175" s="5" t="inlineStr">
        <x:is>
          <x:t xml:space="preserve">广东金明精机股份有限公司</x:t>
        </x:is>
      </x:c>
      <x:c r="E2175" s="4" t="inlineStr">
        <x:is>
          <x:t xml:space="preserve">广东省</x:t>
        </x:is>
      </x:c>
      <x:c r="F2175" s="4" t="inlineStr">
        <x:is>
          <x:t xml:space="preserve">汕头市</x:t>
        </x:is>
      </x:c>
      <x:c r="G2175" s="5" t="inlineStr">
        <x:is>
          <x:t xml:space="preserve">广东省-汕头市</x:t>
        </x:is>
      </x:c>
      <x:c r="H2175" s="4" t="inlineStr">
        <x:is>
          <x:t xml:space="preserve">专用设备</x:t>
        </x:is>
      </x:c>
      <x:c r="I2175" s="4" t="inlineStr">
        <x:is>
          <x:t xml:space="preserve">2011-12-29</x:t>
        </x:is>
      </x:c>
      <x:c r="J2175" s="5" t="inlineStr">
        <x:is>
          <x:t xml:space="preserve">广东省汕头市濠江区纺织工业园</x:t>
        </x:is>
      </x:c>
      <x:c r="K2175" s="12" t="str">
        <x:f>LEFT("91440500192983581M",18)</x:f>
        <x:v>91440500192983581M</x:v>
      </x:c>
    </x:row>
    <x:row r="2176">
      <x:c r="A2176" s="2" t="n">
        <x:v>2175</x:v>
      </x:c>
      <x:c r="B2176" s="2" t="inlineStr">
        <x:is>
          <x:t xml:space="preserve">300301</x:t>
        </x:is>
      </x:c>
      <x:c r="C2176" s="3" t="inlineStr">
        <x:is>
          <x:t xml:space="preserve">ST长方</x:t>
        </x:is>
      </x:c>
      <x:c r="D2176" s="3" t="inlineStr">
        <x:is>
          <x:t xml:space="preserve">深圳市长方集团股份有限公司</x:t>
        </x:is>
      </x:c>
      <x:c r="E2176" s="2" t="inlineStr">
        <x:is>
          <x:t xml:space="preserve">广东省</x:t>
        </x:is>
      </x:c>
      <x:c r="F2176" s="2" t="inlineStr">
        <x:is>
          <x:t xml:space="preserve">深圳市</x:t>
        </x:is>
      </x:c>
      <x:c r="G2176" s="3" t="inlineStr">
        <x:is>
          <x:t xml:space="preserve">广东省-深圳市</x:t>
        </x:is>
      </x:c>
      <x:c r="H2176" s="2" t="inlineStr">
        <x:is>
          <x:t xml:space="preserve">光学光电子</x:t>
        </x:is>
      </x:c>
      <x:c r="I2176" s="2" t="inlineStr">
        <x:is>
          <x:t xml:space="preserve">2012-03-21</x:t>
        </x:is>
      </x:c>
      <x:c r="J2176" s="3" t="inlineStr">
        <x:is>
          <x:t xml:space="preserve">深圳市坪山区龙田街道竹坑社区长方集团总部大楼一层</x:t>
        </x:is>
      </x:c>
      <x:c r="K2176" s="12" t="str">
        <x:f>LEFT("91440300775562228B",18)</x:f>
        <x:v>91440300775562228B</x:v>
      </x:c>
    </x:row>
    <x:row r="2177">
      <x:c r="A2177" s="4" t="n">
        <x:v>2176</x:v>
      </x:c>
      <x:c r="B2177" s="4" t="inlineStr">
        <x:is>
          <x:t xml:space="preserve">300303</x:t>
        </x:is>
      </x:c>
      <x:c r="C2177" s="5" t="inlineStr">
        <x:is>
          <x:t xml:space="preserve">聚飞光电</x:t>
        </x:is>
      </x:c>
      <x:c r="D2177" s="5" t="inlineStr">
        <x:is>
          <x:t xml:space="preserve">深圳市聚飞光电股份有限公司</x:t>
        </x:is>
      </x:c>
      <x:c r="E2177" s="4" t="inlineStr">
        <x:is>
          <x:t xml:space="preserve">广东省</x:t>
        </x:is>
      </x:c>
      <x:c r="F2177" s="4" t="inlineStr">
        <x:is>
          <x:t xml:space="preserve">深圳市</x:t>
        </x:is>
      </x:c>
      <x:c r="G2177" s="5" t="inlineStr">
        <x:is>
          <x:t xml:space="preserve">广东省-深圳市</x:t>
        </x:is>
      </x:c>
      <x:c r="H2177" s="4" t="inlineStr">
        <x:is>
          <x:t xml:space="preserve">光学光电子</x:t>
        </x:is>
      </x:c>
      <x:c r="I2177" s="4" t="inlineStr">
        <x:is>
          <x:t xml:space="preserve">2012-03-19</x:t>
        </x:is>
      </x:c>
      <x:c r="J2177" s="5" t="inlineStr">
        <x:is>
          <x:t xml:space="preserve">广东省深圳市龙岗区平湖街道鹅公岭社区鹅岭工业区4号</x:t>
        </x:is>
      </x:c>
      <x:c r="K2177" s="12" t="str">
        <x:f>LEFT("91440300779871060C",18)</x:f>
        <x:v>91440300779871060C</x:v>
      </x:c>
    </x:row>
    <x:row r="2178">
      <x:c r="A2178" s="2" t="n">
        <x:v>2177</x:v>
      </x:c>
      <x:c r="B2178" s="2" t="inlineStr">
        <x:is>
          <x:t xml:space="preserve">300310</x:t>
        </x:is>
      </x:c>
      <x:c r="C2178" s="3" t="inlineStr">
        <x:is>
          <x:t xml:space="preserve">宜通世纪</x:t>
        </x:is>
      </x:c>
      <x:c r="D2178" s="3" t="inlineStr">
        <x:is>
          <x:t xml:space="preserve">宜通世纪科技股份有限公司</x:t>
        </x:is>
      </x:c>
      <x:c r="E2178" s="2" t="inlineStr">
        <x:is>
          <x:t xml:space="preserve">广东省</x:t>
        </x:is>
      </x:c>
      <x:c r="F2178" s="2" t="inlineStr">
        <x:is>
          <x:t xml:space="preserve">广州市</x:t>
        </x:is>
      </x:c>
      <x:c r="G2178" s="3" t="inlineStr">
        <x:is>
          <x:t xml:space="preserve">广东省-广州市</x:t>
        </x:is>
      </x:c>
      <x:c r="H2178" s="2" t="inlineStr">
        <x:is>
          <x:t xml:space="preserve">通信服务</x:t>
        </x:is>
      </x:c>
      <x:c r="I2178" s="2" t="inlineStr">
        <x:is>
          <x:t xml:space="preserve">2012-04-25</x:t>
        </x:is>
      </x:c>
      <x:c r="J2178" s="3" t="inlineStr">
        <x:is>
          <x:t xml:space="preserve">广州市天河区科韵路16号自编1栋1201</x:t>
        </x:is>
      </x:c>
      <x:c r="K2178" s="12" t="str">
        <x:f>LEFT("91440101731569620Y",18)</x:f>
        <x:v>91440101731569620Y</x:v>
      </x:c>
    </x:row>
    <x:row r="2179">
      <x:c r="A2179" s="4" t="n">
        <x:v>2178</x:v>
      </x:c>
      <x:c r="B2179" s="4" t="inlineStr">
        <x:is>
          <x:t xml:space="preserve">300311</x:t>
        </x:is>
      </x:c>
      <x:c r="C2179" s="5" t="inlineStr">
        <x:is>
          <x:t xml:space="preserve">ST任子行</x:t>
        </x:is>
      </x:c>
      <x:c r="D2179" s="5" t="inlineStr">
        <x:is>
          <x:t xml:space="preserve">任子行网络技术股份有限公司</x:t>
        </x:is>
      </x:c>
      <x:c r="E2179" s="4" t="inlineStr">
        <x:is>
          <x:t xml:space="preserve">广东省</x:t>
        </x:is>
      </x:c>
      <x:c r="F2179" s="4" t="inlineStr">
        <x:is>
          <x:t xml:space="preserve">深圳市</x:t>
        </x:is>
      </x:c>
      <x:c r="G2179" s="5" t="inlineStr">
        <x:is>
          <x:t xml:space="preserve">广东省-深圳市</x:t>
        </x:is>
      </x:c>
      <x:c r="H2179" s="4" t="inlineStr">
        <x:is>
          <x:t xml:space="preserve">软件服务</x:t>
        </x:is>
      </x:c>
      <x:c r="I2179" s="4" t="inlineStr">
        <x:is>
          <x:t xml:space="preserve">2012-04-25</x:t>
        </x:is>
      </x:c>
      <x:c r="J2179" s="5" t="inlineStr">
        <x:is>
          <x:t xml:space="preserve">深圳市南山区高新区科技中二路软件园2栋6楼</x:t>
        </x:is>
      </x:c>
      <x:c r="K2179" s="12" t="str">
        <x:f>LEFT("91440300723005104T",18)</x:f>
        <x:v>91440300723005104T</x:v>
      </x:c>
    </x:row>
    <x:row r="2180">
      <x:c r="A2180" s="2" t="n">
        <x:v>2179</x:v>
      </x:c>
      <x:c r="B2180" s="2" t="inlineStr">
        <x:is>
          <x:t xml:space="preserve">300317</x:t>
        </x:is>
      </x:c>
      <x:c r="C2180" s="3" t="inlineStr">
        <x:is>
          <x:t xml:space="preserve">珈伟新能</x:t>
        </x:is>
      </x:c>
      <x:c r="D2180" s="3" t="inlineStr">
        <x:is>
          <x:t xml:space="preserve">珈伟新能源股份有限公司</x:t>
        </x:is>
      </x:c>
      <x:c r="E2180" s="2" t="inlineStr">
        <x:is>
          <x:t xml:space="preserve">广东省</x:t>
        </x:is>
      </x:c>
      <x:c r="F2180" s="2" t="inlineStr">
        <x:is>
          <x:t xml:space="preserve">深圳市</x:t>
        </x:is>
      </x:c>
      <x:c r="G2180" s="3" t="inlineStr">
        <x:is>
          <x:t xml:space="preserve">广东省-深圳市</x:t>
        </x:is>
      </x:c>
      <x:c r="H2180" s="2" t="inlineStr">
        <x:is>
          <x:t xml:space="preserve">光伏设备</x:t>
        </x:is>
      </x:c>
      <x:c r="I2180" s="2" t="inlineStr">
        <x:is>
          <x:t xml:space="preserve">2012-05-11</x:t>
        </x:is>
      </x:c>
      <x:c r="J2180" s="3" t="inlineStr">
        <x:is>
          <x:t xml:space="preserve">深圳市龙岗区坪地街道中心社区环坪路7号A栋101-1201、C栋101-901、D栋101-901</x:t>
        </x:is>
      </x:c>
      <x:c r="K2180" s="12" t="str">
        <x:f>LEFT("91440300279428417C",18)</x:f>
        <x:v>91440300279428417C</x:v>
      </x:c>
    </x:row>
    <x:row r="2181">
      <x:c r="A2181" s="4" t="n">
        <x:v>2180</x:v>
      </x:c>
      <x:c r="B2181" s="4" t="inlineStr">
        <x:is>
          <x:t xml:space="preserve">300319</x:t>
        </x:is>
      </x:c>
      <x:c r="C2181" s="5" t="inlineStr">
        <x:is>
          <x:t xml:space="preserve">麦捷科技</x:t>
        </x:is>
      </x:c>
      <x:c r="D2181" s="5" t="inlineStr">
        <x:is>
          <x:t xml:space="preserve">深圳市麦捷微电子科技股份有限公司</x:t>
        </x:is>
      </x:c>
      <x:c r="E2181" s="4" t="inlineStr">
        <x:is>
          <x:t xml:space="preserve">广东省</x:t>
        </x:is>
      </x:c>
      <x:c r="F2181" s="4" t="inlineStr">
        <x:is>
          <x:t xml:space="preserve">深圳市</x:t>
        </x:is>
      </x:c>
      <x:c r="G2181" s="5" t="inlineStr">
        <x:is>
          <x:t xml:space="preserve">广东省-深圳市</x:t>
        </x:is>
      </x:c>
      <x:c r="H2181" s="4" t="inlineStr">
        <x:is>
          <x:t xml:space="preserve">电子元件</x:t>
        </x:is>
      </x:c>
      <x:c r="I2181" s="4" t="inlineStr">
        <x:is>
          <x:t xml:space="preserve">2012-05-23</x:t>
        </x:is>
      </x:c>
      <x:c r="J2181" s="5" t="inlineStr">
        <x:is>
          <x:t xml:space="preserve">深圳市坪山区龙田街道竹坑社区坪山科技路麦捷科技智慧园1号厂房101</x:t>
        </x:is>
      </x:c>
      <x:c r="K2181" s="12" t="str">
        <x:f>LEFT("91440300727142659G",18)</x:f>
        <x:v>91440300727142659G</x:v>
      </x:c>
    </x:row>
    <x:row r="2182">
      <x:c r="A2182" s="2" t="n">
        <x:v>2181</x:v>
      </x:c>
      <x:c r="B2182" s="2" t="inlineStr">
        <x:is>
          <x:t xml:space="preserve">300322</x:t>
        </x:is>
      </x:c>
      <x:c r="C2182" s="3" t="inlineStr">
        <x:is>
          <x:t xml:space="preserve">硕贝德</x:t>
        </x:is>
      </x:c>
      <x:c r="D2182" s="3" t="inlineStr">
        <x:is>
          <x:t xml:space="preserve">惠州硕贝德无线科技股份有限公司</x:t>
        </x:is>
      </x:c>
      <x:c r="E2182" s="2" t="inlineStr">
        <x:is>
          <x:t xml:space="preserve">广东省</x:t>
        </x:is>
      </x:c>
      <x:c r="F2182" s="2" t="inlineStr">
        <x:is>
          <x:t xml:space="preserve">惠州市</x:t>
        </x:is>
      </x:c>
      <x:c r="G2182" s="3" t="inlineStr">
        <x:is>
          <x:t xml:space="preserve">广东省-惠州市</x:t>
        </x:is>
      </x:c>
      <x:c r="H2182" s="2" t="inlineStr">
        <x:is>
          <x:t xml:space="preserve">消费电子</x:t>
        </x:is>
      </x:c>
      <x:c r="I2182" s="2" t="inlineStr">
        <x:is>
          <x:t xml:space="preserve">2012-06-08</x:t>
        </x:is>
      </x:c>
      <x:c r="J2182" s="3" t="inlineStr">
        <x:is>
          <x:t xml:space="preserve">惠州市仲恺高新区东江高新科技产业园惠泽大道138号</x:t>
        </x:is>
      </x:c>
      <x:c r="K2182" s="12" t="str">
        <x:f>LEFT("914413007583329069",18)</x:f>
        <x:v>914413007583329000</x:v>
      </x:c>
    </x:row>
    <x:row r="2183">
      <x:c r="A2183" s="4" t="n">
        <x:v>2182</x:v>
      </x:c>
      <x:c r="B2183" s="4" t="inlineStr">
        <x:is>
          <x:t xml:space="preserve">300328</x:t>
        </x:is>
      </x:c>
      <x:c r="C2183" s="5" t="inlineStr">
        <x:is>
          <x:t xml:space="preserve">宜安科技</x:t>
        </x:is>
      </x:c>
      <x:c r="D2183" s="5" t="inlineStr">
        <x:is>
          <x:t xml:space="preserve">东莞宜安科技股份有限公司</x:t>
        </x:is>
      </x:c>
      <x:c r="E2183" s="4" t="inlineStr">
        <x:is>
          <x:t xml:space="preserve">广东省</x:t>
        </x:is>
      </x:c>
      <x:c r="F2183" s="4" t="inlineStr">
        <x:is>
          <x:t xml:space="preserve">东莞市</x:t>
        </x:is>
      </x:c>
      <x:c r="G2183" s="5" t="inlineStr">
        <x:is>
          <x:t xml:space="preserve">广东省-东莞市</x:t>
        </x:is>
      </x:c>
      <x:c r="H2183" s="4" t="inlineStr">
        <x:is>
          <x:t xml:space="preserve">小金属</x:t>
        </x:is>
      </x:c>
      <x:c r="I2183" s="4" t="inlineStr">
        <x:is>
          <x:t xml:space="preserve">2012-06-19</x:t>
        </x:is>
      </x:c>
      <x:c r="J2183" s="5" t="inlineStr">
        <x:is>
          <x:t xml:space="preserve">广东省东莞市清溪镇银泉工业区</x:t>
        </x:is>
      </x:c>
      <x:c r="K2183" s="12" t="str">
        <x:f>LEFT("91441900618367138U",18)</x:f>
        <x:v>91441900618367138U</x:v>
      </x:c>
    </x:row>
    <x:row r="2184">
      <x:c r="A2184" s="2" t="n">
        <x:v>2183</x:v>
      </x:c>
      <x:c r="B2184" s="2" t="inlineStr">
        <x:is>
          <x:t xml:space="preserve">300333</x:t>
        </x:is>
      </x:c>
      <x:c r="C2184" s="3" t="inlineStr">
        <x:is>
          <x:t xml:space="preserve">兆日科技</x:t>
        </x:is>
      </x:c>
      <x:c r="D2184" s="3" t="inlineStr">
        <x:is>
          <x:t xml:space="preserve">深圳兆日科技股份有限公司</x:t>
        </x:is>
      </x:c>
      <x:c r="E2184" s="2" t="inlineStr">
        <x:is>
          <x:t xml:space="preserve">广东省</x:t>
        </x:is>
      </x:c>
      <x:c r="F2184" s="2" t="inlineStr">
        <x:is>
          <x:t xml:space="preserve">深圳市</x:t>
        </x:is>
      </x:c>
      <x:c r="G2184" s="3" t="inlineStr">
        <x:is>
          <x:t xml:space="preserve">广东省-深圳市</x:t>
        </x:is>
      </x:c>
      <x:c r="H2184" s="2" t="inlineStr">
        <x:is>
          <x:t xml:space="preserve">软件开发</x:t>
        </x:is>
      </x:c>
      <x:c r="I2184" s="2" t="inlineStr">
        <x:is>
          <x:t xml:space="preserve">2012-06-28</x:t>
        </x:is>
      </x:c>
      <x:c r="J2184" s="3" t="inlineStr">
        <x:is>
          <x:t xml:space="preserve">深圳市福田区泰然八路泰然大厦C座1605</x:t>
        </x:is>
      </x:c>
      <x:c r="K2184" s="12" t="str">
        <x:f>LEFT("91440300748876299E",18)</x:f>
        <x:v>91440300748876299E</x:v>
      </x:c>
    </x:row>
    <x:row r="2185">
      <x:c r="A2185" s="4" t="n">
        <x:v>2184</x:v>
      </x:c>
      <x:c r="B2185" s="4" t="inlineStr">
        <x:is>
          <x:t xml:space="preserve">300335</x:t>
        </x:is>
      </x:c>
      <x:c r="C2185" s="5" t="inlineStr">
        <x:is>
          <x:t xml:space="preserve">迪森股份</x:t>
        </x:is>
      </x:c>
      <x:c r="D2185" s="5" t="inlineStr">
        <x:is>
          <x:t xml:space="preserve">广州迪森热能技术股份有限公司</x:t>
        </x:is>
      </x:c>
      <x:c r="E2185" s="4" t="inlineStr">
        <x:is>
          <x:t xml:space="preserve">广东省</x:t>
        </x:is>
      </x:c>
      <x:c r="F2185" s="4" t="inlineStr">
        <x:is>
          <x:t xml:space="preserve">广州市</x:t>
        </x:is>
      </x:c>
      <x:c r="G2185" s="5" t="inlineStr">
        <x:is>
          <x:t xml:space="preserve">广东省-广州市</x:t>
        </x:is>
      </x:c>
      <x:c r="H2185" s="4" t="inlineStr">
        <x:is>
          <x:t xml:space="preserve">环保工程</x:t>
        </x:is>
      </x:c>
      <x:c r="I2185" s="4" t="inlineStr">
        <x:is>
          <x:t xml:space="preserve">2012-07-10</x:t>
        </x:is>
      </x:c>
      <x:c r="J2185" s="5" t="inlineStr">
        <x:is>
          <x:t xml:space="preserve">广州市经济技术开发区东区东众路42号</x:t>
        </x:is>
      </x:c>
      <x:c r="K2185" s="12" t="str">
        <x:f>LEFT("91440101618672378F",18)</x:f>
        <x:v>91440101618672378F</x:v>
      </x:c>
    </x:row>
    <x:row r="2186">
      <x:c r="A2186" s="2" t="n">
        <x:v>2185</x:v>
      </x:c>
      <x:c r="B2186" s="2" t="inlineStr">
        <x:is>
          <x:t xml:space="preserve">300340</x:t>
        </x:is>
      </x:c>
      <x:c r="C2186" s="3" t="inlineStr">
        <x:is>
          <x:t xml:space="preserve">科恒股份</x:t>
        </x:is>
      </x:c>
      <x:c r="D2186" s="3" t="inlineStr">
        <x:is>
          <x:t xml:space="preserve">江门市科恒实业股份有限公司</x:t>
        </x:is>
      </x:c>
      <x:c r="E2186" s="2" t="inlineStr">
        <x:is>
          <x:t xml:space="preserve">广东省</x:t>
        </x:is>
      </x:c>
      <x:c r="F2186" s="2" t="inlineStr">
        <x:is>
          <x:t xml:space="preserve">江门市</x:t>
        </x:is>
      </x:c>
      <x:c r="G2186" s="3" t="inlineStr">
        <x:is>
          <x:t xml:space="preserve">广东省-江门市</x:t>
        </x:is>
      </x:c>
      <x:c r="H2186" s="2" t="inlineStr">
        <x:is>
          <x:t xml:space="preserve">电池</x:t>
        </x:is>
      </x:c>
      <x:c r="I2186" s="2" t="inlineStr">
        <x:is>
          <x:t xml:space="preserve">2012-07-26</x:t>
        </x:is>
      </x:c>
      <x:c r="J2186" s="3" t="inlineStr">
        <x:is>
          <x:t xml:space="preserve">广东省江门市江海区滘头工业区滘兴南路22号</x:t>
        </x:is>
      </x:c>
      <x:c r="K2186" s="12" t="str">
        <x:f>LEFT("91440700194052545Y",18)</x:f>
        <x:v>91440700194052545Y</x:v>
      </x:c>
    </x:row>
    <x:row r="2187">
      <x:c r="A2187" s="4" t="n">
        <x:v>2186</x:v>
      </x:c>
      <x:c r="B2187" s="4" t="inlineStr">
        <x:is>
          <x:t xml:space="preserve">300348</x:t>
        </x:is>
      </x:c>
      <x:c r="C2187" s="5" t="inlineStr">
        <x:is>
          <x:t xml:space="preserve">长亮科技</x:t>
        </x:is>
      </x:c>
      <x:c r="D2187" s="5" t="inlineStr">
        <x:is>
          <x:t xml:space="preserve">深圳市长亮科技股份有限公司</x:t>
        </x:is>
      </x:c>
      <x:c r="E2187" s="4" t="inlineStr">
        <x:is>
          <x:t xml:space="preserve">广东省</x:t>
        </x:is>
      </x:c>
      <x:c r="F2187" s="4" t="inlineStr">
        <x:is>
          <x:t xml:space="preserve">深圳市</x:t>
        </x:is>
      </x:c>
      <x:c r="G2187" s="5" t="inlineStr">
        <x:is>
          <x:t xml:space="preserve">广东省-深圳市</x:t>
        </x:is>
      </x:c>
      <x:c r="H2187" s="4" t="inlineStr">
        <x:is>
          <x:t xml:space="preserve">软件服务</x:t>
        </x:is>
      </x:c>
      <x:c r="I2187" s="4" t="inlineStr">
        <x:is>
          <x:t xml:space="preserve">2012-08-17</x:t>
        </x:is>
      </x:c>
      <x:c r="J2187" s="5" t="inlineStr">
        <x:is>
          <x:t xml:space="preserve">深圳市南山区粤海街道沙河西路深圳湾科技生态园一区2栋A座5层</x:t>
        </x:is>
      </x:c>
      <x:c r="K2187" s="12" t="str">
        <x:f>LEFT("91440300736295868L",18)</x:f>
        <x:v>91440300736295868L</x:v>
      </x:c>
    </x:row>
    <x:row r="2188">
      <x:c r="A2188" s="2" t="n">
        <x:v>2187</x:v>
      </x:c>
      <x:c r="B2188" s="2" t="inlineStr">
        <x:is>
          <x:t xml:space="preserve">300350</x:t>
        </x:is>
      </x:c>
      <x:c r="C2188" s="3" t="inlineStr">
        <x:is>
          <x:t xml:space="preserve">华鹏飞</x:t>
        </x:is>
      </x:c>
      <x:c r="D2188" s="3" t="inlineStr">
        <x:is>
          <x:t xml:space="preserve">华鹏飞股份有限公司</x:t>
        </x:is>
      </x:c>
      <x:c r="E2188" s="2" t="inlineStr">
        <x:is>
          <x:t xml:space="preserve">广东省</x:t>
        </x:is>
      </x:c>
      <x:c r="F2188" s="2" t="inlineStr">
        <x:is>
          <x:t xml:space="preserve">深圳市</x:t>
        </x:is>
      </x:c>
      <x:c r="G2188" s="3" t="inlineStr">
        <x:is>
          <x:t xml:space="preserve">广东省-深圳市</x:t>
        </x:is>
      </x:c>
      <x:c r="H2188" s="2" t="inlineStr">
        <x:is>
          <x:t xml:space="preserve">交运物流</x:t>
        </x:is>
      </x:c>
      <x:c r="I2188" s="2" t="inlineStr">
        <x:is>
          <x:t xml:space="preserve">2012-08-21</x:t>
        </x:is>
      </x:c>
      <x:c r="J2188" s="3" t="inlineStr">
        <x:is>
          <x:t xml:space="preserve">广东省深圳市福田区华富街道莲花一村社区皇岗路5001号深业上城(南区)T2栋4308</x:t>
        </x:is>
      </x:c>
      <x:c r="K2188" s="12" t="str">
        <x:f>LEFT("914403007261500164",18)</x:f>
        <x:v>914403007261500200</x:v>
      </x:c>
    </x:row>
    <x:row r="2189">
      <x:c r="A2189" s="4" t="n">
        <x:v>2188</x:v>
      </x:c>
      <x:c r="B2189" s="4" t="inlineStr">
        <x:is>
          <x:t xml:space="preserve">300359</x:t>
        </x:is>
      </x:c>
      <x:c r="C2189" s="5" t="inlineStr">
        <x:is>
          <x:t xml:space="preserve">全通教育</x:t>
        </x:is>
      </x:c>
      <x:c r="D2189" s="5" t="inlineStr">
        <x:is>
          <x:t xml:space="preserve">全通教育集团(广东)股份有限公司</x:t>
        </x:is>
      </x:c>
      <x:c r="E2189" s="4" t="inlineStr">
        <x:is>
          <x:t xml:space="preserve">广东省</x:t>
        </x:is>
      </x:c>
      <x:c r="F2189" s="4" t="inlineStr">
        <x:is>
          <x:t xml:space="preserve">中山市</x:t>
        </x:is>
      </x:c>
      <x:c r="G2189" s="5" t="inlineStr">
        <x:is>
          <x:t xml:space="preserve">广东省-中山市</x:t>
        </x:is>
      </x:c>
      <x:c r="H2189" s="4" t="inlineStr">
        <x:is>
          <x:t xml:space="preserve">文教休闲</x:t>
        </x:is>
      </x:c>
      <x:c r="I2189" s="4" t="inlineStr">
        <x:is>
          <x:t xml:space="preserve">2014-01-21</x:t>
        </x:is>
      </x:c>
      <x:c r="J2189" s="5" t="inlineStr">
        <x:is>
          <x:t xml:space="preserve">中山市东区中山四路88号尚峰金融商务中心5座18层之一</x:t>
        </x:is>
      </x:c>
      <x:c r="K2189" s="12" t="str">
        <x:f>LEFT("91442000776910159G",18)</x:f>
        <x:v>91442000776910159G</x:v>
      </x:c>
    </x:row>
    <x:row r="2190">
      <x:c r="A2190" s="2" t="n">
        <x:v>2189</x:v>
      </x:c>
      <x:c r="B2190" s="2" t="inlineStr">
        <x:is>
          <x:t xml:space="preserve">300376</x:t>
        </x:is>
      </x:c>
      <x:c r="C2190" s="3" t="inlineStr">
        <x:is>
          <x:t xml:space="preserve">ST易事特</x:t>
        </x:is>
      </x:c>
      <x:c r="D2190" s="3" t="inlineStr">
        <x:is>
          <x:t xml:space="preserve">易事特集团股份有限公司</x:t>
        </x:is>
      </x:c>
      <x:c r="E2190" s="2" t="inlineStr">
        <x:is>
          <x:t xml:space="preserve">广东省</x:t>
        </x:is>
      </x:c>
      <x:c r="F2190" s="2" t="inlineStr">
        <x:is>
          <x:t xml:space="preserve">东莞市</x:t>
        </x:is>
      </x:c>
      <x:c r="G2190" s="3" t="inlineStr">
        <x:is>
          <x:t xml:space="preserve">广东省-东莞市</x:t>
        </x:is>
      </x:c>
      <x:c r="H2190" s="2" t="inlineStr">
        <x:is>
          <x:t xml:space="preserve">电源设备</x:t>
        </x:is>
      </x:c>
      <x:c r="I2190" s="2" t="inlineStr">
        <x:is>
          <x:t xml:space="preserve">2014-01-27</x:t>
        </x:is>
      </x:c>
      <x:c r="J2190" s="3" t="inlineStr">
        <x:is>
          <x:t xml:space="preserve">广东省东莞市松山湖科技产业园区工业北路6号</x:t>
        </x:is>
      </x:c>
      <x:c r="K2190" s="12" t="str">
        <x:f>LEFT("914419007292294758",18)</x:f>
        <x:v>914419007292294800</x:v>
      </x:c>
    </x:row>
    <x:row r="2191">
      <x:c r="A2191" s="4" t="n">
        <x:v>2190</x:v>
      </x:c>
      <x:c r="B2191" s="4" t="inlineStr">
        <x:is>
          <x:t xml:space="preserve">300377</x:t>
        </x:is>
      </x:c>
      <x:c r="C2191" s="5" t="inlineStr">
        <x:is>
          <x:t xml:space="preserve">赢时胜</x:t>
        </x:is>
      </x:c>
      <x:c r="D2191" s="5" t="inlineStr">
        <x:is>
          <x:t xml:space="preserve">深圳市赢时胜信息技术股份有限公司</x:t>
        </x:is>
      </x:c>
      <x:c r="E2191" s="4" t="inlineStr">
        <x:is>
          <x:t xml:space="preserve">广东省</x:t>
        </x:is>
      </x:c>
      <x:c r="F2191" s="4" t="inlineStr">
        <x:is>
          <x:t xml:space="preserve">深圳市</x:t>
        </x:is>
      </x:c>
      <x:c r="G2191" s="5" t="inlineStr">
        <x:is>
          <x:t xml:space="preserve">广东省-深圳市</x:t>
        </x:is>
      </x:c>
      <x:c r="H2191" s="4" t="inlineStr">
        <x:is>
          <x:t xml:space="preserve">软件服务</x:t>
        </x:is>
      </x:c>
      <x:c r="I2191" s="4" t="inlineStr">
        <x:is>
          <x:t xml:space="preserve">2014-01-27</x:t>
        </x:is>
      </x:c>
      <x:c r="J2191" s="5" t="inlineStr">
        <x:is>
          <x:t xml:space="preserve">深圳市福田区华富街道莲花一村社区皇岗路5001号深业上城(南区)T2栋3701</x:t>
        </x:is>
      </x:c>
      <x:c r="K2191" s="12" t="str">
        <x:f>LEFT("91440300732044885H",18)</x:f>
        <x:v>91440300732044885H</x:v>
      </x:c>
    </x:row>
    <x:row r="2192">
      <x:c r="A2192" s="2" t="n">
        <x:v>2191</x:v>
      </x:c>
      <x:c r="B2192" s="2" t="inlineStr">
        <x:is>
          <x:t xml:space="preserve">300381</x:t>
        </x:is>
      </x:c>
      <x:c r="C2192" s="3" t="inlineStr">
        <x:is>
          <x:t xml:space="preserve">溢多利</x:t>
        </x:is>
      </x:c>
      <x:c r="D2192" s="3" t="inlineStr">
        <x:is>
          <x:t xml:space="preserve">广东溢多利生物科技股份有限公司</x:t>
        </x:is>
      </x:c>
      <x:c r="E2192" s="2" t="inlineStr">
        <x:is>
          <x:t xml:space="preserve">广东省</x:t>
        </x:is>
      </x:c>
      <x:c r="F2192" s="2" t="inlineStr">
        <x:is>
          <x:t xml:space="preserve">珠海市</x:t>
        </x:is>
      </x:c>
      <x:c r="G2192" s="3" t="inlineStr">
        <x:is>
          <x:t xml:space="preserve">广东省-珠海市</x:t>
        </x:is>
      </x:c>
      <x:c r="H2192" s="2" t="inlineStr">
        <x:is>
          <x:t xml:space="preserve">医药制造</x:t>
        </x:is>
      </x:c>
      <x:c r="I2192" s="2" t="inlineStr">
        <x:is>
          <x:t xml:space="preserve">2014-01-28</x:t>
        </x:is>
      </x:c>
      <x:c r="J2192" s="3" t="inlineStr">
        <x:is>
          <x:t xml:space="preserve">广东省珠海市南屏高科技工业区屏北一路8号</x:t>
        </x:is>
      </x:c>
      <x:c r="K2192" s="12" t="str">
        <x:f>LEFT("91440400617514036C",18)</x:f>
        <x:v>91440400617514036C</x:v>
      </x:c>
    </x:row>
    <x:row r="2193">
      <x:c r="A2193" s="4" t="n">
        <x:v>2192</x:v>
      </x:c>
      <x:c r="B2193" s="4" t="inlineStr">
        <x:is>
          <x:t xml:space="preserve">300389</x:t>
        </x:is>
      </x:c>
      <x:c r="C2193" s="5" t="inlineStr">
        <x:is>
          <x:t xml:space="preserve">艾比森</x:t>
        </x:is>
      </x:c>
      <x:c r="D2193" s="5" t="inlineStr">
        <x:is>
          <x:t xml:space="preserve">深圳市艾比森光电股份有限公司</x:t>
        </x:is>
      </x:c>
      <x:c r="E2193" s="4" t="inlineStr">
        <x:is>
          <x:t xml:space="preserve">广东省</x:t>
        </x:is>
      </x:c>
      <x:c r="F2193" s="4" t="inlineStr">
        <x:is>
          <x:t xml:space="preserve">深圳市</x:t>
        </x:is>
      </x:c>
      <x:c r="G2193" s="5" t="inlineStr">
        <x:is>
          <x:t xml:space="preserve">广东省-深圳市</x:t>
        </x:is>
      </x:c>
      <x:c r="H2193" s="4" t="inlineStr">
        <x:is>
          <x:t xml:space="preserve">光学光电子</x:t>
        </x:is>
      </x:c>
      <x:c r="I2193" s="4" t="inlineStr">
        <x:is>
          <x:t xml:space="preserve">2014-08-01</x:t>
        </x:is>
      </x:c>
      <x:c r="J2193" s="5" t="inlineStr">
        <x:is>
          <x:t xml:space="preserve">深圳市龙岗区坂田街道雪岗路2018号天安云谷产业园一期3栋A座18、19、20层</x:t>
        </x:is>
      </x:c>
      <x:c r="K2193" s="12" t="str">
        <x:f>LEFT("91440300731127582R",18)</x:f>
        <x:v>91440300731127582R</x:v>
      </x:c>
    </x:row>
    <x:row r="2194">
      <x:c r="A2194" s="2" t="n">
        <x:v>2193</x:v>
      </x:c>
      <x:c r="B2194" s="2" t="inlineStr">
        <x:is>
          <x:t xml:space="preserve">300400</x:t>
        </x:is>
      </x:c>
      <x:c r="C2194" s="3" t="inlineStr">
        <x:is>
          <x:t xml:space="preserve">劲拓股份</x:t>
        </x:is>
      </x:c>
      <x:c r="D2194" s="3" t="inlineStr">
        <x:is>
          <x:t xml:space="preserve">深圳市劲拓自动化设备股份有限公司</x:t>
        </x:is>
      </x:c>
      <x:c r="E2194" s="2" t="inlineStr">
        <x:is>
          <x:t xml:space="preserve">广东省</x:t>
        </x:is>
      </x:c>
      <x:c r="F2194" s="2" t="inlineStr">
        <x:is>
          <x:t xml:space="preserve">深圳市</x:t>
        </x:is>
      </x:c>
      <x:c r="G2194" s="3" t="inlineStr">
        <x:is>
          <x:t xml:space="preserve">广东省-深圳市</x:t>
        </x:is>
      </x:c>
      <x:c r="H2194" s="2" t="inlineStr">
        <x:is>
          <x:t xml:space="preserve">专用设备</x:t>
        </x:is>
      </x:c>
      <x:c r="I2194" s="2" t="inlineStr">
        <x:is>
          <x:t xml:space="preserve">2014-10-10</x:t>
        </x:is>
      </x:c>
      <x:c r="J2194" s="3" t="inlineStr">
        <x:is>
          <x:t xml:space="preserve">深圳市宝安区航城街道鹤洲社区广深高速北侧鹤洲工业区劲拓自动化工业厂区1层至5层</x:t>
        </x:is>
      </x:c>
      <x:c r="K2194" s="12" t="str">
        <x:f>LEFT("91440300764977372H",18)</x:f>
        <x:v>91440300764977372H</x:v>
      </x:c>
    </x:row>
    <x:row r="2195">
      <x:c r="A2195" s="4" t="n">
        <x:v>2194</x:v>
      </x:c>
      <x:c r="B2195" s="4" t="inlineStr">
        <x:is>
          <x:t xml:space="preserve">300403</x:t>
        </x:is>
      </x:c>
      <x:c r="C2195" s="5" t="inlineStr">
        <x:is>
          <x:t xml:space="preserve">汉宇集团</x:t>
        </x:is>
      </x:c>
      <x:c r="D2195" s="5" t="inlineStr">
        <x:is>
          <x:t xml:space="preserve">汉宇集团股份有限公司</x:t>
        </x:is>
      </x:c>
      <x:c r="E2195" s="4" t="inlineStr">
        <x:is>
          <x:t xml:space="preserve">广东省</x:t>
        </x:is>
      </x:c>
      <x:c r="F2195" s="4" t="inlineStr">
        <x:is>
          <x:t xml:space="preserve">江门市</x:t>
        </x:is>
      </x:c>
      <x:c r="G2195" s="5" t="inlineStr">
        <x:is>
          <x:t xml:space="preserve">广东省-江门市</x:t>
        </x:is>
      </x:c>
      <x:c r="H2195" s="4" t="inlineStr">
        <x:is>
          <x:t xml:space="preserve">家电行业</x:t>
        </x:is>
      </x:c>
      <x:c r="I2195" s="4" t="inlineStr">
        <x:is>
          <x:t xml:space="preserve">2014-10-30</x:t>
        </x:is>
      </x:c>
      <x:c r="J2195" s="5" t="inlineStr">
        <x:is>
          <x:t xml:space="preserve">江门市高新技术开发区清澜路336号</x:t>
        </x:is>
      </x:c>
      <x:c r="K2195" s="12" t="str">
        <x:f>LEFT("91440700743693645X",18)</x:f>
        <x:v>91440700743693645X</x:v>
      </x:c>
    </x:row>
    <x:row r="2196">
      <x:c r="A2196" s="2" t="n">
        <x:v>2195</x:v>
      </x:c>
      <x:c r="B2196" s="2" t="inlineStr">
        <x:is>
          <x:t xml:space="preserve">300404</x:t>
        </x:is>
      </x:c>
      <x:c r="C2196" s="3" t="inlineStr">
        <x:is>
          <x:t xml:space="preserve">博济医药</x:t>
        </x:is>
      </x:c>
      <x:c r="D2196" s="3" t="inlineStr">
        <x:is>
          <x:t xml:space="preserve">博济医药科技股份有限公司</x:t>
        </x:is>
      </x:c>
      <x:c r="E2196" s="2" t="inlineStr">
        <x:is>
          <x:t xml:space="preserve">广东省</x:t>
        </x:is>
      </x:c>
      <x:c r="F2196" s="2" t="inlineStr">
        <x:is>
          <x:t xml:space="preserve">广州市</x:t>
        </x:is>
      </x:c>
      <x:c r="G2196" s="3" t="inlineStr">
        <x:is>
          <x:t xml:space="preserve">广东省-广州市</x:t>
        </x:is>
      </x:c>
      <x:c r="H2196" s="2" t="inlineStr">
        <x:is>
          <x:t xml:space="preserve">医疗服务</x:t>
        </x:is>
      </x:c>
      <x:c r="I2196" s="2" t="inlineStr">
        <x:is>
          <x:t xml:space="preserve">2015-04-24</x:t>
        </x:is>
      </x:c>
      <x:c r="J2196" s="3" t="inlineStr">
        <x:is>
          <x:t xml:space="preserve">广州黄埔区科学城南翔一路62号(二、三、四、五)栋</x:t>
        </x:is>
      </x:c>
      <x:c r="K2196" s="12" t="str">
        <x:f>LEFT("91440101743555883K",18)</x:f>
        <x:v>91440101743555883K</x:v>
      </x:c>
    </x:row>
    <x:row r="2197">
      <x:c r="A2197" s="4" t="n">
        <x:v>2196</x:v>
      </x:c>
      <x:c r="B2197" s="4" t="inlineStr">
        <x:is>
          <x:t xml:space="preserve">300408</x:t>
        </x:is>
      </x:c>
      <x:c r="C2197" s="5" t="inlineStr">
        <x:is>
          <x:t xml:space="preserve">三环集团</x:t>
        </x:is>
      </x:c>
      <x:c r="D2197" s="5" t="inlineStr">
        <x:is>
          <x:t xml:space="preserve">潮州三环(集团)股份有限公司</x:t>
        </x:is>
      </x:c>
      <x:c r="E2197" s="4" t="inlineStr">
        <x:is>
          <x:t xml:space="preserve">广东省</x:t>
        </x:is>
      </x:c>
      <x:c r="F2197" s="4" t="inlineStr">
        <x:is>
          <x:t xml:space="preserve">潮州市</x:t>
        </x:is>
      </x:c>
      <x:c r="G2197" s="5" t="inlineStr">
        <x:is>
          <x:t xml:space="preserve">广东省-潮州市</x:t>
        </x:is>
      </x:c>
      <x:c r="H2197" s="4" t="inlineStr">
        <x:is>
          <x:t xml:space="preserve">电子元件</x:t>
        </x:is>
      </x:c>
      <x:c r="I2197" s="4" t="inlineStr">
        <x:is>
          <x:t xml:space="preserve">2014-12-03</x:t>
        </x:is>
      </x:c>
      <x:c r="J2197" s="5" t="inlineStr">
        <x:is>
          <x:t xml:space="preserve">广东省潮州市凤塘三环工业城内综合楼</x:t>
        </x:is>
      </x:c>
      <x:c r="K2197" s="12" t="str">
        <x:f>LEFT("91445100282274017L",18)</x:f>
        <x:v>91445100282274017L</x:v>
      </x:c>
    </x:row>
    <x:row r="2198">
      <x:c r="A2198" s="2" t="n">
        <x:v>2197</x:v>
      </x:c>
      <x:c r="B2198" s="2" t="inlineStr">
        <x:is>
          <x:t xml:space="preserve">300409</x:t>
        </x:is>
      </x:c>
      <x:c r="C2198" s="3" t="inlineStr">
        <x:is>
          <x:t xml:space="preserve">道氏技术</x:t>
        </x:is>
      </x:c>
      <x:c r="D2198" s="3" t="inlineStr">
        <x:is>
          <x:t xml:space="preserve">广东道氏技术股份有限公司</x:t>
        </x:is>
      </x:c>
      <x:c r="E2198" s="2" t="inlineStr">
        <x:is>
          <x:t xml:space="preserve">广东省</x:t>
        </x:is>
      </x:c>
      <x:c r="F2198" s="2" t="inlineStr">
        <x:is>
          <x:t xml:space="preserve">东省恩平市</x:t>
        </x:is>
      </x:c>
      <x:c r="G2198" s="3" t="inlineStr">
        <x:is>
          <x:t xml:space="preserve">广东省-东省恩平市</x:t>
        </x:is>
      </x:c>
      <x:c r="H2198" s="2" t="inlineStr">
        <x:is>
          <x:t xml:space="preserve">非金属材料</x:t>
        </x:is>
      </x:c>
      <x:c r="I2198" s="2" t="inlineStr">
        <x:is>
          <x:t xml:space="preserve">2014-12-03</x:t>
        </x:is>
      </x:c>
      <x:c r="J2198" s="3" t="inlineStr">
        <x:is>
          <x:t xml:space="preserve">广东省恩平市圣堂镇三联佛仔坳</x:t>
        </x:is>
      </x:c>
      <x:c r="K2198" s="12" t="str">
        <x:f>LEFT("91440700666523481W",18)</x:f>
        <x:v>91440700666523481W</x:v>
      </x:c>
    </x:row>
    <x:row r="2199">
      <x:c r="A2199" s="4" t="n">
        <x:v>2198</x:v>
      </x:c>
      <x:c r="B2199" s="4" t="inlineStr">
        <x:is>
          <x:t xml:space="preserve">300410</x:t>
        </x:is>
      </x:c>
      <x:c r="C2199" s="5" t="inlineStr">
        <x:is>
          <x:t xml:space="preserve">正业科技</x:t>
        </x:is>
      </x:c>
      <x:c r="D2199" s="5" t="inlineStr">
        <x:is>
          <x:t xml:space="preserve">广东正业科技股份有限公司</x:t>
        </x:is>
      </x:c>
      <x:c r="E2199" s="4" t="inlineStr">
        <x:is>
          <x:t xml:space="preserve">广东省</x:t>
        </x:is>
      </x:c>
      <x:c r="F2199" s="4" t="inlineStr">
        <x:is>
          <x:t xml:space="preserve">东莞市</x:t>
        </x:is>
      </x:c>
      <x:c r="G2199" s="5" t="inlineStr">
        <x:is>
          <x:t xml:space="preserve">广东省-东莞市</x:t>
        </x:is>
      </x:c>
      <x:c r="H2199" s="4" t="inlineStr">
        <x:is>
          <x:t xml:space="preserve">专用设备</x:t>
        </x:is>
      </x:c>
      <x:c r="I2199" s="4" t="inlineStr">
        <x:is>
          <x:t xml:space="preserve">2014-12-31</x:t>
        </x:is>
      </x:c>
      <x:c r="J2199" s="5" t="inlineStr">
        <x:is>
          <x:t xml:space="preserve">广东省东莞市松山湖园区南园路6号</x:t>
        </x:is>
      </x:c>
      <x:c r="K2199" s="12" t="str">
        <x:f>LEFT("91441900617994922G",18)</x:f>
        <x:v>91441900617994922G</x:v>
      </x:c>
    </x:row>
    <x:row r="2200">
      <x:c r="A2200" s="2" t="n">
        <x:v>2199</x:v>
      </x:c>
      <x:c r="B2200" s="2" t="inlineStr">
        <x:is>
          <x:t xml:space="preserve">300415</x:t>
        </x:is>
      </x:c>
      <x:c r="C2200" s="3" t="inlineStr">
        <x:is>
          <x:t xml:space="preserve">伊之密</x:t>
        </x:is>
      </x:c>
      <x:c r="D2200" s="3" t="inlineStr">
        <x:is>
          <x:t xml:space="preserve">伊之密股份有限公司</x:t>
        </x:is>
      </x:c>
      <x:c r="E2200" s="2" t="inlineStr">
        <x:is>
          <x:t xml:space="preserve">广东省</x:t>
        </x:is>
      </x:c>
      <x:c r="F2200" s="2" t="inlineStr">
        <x:is>
          <x:t xml:space="preserve">佛山市</x:t>
        </x:is>
      </x:c>
      <x:c r="G2200" s="3" t="inlineStr">
        <x:is>
          <x:t xml:space="preserve">广东省-佛山市</x:t>
        </x:is>
      </x:c>
      <x:c r="H2200" s="2" t="inlineStr">
        <x:is>
          <x:t xml:space="preserve">专用设备</x:t>
        </x:is>
      </x:c>
      <x:c r="I2200" s="2" t="inlineStr">
        <x:is>
          <x:t xml:space="preserve">2015-01-23</x:t>
        </x:is>
      </x:c>
      <x:c r="J2200" s="3" t="inlineStr">
        <x:is>
          <x:t xml:space="preserve">广东省佛山市顺德高新区(容桂)科苑三路22号</x:t>
        </x:is>
      </x:c>
      <x:c r="K2200" s="12" t="str">
        <x:f>LEFT("91440606740846335Y",18)</x:f>
        <x:v>91440606740846335Y</x:v>
      </x:c>
    </x:row>
    <x:row r="2201">
      <x:c r="A2201" s="4" t="n">
        <x:v>2200</x:v>
      </x:c>
      <x:c r="B2201" s="4" t="inlineStr">
        <x:is>
          <x:t xml:space="preserve">300417</x:t>
        </x:is>
      </x:c>
      <x:c r="C2201" s="5" t="inlineStr">
        <x:is>
          <x:t xml:space="preserve">南华仪器</x:t>
        </x:is>
      </x:c>
      <x:c r="D2201" s="5" t="inlineStr">
        <x:is>
          <x:t xml:space="preserve">佛山市南华仪器股份有限公司</x:t>
        </x:is>
      </x:c>
      <x:c r="E2201" s="4" t="inlineStr">
        <x:is>
          <x:t xml:space="preserve">广东省</x:t>
        </x:is>
      </x:c>
      <x:c r="F2201" s="4" t="inlineStr">
        <x:is>
          <x:t xml:space="preserve">佛山市</x:t>
        </x:is>
      </x:c>
      <x:c r="G2201" s="5" t="inlineStr">
        <x:is>
          <x:t xml:space="preserve">广东省-佛山市</x:t>
        </x:is>
      </x:c>
      <x:c r="H2201" s="4" t="inlineStr">
        <x:is>
          <x:t xml:space="preserve">仪器仪表</x:t>
        </x:is>
      </x:c>
      <x:c r="I2201" s="4" t="inlineStr">
        <x:is>
          <x:t xml:space="preserve">2015-01-23</x:t>
        </x:is>
      </x:c>
      <x:c r="J2201" s="5" t="inlineStr">
        <x:is>
          <x:t xml:space="preserve">佛山市南海区桂城街道科泓路1号</x:t>
        </x:is>
      </x:c>
      <x:c r="K2201" s="12" t="str">
        <x:f>LEFT("91440600231827531A",18)</x:f>
        <x:v>91440600231827531A</x:v>
      </x:c>
    </x:row>
    <x:row r="2202">
      <x:c r="A2202" s="2" t="n">
        <x:v>2201</x:v>
      </x:c>
      <x:c r="B2202" s="2" t="inlineStr">
        <x:is>
          <x:t xml:space="preserve">300424</x:t>
        </x:is>
      </x:c>
      <x:c r="C2202" s="3" t="inlineStr">
        <x:is>
          <x:t xml:space="preserve">航新科技</x:t>
        </x:is>
      </x:c>
      <x:c r="D2202" s="3" t="inlineStr">
        <x:is>
          <x:t xml:space="preserve">广州航新航空科技股份有限公司</x:t>
        </x:is>
      </x:c>
      <x:c r="E2202" s="2" t="inlineStr">
        <x:is>
          <x:t xml:space="preserve">广东省</x:t>
        </x:is>
      </x:c>
      <x:c r="F2202" s="2" t="inlineStr">
        <x:is>
          <x:t xml:space="preserve">广州市</x:t>
        </x:is>
      </x:c>
      <x:c r="G2202" s="3" t="inlineStr">
        <x:is>
          <x:t xml:space="preserve">广东省-广州市</x:t>
        </x:is>
      </x:c>
      <x:c r="H2202" s="2" t="inlineStr">
        <x:is>
          <x:t xml:space="preserve">航天航空</x:t>
        </x:is>
      </x:c>
      <x:c r="I2202" s="2" t="inlineStr">
        <x:is>
          <x:t xml:space="preserve">2015-04-22</x:t>
        </x:is>
      </x:c>
      <x:c r="J2202" s="3" t="inlineStr">
        <x:is>
          <x:t xml:space="preserve">广州市经济技术开发区科学城光宝路1号</x:t>
        </x:is>
      </x:c>
      <x:c r="K2202" s="12" t="str">
        <x:f>LEFT("91440101781235119U",18)</x:f>
        <x:v>91440101781235119U</x:v>
      </x:c>
    </x:row>
    <x:row r="2203">
      <x:c r="A2203" s="4" t="n">
        <x:v>2202</x:v>
      </x:c>
      <x:c r="B2203" s="4" t="inlineStr">
        <x:is>
          <x:t xml:space="preserve">300438</x:t>
        </x:is>
      </x:c>
      <x:c r="C2203" s="5" t="inlineStr">
        <x:is>
          <x:t xml:space="preserve">鹏辉能源</x:t>
        </x:is>
      </x:c>
      <x:c r="D2203" s="5" t="inlineStr">
        <x:is>
          <x:t xml:space="preserve">广州鹏辉能源科技股份有限公司</x:t>
        </x:is>
      </x:c>
      <x:c r="E2203" s="4" t="inlineStr">
        <x:is>
          <x:t xml:space="preserve">广东省</x:t>
        </x:is>
      </x:c>
      <x:c r="F2203" s="4" t="inlineStr">
        <x:is>
          <x:t xml:space="preserve">广州市</x:t>
        </x:is>
      </x:c>
      <x:c r="G2203" s="5" t="inlineStr">
        <x:is>
          <x:t xml:space="preserve">广东省-广州市</x:t>
        </x:is>
      </x:c>
      <x:c r="H2203" s="4" t="inlineStr">
        <x:is>
          <x:t xml:space="preserve">电池</x:t>
        </x:is>
      </x:c>
      <x:c r="I2203" s="4" t="inlineStr">
        <x:is>
          <x:t xml:space="preserve">2015-04-24</x:t>
        </x:is>
      </x:c>
      <x:c r="J2203" s="5" t="inlineStr">
        <x:is>
          <x:t xml:space="preserve">广州市番禺区沙湾镇市良路(西村段)912号</x:t>
        </x:is>
      </x:c>
      <x:c r="K2203" s="12" t="str">
        <x:f>LEFT("91440101726811355L",18)</x:f>
        <x:v>91440101726811355L</x:v>
      </x:c>
    </x:row>
    <x:row r="2204">
      <x:c r="A2204" s="2" t="n">
        <x:v>2203</x:v>
      </x:c>
      <x:c r="B2204" s="2" t="inlineStr">
        <x:is>
          <x:t xml:space="preserve">300448</x:t>
        </x:is>
      </x:c>
      <x:c r="C2204" s="3" t="inlineStr">
        <x:is>
          <x:t xml:space="preserve">浩云科技</x:t>
        </x:is>
      </x:c>
      <x:c r="D2204" s="3" t="inlineStr">
        <x:is>
          <x:t xml:space="preserve">浩云科技股份有限公司</x:t>
        </x:is>
      </x:c>
      <x:c r="E2204" s="2" t="inlineStr">
        <x:is>
          <x:t xml:space="preserve">广东省</x:t>
        </x:is>
      </x:c>
      <x:c r="F2204" s="2" t="inlineStr">
        <x:is>
          <x:t xml:space="preserve">广州市</x:t>
        </x:is>
      </x:c>
      <x:c r="G2204" s="3" t="inlineStr">
        <x:is>
          <x:t xml:space="preserve">广东省-广州市</x:t>
        </x:is>
      </x:c>
      <x:c r="H2204" s="2" t="inlineStr">
        <x:is>
          <x:t xml:space="preserve">互联网服务</x:t>
        </x:is>
      </x:c>
      <x:c r="I2204" s="2" t="inlineStr">
        <x:is>
          <x:t xml:space="preserve">2015-04-24</x:t>
        </x:is>
      </x:c>
      <x:c r="J2204" s="3" t="inlineStr">
        <x:is>
          <x:t xml:space="preserve">广州市番禺区东环街番禺大道北555号天安总部中心22号楼101房</x:t>
        </x:is>
      </x:c>
      <x:c r="K2204" s="12" t="str">
        <x:f>LEFT("914401017268190159",18)</x:f>
        <x:v>914401017268190200</x:v>
      </x:c>
    </x:row>
    <x:row r="2205">
      <x:c r="A2205" s="4" t="n">
        <x:v>2204</x:v>
      </x:c>
      <x:c r="B2205" s="4" t="inlineStr">
        <x:is>
          <x:t xml:space="preserve">300454</x:t>
        </x:is>
      </x:c>
      <x:c r="C2205" s="5" t="inlineStr">
        <x:is>
          <x:t xml:space="preserve">深信服</x:t>
        </x:is>
      </x:c>
      <x:c r="D2205" s="5" t="inlineStr">
        <x:is>
          <x:t xml:space="preserve">深信服科技股份有限公司</x:t>
        </x:is>
      </x:c>
      <x:c r="E2205" s="4" t="inlineStr">
        <x:is>
          <x:t xml:space="preserve">广东省</x:t>
        </x:is>
      </x:c>
      <x:c r="F2205" s="4" t="inlineStr">
        <x:is>
          <x:t xml:space="preserve">深圳市</x:t>
        </x:is>
      </x:c>
      <x:c r="G2205" s="5" t="inlineStr">
        <x:is>
          <x:t xml:space="preserve">广东省-深圳市</x:t>
        </x:is>
      </x:c>
      <x:c r="H2205" s="4" t="inlineStr">
        <x:is>
          <x:t xml:space="preserve">软件服务</x:t>
        </x:is>
      </x:c>
      <x:c r="I2205" s="4" t="inlineStr">
        <x:is>
          <x:t xml:space="preserve">2018-05-16</x:t>
        </x:is>
      </x:c>
      <x:c r="J2205" s="5" t="inlineStr">
        <x:is>
          <x:t xml:space="preserve">深圳市南山区西丽街道西丽社区仙洞路16号深信服科技大厦7楼</x:t>
        </x:is>
      </x:c>
      <x:c r="K2205" s="12" t="str">
        <x:f>LEFT("91440300726171773F",18)</x:f>
        <x:v>91440300726171773F</x:v>
      </x:c>
    </x:row>
    <x:row r="2206">
      <x:c r="A2206" s="2" t="n">
        <x:v>2205</x:v>
      </x:c>
      <x:c r="B2206" s="2" t="inlineStr">
        <x:is>
          <x:t xml:space="preserve">300457</x:t>
        </x:is>
      </x:c>
      <x:c r="C2206" s="3" t="inlineStr">
        <x:is>
          <x:t xml:space="preserve">赢合科技</x:t>
        </x:is>
      </x:c>
      <x:c r="D2206" s="3" t="inlineStr">
        <x:is>
          <x:t xml:space="preserve">深圳市赢合科技股份有限公司</x:t>
        </x:is>
      </x:c>
      <x:c r="E2206" s="2" t="inlineStr">
        <x:is>
          <x:t xml:space="preserve">广东省</x:t>
        </x:is>
      </x:c>
      <x:c r="F2206" s="2" t="inlineStr">
        <x:is>
          <x:t xml:space="preserve">深圳市</x:t>
        </x:is>
      </x:c>
      <x:c r="G2206" s="3" t="inlineStr">
        <x:is>
          <x:t xml:space="preserve">广东省-深圳市</x:t>
        </x:is>
      </x:c>
      <x:c r="H2206" s="2" t="inlineStr">
        <x:is>
          <x:t xml:space="preserve">电池</x:t>
        </x:is>
      </x:c>
      <x:c r="I2206" s="2" t="inlineStr">
        <x:is>
          <x:t xml:space="preserve">2015-05-14</x:t>
        </x:is>
      </x:c>
      <x:c r="J2206" s="3" t="inlineStr">
        <x:is>
          <x:t xml:space="preserve">深圳市光明区新湖街道圳美社区圳园路98号光明天安云谷产业园1栋A座703</x:t>
        </x:is>
      </x:c>
      <x:c r="K2206" s="12" t="str">
        <x:f>LEFT("91440300790475026R",18)</x:f>
        <x:v>91440300790475026R</x:v>
      </x:c>
    </x:row>
    <x:row r="2207">
      <x:c r="A2207" s="4" t="n">
        <x:v>2206</x:v>
      </x:c>
      <x:c r="B2207" s="4" t="inlineStr">
        <x:is>
          <x:t xml:space="preserve">300458</x:t>
        </x:is>
      </x:c>
      <x:c r="C2207" s="5" t="inlineStr">
        <x:is>
          <x:t xml:space="preserve">全志科技</x:t>
        </x:is>
      </x:c>
      <x:c r="D2207" s="5" t="inlineStr">
        <x:is>
          <x:t xml:space="preserve">珠海全志科技股份有限公司</x:t>
        </x:is>
      </x:c>
      <x:c r="E2207" s="4" t="inlineStr">
        <x:is>
          <x:t xml:space="preserve">广东省</x:t>
        </x:is>
      </x:c>
      <x:c r="F2207" s="4" t="inlineStr">
        <x:is>
          <x:t xml:space="preserve">珠海市</x:t>
        </x:is>
      </x:c>
      <x:c r="G2207" s="5" t="inlineStr">
        <x:is>
          <x:t xml:space="preserve">广东省-珠海市</x:t>
        </x:is>
      </x:c>
      <x:c r="H2207" s="4" t="inlineStr">
        <x:is>
          <x:t xml:space="preserve">半导体</x:t>
        </x:is>
      </x:c>
      <x:c r="I2207" s="4" t="inlineStr">
        <x:is>
          <x:t xml:space="preserve">2015-05-15</x:t>
        </x:is>
      </x:c>
      <x:c r="J2207" s="5" t="inlineStr">
        <x:is>
          <x:t xml:space="preserve">广东省珠海市高新区唐家湾镇科技二路9号</x:t>
        </x:is>
      </x:c>
      <x:c r="K2207" s="12" t="str">
        <x:f>LEFT("91440400666520715X",18)</x:f>
        <x:v>91440400666520715X</x:v>
      </x:c>
    </x:row>
    <x:row r="2208">
      <x:c r="A2208" s="2" t="n">
        <x:v>2207</x:v>
      </x:c>
      <x:c r="B2208" s="2" t="inlineStr">
        <x:is>
          <x:t xml:space="preserve">300460</x:t>
        </x:is>
      </x:c>
      <x:c r="C2208" s="3" t="inlineStr">
        <x:is>
          <x:t xml:space="preserve">ST惠伦</x:t>
        </x:is>
      </x:c>
      <x:c r="D2208" s="3" t="inlineStr">
        <x:is>
          <x:t xml:space="preserve">广东惠伦晶体科技股份有限公司</x:t>
        </x:is>
      </x:c>
      <x:c r="E2208" s="2" t="inlineStr">
        <x:is>
          <x:t xml:space="preserve">广东省</x:t>
        </x:is>
      </x:c>
      <x:c r="F2208" s="2" t="inlineStr">
        <x:is>
          <x:t xml:space="preserve">东莞市</x:t>
        </x:is>
      </x:c>
      <x:c r="G2208" s="3" t="inlineStr">
        <x:is>
          <x:t xml:space="preserve">广东省-东莞市</x:t>
        </x:is>
      </x:c>
      <x:c r="H2208" s="2" t="inlineStr">
        <x:is>
          <x:t xml:space="preserve">电子元件</x:t>
        </x:is>
      </x:c>
      <x:c r="I2208" s="2" t="inlineStr">
        <x:is>
          <x:t xml:space="preserve">2015-05-15</x:t>
        </x:is>
      </x:c>
      <x:c r="J2208" s="3" t="inlineStr">
        <x:is>
          <x:t xml:space="preserve">广东省东莞市黄江镇黄江东环路68号</x:t>
        </x:is>
      </x:c>
      <x:c r="K2208" s="12" t="str">
        <x:f>LEFT("91441900739896300X",18)</x:f>
        <x:v>91441900739896300X</x:v>
      </x:c>
    </x:row>
    <x:row r="2209">
      <x:c r="A2209" s="4" t="n">
        <x:v>2208</x:v>
      </x:c>
      <x:c r="B2209" s="4" t="inlineStr">
        <x:is>
          <x:t xml:space="preserve">300464</x:t>
        </x:is>
      </x:c>
      <x:c r="C2209" s="5" t="inlineStr">
        <x:is>
          <x:t xml:space="preserve">星徽股份</x:t>
        </x:is>
      </x:c>
      <x:c r="D2209" s="5" t="inlineStr">
        <x:is>
          <x:t xml:space="preserve">广东星徽精密制造股份有限公司</x:t>
        </x:is>
      </x:c>
      <x:c r="E2209" s="4" t="inlineStr">
        <x:is>
          <x:t xml:space="preserve">广东省</x:t>
        </x:is>
      </x:c>
      <x:c r="F2209" s="4" t="inlineStr">
        <x:is>
          <x:t xml:space="preserve">佛山市</x:t>
        </x:is>
      </x:c>
      <x:c r="G2209" s="5" t="inlineStr">
        <x:is>
          <x:t xml:space="preserve">广东省-佛山市</x:t>
        </x:is>
      </x:c>
      <x:c r="H2209" s="4" t="inlineStr">
        <x:is>
          <x:t xml:space="preserve">互联网服务</x:t>
        </x:is>
      </x:c>
      <x:c r="I2209" s="4" t="inlineStr">
        <x:is>
          <x:t xml:space="preserve">2015-06-10</x:t>
        </x:is>
      </x:c>
      <x:c r="J2209" s="5" t="inlineStr">
        <x:is>
          <x:t xml:space="preserve">广东省佛山市顺德区北滘镇北滘社区居民委员会科业路3号之三</x:t>
        </x:is>
      </x:c>
      <x:c r="K2209" s="12" t="str">
        <x:f>LEFT("91440606617643049A",18)</x:f>
        <x:v>91440606617643049A</x:v>
      </x:c>
    </x:row>
    <x:row r="2210">
      <x:c r="A2210" s="2" t="n">
        <x:v>2209</x:v>
      </x:c>
      <x:c r="B2210" s="2" t="inlineStr">
        <x:is>
          <x:t xml:space="preserve">300468</x:t>
        </x:is>
      </x:c>
      <x:c r="C2210" s="3" t="inlineStr">
        <x:is>
          <x:t xml:space="preserve">四方精创</x:t>
        </x:is>
      </x:c>
      <x:c r="D2210" s="3" t="inlineStr">
        <x:is>
          <x:t xml:space="preserve">深圳四方精创资讯股份有限公司</x:t>
        </x:is>
      </x:c>
      <x:c r="E2210" s="2" t="inlineStr">
        <x:is>
          <x:t xml:space="preserve">广东省</x:t>
        </x:is>
      </x:c>
      <x:c r="F2210" s="2" t="inlineStr">
        <x:is>
          <x:t xml:space="preserve">深圳市</x:t>
        </x:is>
      </x:c>
      <x:c r="G2210" s="3" t="inlineStr">
        <x:is>
          <x:t xml:space="preserve">广东省-深圳市</x:t>
        </x:is>
      </x:c>
      <x:c r="H2210" s="2" t="inlineStr">
        <x:is>
          <x:t xml:space="preserve">软件服务</x:t>
        </x:is>
      </x:c>
      <x:c r="I2210" s="2" t="inlineStr">
        <x:is>
          <x:t xml:space="preserve">2015-05-27</x:t>
        </x:is>
      </x:c>
      <x:c r="J2210" s="3" t="inlineStr">
        <x:is>
          <x:t xml:space="preserve">深圳市南山区粤海街道高新区社区高新南七道8号四方精创资讯大厦3层</x:t>
        </x:is>
      </x:c>
      <x:c r="K2210" s="12" t="str">
        <x:f>LEFT("91440300754269153R",18)</x:f>
        <x:v>91440300754269153R</x:v>
      </x:c>
    </x:row>
    <x:row r="2211">
      <x:c r="A2211" s="4" t="n">
        <x:v>2210</x:v>
      </x:c>
      <x:c r="B2211" s="4" t="inlineStr">
        <x:is>
          <x:t xml:space="preserve">300476</x:t>
        </x:is>
      </x:c>
      <x:c r="C2211" s="5" t="inlineStr">
        <x:is>
          <x:t xml:space="preserve">胜宏科技</x:t>
        </x:is>
      </x:c>
      <x:c r="D2211" s="5" t="inlineStr">
        <x:is>
          <x:t xml:space="preserve">胜宏科技(惠州)股份有限公司</x:t>
        </x:is>
      </x:c>
      <x:c r="E2211" s="4" t="inlineStr">
        <x:is>
          <x:t xml:space="preserve">广东省</x:t>
        </x:is>
      </x:c>
      <x:c r="F2211" s="4" t="inlineStr">
        <x:is>
          <x:t xml:space="preserve">惠州市</x:t>
        </x:is>
      </x:c>
      <x:c r="G2211" s="5" t="inlineStr">
        <x:is>
          <x:t xml:space="preserve">广东省-惠州市</x:t>
        </x:is>
      </x:c>
      <x:c r="H2211" s="4" t="inlineStr">
        <x:is>
          <x:t xml:space="preserve">电子元件</x:t>
        </x:is>
      </x:c>
      <x:c r="I2211" s="4" t="inlineStr">
        <x:is>
          <x:t xml:space="preserve">2015-06-11</x:t>
        </x:is>
      </x:c>
      <x:c r="J2211" s="5" t="inlineStr">
        <x:is>
          <x:t xml:space="preserve">惠州市惠阳区淡水镇新桥村行诚科技园</x:t>
        </x:is>
      </x:c>
      <x:c r="K2211" s="12" t="str">
        <x:f>LEFT("91441300791200462B",18)</x:f>
        <x:v>91441300791200462B</x:v>
      </x:c>
    </x:row>
    <x:row r="2212">
      <x:c r="A2212" s="2" t="n">
        <x:v>2211</x:v>
      </x:c>
      <x:c r="B2212" s="2" t="inlineStr">
        <x:is>
          <x:t xml:space="preserve">300482</x:t>
        </x:is>
      </x:c>
      <x:c r="C2212" s="3" t="inlineStr">
        <x:is>
          <x:t xml:space="preserve">万孚生物</x:t>
        </x:is>
      </x:c>
      <x:c r="D2212" s="3" t="inlineStr">
        <x:is>
          <x:t xml:space="preserve">广州万孚生物技术股份有限公司</x:t>
        </x:is>
      </x:c>
      <x:c r="E2212" s="2" t="inlineStr">
        <x:is>
          <x:t xml:space="preserve">广东省</x:t>
        </x:is>
      </x:c>
      <x:c r="F2212" s="2" t="inlineStr">
        <x:is>
          <x:t xml:space="preserve">广州市</x:t>
        </x:is>
      </x:c>
      <x:c r="G2212" s="3" t="inlineStr">
        <x:is>
          <x:t xml:space="preserve">广东省-广州市</x:t>
        </x:is>
      </x:c>
      <x:c r="H2212" s="2" t="inlineStr">
        <x:is>
          <x:t xml:space="preserve">医疗器械</x:t>
        </x:is>
      </x:c>
      <x:c r="I2212" s="2" t="inlineStr">
        <x:is>
          <x:t xml:space="preserve">2015-06-30</x:t>
        </x:is>
      </x:c>
      <x:c r="J2212" s="3" t="inlineStr">
        <x:is>
          <x:t xml:space="preserve">广东省广州市黄埔区科学城荔枝山路8号</x:t>
        </x:is>
      </x:c>
      <x:c r="K2212" s="12" t="str">
        <x:f>LEFT("91440101618640472W",18)</x:f>
        <x:v>91440101618640472W</x:v>
      </x:c>
    </x:row>
    <x:row r="2213">
      <x:c r="A2213" s="4" t="n">
        <x:v>2212</x:v>
      </x:c>
      <x:c r="B2213" s="4" t="inlineStr">
        <x:is>
          <x:t xml:space="preserve">300484</x:t>
        </x:is>
      </x:c>
      <x:c r="C2213" s="5" t="inlineStr">
        <x:is>
          <x:t xml:space="preserve">蓝海华腾</x:t>
        </x:is>
      </x:c>
      <x:c r="D2213" s="5" t="inlineStr">
        <x:is>
          <x:t xml:space="preserve">深圳市蓝海华腾技术股份有限公司</x:t>
        </x:is>
      </x:c>
      <x:c r="E2213" s="4" t="inlineStr">
        <x:is>
          <x:t xml:space="preserve">广东省</x:t>
        </x:is>
      </x:c>
      <x:c r="F2213" s="4" t="inlineStr">
        <x:is>
          <x:t xml:space="preserve">深圳市</x:t>
        </x:is>
      </x:c>
      <x:c r="G2213" s="5" t="inlineStr">
        <x:is>
          <x:t xml:space="preserve">广东省-深圳市</x:t>
        </x:is>
      </x:c>
      <x:c r="H2213" s="4" t="inlineStr">
        <x:is>
          <x:t xml:space="preserve">专用设备</x:t>
        </x:is>
      </x:c>
      <x:c r="I2213" s="4" t="inlineStr">
        <x:is>
          <x:t xml:space="preserve">2016-03-22</x:t>
        </x:is>
      </x:c>
      <x:c r="J2213" s="5" t="inlineStr">
        <x:is>
          <x:t xml:space="preserve">深圳市光明区玉塘街道田寮社区根玉路与田寮路交汇处东南侧二号楼801(一照多址企业)</x:t>
        </x:is>
      </x:c>
      <x:c r="K2213" s="12" t="str">
        <x:f>LEFT("91440300785258027T",18)</x:f>
        <x:v>91440300785258027T</x:v>
      </x:c>
    </x:row>
    <x:row r="2214">
      <x:c r="A2214" s="2" t="n">
        <x:v>2213</x:v>
      </x:c>
      <x:c r="B2214" s="2" t="inlineStr">
        <x:is>
          <x:t xml:space="preserve">300498</x:t>
        </x:is>
      </x:c>
      <x:c r="C2214" s="3" t="inlineStr">
        <x:is>
          <x:t xml:space="preserve">温氏股份</x:t>
        </x:is>
      </x:c>
      <x:c r="D2214" s="3" t="inlineStr">
        <x:is>
          <x:t xml:space="preserve">温氏食品集团股份有限公司</x:t>
        </x:is>
      </x:c>
      <x:c r="E2214" s="2" t="inlineStr">
        <x:is>
          <x:t xml:space="preserve">广东省</x:t>
        </x:is>
      </x:c>
      <x:c r="F2214" s="2" t="inlineStr">
        <x:is>
          <x:t xml:space="preserve">云浮市</x:t>
        </x:is>
      </x:c>
      <x:c r="G2214" s="3" t="inlineStr">
        <x:is>
          <x:t xml:space="preserve">广东省-云浮市</x:t>
        </x:is>
      </x:c>
      <x:c r="H2214" s="2" t="inlineStr">
        <x:is>
          <x:t xml:space="preserve">农牧饲渔</x:t>
        </x:is>
      </x:c>
      <x:c r="I2214" s="2" t="inlineStr">
        <x:is>
          <x:t xml:space="preserve">2015-11-02</x:t>
        </x:is>
      </x:c>
      <x:c r="J2214" s="3" t="inlineStr">
        <x:is>
          <x:t xml:space="preserve">广东省云浮市新兴县新城镇东堤北路9号</x:t>
        </x:is>
      </x:c>
      <x:c r="K2214" s="12" t="str">
        <x:f>LEFT("91445300707813507B",18)</x:f>
        <x:v>91445300707813507B</x:v>
      </x:c>
    </x:row>
    <x:row r="2215">
      <x:c r="A2215" s="4" t="n">
        <x:v>2214</x:v>
      </x:c>
      <x:c r="B2215" s="4" t="inlineStr">
        <x:is>
          <x:t xml:space="preserve">300499</x:t>
        </x:is>
      </x:c>
      <x:c r="C2215" s="5" t="inlineStr">
        <x:is>
          <x:t xml:space="preserve">高澜股份</x:t>
        </x:is>
      </x:c>
      <x:c r="D2215" s="5" t="inlineStr">
        <x:is>
          <x:t xml:space="preserve">广州高澜节能技术股份有限公司</x:t>
        </x:is>
      </x:c>
      <x:c r="E2215" s="4" t="inlineStr">
        <x:is>
          <x:t xml:space="preserve">广东省</x:t>
        </x:is>
      </x:c>
      <x:c r="F2215" s="4" t="inlineStr">
        <x:is>
          <x:t xml:space="preserve">广州市</x:t>
        </x:is>
      </x:c>
      <x:c r="G2215" s="5" t="inlineStr">
        <x:is>
          <x:t xml:space="preserve">广东省-广州市</x:t>
        </x:is>
      </x:c>
      <x:c r="H2215" s="4" t="inlineStr">
        <x:is>
          <x:t xml:space="preserve">专用设备</x:t>
        </x:is>
      </x:c>
      <x:c r="I2215" s="4" t="inlineStr">
        <x:is>
          <x:t xml:space="preserve">2016-02-02</x:t>
        </x:is>
      </x:c>
      <x:c r="J2215" s="5" t="inlineStr">
        <x:is>
          <x:t xml:space="preserve">广州市高新技术产业开发区科学城南云五路3号</x:t>
        </x:is>
      </x:c>
      <x:c r="K2215" s="12" t="str">
        <x:f>LEFT("91440101729900257B",18)</x:f>
        <x:v>91440101729900257B</x:v>
      </x:c>
    </x:row>
    <x:row r="2216">
      <x:c r="A2216" s="2" t="n">
        <x:v>2215</x:v>
      </x:c>
      <x:c r="B2216" s="2" t="inlineStr">
        <x:is>
          <x:t xml:space="preserve">300503</x:t>
        </x:is>
      </x:c>
      <x:c r="C2216" s="3" t="inlineStr">
        <x:is>
          <x:t xml:space="preserve">昊志机电</x:t>
        </x:is>
      </x:c>
      <x:c r="D2216" s="3" t="inlineStr">
        <x:is>
          <x:t xml:space="preserve">广州市昊志机电股份有限公司</x:t>
        </x:is>
      </x:c>
      <x:c r="E2216" s="2" t="inlineStr">
        <x:is>
          <x:t xml:space="preserve">广东省</x:t>
        </x:is>
      </x:c>
      <x:c r="F2216" s="2" t="inlineStr">
        <x:is>
          <x:t xml:space="preserve">广州市</x:t>
        </x:is>
      </x:c>
      <x:c r="G2216" s="3" t="inlineStr">
        <x:is>
          <x:t xml:space="preserve">广东省-广州市</x:t>
        </x:is>
      </x:c>
      <x:c r="H2216" s="2" t="inlineStr">
        <x:is>
          <x:t xml:space="preserve">机械行业</x:t>
        </x:is>
      </x:c>
      <x:c r="I2216" s="2" t="inlineStr">
        <x:is>
          <x:t xml:space="preserve">2016-03-09</x:t>
        </x:is>
      </x:c>
      <x:c r="J2216" s="3" t="inlineStr">
        <x:is>
          <x:t xml:space="preserve">广州市黄埔区禾丰路68号</x:t>
        </x:is>
      </x:c>
      <x:c r="K2216" s="12" t="str">
        <x:f>LEFT("91440101795545871B",18)</x:f>
        <x:v>91440101795545871B</x:v>
      </x:c>
    </x:row>
    <x:row r="2217">
      <x:c r="A2217" s="4" t="n">
        <x:v>2216</x:v>
      </x:c>
      <x:c r="B2217" s="4" t="inlineStr">
        <x:is>
          <x:t xml:space="preserve">300506</x:t>
        </x:is>
      </x:c>
      <x:c r="C2217" s="5" t="inlineStr">
        <x:is>
          <x:t xml:space="preserve">*ST名家</x:t>
        </x:is>
      </x:c>
      <x:c r="D2217" s="5" t="inlineStr">
        <x:is>
          <x:t xml:space="preserve">深圳市名家汇科技股份有限公司</x:t>
        </x:is>
      </x:c>
      <x:c r="E2217" s="4" t="inlineStr">
        <x:is>
          <x:t xml:space="preserve">广东省</x:t>
        </x:is>
      </x:c>
      <x:c r="F2217" s="4" t="inlineStr">
        <x:is>
          <x:t xml:space="preserve">深圳市</x:t>
        </x:is>
      </x:c>
      <x:c r="G2217" s="5" t="inlineStr">
        <x:is>
          <x:t xml:space="preserve">广东省-深圳市</x:t>
        </x:is>
      </x:c>
      <x:c r="H2217" s="4" t="inlineStr">
        <x:is>
          <x:t xml:space="preserve">装修装饰</x:t>
        </x:is>
      </x:c>
      <x:c r="I2217" s="4" t="inlineStr">
        <x:is>
          <x:t xml:space="preserve">2016-03-24</x:t>
        </x:is>
      </x:c>
      <x:c r="J2217" s="5" t="inlineStr">
        <x:is>
          <x:t xml:space="preserve">深圳市南山区粤海街道高新区社区高新南九道10号深圳湾科技生态园10栋A2001(20层01-06号)</x:t>
        </x:is>
      </x:c>
      <x:c r="K2217" s="12" t="str">
        <x:f>LEFT("91440300728556175Y",18)</x:f>
        <x:v>91440300728556175Y</x:v>
      </x:c>
    </x:row>
    <x:row r="2218">
      <x:c r="A2218" s="2" t="n">
        <x:v>2217</x:v>
      </x:c>
      <x:c r="B2218" s="2" t="inlineStr">
        <x:is>
          <x:t xml:space="preserve">300514</x:t>
        </x:is>
      </x:c>
      <x:c r="C2218" s="3" t="inlineStr">
        <x:is>
          <x:t xml:space="preserve">友讯达</x:t>
        </x:is>
      </x:c>
      <x:c r="D2218" s="3" t="inlineStr">
        <x:is>
          <x:t xml:space="preserve">深圳友讯达科技股份有限公司</x:t>
        </x:is>
      </x:c>
      <x:c r="E2218" s="2" t="inlineStr">
        <x:is>
          <x:t xml:space="preserve">广东省</x:t>
        </x:is>
      </x:c>
      <x:c r="F2218" s="2" t="inlineStr">
        <x:is>
          <x:t xml:space="preserve">深圳市</x:t>
        </x:is>
      </x:c>
      <x:c r="G2218" s="3" t="inlineStr">
        <x:is>
          <x:t xml:space="preserve">广东省-深圳市</x:t>
        </x:is>
      </x:c>
      <x:c r="H2218" s="2" t="inlineStr">
        <x:is>
          <x:t xml:space="preserve">电网设备</x:t>
        </x:is>
      </x:c>
      <x:c r="I2218" s="2" t="inlineStr">
        <x:is>
          <x:t xml:space="preserve">2017-04-26</x:t>
        </x:is>
      </x:c>
      <x:c r="J2218" s="3" t="inlineStr">
        <x:is>
          <x:t xml:space="preserve">深圳市南山区桃源街道龙光社区龙珠三路光前工业区6栋3层</x:t>
        </x:is>
      </x:c>
      <x:c r="K2218" s="12" t="str">
        <x:f>LEFT("9144030074124909XL",18)</x:f>
        <x:v>9144030074124909XL</x:v>
      </x:c>
    </x:row>
    <x:row r="2219">
      <x:c r="A2219" s="4" t="n">
        <x:v>2218</x:v>
      </x:c>
      <x:c r="B2219" s="4" t="inlineStr">
        <x:is>
          <x:t xml:space="preserve">300521</x:t>
        </x:is>
      </x:c>
      <x:c r="C2219" s="5" t="inlineStr">
        <x:is>
          <x:t xml:space="preserve">爱司凯</x:t>
        </x:is>
      </x:c>
      <x:c r="D2219" s="5" t="inlineStr">
        <x:is>
          <x:t xml:space="preserve">爱司凯科技股份有限公司</x:t>
        </x:is>
      </x:c>
      <x:c r="E2219" s="4" t="inlineStr">
        <x:is>
          <x:t xml:space="preserve">广东省</x:t>
        </x:is>
      </x:c>
      <x:c r="F2219" s="4" t="inlineStr">
        <x:is>
          <x:t xml:space="preserve">广州市</x:t>
        </x:is>
      </x:c>
      <x:c r="G2219" s="5" t="inlineStr">
        <x:is>
          <x:t xml:space="preserve">广东省-广州市</x:t>
        </x:is>
      </x:c>
      <x:c r="H2219" s="4" t="inlineStr">
        <x:is>
          <x:t xml:space="preserve">专用设备</x:t>
        </x:is>
      </x:c>
      <x:c r="I2219" s="4" t="inlineStr">
        <x:is>
          <x:t xml:space="preserve">2016-07-05</x:t>
        </x:is>
      </x:c>
      <x:c r="J2219" s="5" t="inlineStr">
        <x:is>
          <x:t xml:space="preserve">广州市黄埔区工业园红卫路15号</x:t>
        </x:is>
      </x:c>
      <x:c r="K2219" s="12" t="str">
        <x:f>LEFT("914401017955406240",18)</x:f>
        <x:v>914401017955406200</x:v>
      </x:c>
    </x:row>
    <x:row r="2220">
      <x:c r="A2220" s="2" t="n">
        <x:v>2219</x:v>
      </x:c>
      <x:c r="B2220" s="2" t="inlineStr">
        <x:is>
          <x:t xml:space="preserve">300529</x:t>
        </x:is>
      </x:c>
      <x:c r="C2220" s="3" t="inlineStr">
        <x:is>
          <x:t xml:space="preserve">健帆生物</x:t>
        </x:is>
      </x:c>
      <x:c r="D2220" s="3" t="inlineStr">
        <x:is>
          <x:t xml:space="preserve">健帆生物科技集团股份有限公司</x:t>
        </x:is>
      </x:c>
      <x:c r="E2220" s="2" t="inlineStr">
        <x:is>
          <x:t xml:space="preserve">广东省</x:t>
        </x:is>
      </x:c>
      <x:c r="F2220" s="2" t="inlineStr">
        <x:is>
          <x:t xml:space="preserve">珠海市</x:t>
        </x:is>
      </x:c>
      <x:c r="G2220" s="3" t="inlineStr">
        <x:is>
          <x:t xml:space="preserve">广东省-珠海市</x:t>
        </x:is>
      </x:c>
      <x:c r="H2220" s="2" t="inlineStr">
        <x:is>
          <x:t xml:space="preserve">医疗器械</x:t>
        </x:is>
      </x:c>
      <x:c r="I2220" s="2" t="inlineStr">
        <x:is>
          <x:t xml:space="preserve">2016-08-02</x:t>
        </x:is>
      </x:c>
      <x:c r="J2220" s="3" t="inlineStr">
        <x:is>
          <x:t xml:space="preserve">珠海市高新区科技六路98号</x:t>
        </x:is>
      </x:c>
      <x:c r="K2220" s="12" t="str">
        <x:f>LEFT("914404006175105107",18)</x:f>
        <x:v>914404006175105200</x:v>
      </x:c>
    </x:row>
    <x:row r="2221">
      <x:c r="A2221" s="4" t="n">
        <x:v>2220</x:v>
      </x:c>
      <x:c r="B2221" s="4" t="inlineStr">
        <x:is>
          <x:t xml:space="preserve">300531</x:t>
        </x:is>
      </x:c>
      <x:c r="C2221" s="5" t="inlineStr">
        <x:is>
          <x:t xml:space="preserve">优博讯</x:t>
        </x:is>
      </x:c>
      <x:c r="D2221" s="5" t="inlineStr">
        <x:is>
          <x:t xml:space="preserve">深圳市优博讯科技股份有限公司</x:t>
        </x:is>
      </x:c>
      <x:c r="E2221" s="4" t="inlineStr">
        <x:is>
          <x:t xml:space="preserve">广东省</x:t>
        </x:is>
      </x:c>
      <x:c r="F2221" s="4" t="inlineStr">
        <x:is>
          <x:t xml:space="preserve">深圳市</x:t>
        </x:is>
      </x:c>
      <x:c r="G2221" s="5" t="inlineStr">
        <x:is>
          <x:t xml:space="preserve">广东省-深圳市</x:t>
        </x:is>
      </x:c>
      <x:c r="H2221" s="4" t="inlineStr">
        <x:is>
          <x:t xml:space="preserve">计算机设备</x:t>
        </x:is>
      </x:c>
      <x:c r="I2221" s="4" t="inlineStr">
        <x:is>
          <x:t xml:space="preserve">2016-08-09</x:t>
        </x:is>
      </x:c>
      <x:c r="J2221" s="5" t="inlineStr">
        <x:is>
          <x:t xml:space="preserve">深圳市南山区粤海街道学府路63号高新区联合总部大厦36楼</x:t>
        </x:is>
      </x:c>
      <x:c r="K2221" s="12" t="str">
        <x:f>LEFT("9144030078526892XR",18)</x:f>
        <x:v>9144030078526892XR</x:v>
      </x:c>
    </x:row>
    <x:row r="2222">
      <x:c r="A2222" s="2" t="n">
        <x:v>2221</x:v>
      </x:c>
      <x:c r="B2222" s="2" t="inlineStr">
        <x:is>
          <x:t xml:space="preserve">300532</x:t>
        </x:is>
      </x:c>
      <x:c r="C2222" s="3" t="inlineStr">
        <x:is>
          <x:t xml:space="preserve">今天国际</x:t>
        </x:is>
      </x:c>
      <x:c r="D2222" s="3" t="inlineStr">
        <x:is>
          <x:t xml:space="preserve">深圳市今天国际物流技术股份有限公司</x:t>
        </x:is>
      </x:c>
      <x:c r="E2222" s="2" t="inlineStr">
        <x:is>
          <x:t xml:space="preserve">广东省</x:t>
        </x:is>
      </x:c>
      <x:c r="F2222" s="2" t="inlineStr">
        <x:is>
          <x:t xml:space="preserve">深圳市</x:t>
        </x:is>
      </x:c>
      <x:c r="G2222" s="3" t="inlineStr">
        <x:is>
          <x:t xml:space="preserve">广东省-深圳市</x:t>
        </x:is>
      </x:c>
      <x:c r="H2222" s="2" t="inlineStr">
        <x:is>
          <x:t xml:space="preserve">互联网服务</x:t>
        </x:is>
      </x:c>
      <x:c r="I2222" s="2" t="inlineStr">
        <x:is>
          <x:t xml:space="preserve">2016-08-18</x:t>
        </x:is>
      </x:c>
      <x:c r="J2222" s="3" t="inlineStr">
        <x:is>
          <x:t xml:space="preserve">深圳市龙岗区宝龙街道宝龙社区翠宝路今天国际办公楼101</x:t>
        </x:is>
      </x:c>
      <x:c r="K2222" s="12" t="str">
        <x:f>LEFT("9144030072472803X3",18)</x:f>
        <x:v>9144030072472803X3</x:v>
      </x:c>
    </x:row>
    <x:row r="2223">
      <x:c r="A2223" s="4" t="n">
        <x:v>2222</x:v>
      </x:c>
      <x:c r="B2223" s="4" t="inlineStr">
        <x:is>
          <x:t xml:space="preserve">300533</x:t>
        </x:is>
      </x:c>
      <x:c r="C2223" s="5" t="inlineStr">
        <x:is>
          <x:t xml:space="preserve">冰川网络</x:t>
        </x:is>
      </x:c>
      <x:c r="D2223" s="5" t="inlineStr">
        <x:is>
          <x:t xml:space="preserve">深圳冰川网络股份有限公司</x:t>
        </x:is>
      </x:c>
      <x:c r="E2223" s="4" t="inlineStr">
        <x:is>
          <x:t xml:space="preserve">广东省</x:t>
        </x:is>
      </x:c>
      <x:c r="F2223" s="4" t="inlineStr">
        <x:is>
          <x:t xml:space="preserve">深圳市</x:t>
        </x:is>
      </x:c>
      <x:c r="G2223" s="5" t="inlineStr">
        <x:is>
          <x:t xml:space="preserve">广东省-深圳市</x:t>
        </x:is>
      </x:c>
      <x:c r="H2223" s="4" t="inlineStr">
        <x:is>
          <x:t xml:space="preserve">游戏</x:t>
        </x:is>
      </x:c>
      <x:c r="I2223" s="4" t="inlineStr">
        <x:is>
          <x:t xml:space="preserve">2016-08-18</x:t>
        </x:is>
      </x:c>
      <x:c r="J2223" s="5" t="inlineStr">
        <x:is>
          <x:t xml:space="preserve">深圳市南山区粤海街道滨海社区高新南十道63号高新区联合总部大厦15层</x:t>
        </x:is>
      </x:c>
      <x:c r="K2223" s="12" t="str">
        <x:f>LEFT("91440300671868185H",18)</x:f>
        <x:v>91440300671868185H</x:v>
      </x:c>
    </x:row>
    <x:row r="2224">
      <x:c r="A2224" s="2" t="n">
        <x:v>2223</x:v>
      </x:c>
      <x:c r="B2224" s="2" t="inlineStr">
        <x:is>
          <x:t xml:space="preserve">300538</x:t>
        </x:is>
      </x:c>
      <x:c r="C2224" s="3" t="inlineStr">
        <x:is>
          <x:t xml:space="preserve">同益股份</x:t>
        </x:is>
      </x:c>
      <x:c r="D2224" s="3" t="inlineStr">
        <x:is>
          <x:t xml:space="preserve">深圳市同益实业股份有限公司</x:t>
        </x:is>
      </x:c>
      <x:c r="E2224" s="2" t="inlineStr">
        <x:is>
          <x:t xml:space="preserve">广东省</x:t>
        </x:is>
      </x:c>
      <x:c r="F2224" s="2" t="inlineStr">
        <x:is>
          <x:t xml:space="preserve">深圳市</x:t>
        </x:is>
      </x:c>
      <x:c r="G2224" s="3" t="inlineStr">
        <x:is>
          <x:t xml:space="preserve">广东省-深圳市</x:t>
        </x:is>
      </x:c>
      <x:c r="H2224" s="2" t="inlineStr">
        <x:is>
          <x:t xml:space="preserve">塑胶制品</x:t>
        </x:is>
      </x:c>
      <x:c r="I2224" s="2" t="inlineStr">
        <x:is>
          <x:t xml:space="preserve">2016-08-26</x:t>
        </x:is>
      </x:c>
      <x:c r="J2224" s="3" t="inlineStr">
        <x:is>
          <x:t xml:space="preserve">深圳市宝安区西乡街道桃源社区航城工业区宝华森国际中心C栋501-512</x:t>
        </x:is>
      </x:c>
      <x:c r="K2224" s="12" t="str">
        <x:f>LEFT("91440300745194612K",18)</x:f>
        <x:v>91440300745194612K</x:v>
      </x:c>
    </x:row>
    <x:row r="2225">
      <x:c r="A2225" s="4" t="n">
        <x:v>2224</x:v>
      </x:c>
      <x:c r="B2225" s="4" t="inlineStr">
        <x:is>
          <x:t xml:space="preserve">300543</x:t>
        </x:is>
      </x:c>
      <x:c r="C2225" s="5" t="inlineStr">
        <x:is>
          <x:t xml:space="preserve">朗科智能</x:t>
        </x:is>
      </x:c>
      <x:c r="D2225" s="5" t="inlineStr">
        <x:is>
          <x:t xml:space="preserve">深圳市朗科智能电气股份有限公司</x:t>
        </x:is>
      </x:c>
      <x:c r="E2225" s="4" t="inlineStr">
        <x:is>
          <x:t xml:space="preserve">广东省</x:t>
        </x:is>
      </x:c>
      <x:c r="F2225" s="4" t="inlineStr">
        <x:is>
          <x:t xml:space="preserve">深圳市</x:t>
        </x:is>
      </x:c>
      <x:c r="G2225" s="5" t="inlineStr">
        <x:is>
          <x:t xml:space="preserve">广东省-深圳市</x:t>
        </x:is>
      </x:c>
      <x:c r="H2225" s="4" t="inlineStr">
        <x:is>
          <x:t xml:space="preserve">消费电子</x:t>
        </x:is>
      </x:c>
      <x:c r="I2225" s="4" t="inlineStr">
        <x:is>
          <x:t xml:space="preserve">2016-09-08</x:t>
        </x:is>
      </x:c>
      <x:c r="J2225" s="5" t="inlineStr">
        <x:is>
          <x:t xml:space="preserve">深圳市宝安区新安街道兴东社区69区洪浪北二路30号信义领御研发中心1栋1701</x:t>
        </x:is>
      </x:c>
      <x:c r="K2225" s="12" t="str">
        <x:f>LEFT("914403007330839073",18)</x:f>
        <x:v>914403007330839000</x:v>
      </x:c>
    </x:row>
    <x:row r="2226">
      <x:c r="A2226" s="2" t="n">
        <x:v>2225</x:v>
      </x:c>
      <x:c r="B2226" s="2" t="inlineStr">
        <x:is>
          <x:t xml:space="preserve">300545</x:t>
        </x:is>
      </x:c>
      <x:c r="C2226" s="3" t="inlineStr">
        <x:is>
          <x:t xml:space="preserve">联得装备</x:t>
        </x:is>
      </x:c>
      <x:c r="D2226" s="3" t="inlineStr">
        <x:is>
          <x:t xml:space="preserve">深圳市联得自动化装备股份有限公司</x:t>
        </x:is>
      </x:c>
      <x:c r="E2226" s="2" t="inlineStr">
        <x:is>
          <x:t xml:space="preserve">广东省</x:t>
        </x:is>
      </x:c>
      <x:c r="F2226" s="2" t="inlineStr">
        <x:is>
          <x:t xml:space="preserve">深圳市</x:t>
        </x:is>
      </x:c>
      <x:c r="G2226" s="3" t="inlineStr">
        <x:is>
          <x:t xml:space="preserve">广东省-深圳市</x:t>
        </x:is>
      </x:c>
      <x:c r="H2226" s="2" t="inlineStr">
        <x:is>
          <x:t xml:space="preserve">光学光电子</x:t>
        </x:is>
      </x:c>
      <x:c r="I2226" s="2" t="inlineStr">
        <x:is>
          <x:t xml:space="preserve">2016-09-28</x:t>
        </x:is>
      </x:c>
      <x:c r="J2226" s="3" t="inlineStr">
        <x:is>
          <x:t xml:space="preserve">深圳市龙华区观湖街道樟溪社区下围工业区一路1号L栋101</x:t>
        </x:is>
      </x:c>
      <x:c r="K2226" s="12" t="str">
        <x:f>LEFT("91440300738806748A",18)</x:f>
        <x:v>91440300738806748A</x:v>
      </x:c>
    </x:row>
    <x:row r="2227">
      <x:c r="A2227" s="4" t="n">
        <x:v>2226</x:v>
      </x:c>
      <x:c r="B2227" s="4" t="inlineStr">
        <x:is>
          <x:t xml:space="preserve">300546</x:t>
        </x:is>
      </x:c>
      <x:c r="C2227" s="5" t="inlineStr">
        <x:is>
          <x:t xml:space="preserve">雄帝科技</x:t>
        </x:is>
      </x:c>
      <x:c r="D2227" s="5" t="inlineStr">
        <x:is>
          <x:t xml:space="preserve">深圳市雄帝科技股份有限公司</x:t>
        </x:is>
      </x:c>
      <x:c r="E2227" s="4" t="inlineStr">
        <x:is>
          <x:t xml:space="preserve">广东省</x:t>
        </x:is>
      </x:c>
      <x:c r="F2227" s="4" t="inlineStr">
        <x:is>
          <x:t xml:space="preserve">深圳市</x:t>
        </x:is>
      </x:c>
      <x:c r="G2227" s="5" t="inlineStr">
        <x:is>
          <x:t xml:space="preserve">广东省-深圳市</x:t>
        </x:is>
      </x:c>
      <x:c r="H2227" s="4" t="inlineStr">
        <x:is>
          <x:t xml:space="preserve">计算机设备</x:t>
        </x:is>
      </x:c>
      <x:c r="I2227" s="4" t="inlineStr">
        <x:is>
          <x:t xml:space="preserve">2016-09-28</x:t>
        </x:is>
      </x:c>
      <x:c r="J2227" s="5" t="inlineStr">
        <x:is>
          <x:t xml:space="preserve">深圳市南山区粤海街道高新区社区高新南九道10号深圳湾科技生态园10栋A2901-2902</x:t>
        </x:is>
      </x:c>
      <x:c r="K2227" s="12" t="str">
        <x:f>LEFT("91440300192328114W",18)</x:f>
        <x:v>91440300192328114W</x:v>
      </x:c>
    </x:row>
    <x:row r="2228">
      <x:c r="A2228" s="2" t="n">
        <x:v>2227</x:v>
      </x:c>
      <x:c r="B2228" s="2" t="inlineStr">
        <x:is>
          <x:t xml:space="preserve">300556</x:t>
        </x:is>
      </x:c>
      <x:c r="C2228" s="3" t="inlineStr">
        <x:is>
          <x:t xml:space="preserve">丝路视觉</x:t>
        </x:is>
      </x:c>
      <x:c r="D2228" s="3" t="inlineStr">
        <x:is>
          <x:t xml:space="preserve">丝路视觉科技股份有限公司</x:t>
        </x:is>
      </x:c>
      <x:c r="E2228" s="2" t="inlineStr">
        <x:is>
          <x:t xml:space="preserve">广东省</x:t>
        </x:is>
      </x:c>
      <x:c r="F2228" s="2" t="inlineStr">
        <x:is>
          <x:t xml:space="preserve">深圳市</x:t>
        </x:is>
      </x:c>
      <x:c r="G2228" s="3" t="inlineStr">
        <x:is>
          <x:t xml:space="preserve">广东省-深圳市</x:t>
        </x:is>
      </x:c>
      <x:c r="H2228" s="2" t="inlineStr">
        <x:is>
          <x:t xml:space="preserve">软件服务</x:t>
        </x:is>
      </x:c>
      <x:c r="I2228" s="2" t="inlineStr">
        <x:is>
          <x:t xml:space="preserve">2016-11-04</x:t>
        </x:is>
      </x:c>
      <x:c r="J2228" s="3" t="inlineStr">
        <x:is>
          <x:t xml:space="preserve">广东省深圳市罗湖区东门街道城东社区深南东路2028号罗湖商务中心1706</x:t>
        </x:is>
      </x:c>
      <x:c r="K2228" s="12" t="str">
        <x:f>LEFT("914403007152851426",18)</x:f>
        <x:v>914403007152851500</x:v>
      </x:c>
    </x:row>
    <x:row r="2229">
      <x:c r="A2229" s="4" t="n">
        <x:v>2228</x:v>
      </x:c>
      <x:c r="B2229" s="4" t="inlineStr">
        <x:is>
          <x:t xml:space="preserve">300561</x:t>
        </x:is>
      </x:c>
      <x:c r="C2229" s="5" t="inlineStr">
        <x:is>
          <x:t xml:space="preserve">*ST汇科</x:t>
        </x:is>
      </x:c>
      <x:c r="D2229" s="5" t="inlineStr">
        <x:is>
          <x:t xml:space="preserve">珠海汇金科技股份有限公司</x:t>
        </x:is>
      </x:c>
      <x:c r="E2229" s="4" t="inlineStr">
        <x:is>
          <x:t xml:space="preserve">广东省</x:t>
        </x:is>
      </x:c>
      <x:c r="F2229" s="4" t="inlineStr">
        <x:is>
          <x:t xml:space="preserve">珠海市</x:t>
        </x:is>
      </x:c>
      <x:c r="G2229" s="5" t="inlineStr">
        <x:is>
          <x:t xml:space="preserve">广东省-珠海市</x:t>
        </x:is>
      </x:c>
      <x:c r="H2229" s="4" t="inlineStr">
        <x:is>
          <x:t xml:space="preserve">软件服务</x:t>
        </x:is>
      </x:c>
      <x:c r="I2229" s="4" t="inlineStr">
        <x:is>
          <x:t xml:space="preserve">2016-11-17</x:t>
        </x:is>
      </x:c>
      <x:c r="J2229" s="5" t="inlineStr">
        <x:is>
          <x:t xml:space="preserve">珠海市高新区鼎兴路199号1栋9—15层</x:t>
        </x:is>
      </x:c>
      <x:c r="K2229" s="12" t="str">
        <x:f>LEFT("914404007709874894",18)</x:f>
        <x:v>914404007709875000</x:v>
      </x:c>
    </x:row>
    <x:row r="2230">
      <x:c r="A2230" s="2" t="n">
        <x:v>2229</x:v>
      </x:c>
      <x:c r="B2230" s="2" t="inlineStr">
        <x:is>
          <x:t xml:space="preserve">300562</x:t>
        </x:is>
      </x:c>
      <x:c r="C2230" s="3" t="inlineStr">
        <x:is>
          <x:t xml:space="preserve">乐心医疗</x:t>
        </x:is>
      </x:c>
      <x:c r="D2230" s="3" t="inlineStr">
        <x:is>
          <x:t xml:space="preserve">广东乐心医疗电子股份有限公司</x:t>
        </x:is>
      </x:c>
      <x:c r="E2230" s="2" t="inlineStr">
        <x:is>
          <x:t xml:space="preserve">广东省</x:t>
        </x:is>
      </x:c>
      <x:c r="F2230" s="2" t="inlineStr">
        <x:is>
          <x:t xml:space="preserve">中山市</x:t>
        </x:is>
      </x:c>
      <x:c r="G2230" s="3" t="inlineStr">
        <x:is>
          <x:t xml:space="preserve">广东省-中山市</x:t>
        </x:is>
      </x:c>
      <x:c r="H2230" s="2" t="inlineStr">
        <x:is>
          <x:t xml:space="preserve">医疗器械</x:t>
        </x:is>
      </x:c>
      <x:c r="I2230" s="2" t="inlineStr">
        <x:is>
          <x:t xml:space="preserve">2016-11-16</x:t>
        </x:is>
      </x:c>
      <x:c r="J2230" s="3" t="inlineStr">
        <x:is>
          <x:t xml:space="preserve">中山市火炬开发区东利路105号A区</x:t>
        </x:is>
      </x:c>
      <x:c r="K2230" s="12" t="str">
        <x:f>LEFT("914420007408365594",18)</x:f>
        <x:v>914420007408365600</x:v>
      </x:c>
    </x:row>
    <x:row r="2231">
      <x:c r="A2231" s="4" t="n">
        <x:v>2230</x:v>
      </x:c>
      <x:c r="B2231" s="4" t="inlineStr">
        <x:is>
          <x:t xml:space="preserve">300565</x:t>
        </x:is>
      </x:c>
      <x:c r="C2231" s="5" t="inlineStr">
        <x:is>
          <x:t xml:space="preserve">科信技术</x:t>
        </x:is>
      </x:c>
      <x:c r="D2231" s="5" t="inlineStr">
        <x:is>
          <x:t xml:space="preserve">深圳市科信通信技术股份有限公司</x:t>
        </x:is>
      </x:c>
      <x:c r="E2231" s="4" t="inlineStr">
        <x:is>
          <x:t xml:space="preserve">广东省</x:t>
        </x:is>
      </x:c>
      <x:c r="F2231" s="4" t="inlineStr">
        <x:is>
          <x:t xml:space="preserve">深圳市</x:t>
        </x:is>
      </x:c>
      <x:c r="G2231" s="5" t="inlineStr">
        <x:is>
          <x:t xml:space="preserve">广东省-深圳市</x:t>
        </x:is>
      </x:c>
      <x:c r="H2231" s="4" t="inlineStr">
        <x:is>
          <x:t xml:space="preserve">通讯行业</x:t>
        </x:is>
      </x:c>
      <x:c r="I2231" s="4" t="inlineStr">
        <x:is>
          <x:t xml:space="preserve">2016-11-22</x:t>
        </x:is>
      </x:c>
      <x:c r="J2231" s="5" t="inlineStr">
        <x:is>
          <x:t xml:space="preserve">深圳市龙岗区宝龙街道新能源一路科信科技大厦</x:t>
        </x:is>
      </x:c>
      <x:c r="K2231" s="12" t="str">
        <x:f>LEFT("91440300731133026E",18)</x:f>
        <x:v>91440300731133026E</x:v>
      </x:c>
    </x:row>
    <x:row r="2232">
      <x:c r="A2232" s="2" t="n">
        <x:v>2231</x:v>
      </x:c>
      <x:c r="B2232" s="2" t="inlineStr">
        <x:is>
          <x:t xml:space="preserve">300568</x:t>
        </x:is>
      </x:c>
      <x:c r="C2232" s="3" t="inlineStr">
        <x:is>
          <x:t xml:space="preserve">星源材质</x:t>
        </x:is>
      </x:c>
      <x:c r="D2232" s="3" t="inlineStr">
        <x:is>
          <x:t xml:space="preserve">深圳市星源材质科技股份有限公司</x:t>
        </x:is>
      </x:c>
      <x:c r="E2232" s="2" t="inlineStr">
        <x:is>
          <x:t xml:space="preserve">广东省</x:t>
        </x:is>
      </x:c>
      <x:c r="F2232" s="2" t="inlineStr">
        <x:is>
          <x:t xml:space="preserve">深圳市</x:t>
        </x:is>
      </x:c>
      <x:c r="G2232" s="3" t="inlineStr">
        <x:is>
          <x:t xml:space="preserve">广东省-深圳市</x:t>
        </x:is>
      </x:c>
      <x:c r="H2232" s="2" t="inlineStr">
        <x:is>
          <x:t xml:space="preserve">电池</x:t>
        </x:is>
      </x:c>
      <x:c r="I2232" s="2" t="inlineStr">
        <x:is>
          <x:t xml:space="preserve">2016-12-01</x:t>
        </x:is>
      </x:c>
      <x:c r="J2232" s="3" t="inlineStr">
        <x:is>
          <x:t xml:space="preserve">深圳市光明新区公明办事处田园路北</x:t>
        </x:is>
      </x:c>
      <x:c r="K2232" s="12" t="str">
        <x:f>LEFT("91440300754277719K",18)</x:f>
        <x:v>91440300754277719K</x:v>
      </x:c>
    </x:row>
    <x:row r="2233">
      <x:c r="A2233" s="4" t="n">
        <x:v>2232</x:v>
      </x:c>
      <x:c r="B2233" s="4" t="inlineStr">
        <x:is>
          <x:t xml:space="preserve">300570</x:t>
        </x:is>
      </x:c>
      <x:c r="C2233" s="5" t="inlineStr">
        <x:is>
          <x:t xml:space="preserve">太辰光</x:t>
        </x:is>
      </x:c>
      <x:c r="D2233" s="5" t="inlineStr">
        <x:is>
          <x:t xml:space="preserve">深圳太辰光通信股份有限公司</x:t>
        </x:is>
      </x:c>
      <x:c r="E2233" s="4" t="inlineStr">
        <x:is>
          <x:t xml:space="preserve">广东省</x:t>
        </x:is>
      </x:c>
      <x:c r="F2233" s="4" t="inlineStr">
        <x:is>
          <x:t xml:space="preserve">深圳市</x:t>
        </x:is>
      </x:c>
      <x:c r="G2233" s="5" t="inlineStr">
        <x:is>
          <x:t xml:space="preserve">广东省-深圳市</x:t>
        </x:is>
      </x:c>
      <x:c r="H2233" s="4" t="inlineStr">
        <x:is>
          <x:t xml:space="preserve">通信设备</x:t>
        </x:is>
      </x:c>
      <x:c r="I2233" s="4" t="inlineStr">
        <x:is>
          <x:t xml:space="preserve">2016-12-06</x:t>
        </x:is>
      </x:c>
      <x:c r="J2233" s="5" t="inlineStr">
        <x:is>
          <x:t xml:space="preserve">深圳市坪山区坑梓街道秀新社区锦绣中路8号太辰光通信科技园(一照多址企业)</x:t>
        </x:is>
      </x:c>
      <x:c r="K2233" s="12" t="str">
        <x:f>LEFT("91440300724721938J",18)</x:f>
        <x:v>91440300724721938J</x:v>
      </x:c>
    </x:row>
    <x:row r="2234">
      <x:c r="A2234" s="2" t="n">
        <x:v>2233</x:v>
      </x:c>
      <x:c r="B2234" s="2" t="inlineStr">
        <x:is>
          <x:t xml:space="preserve">300572</x:t>
        </x:is>
      </x:c>
      <x:c r="C2234" s="3" t="inlineStr">
        <x:is>
          <x:t xml:space="preserve">安车检测</x:t>
        </x:is>
      </x:c>
      <x:c r="D2234" s="3" t="inlineStr">
        <x:is>
          <x:t xml:space="preserve">深圳市安车检测股份有限公司</x:t>
        </x:is>
      </x:c>
      <x:c r="E2234" s="2" t="inlineStr">
        <x:is>
          <x:t xml:space="preserve">广东省</x:t>
        </x:is>
      </x:c>
      <x:c r="F2234" s="2" t="inlineStr">
        <x:is>
          <x:t xml:space="preserve">深圳市</x:t>
        </x:is>
      </x:c>
      <x:c r="G2234" s="3" t="inlineStr">
        <x:is>
          <x:t xml:space="preserve">广东省-深圳市</x:t>
        </x:is>
      </x:c>
      <x:c r="H2234" s="2" t="inlineStr">
        <x:is>
          <x:t xml:space="preserve">专业服务</x:t>
        </x:is>
      </x:c>
      <x:c r="I2234" s="2" t="inlineStr">
        <x:is>
          <x:t xml:space="preserve">2016-12-06</x:t>
        </x:is>
      </x:c>
      <x:c r="J2234" s="3" t="inlineStr">
        <x:is>
          <x:t xml:space="preserve">深圳市南山区粤海街道学府路63号高新区联合总部大厦35楼</x:t>
        </x:is>
      </x:c>
      <x:c r="K2234" s="12" t="str">
        <x:f>LEFT("914403007917461234",18)</x:f>
        <x:v>914403007917461200</x:v>
      </x:c>
    </x:row>
    <x:row r="2235">
      <x:c r="A2235" s="4" t="n">
        <x:v>2234</x:v>
      </x:c>
      <x:c r="B2235" s="4" t="inlineStr">
        <x:is>
          <x:t xml:space="preserve">300576</x:t>
        </x:is>
      </x:c>
      <x:c r="C2235" s="5" t="inlineStr">
        <x:is>
          <x:t xml:space="preserve">容大感光</x:t>
        </x:is>
      </x:c>
      <x:c r="D2235" s="5" t="inlineStr">
        <x:is>
          <x:t xml:space="preserve">深圳市容大感光科技股份有限公司</x:t>
        </x:is>
      </x:c>
      <x:c r="E2235" s="4" t="inlineStr">
        <x:is>
          <x:t xml:space="preserve">广东省</x:t>
        </x:is>
      </x:c>
      <x:c r="F2235" s="4" t="inlineStr">
        <x:is>
          <x:t xml:space="preserve">深圳市</x:t>
        </x:is>
      </x:c>
      <x:c r="G2235" s="5" t="inlineStr">
        <x:is>
          <x:t xml:space="preserve">广东省-深圳市</x:t>
        </x:is>
      </x:c>
      <x:c r="H2235" s="4" t="inlineStr">
        <x:is>
          <x:t xml:space="preserve">电子化学品</x:t>
        </x:is>
      </x:c>
      <x:c r="I2235" s="4" t="inlineStr">
        <x:is>
          <x:t xml:space="preserve">2016-12-20</x:t>
        </x:is>
      </x:c>
      <x:c r="J2235" s="5" t="inlineStr">
        <x:is>
          <x:t xml:space="preserve">深圳市宝安区福海街道新田社区新田大道71-5号301(1-3层)</x:t>
        </x:is>
      </x:c>
      <x:c r="K2235" s="12" t="str">
        <x:f>LEFT("91440300279247966X",18)</x:f>
        <x:v>91440300279247966X</x:v>
      </x:c>
    </x:row>
    <x:row r="2236">
      <x:c r="A2236" s="2" t="n">
        <x:v>2235</x:v>
      </x:c>
      <x:c r="B2236" s="2" t="inlineStr">
        <x:is>
          <x:t xml:space="preserve">300586</x:t>
        </x:is>
      </x:c>
      <x:c r="C2236" s="3" t="inlineStr">
        <x:is>
          <x:t xml:space="preserve">美联新材</x:t>
        </x:is>
      </x:c>
      <x:c r="D2236" s="3" t="inlineStr">
        <x:is>
          <x:t xml:space="preserve">广东美联新材料股份有限公司</x:t>
        </x:is>
      </x:c>
      <x:c r="E2236" s="2" t="inlineStr">
        <x:is>
          <x:t xml:space="preserve">广东省</x:t>
        </x:is>
      </x:c>
      <x:c r="F2236" s="2" t="inlineStr">
        <x:is>
          <x:t xml:space="preserve">汕头市</x:t>
        </x:is>
      </x:c>
      <x:c r="G2236" s="3" t="inlineStr">
        <x:is>
          <x:t xml:space="preserve">广东省-汕头市</x:t>
        </x:is>
      </x:c>
      <x:c r="H2236" s="2" t="inlineStr">
        <x:is>
          <x:t xml:space="preserve">塑料制品</x:t>
        </x:is>
      </x:c>
      <x:c r="I2236" s="2" t="inlineStr">
        <x:is>
          <x:t xml:space="preserve">2017-01-04</x:t>
        </x:is>
      </x:c>
      <x:c r="J2236" s="3" t="inlineStr">
        <x:is>
          <x:t xml:space="preserve">汕头市美联路1号</x:t>
        </x:is>
      </x:c>
      <x:c r="K2236" s="12" t="str">
        <x:f>LEFT("91440500723817938W",18)</x:f>
        <x:v>91440500723817938W</x:v>
      </x:c>
    </x:row>
    <x:row r="2237">
      <x:c r="A2237" s="4" t="n">
        <x:v>2236</x:v>
      </x:c>
      <x:c r="B2237" s="4" t="inlineStr">
        <x:is>
          <x:t xml:space="preserve">300589</x:t>
        </x:is>
      </x:c>
      <x:c r="C2237" s="5" t="inlineStr">
        <x:is>
          <x:t xml:space="preserve">江龙船艇</x:t>
        </x:is>
      </x:c>
      <x:c r="D2237" s="5" t="inlineStr">
        <x:is>
          <x:t xml:space="preserve">江龙船艇科技股份有限公司</x:t>
        </x:is>
      </x:c>
      <x:c r="E2237" s="4" t="inlineStr">
        <x:is>
          <x:t xml:space="preserve">广东省</x:t>
        </x:is>
      </x:c>
      <x:c r="F2237" s="4" t="inlineStr">
        <x:is>
          <x:t xml:space="preserve">中山市</x:t>
        </x:is>
      </x:c>
      <x:c r="G2237" s="5" t="inlineStr">
        <x:is>
          <x:t xml:space="preserve">广东省-中山市</x:t>
        </x:is>
      </x:c>
      <x:c r="H2237" s="4" t="inlineStr">
        <x:is>
          <x:t xml:space="preserve">船舶制造</x:t>
        </x:is>
      </x:c>
      <x:c r="I2237" s="4" t="inlineStr">
        <x:is>
          <x:t xml:space="preserve">2017-01-13</x:t>
        </x:is>
      </x:c>
      <x:c r="J2237" s="5" t="inlineStr">
        <x:is>
          <x:t xml:space="preserve">中山市神湾镇桂竹路1号江龙船艇科技园</x:t>
        </x:is>
      </x:c>
      <x:c r="K2237" s="12" t="str">
        <x:f>LEFT("91442000747058569R",18)</x:f>
        <x:v>91442000747058569R</x:v>
      </x:c>
    </x:row>
    <x:row r="2238">
      <x:c r="A2238" s="2" t="n">
        <x:v>2237</x:v>
      </x:c>
      <x:c r="B2238" s="2" t="inlineStr">
        <x:is>
          <x:t xml:space="preserve">300591</x:t>
        </x:is>
      </x:c>
      <x:c r="C2238" s="3" t="inlineStr">
        <x:is>
          <x:t xml:space="preserve">万里马</x:t>
        </x:is>
      </x:c>
      <x:c r="D2238" s="3" t="inlineStr">
        <x:is>
          <x:t xml:space="preserve">广东万里马实业股份有限公司</x:t>
        </x:is>
      </x:c>
      <x:c r="E2238" s="2" t="inlineStr">
        <x:is>
          <x:t xml:space="preserve">广东省</x:t>
        </x:is>
      </x:c>
      <x:c r="F2238" s="2" t="inlineStr">
        <x:is>
          <x:t xml:space="preserve">东莞市</x:t>
        </x:is>
      </x:c>
      <x:c r="G2238" s="3" t="inlineStr">
        <x:is>
          <x:t xml:space="preserve">广东省-东莞市</x:t>
        </x:is>
      </x:c>
      <x:c r="H2238" s="2" t="inlineStr">
        <x:is>
          <x:t xml:space="preserve">纺织服装</x:t>
        </x:is>
      </x:c>
      <x:c r="I2238" s="2" t="inlineStr">
        <x:is>
          <x:t xml:space="preserve">2017-01-10</x:t>
        </x:is>
      </x:c>
      <x:c r="J2238" s="3" t="inlineStr">
        <x:is>
          <x:t xml:space="preserve">东莞市长安镇建安路367号</x:t>
        </x:is>
      </x:c>
      <x:c r="K2238" s="12" t="str">
        <x:f>LEFT("91441900737590834A",18)</x:f>
        <x:v>91441900737590834A</x:v>
      </x:c>
    </x:row>
    <x:row r="2239">
      <x:c r="A2239" s="4" t="n">
        <x:v>2238</x:v>
      </x:c>
      <x:c r="B2239" s="4" t="inlineStr">
        <x:is>
          <x:t xml:space="preserve">300599</x:t>
        </x:is>
      </x:c>
      <x:c r="C2239" s="5" t="inlineStr">
        <x:is>
          <x:t xml:space="preserve">雄塑科技</x:t>
        </x:is>
      </x:c>
      <x:c r="D2239" s="5" t="inlineStr">
        <x:is>
          <x:t xml:space="preserve">广东雄塑科技集团股份有限公司</x:t>
        </x:is>
      </x:c>
      <x:c r="E2239" s="4" t="inlineStr">
        <x:is>
          <x:t xml:space="preserve">广东省</x:t>
        </x:is>
      </x:c>
      <x:c r="F2239" s="4" t="inlineStr">
        <x:is>
          <x:t xml:space="preserve">佛山市</x:t>
        </x:is>
      </x:c>
      <x:c r="G2239" s="5" t="inlineStr">
        <x:is>
          <x:t xml:space="preserve">广东省-佛山市</x:t>
        </x:is>
      </x:c>
      <x:c r="H2239" s="4" t="inlineStr">
        <x:is>
          <x:t xml:space="preserve">装修建材</x:t>
        </x:is>
      </x:c>
      <x:c r="I2239" s="4" t="inlineStr">
        <x:is>
          <x:t xml:space="preserve">2017-01-23</x:t>
        </x:is>
      </x:c>
      <x:c r="J2239" s="5" t="inlineStr">
        <x:is>
          <x:t xml:space="preserve">广东省佛山市南海区九江镇龙高路敦根路段雄塑工业园</x:t>
        </x:is>
      </x:c>
      <x:c r="K2239" s="12" t="str">
        <x:f>LEFT("914406007491858365",18)</x:f>
        <x:v>914406007491858300</x:v>
      </x:c>
    </x:row>
    <x:row r="2240">
      <x:c r="A2240" s="2" t="n">
        <x:v>2239</x:v>
      </x:c>
      <x:c r="B2240" s="2" t="inlineStr">
        <x:is>
          <x:t xml:space="preserve">300601</x:t>
        </x:is>
      </x:c>
      <x:c r="C2240" s="3" t="inlineStr">
        <x:is>
          <x:t xml:space="preserve">康泰生物</x:t>
        </x:is>
      </x:c>
      <x:c r="D2240" s="3" t="inlineStr">
        <x:is>
          <x:t xml:space="preserve">深圳康泰生物制品股份有限公司</x:t>
        </x:is>
      </x:c>
      <x:c r="E2240" s="2" t="inlineStr">
        <x:is>
          <x:t xml:space="preserve">广东省</x:t>
        </x:is>
      </x:c>
      <x:c r="F2240" s="2" t="inlineStr">
        <x:is>
          <x:t xml:space="preserve">深圳市</x:t>
        </x:is>
      </x:c>
      <x:c r="G2240" s="3" t="inlineStr">
        <x:is>
          <x:t xml:space="preserve">广东省-深圳市</x:t>
        </x:is>
      </x:c>
      <x:c r="H2240" s="2" t="inlineStr">
        <x:is>
          <x:t xml:space="preserve">生物制品</x:t>
        </x:is>
      </x:c>
      <x:c r="I2240" s="2" t="inlineStr">
        <x:is>
          <x:t xml:space="preserve">2017-02-07</x:t>
        </x:is>
      </x:c>
      <x:c r="J2240" s="3" t="inlineStr">
        <x:is>
          <x:t xml:space="preserve">深圳市南山区粤海街道科技园社区科发路222号康泰集团大厦101</x:t>
        </x:is>
      </x:c>
      <x:c r="K2240" s="12" t="str">
        <x:f>LEFT("91440300618837873J",18)</x:f>
        <x:v>91440300618837873J</x:v>
      </x:c>
    </x:row>
    <x:row r="2241">
      <x:c r="A2241" s="4" t="n">
        <x:v>2240</x:v>
      </x:c>
      <x:c r="B2241" s="4" t="inlineStr">
        <x:is>
          <x:t xml:space="preserve">300602</x:t>
        </x:is>
      </x:c>
      <x:c r="C2241" s="5" t="inlineStr">
        <x:is>
          <x:t xml:space="preserve">飞荣达</x:t>
        </x:is>
      </x:c>
      <x:c r="D2241" s="5" t="inlineStr">
        <x:is>
          <x:t xml:space="preserve">深圳市飞荣达科技股份有限公司</x:t>
        </x:is>
      </x:c>
      <x:c r="E2241" s="4" t="inlineStr">
        <x:is>
          <x:t xml:space="preserve">广东省</x:t>
        </x:is>
      </x:c>
      <x:c r="F2241" s="4" t="inlineStr">
        <x:is>
          <x:t xml:space="preserve">深圳市</x:t>
        </x:is>
      </x:c>
      <x:c r="G2241" s="5" t="inlineStr">
        <x:is>
          <x:t xml:space="preserve">广东省-深圳市</x:t>
        </x:is>
      </x:c>
      <x:c r="H2241" s="4" t="inlineStr">
        <x:is>
          <x:t xml:space="preserve">消费电子</x:t>
        </x:is>
      </x:c>
      <x:c r="I2241" s="4" t="inlineStr">
        <x:is>
          <x:t xml:space="preserve">2017-01-26</x:t>
        </x:is>
      </x:c>
      <x:c r="J2241" s="5" t="inlineStr">
        <x:is>
          <x:t xml:space="preserve">深圳市光明区玉塘街道田寮社区根玉路1215号飞荣达新材料产业园(一照多址企业)</x:t>
        </x:is>
      </x:c>
      <x:c r="K2241" s="12" t="str">
        <x:f>LEFT("914403002794071819",18)</x:f>
        <x:v>914403002794071800</x:v>
      </x:c>
    </x:row>
    <x:row r="2242">
      <x:c r="A2242" s="2" t="n">
        <x:v>2241</x:v>
      </x:c>
      <x:c r="B2242" s="2" t="inlineStr">
        <x:is>
          <x:t xml:space="preserve">300606</x:t>
        </x:is>
      </x:c>
      <x:c r="C2242" s="3" t="inlineStr">
        <x:is>
          <x:t xml:space="preserve">金太阳</x:t>
        </x:is>
      </x:c>
      <x:c r="D2242" s="3" t="inlineStr">
        <x:is>
          <x:t xml:space="preserve">东莞金太阳研磨股份有限公司</x:t>
        </x:is>
      </x:c>
      <x:c r="E2242" s="2" t="inlineStr">
        <x:is>
          <x:t xml:space="preserve">广东省</x:t>
        </x:is>
      </x:c>
      <x:c r="F2242" s="2" t="inlineStr">
        <x:is>
          <x:t xml:space="preserve">东莞市</x:t>
        </x:is>
      </x:c>
      <x:c r="G2242" s="3" t="inlineStr">
        <x:is>
          <x:t xml:space="preserve">广东省-东莞市</x:t>
        </x:is>
      </x:c>
      <x:c r="H2242" s="2" t="inlineStr">
        <x:is>
          <x:t xml:space="preserve">机械行业</x:t>
        </x:is>
      </x:c>
      <x:c r="I2242" s="2" t="inlineStr">
        <x:is>
          <x:t xml:space="preserve">2017-02-08</x:t>
        </x:is>
      </x:c>
      <x:c r="J2242" s="3" t="inlineStr">
        <x:is>
          <x:t xml:space="preserve">广东省东莞市大岭山镇大环路1号</x:t>
        </x:is>
      </x:c>
      <x:c r="K2242" s="12" t="str">
        <x:f>LEFT("91441900770950125W",18)</x:f>
        <x:v>91441900770950125W</x:v>
      </x:c>
    </x:row>
    <x:row r="2243">
      <x:c r="A2243" s="4" t="n">
        <x:v>2242</x:v>
      </x:c>
      <x:c r="B2243" s="4" t="inlineStr">
        <x:is>
          <x:t xml:space="preserve">300607</x:t>
        </x:is>
      </x:c>
      <x:c r="C2243" s="5" t="inlineStr">
        <x:is>
          <x:t xml:space="preserve">拓斯达</x:t>
        </x:is>
      </x:c>
      <x:c r="D2243" s="5" t="inlineStr">
        <x:is>
          <x:t xml:space="preserve">广东拓斯达科技股份有限公司</x:t>
        </x:is>
      </x:c>
      <x:c r="E2243" s="4" t="inlineStr">
        <x:is>
          <x:t xml:space="preserve">广东省</x:t>
        </x:is>
      </x:c>
      <x:c r="F2243" s="4" t="inlineStr">
        <x:is>
          <x:t xml:space="preserve">东莞市</x:t>
        </x:is>
      </x:c>
      <x:c r="G2243" s="5" t="inlineStr">
        <x:is>
          <x:t xml:space="preserve">广东省-东莞市</x:t>
        </x:is>
      </x:c>
      <x:c r="H2243" s="4" t="inlineStr">
        <x:is>
          <x:t xml:space="preserve">机械行业</x:t>
        </x:is>
      </x:c>
      <x:c r="I2243" s="4" t="inlineStr">
        <x:is>
          <x:t xml:space="preserve">2017-02-09</x:t>
        </x:is>
      </x:c>
      <x:c r="J2243" s="5" t="inlineStr">
        <x:is>
          <x:t xml:space="preserve">广东省东莞市大岭山镇连环路35号</x:t>
        </x:is>
      </x:c>
      <x:c r="K2243" s="12" t="str">
        <x:f>LEFT("91441900663304451G",18)</x:f>
        <x:v>91441900663304451G</x:v>
      </x:c>
    </x:row>
    <x:row r="2244">
      <x:c r="A2244" s="2" t="n">
        <x:v>2243</x:v>
      </x:c>
      <x:c r="B2244" s="2" t="inlineStr">
        <x:is>
          <x:t xml:space="preserve">300615</x:t>
        </x:is>
      </x:c>
      <x:c r="C2244" s="3" t="inlineStr">
        <x:is>
          <x:t xml:space="preserve">欣天科技</x:t>
        </x:is>
      </x:c>
      <x:c r="D2244" s="3" t="inlineStr">
        <x:is>
          <x:t xml:space="preserve">深圳市欣天科技股份有限公司</x:t>
        </x:is>
      </x:c>
      <x:c r="E2244" s="2" t="inlineStr">
        <x:is>
          <x:t xml:space="preserve">广东省</x:t>
        </x:is>
      </x:c>
      <x:c r="F2244" s="2" t="inlineStr">
        <x:is>
          <x:t xml:space="preserve">深圳市</x:t>
        </x:is>
      </x:c>
      <x:c r="G2244" s="3" t="inlineStr">
        <x:is>
          <x:t xml:space="preserve">广东省-深圳市</x:t>
        </x:is>
      </x:c>
      <x:c r="H2244" s="2" t="inlineStr">
        <x:is>
          <x:t xml:space="preserve">通讯行业</x:t>
        </x:is>
      </x:c>
      <x:c r="I2244" s="2" t="inlineStr">
        <x:is>
          <x:t xml:space="preserve">2017-02-15</x:t>
        </x:is>
      </x:c>
      <x:c r="J2244" s="3" t="inlineStr">
        <x:is>
          <x:t xml:space="preserve">深圳市南山区西丽街道西丽社区打石一路深圳国际创新谷七栋(万科云城三期C区九栋)B座2401房</x:t>
        </x:is>
      </x:c>
      <x:c r="K2244" s="12" t="str">
        <x:f>LEFT("91440300770347406Y",18)</x:f>
        <x:v>91440300770347406Y</x:v>
      </x:c>
    </x:row>
    <x:row r="2245">
      <x:c r="A2245" s="4" t="n">
        <x:v>2244</x:v>
      </x:c>
      <x:c r="B2245" s="4" t="inlineStr">
        <x:is>
          <x:t xml:space="preserve">300616</x:t>
        </x:is>
      </x:c>
      <x:c r="C2245" s="5" t="inlineStr">
        <x:is>
          <x:t xml:space="preserve">尚品宅配</x:t>
        </x:is>
      </x:c>
      <x:c r="D2245" s="5" t="inlineStr">
        <x:is>
          <x:t xml:space="preserve">广州尚品宅配家居股份有限公司</x:t>
        </x:is>
      </x:c>
      <x:c r="E2245" s="4" t="inlineStr">
        <x:is>
          <x:t xml:space="preserve">广东省</x:t>
        </x:is>
      </x:c>
      <x:c r="F2245" s="4" t="inlineStr">
        <x:is>
          <x:t xml:space="preserve">广州市</x:t>
        </x:is>
      </x:c>
      <x:c r="G2245" s="5" t="inlineStr">
        <x:is>
          <x:t xml:space="preserve">广东省-广州市</x:t>
        </x:is>
      </x:c>
      <x:c r="H2245" s="4" t="inlineStr">
        <x:is>
          <x:t xml:space="preserve">木业家具</x:t>
        </x:is>
      </x:c>
      <x:c r="I2245" s="4" t="inlineStr">
        <x:is>
          <x:t xml:space="preserve">2017-03-07</x:t>
        </x:is>
      </x:c>
      <x:c r="J2245" s="5" t="inlineStr">
        <x:is>
          <x:t xml:space="preserve">广州市天河区花城大道85号3501房之自编01-05单元</x:t>
        </x:is>
      </x:c>
      <x:c r="K2245" s="12" t="str">
        <x:f>LEFT("914401017619012843",18)</x:f>
        <x:v>914401017619012900</x:v>
      </x:c>
    </x:row>
    <x:row r="2246">
      <x:c r="A2246" s="2" t="n">
        <x:v>2245</x:v>
      </x:c>
      <x:c r="B2246" s="2" t="inlineStr">
        <x:is>
          <x:t xml:space="preserve">300619</x:t>
        </x:is>
      </x:c>
      <x:c r="C2246" s="3" t="inlineStr">
        <x:is>
          <x:t xml:space="preserve">金银河</x:t>
        </x:is>
      </x:c>
      <x:c r="D2246" s="3" t="inlineStr">
        <x:is>
          <x:t xml:space="preserve">佛山市金银河智能装备股份有限公司</x:t>
        </x:is>
      </x:c>
      <x:c r="E2246" s="2" t="inlineStr">
        <x:is>
          <x:t xml:space="preserve">广东省</x:t>
        </x:is>
      </x:c>
      <x:c r="F2246" s="2" t="inlineStr">
        <x:is>
          <x:t xml:space="preserve">佛山市</x:t>
        </x:is>
      </x:c>
      <x:c r="G2246" s="3" t="inlineStr">
        <x:is>
          <x:t xml:space="preserve">广东省-佛山市</x:t>
        </x:is>
      </x:c>
      <x:c r="H2246" s="2" t="inlineStr">
        <x:is>
          <x:t xml:space="preserve">电池</x:t>
        </x:is>
      </x:c>
      <x:c r="I2246" s="2" t="inlineStr">
        <x:is>
          <x:t xml:space="preserve">2017-03-01</x:t>
        </x:is>
      </x:c>
      <x:c r="J2246" s="3" t="inlineStr">
        <x:is>
          <x:t xml:space="preserve">佛山市三水区西南街道宝云路6号一、二、四、五、六、七座</x:t>
        </x:is>
      </x:c>
      <x:c r="K2246" s="12" t="str">
        <x:f>LEFT("91440600735037453H",18)</x:f>
        <x:v>91440600735037453H</x:v>
      </x:c>
    </x:row>
    <x:row r="2247">
      <x:c r="A2247" s="4" t="n">
        <x:v>2246</x:v>
      </x:c>
      <x:c r="B2247" s="4" t="inlineStr">
        <x:is>
          <x:t xml:space="preserve">300620</x:t>
        </x:is>
      </x:c>
      <x:c r="C2247" s="5" t="inlineStr">
        <x:is>
          <x:t xml:space="preserve">光库科技</x:t>
        </x:is>
      </x:c>
      <x:c r="D2247" s="5" t="inlineStr">
        <x:is>
          <x:t xml:space="preserve">珠海光库科技股份有限公司</x:t>
        </x:is>
      </x:c>
      <x:c r="E2247" s="4" t="inlineStr">
        <x:is>
          <x:t xml:space="preserve">广东省</x:t>
        </x:is>
      </x:c>
      <x:c r="F2247" s="4" t="inlineStr">
        <x:is>
          <x:t xml:space="preserve">珠海市</x:t>
        </x:is>
      </x:c>
      <x:c r="G2247" s="5" t="inlineStr">
        <x:is>
          <x:t xml:space="preserve">广东省-珠海市</x:t>
        </x:is>
      </x:c>
      <x:c r="H2247" s="4" t="inlineStr">
        <x:is>
          <x:t xml:space="preserve">通讯行业</x:t>
        </x:is>
      </x:c>
      <x:c r="I2247" s="4" t="inlineStr">
        <x:is>
          <x:t xml:space="preserve">2017-03-10</x:t>
        </x:is>
      </x:c>
      <x:c r="J2247" s="5" t="inlineStr">
        <x:is>
          <x:t xml:space="preserve">广东省珠海市高新区唐家湾镇创新三路399号</x:t>
        </x:is>
      </x:c>
      <x:c r="K2247" s="12" t="str">
        <x:f>LEFT("91440400725466481C",18)</x:f>
        <x:v>91440400725466481C</x:v>
      </x:c>
    </x:row>
    <x:row r="2248">
      <x:c r="A2248" s="2" t="n">
        <x:v>2247</x:v>
      </x:c>
      <x:c r="B2248" s="2" t="inlineStr">
        <x:is>
          <x:t xml:space="preserve">300621</x:t>
        </x:is>
      </x:c>
      <x:c r="C2248" s="3" t="inlineStr">
        <x:is>
          <x:t xml:space="preserve">维业股份</x:t>
        </x:is>
      </x:c>
      <x:c r="D2248" s="3" t="inlineStr">
        <x:is>
          <x:t xml:space="preserve">维业建设集团股份有限公司</x:t>
        </x:is>
      </x:c>
      <x:c r="E2248" s="2" t="inlineStr">
        <x:is>
          <x:t xml:space="preserve">广东省</x:t>
        </x:is>
      </x:c>
      <x:c r="F2248" s="2" t="inlineStr">
        <x:is>
          <x:t xml:space="preserve">深圳市</x:t>
        </x:is>
      </x:c>
      <x:c r="G2248" s="3" t="inlineStr">
        <x:is>
          <x:t xml:space="preserve">广东省-深圳市</x:t>
        </x:is>
      </x:c>
      <x:c r="H2248" s="2" t="inlineStr">
        <x:is>
          <x:t xml:space="preserve">装修装饰</x:t>
        </x:is>
      </x:c>
      <x:c r="I2248" s="2" t="inlineStr">
        <x:is>
          <x:t xml:space="preserve">2017-03-16</x:t>
        </x:is>
      </x:c>
      <x:c r="J2248" s="3" t="inlineStr">
        <x:is>
          <x:t xml:space="preserve">深圳市福田区新洲路以西、莲花路以南振业景洲大厦裙楼101</x:t>
        </x:is>
      </x:c>
      <x:c r="K2248" s="12" t="str">
        <x:f>LEFT("91440300192287527J",18)</x:f>
        <x:v>91440300192287527J</x:v>
      </x:c>
    </x:row>
    <x:row r="2249">
      <x:c r="A2249" s="4" t="n">
        <x:v>2248</x:v>
      </x:c>
      <x:c r="B2249" s="4" t="inlineStr">
        <x:is>
          <x:t xml:space="preserve">300622</x:t>
        </x:is>
      </x:c>
      <x:c r="C2249" s="5" t="inlineStr">
        <x:is>
          <x:t xml:space="preserve">博士眼镜</x:t>
        </x:is>
      </x:c>
      <x:c r="D2249" s="5" t="inlineStr">
        <x:is>
          <x:t xml:space="preserve">博士眼镜连锁股份有限公司</x:t>
        </x:is>
      </x:c>
      <x:c r="E2249" s="4" t="inlineStr">
        <x:is>
          <x:t xml:space="preserve">广东省</x:t>
        </x:is>
      </x:c>
      <x:c r="F2249" s="4" t="inlineStr">
        <x:is>
          <x:t xml:space="preserve">深圳市</x:t>
        </x:is>
      </x:c>
      <x:c r="G2249" s="5" t="inlineStr">
        <x:is>
          <x:t xml:space="preserve">广东省-深圳市</x:t>
        </x:is>
      </x:c>
      <x:c r="H2249" s="4" t="inlineStr">
        <x:is>
          <x:t xml:space="preserve">商业百货</x:t>
        </x:is>
      </x:c>
      <x:c r="I2249" s="4" t="inlineStr">
        <x:is>
          <x:t xml:space="preserve">2017-03-15</x:t>
        </x:is>
      </x:c>
      <x:c r="J2249" s="5" t="inlineStr">
        <x:is>
          <x:t xml:space="preserve">深圳市罗湖区桂园街道深南东路5016号京基一百大厦A座2201-02单元</x:t>
        </x:is>
      </x:c>
      <x:c r="K2249" s="12" t="str">
        <x:f>LEFT("914403002793301026",18)</x:f>
        <x:v>914403002793301000</x:v>
      </x:c>
    </x:row>
    <x:row r="2250">
      <x:c r="A2250" s="2" t="n">
        <x:v>2249</x:v>
      </x:c>
      <x:c r="B2250" s="2" t="inlineStr">
        <x:is>
          <x:t xml:space="preserve">300625</x:t>
        </x:is>
      </x:c>
      <x:c r="C2250" s="3" t="inlineStr">
        <x:is>
          <x:t xml:space="preserve">三雄极光</x:t>
        </x:is>
      </x:c>
      <x:c r="D2250" s="3" t="inlineStr">
        <x:is>
          <x:t xml:space="preserve">广东三雄极光照明股份有限公司</x:t>
        </x:is>
      </x:c>
      <x:c r="E2250" s="2" t="inlineStr">
        <x:is>
          <x:t xml:space="preserve">广东省</x:t>
        </x:is>
      </x:c>
      <x:c r="F2250" s="2" t="inlineStr">
        <x:is>
          <x:t xml:space="preserve">广州市</x:t>
        </x:is>
      </x:c>
      <x:c r="G2250" s="3" t="inlineStr">
        <x:is>
          <x:t xml:space="preserve">广东省-广州市</x:t>
        </x:is>
      </x:c>
      <x:c r="H2250" s="2" t="inlineStr">
        <x:is>
          <x:t xml:space="preserve">家电行业</x:t>
        </x:is>
      </x:c>
      <x:c r="I2250" s="2" t="inlineStr">
        <x:is>
          <x:t xml:space="preserve">2017-03-17</x:t>
        </x:is>
      </x:c>
      <x:c r="J2250" s="3" t="inlineStr">
        <x:is>
          <x:t xml:space="preserve">广州市番禺区石洲中路240号1202单元</x:t>
        </x:is>
      </x:c>
      <x:c r="K2250" s="12" t="str">
        <x:f>LEFT("914401015544474882",18)</x:f>
        <x:v>914401015544474900</x:v>
      </x:c>
    </x:row>
    <x:row r="2251">
      <x:c r="A2251" s="4" t="n">
        <x:v>2250</x:v>
      </x:c>
      <x:c r="B2251" s="4" t="inlineStr">
        <x:is>
          <x:t xml:space="preserve">300629</x:t>
        </x:is>
      </x:c>
      <x:c r="C2251" s="5" t="inlineStr">
        <x:is>
          <x:t xml:space="preserve">新劲刚</x:t>
        </x:is>
      </x:c>
      <x:c r="D2251" s="5" t="inlineStr">
        <x:is>
          <x:t xml:space="preserve">广东新劲刚科技股份有限公司</x:t>
        </x:is>
      </x:c>
      <x:c r="E2251" s="4" t="inlineStr">
        <x:is>
          <x:t xml:space="preserve">广东省</x:t>
        </x:is>
      </x:c>
      <x:c r="F2251" s="4" t="inlineStr">
        <x:is>
          <x:t xml:space="preserve">佛山市</x:t>
        </x:is>
      </x:c>
      <x:c r="G2251" s="5" t="inlineStr">
        <x:is>
          <x:t xml:space="preserve">广东省-佛山市</x:t>
        </x:is>
      </x:c>
      <x:c r="H2251" s="4" t="inlineStr">
        <x:is>
          <x:t xml:space="preserve">通信设备</x:t>
        </x:is>
      </x:c>
      <x:c r="I2251" s="4" t="inlineStr">
        <x:is>
          <x:t xml:space="preserve">2017-03-24</x:t>
        </x:is>
      </x:c>
      <x:c r="J2251" s="5" t="inlineStr">
        <x:is>
          <x:t xml:space="preserve">佛山市南海区丹灶镇五金工业区博金路6号(办公楼)之一及(车间一)之一</x:t>
        </x:is>
      </x:c>
      <x:c r="K2251" s="12" t="str">
        <x:f>LEFT("91440600708116228T",18)</x:f>
        <x:v>91440600708116228T</x:v>
      </x:c>
    </x:row>
    <x:row r="2252">
      <x:c r="A2252" s="2" t="n">
        <x:v>2251</x:v>
      </x:c>
      <x:c r="B2252" s="2" t="inlineStr">
        <x:is>
          <x:t xml:space="preserve">300633</x:t>
        </x:is>
      </x:c>
      <x:c r="C2252" s="3" t="inlineStr">
        <x:is>
          <x:t xml:space="preserve">开立医疗</x:t>
        </x:is>
      </x:c>
      <x:c r="D2252" s="3" t="inlineStr">
        <x:is>
          <x:t xml:space="preserve">深圳开立生物医疗科技股份有限公司</x:t>
        </x:is>
      </x:c>
      <x:c r="E2252" s="2" t="inlineStr">
        <x:is>
          <x:t xml:space="preserve">广东省</x:t>
        </x:is>
      </x:c>
      <x:c r="F2252" s="2" t="inlineStr">
        <x:is>
          <x:t xml:space="preserve">深圳市</x:t>
        </x:is>
      </x:c>
      <x:c r="G2252" s="3" t="inlineStr">
        <x:is>
          <x:t xml:space="preserve">广东省-深圳市</x:t>
        </x:is>
      </x:c>
      <x:c r="H2252" s="2" t="inlineStr">
        <x:is>
          <x:t xml:space="preserve">医疗器械</x:t>
        </x:is>
      </x:c>
      <x:c r="I2252" s="2" t="inlineStr">
        <x:is>
          <x:t xml:space="preserve">2017-04-06</x:t>
        </x:is>
      </x:c>
      <x:c r="J2252" s="3" t="inlineStr">
        <x:is>
          <x:t xml:space="preserve">深圳市南山区粤海街道麻岭社区高新中区科技中2路1号深圳软件园(2期)12栋201、202</x:t>
        </x:is>
      </x:c>
      <x:c r="K2252" s="12" t="str">
        <x:f>LEFT("91440300743219767A",18)</x:f>
        <x:v>91440300743219767A</x:v>
      </x:c>
    </x:row>
    <x:row r="2253">
      <x:c r="A2253" s="4" t="n">
        <x:v>2252</x:v>
      </x:c>
      <x:c r="B2253" s="4" t="inlineStr">
        <x:is>
          <x:t xml:space="preserve">300634</x:t>
        </x:is>
      </x:c>
      <x:c r="C2253" s="5" t="inlineStr">
        <x:is>
          <x:t xml:space="preserve">彩讯股份</x:t>
        </x:is>
      </x:c>
      <x:c r="D2253" s="5" t="inlineStr">
        <x:is>
          <x:t xml:space="preserve">彩讯科技股份有限公司</x:t>
        </x:is>
      </x:c>
      <x:c r="E2253" s="4" t="inlineStr">
        <x:is>
          <x:t xml:space="preserve">广东省</x:t>
        </x:is>
      </x:c>
      <x:c r="F2253" s="4" t="inlineStr">
        <x:is>
          <x:t xml:space="preserve">深圳市</x:t>
        </x:is>
      </x:c>
      <x:c r="G2253" s="5" t="inlineStr">
        <x:is>
          <x:t xml:space="preserve">广东省-深圳市</x:t>
        </x:is>
      </x:c>
      <x:c r="H2253" s="4" t="inlineStr">
        <x:is>
          <x:t xml:space="preserve">互联网服务</x:t>
        </x:is>
      </x:c>
      <x:c r="I2253" s="4" t="inlineStr">
        <x:is>
          <x:t xml:space="preserve">2018-03-23</x:t>
        </x:is>
      </x:c>
      <x:c r="J2253" s="5" t="inlineStr">
        <x:is>
          <x:t xml:space="preserve">深圳市南山区粤海街道高新区社区科苑南路3176号彩讯科技大厦三十一层</x:t>
        </x:is>
      </x:c>
      <x:c r="K2253" s="12" t="str">
        <x:f>LEFT("914403007576325798",18)</x:f>
        <x:v>914403007576325800</x:v>
      </x:c>
    </x:row>
    <x:row r="2254">
      <x:c r="A2254" s="2" t="n">
        <x:v>2253</x:v>
      </x:c>
      <x:c r="B2254" s="2" t="inlineStr">
        <x:is>
          <x:t xml:space="preserve">300635</x:t>
        </x:is>
      </x:c>
      <x:c r="C2254" s="3" t="inlineStr">
        <x:is>
          <x:t xml:space="preserve">中达安</x:t>
        </x:is>
      </x:c>
      <x:c r="D2254" s="3" t="inlineStr">
        <x:is>
          <x:t xml:space="preserve">中达安股份有限公司</x:t>
        </x:is>
      </x:c>
      <x:c r="E2254" s="2" t="inlineStr">
        <x:is>
          <x:t xml:space="preserve">广东省</x:t>
        </x:is>
      </x:c>
      <x:c r="F2254" s="2" t="inlineStr">
        <x:is>
          <x:t xml:space="preserve">广州市</x:t>
        </x:is>
      </x:c>
      <x:c r="G2254" s="3" t="inlineStr">
        <x:is>
          <x:t xml:space="preserve">广东省-广州市</x:t>
        </x:is>
      </x:c>
      <x:c r="H2254" s="2" t="inlineStr">
        <x:is>
          <x:t xml:space="preserve">工程咨询服务</x:t>
        </x:is>
      </x:c>
      <x:c r="I2254" s="2" t="inlineStr">
        <x:is>
          <x:t xml:space="preserve">2017-03-31</x:t>
        </x:is>
      </x:c>
      <x:c r="J2254" s="3" t="inlineStr">
        <x:is>
          <x:t xml:space="preserve">广州市白云区沙太南路668号之二901-903房</x:t>
        </x:is>
      </x:c>
      <x:c r="K2254" s="12" t="str">
        <x:f>LEFT("914400007080735472",18)</x:f>
        <x:v>914400007080735500</x:v>
      </x:c>
    </x:row>
    <x:row r="2255">
      <x:c r="A2255" s="4" t="n">
        <x:v>2254</x:v>
      </x:c>
      <x:c r="B2255" s="4" t="inlineStr">
        <x:is>
          <x:t xml:space="preserve">300638</x:t>
        </x:is>
      </x:c>
      <x:c r="C2255" s="5" t="inlineStr">
        <x:is>
          <x:t xml:space="preserve">广和通</x:t>
        </x:is>
      </x:c>
      <x:c r="D2255" s="5" t="inlineStr">
        <x:is>
          <x:t xml:space="preserve">深圳市广和通无线股份有限公司</x:t>
        </x:is>
      </x:c>
      <x:c r="E2255" s="4" t="inlineStr">
        <x:is>
          <x:t xml:space="preserve">广东省</x:t>
        </x:is>
      </x:c>
      <x:c r="F2255" s="4" t="inlineStr">
        <x:is>
          <x:t xml:space="preserve">深圳市</x:t>
        </x:is>
      </x:c>
      <x:c r="G2255" s="5" t="inlineStr">
        <x:is>
          <x:t xml:space="preserve">广东省-深圳市</x:t>
        </x:is>
      </x:c>
      <x:c r="H2255" s="4" t="inlineStr">
        <x:is>
          <x:t xml:space="preserve">通讯行业</x:t>
        </x:is>
      </x:c>
      <x:c r="I2255" s="4" t="inlineStr">
        <x:is>
          <x:t xml:space="preserve">2017-04-13</x:t>
        </x:is>
      </x:c>
      <x:c r="J2255" s="5" t="inlineStr">
        <x:is>
          <x:t xml:space="preserve">深圳市南山区西丽街道西丽社区打石一路深圳国际创新谷六栋A座1101</x:t>
        </x:is>
      </x:c>
      <x:c r="K2255" s="12" t="str">
        <x:f>LEFT("9144030071524640XY",18)</x:f>
        <x:v>9144030071524640XY</x:v>
      </x:c>
    </x:row>
    <x:row r="2256">
      <x:c r="A2256" s="2" t="n">
        <x:v>2255</x:v>
      </x:c>
      <x:c r="B2256" s="2" t="inlineStr">
        <x:is>
          <x:t xml:space="preserve">300639</x:t>
        </x:is>
      </x:c>
      <x:c r="C2256" s="3" t="inlineStr">
        <x:is>
          <x:t xml:space="preserve">凯普生物</x:t>
        </x:is>
      </x:c>
      <x:c r="D2256" s="3" t="inlineStr">
        <x:is>
          <x:t xml:space="preserve">广东凯普生物科技股份有限公司</x:t>
        </x:is>
      </x:c>
      <x:c r="E2256" s="2" t="inlineStr">
        <x:is>
          <x:t xml:space="preserve">广东省</x:t>
        </x:is>
      </x:c>
      <x:c r="F2256" s="2" t="inlineStr">
        <x:is>
          <x:t xml:space="preserve">潮州市</x:t>
        </x:is>
      </x:c>
      <x:c r="G2256" s="3" t="inlineStr">
        <x:is>
          <x:t xml:space="preserve">广东省-潮州市</x:t>
        </x:is>
      </x:c>
      <x:c r="H2256" s="2" t="inlineStr">
        <x:is>
          <x:t xml:space="preserve">医疗器械</x:t>
        </x:is>
      </x:c>
      <x:c r="I2256" s="2" t="inlineStr">
        <x:is>
          <x:t xml:space="preserve">2017-04-12</x:t>
        </x:is>
      </x:c>
      <x:c r="J2256" s="3" t="inlineStr">
        <x:is>
          <x:t xml:space="preserve">广东省潮州市经济开发区试验区北片高新区D5-3-3-4小区</x:t>
        </x:is>
      </x:c>
      <x:c r="K2256" s="12" t="str">
        <x:f>LEFT("91445100751054069P",18)</x:f>
        <x:v>91445100751054069P</x:v>
      </x:c>
    </x:row>
    <x:row r="2257">
      <x:c r="A2257" s="4" t="n">
        <x:v>2256</x:v>
      </x:c>
      <x:c r="B2257" s="4" t="inlineStr">
        <x:is>
          <x:t xml:space="preserve">300647</x:t>
        </x:is>
      </x:c>
      <x:c r="C2257" s="5" t="inlineStr">
        <x:is>
          <x:t xml:space="preserve">超频三</x:t>
        </x:is>
      </x:c>
      <x:c r="D2257" s="5" t="inlineStr">
        <x:is>
          <x:t xml:space="preserve">深圳市超频三科技股份有限公司</x:t>
        </x:is>
      </x:c>
      <x:c r="E2257" s="4" t="inlineStr">
        <x:is>
          <x:t xml:space="preserve">广东省</x:t>
        </x:is>
      </x:c>
      <x:c r="F2257" s="4" t="inlineStr">
        <x:is>
          <x:t xml:space="preserve">深圳市</x:t>
        </x:is>
      </x:c>
      <x:c r="G2257" s="5" t="inlineStr">
        <x:is>
          <x:t xml:space="preserve">广东省-深圳市</x:t>
        </x:is>
      </x:c>
      <x:c r="H2257" s="4" t="inlineStr">
        <x:is>
          <x:t xml:space="preserve">消费电子</x:t>
        </x:is>
      </x:c>
      <x:c r="I2257" s="4" t="inlineStr">
        <x:is>
          <x:t xml:space="preserve">2017-05-03</x:t>
        </x:is>
      </x:c>
      <x:c r="J2257" s="5" t="inlineStr">
        <x:is>
          <x:t xml:space="preserve">深圳市龙岗区龙城街道黄阁坑社区黄阁北路475号天安数码城创业园1号厂房A701</x:t>
        </x:is>
      </x:c>
      <x:c r="K2257" s="12" t="str">
        <x:f>LEFT("91440300774117464B",18)</x:f>
        <x:v>91440300774117464B</x:v>
      </x:c>
    </x:row>
    <x:row r="2258">
      <x:c r="A2258" s="2" t="n">
        <x:v>2257</x:v>
      </x:c>
      <x:c r="B2258" s="2" t="inlineStr">
        <x:is>
          <x:t xml:space="preserve">300656</x:t>
        </x:is>
      </x:c>
      <x:c r="C2258" s="3" t="inlineStr">
        <x:is>
          <x:t xml:space="preserve">民德电子</x:t>
        </x:is>
      </x:c>
      <x:c r="D2258" s="3" t="inlineStr">
        <x:is>
          <x:t xml:space="preserve">深圳市民德电子科技股份有限公司</x:t>
        </x:is>
      </x:c>
      <x:c r="E2258" s="2" t="inlineStr">
        <x:is>
          <x:t xml:space="preserve">广东省</x:t>
        </x:is>
      </x:c>
      <x:c r="F2258" s="2" t="inlineStr">
        <x:is>
          <x:t xml:space="preserve">深圳市</x:t>
        </x:is>
      </x:c>
      <x:c r="G2258" s="3" t="inlineStr">
        <x:is>
          <x:t xml:space="preserve">广东省-深圳市</x:t>
        </x:is>
      </x:c>
      <x:c r="H2258" s="2" t="inlineStr">
        <x:is>
          <x:t xml:space="preserve">电子元件</x:t>
        </x:is>
      </x:c>
      <x:c r="I2258" s="2" t="inlineStr">
        <x:is>
          <x:t xml:space="preserve">2017-05-19</x:t>
        </x:is>
      </x:c>
      <x:c r="J2258" s="3" t="inlineStr">
        <x:is>
          <x:t xml:space="preserve">深圳市南山区高新区中区科技园工业厂房25栋1段5层(1)号</x:t>
        </x:is>
      </x:c>
      <x:c r="K2258" s="12" t="str">
        <x:f>LEFT("91440300758620182W",18)</x:f>
        <x:v>91440300758620182W</x:v>
      </x:c>
    </x:row>
    <x:row r="2259">
      <x:c r="A2259" s="4" t="n">
        <x:v>2258</x:v>
      </x:c>
      <x:c r="B2259" s="4" t="inlineStr">
        <x:is>
          <x:t xml:space="preserve">300668</x:t>
        </x:is>
      </x:c>
      <x:c r="C2259" s="5" t="inlineStr">
        <x:is>
          <x:t xml:space="preserve">杰恩设计</x:t>
        </x:is>
      </x:c>
      <x:c r="D2259" s="5" t="inlineStr">
        <x:is>
          <x:t xml:space="preserve">深圳市杰恩创意设计股份有限公司</x:t>
        </x:is>
      </x:c>
      <x:c r="E2259" s="4" t="inlineStr">
        <x:is>
          <x:t xml:space="preserve">广东省</x:t>
        </x:is>
      </x:c>
      <x:c r="F2259" s="4" t="inlineStr">
        <x:is>
          <x:t xml:space="preserve">深圳市</x:t>
        </x:is>
      </x:c>
      <x:c r="G2259" s="5" t="inlineStr">
        <x:is>
          <x:t xml:space="preserve">广东省-深圳市</x:t>
        </x:is>
      </x:c>
      <x:c r="H2259" s="4" t="inlineStr">
        <x:is>
          <x:t xml:space="preserve">工程咨询服务</x:t>
        </x:is>
      </x:c>
      <x:c r="I2259" s="4" t="inlineStr">
        <x:is>
          <x:t xml:space="preserve">2017-06-19</x:t>
        </x:is>
      </x:c>
      <x:c r="J2259" s="5" t="inlineStr">
        <x:is>
          <x:t xml:space="preserve">深圳市南山区粤海街道高新区社区白石路3609号深圳湾科技生态园二区9栋532B室</x:t>
        </x:is>
      </x:c>
      <x:c r="K2259" s="12" t="str">
        <x:f>LEFT("9144030076755763XT",18)</x:f>
        <x:v>9144030076755763XT</x:v>
      </x:c>
    </x:row>
    <x:row r="2260">
      <x:c r="A2260" s="2" t="n">
        <x:v>2259</x:v>
      </x:c>
      <x:c r="B2260" s="2" t="inlineStr">
        <x:is>
          <x:t xml:space="preserve">300671</x:t>
        </x:is>
      </x:c>
      <x:c r="C2260" s="3" t="inlineStr">
        <x:is>
          <x:t xml:space="preserve">富满微</x:t>
        </x:is>
      </x:c>
      <x:c r="D2260" s="3" t="inlineStr">
        <x:is>
          <x:t xml:space="preserve">富满微电子集团股份有限公司</x:t>
        </x:is>
      </x:c>
      <x:c r="E2260" s="2" t="inlineStr">
        <x:is>
          <x:t xml:space="preserve">广东省</x:t>
        </x:is>
      </x:c>
      <x:c r="F2260" s="2" t="inlineStr">
        <x:is>
          <x:t xml:space="preserve">深圳市</x:t>
        </x:is>
      </x:c>
      <x:c r="G2260" s="3" t="inlineStr">
        <x:is>
          <x:t xml:space="preserve">广东省-深圳市</x:t>
        </x:is>
      </x:c>
      <x:c r="H2260" s="2" t="inlineStr">
        <x:is>
          <x:t xml:space="preserve">半导体</x:t>
        </x:is>
      </x:c>
      <x:c r="I2260" s="2" t="inlineStr">
        <x:is>
          <x:t xml:space="preserve">2017-07-05</x:t>
        </x:is>
      </x:c>
      <x:c r="J2260" s="3" t="inlineStr">
        <x:is>
          <x:t xml:space="preserve">深圳市坪山区坑梓街道金沙社区人民东路与寿禾路交汇处富满微电子集团股份有限公司1栋101</x:t>
        </x:is>
      </x:c>
      <x:c r="K2260" s="12" t="str">
        <x:f>LEFT("9144030073305556XX",18)</x:f>
        <x:v>9144030073305556XX</x:v>
      </x:c>
    </x:row>
    <x:row r="2261">
      <x:c r="A2261" s="4" t="n">
        <x:v>2260</x:v>
      </x:c>
      <x:c r="B2261" s="4" t="inlineStr">
        <x:is>
          <x:t xml:space="preserve">300675</x:t>
        </x:is>
      </x:c>
      <x:c r="C2261" s="5" t="inlineStr">
        <x:is>
          <x:t xml:space="preserve">建科院</x:t>
        </x:is>
      </x:c>
      <x:c r="D2261" s="5" t="inlineStr">
        <x:is>
          <x:t xml:space="preserve">深圳市建筑科学研究院股份有限公司</x:t>
        </x:is>
      </x:c>
      <x:c r="E2261" s="4" t="inlineStr">
        <x:is>
          <x:t xml:space="preserve">广东省</x:t>
        </x:is>
      </x:c>
      <x:c r="F2261" s="4" t="inlineStr">
        <x:is>
          <x:t xml:space="preserve">深圳市</x:t>
        </x:is>
      </x:c>
      <x:c r="G2261" s="5" t="inlineStr">
        <x:is>
          <x:t xml:space="preserve">广东省-深圳市</x:t>
        </x:is>
      </x:c>
      <x:c r="H2261" s="4" t="inlineStr">
        <x:is>
          <x:t xml:space="preserve">工程咨询服务</x:t>
        </x:is>
      </x:c>
      <x:c r="I2261" s="4" t="inlineStr">
        <x:is>
          <x:t xml:space="preserve">2017-07-19</x:t>
        </x:is>
      </x:c>
      <x:c r="J2261" s="5" t="inlineStr">
        <x:is>
          <x:t xml:space="preserve">深圳市福田区上梅林梅坳三路29号建科大楼</x:t>
        </x:is>
      </x:c>
      <x:c r="K2261" s="12" t="str">
        <x:f>LEFT("91440300665899831W",18)</x:f>
        <x:v>91440300665899831W</x:v>
      </x:c>
    </x:row>
    <x:row r="2262">
      <x:c r="A2262" s="2" t="n">
        <x:v>2261</x:v>
      </x:c>
      <x:c r="B2262" s="2" t="inlineStr">
        <x:is>
          <x:t xml:space="preserve">300676</x:t>
        </x:is>
      </x:c>
      <x:c r="C2262" s="3" t="inlineStr">
        <x:is>
          <x:t xml:space="preserve">华大基因</x:t>
        </x:is>
      </x:c>
      <x:c r="D2262" s="3" t="inlineStr">
        <x:is>
          <x:t xml:space="preserve">深圳华大基因股份有限公司</x:t>
        </x:is>
      </x:c>
      <x:c r="E2262" s="2" t="inlineStr">
        <x:is>
          <x:t xml:space="preserve">广东省</x:t>
        </x:is>
      </x:c>
      <x:c r="F2262" s="2" t="inlineStr">
        <x:is>
          <x:t xml:space="preserve">深圳市</x:t>
        </x:is>
      </x:c>
      <x:c r="G2262" s="3" t="inlineStr">
        <x:is>
          <x:t xml:space="preserve">广东省-深圳市</x:t>
        </x:is>
      </x:c>
      <x:c r="H2262" s="2" t="inlineStr">
        <x:is>
          <x:t xml:space="preserve">医疗器械</x:t>
        </x:is>
      </x:c>
      <x:c r="I2262" s="2" t="inlineStr">
        <x:is>
          <x:t xml:space="preserve">2017-07-14</x:t>
        </x:is>
      </x:c>
      <x:c r="J2262" s="3" t="inlineStr">
        <x:is>
          <x:t xml:space="preserve">深圳市盐田区梅沙街道滨海社区云华路9号华大时空中心B栋8南1-1</x:t>
        </x:is>
      </x:c>
      <x:c r="K2262" s="12" t="str">
        <x:f>LEFT("914403005586967563",18)</x:f>
        <x:v>914403005586967600</x:v>
      </x:c>
    </x:row>
    <x:row r="2263">
      <x:c r="A2263" s="4" t="n">
        <x:v>2262</x:v>
      </x:c>
      <x:c r="B2263" s="4" t="inlineStr">
        <x:is>
          <x:t xml:space="preserve">300679</x:t>
        </x:is>
      </x:c>
      <x:c r="C2263" s="5" t="inlineStr">
        <x:is>
          <x:t xml:space="preserve">电连技术</x:t>
        </x:is>
      </x:c>
      <x:c r="D2263" s="5" t="inlineStr">
        <x:is>
          <x:t xml:space="preserve">电连技术股份有限公司</x:t>
        </x:is>
      </x:c>
      <x:c r="E2263" s="4" t="inlineStr">
        <x:is>
          <x:t xml:space="preserve">广东省</x:t>
        </x:is>
      </x:c>
      <x:c r="F2263" s="4" t="inlineStr">
        <x:is>
          <x:t xml:space="preserve">深圳市</x:t>
        </x:is>
      </x:c>
      <x:c r="G2263" s="5" t="inlineStr">
        <x:is>
          <x:t xml:space="preserve">广东省-深圳市</x:t>
        </x:is>
      </x:c>
      <x:c r="H2263" s="4" t="inlineStr">
        <x:is>
          <x:t xml:space="preserve">消费电子</x:t>
        </x:is>
      </x:c>
      <x:c r="I2263" s="4" t="inlineStr">
        <x:is>
          <x:t xml:space="preserve">2017-07-31</x:t>
        </x:is>
      </x:c>
      <x:c r="J2263" s="5" t="inlineStr">
        <x:is>
          <x:t xml:space="preserve">深圳市光明区玉塘街道长圳社区长凤路电连技术产业园八层(第一层至第八层)</x:t>
        </x:is>
      </x:c>
      <x:c r="K2263" s="12" t="str">
        <x:f>LEFT("91440300795435728P",18)</x:f>
        <x:v>91440300795435728P</x:v>
      </x:c>
    </x:row>
    <x:row r="2264">
      <x:c r="A2264" s="2" t="n">
        <x:v>2263</x:v>
      </x:c>
      <x:c r="B2264" s="2" t="inlineStr">
        <x:is>
          <x:t xml:space="preserve">300681</x:t>
        </x:is>
      </x:c>
      <x:c r="C2264" s="3" t="inlineStr">
        <x:is>
          <x:t xml:space="preserve">英搏尔</x:t>
        </x:is>
      </x:c>
      <x:c r="D2264" s="3" t="inlineStr">
        <x:is>
          <x:t xml:space="preserve">珠海英搏尔电气股份有限公司</x:t>
        </x:is>
      </x:c>
      <x:c r="E2264" s="2" t="inlineStr">
        <x:is>
          <x:t xml:space="preserve">广东省</x:t>
        </x:is>
      </x:c>
      <x:c r="F2264" s="2" t="inlineStr">
        <x:is>
          <x:t xml:space="preserve">珠海市</x:t>
        </x:is>
      </x:c>
      <x:c r="G2264" s="3" t="inlineStr">
        <x:is>
          <x:t xml:space="preserve">广东省-珠海市</x:t>
        </x:is>
      </x:c>
      <x:c r="H2264" s="2" t="inlineStr">
        <x:is>
          <x:t xml:space="preserve">汽车零部件</x:t>
        </x:is>
      </x:c>
      <x:c r="I2264" s="2" t="inlineStr">
        <x:is>
          <x:t xml:space="preserve">2017-07-25</x:t>
        </x:is>
      </x:c>
      <x:c r="J2264" s="3" t="inlineStr">
        <x:is>
          <x:t xml:space="preserve">珠海市高新区香山路3266号</x:t>
        </x:is>
      </x:c>
      <x:c r="K2264" s="12" t="str">
        <x:f>LEFT("9144040077096114X2",18)</x:f>
        <x:v>9144040077096114X2</x:v>
      </x:c>
    </x:row>
    <x:row r="2265">
      <x:c r="A2265" s="4" t="n">
        <x:v>2264</x:v>
      </x:c>
      <x:c r="B2265" s="4" t="inlineStr">
        <x:is>
          <x:t xml:space="preserve">300686</x:t>
        </x:is>
      </x:c>
      <x:c r="C2265" s="5" t="inlineStr">
        <x:is>
          <x:t xml:space="preserve">智动力</x:t>
        </x:is>
      </x:c>
      <x:c r="D2265" s="5" t="inlineStr">
        <x:is>
          <x:t xml:space="preserve">深圳市智动力精密技术股份有限公司</x:t>
        </x:is>
      </x:c>
      <x:c r="E2265" s="4" t="inlineStr">
        <x:is>
          <x:t xml:space="preserve">广东省</x:t>
        </x:is>
      </x:c>
      <x:c r="F2265" s="4" t="inlineStr">
        <x:is>
          <x:t xml:space="preserve">深圳市</x:t>
        </x:is>
      </x:c>
      <x:c r="G2265" s="5" t="inlineStr">
        <x:is>
          <x:t xml:space="preserve">广东省-深圳市</x:t>
        </x:is>
      </x:c>
      <x:c r="H2265" s="4" t="inlineStr">
        <x:is>
          <x:t xml:space="preserve">消费电子</x:t>
        </x:is>
      </x:c>
      <x:c r="I2265" s="4" t="inlineStr">
        <x:is>
          <x:t xml:space="preserve">2017-08-04</x:t>
        </x:is>
      </x:c>
      <x:c r="J2265" s="5" t="inlineStr">
        <x:is>
          <x:t xml:space="preserve">深圳市坪山区龙田街道南布社区兰金六路9号智动力办公楼整套101</x:t>
        </x:is>
      </x:c>
      <x:c r="K2265" s="12" t="str">
        <x:f>LEFT("9144030076497004XE",18)</x:f>
        <x:v>9144030076497004XE</x:v>
      </x:c>
    </x:row>
    <x:row r="2266">
      <x:c r="A2266" s="2" t="n">
        <x:v>2265</x:v>
      </x:c>
      <x:c r="B2266" s="2" t="inlineStr">
        <x:is>
          <x:t xml:space="preserve">300687</x:t>
        </x:is>
      </x:c>
      <x:c r="C2266" s="3" t="inlineStr">
        <x:is>
          <x:t xml:space="preserve">赛意信息</x:t>
        </x:is>
      </x:c>
      <x:c r="D2266" s="3" t="inlineStr">
        <x:is>
          <x:t xml:space="preserve">广州赛意信息科技股份有限公司</x:t>
        </x:is>
      </x:c>
      <x:c r="E2266" s="2" t="inlineStr">
        <x:is>
          <x:t xml:space="preserve">广东省</x:t>
        </x:is>
      </x:c>
      <x:c r="F2266" s="2" t="inlineStr">
        <x:is>
          <x:t xml:space="preserve">广州市</x:t>
        </x:is>
      </x:c>
      <x:c r="G2266" s="3" t="inlineStr">
        <x:is>
          <x:t xml:space="preserve">广东省-广州市</x:t>
        </x:is>
      </x:c>
      <x:c r="H2266" s="2" t="inlineStr">
        <x:is>
          <x:t xml:space="preserve">互联网服务</x:t>
        </x:is>
      </x:c>
      <x:c r="I2266" s="2" t="inlineStr">
        <x:is>
          <x:t xml:space="preserve">2017-08-03</x:t>
        </x:is>
      </x:c>
      <x:c r="J2266" s="3" t="inlineStr">
        <x:is>
          <x:t xml:space="preserve">广州市天河区珠江西路17号广晟国际大厦4501室</x:t>
        </x:is>
      </x:c>
      <x:c r="K2266" s="12" t="str">
        <x:f>LEFT("914401017695403218",18)</x:f>
        <x:v>914401017695403300</x:v>
      </x:c>
    </x:row>
    <x:row r="2267">
      <x:c r="A2267" s="4" t="n">
        <x:v>2266</x:v>
      </x:c>
      <x:c r="B2267" s="4" t="inlineStr">
        <x:is>
          <x:t xml:space="preserve">300689</x:t>
        </x:is>
      </x:c>
      <x:c r="C2267" s="5" t="inlineStr">
        <x:is>
          <x:t xml:space="preserve">澄天伟业</x:t>
        </x:is>
      </x:c>
      <x:c r="D2267" s="5" t="inlineStr">
        <x:is>
          <x:t xml:space="preserve">深圳市澄天伟业科技股份有限公司</x:t>
        </x:is>
      </x:c>
      <x:c r="E2267" s="4" t="inlineStr">
        <x:is>
          <x:t xml:space="preserve">广东省</x:t>
        </x:is>
      </x:c>
      <x:c r="F2267" s="4" t="inlineStr">
        <x:is>
          <x:t xml:space="preserve">深圳市</x:t>
        </x:is>
      </x:c>
      <x:c r="G2267" s="5" t="inlineStr">
        <x:is>
          <x:t xml:space="preserve">广东省-深圳市</x:t>
        </x:is>
      </x:c>
      <x:c r="H2267" s="4" t="inlineStr">
        <x:is>
          <x:t xml:space="preserve">通信设备</x:t>
        </x:is>
      </x:c>
      <x:c r="I2267" s="4" t="inlineStr">
        <x:is>
          <x:t xml:space="preserve">2017-08-09</x:t>
        </x:is>
      </x:c>
      <x:c r="J2267" s="5" t="inlineStr">
        <x:is>
          <x:t xml:space="preserve">深圳市南山区粤海街道高新区社区高新南九道10号深圳湾科技生态园10栋B3401-B3404</x:t>
        </x:is>
      </x:c>
      <x:c r="K2267" s="12" t="str">
        <x:f>LEFT("914403007917433957",18)</x:f>
        <x:v>914403007917434000</x:v>
      </x:c>
    </x:row>
    <x:row r="2268">
      <x:c r="A2268" s="2" t="n">
        <x:v>2267</x:v>
      </x:c>
      <x:c r="B2268" s="2" t="inlineStr">
        <x:is>
          <x:t xml:space="preserve">300691</x:t>
        </x:is>
      </x:c>
      <x:c r="C2268" s="3" t="inlineStr">
        <x:is>
          <x:t xml:space="preserve">联合光电</x:t>
        </x:is>
      </x:c>
      <x:c r="D2268" s="3" t="inlineStr">
        <x:is>
          <x:t xml:space="preserve">中山联合光电科技股份有限公司</x:t>
        </x:is>
      </x:c>
      <x:c r="E2268" s="2" t="inlineStr">
        <x:is>
          <x:t xml:space="preserve">广东省</x:t>
        </x:is>
      </x:c>
      <x:c r="F2268" s="2" t="inlineStr">
        <x:is>
          <x:t xml:space="preserve">中山市</x:t>
        </x:is>
      </x:c>
      <x:c r="G2268" s="3" t="inlineStr">
        <x:is>
          <x:t xml:space="preserve">广东省-中山市</x:t>
        </x:is>
      </x:c>
      <x:c r="H2268" s="2" t="inlineStr">
        <x:is>
          <x:t xml:space="preserve">光学光电子</x:t>
        </x:is>
      </x:c>
      <x:c r="I2268" s="2" t="inlineStr">
        <x:is>
          <x:t xml:space="preserve">2017-08-11</x:t>
        </x:is>
      </x:c>
      <x:c r="J2268" s="3" t="inlineStr">
        <x:is>
          <x:t xml:space="preserve">广东省中山市火炬开发区益围路10号1-3楼</x:t>
        </x:is>
      </x:c>
      <x:c r="K2268" s="12" t="str">
        <x:f>LEFT("91442000778330115C",18)</x:f>
        <x:v>91442000778330115C</x:v>
      </x:c>
    </x:row>
    <x:row r="2269">
      <x:c r="A2269" s="4" t="n">
        <x:v>2268</x:v>
      </x:c>
      <x:c r="B2269" s="4" t="inlineStr">
        <x:is>
          <x:t xml:space="preserve">300693</x:t>
        </x:is>
      </x:c>
      <x:c r="C2269" s="5" t="inlineStr">
        <x:is>
          <x:t xml:space="preserve">盛弘股份</x:t>
        </x:is>
      </x:c>
      <x:c r="D2269" s="5" t="inlineStr">
        <x:is>
          <x:t xml:space="preserve">深圳市盛弘电气股份有限公司</x:t>
        </x:is>
      </x:c>
      <x:c r="E2269" s="4" t="inlineStr">
        <x:is>
          <x:t xml:space="preserve">广东省</x:t>
        </x:is>
      </x:c>
      <x:c r="F2269" s="4" t="inlineStr">
        <x:is>
          <x:t xml:space="preserve">深圳市</x:t>
        </x:is>
      </x:c>
      <x:c r="G2269" s="5" t="inlineStr">
        <x:is>
          <x:t xml:space="preserve">广东省-深圳市</x:t>
        </x:is>
      </x:c>
      <x:c r="H2269" s="4" t="inlineStr">
        <x:is>
          <x:t xml:space="preserve">电源设备</x:t>
        </x:is>
      </x:c>
      <x:c r="I2269" s="4" t="inlineStr">
        <x:is>
          <x:t xml:space="preserve">2017-08-22</x:t>
        </x:is>
      </x:c>
      <x:c r="J2269" s="5" t="inlineStr">
        <x:is>
          <x:t xml:space="preserve">深圳市南山区西丽街道松白路1002号百旺信高科技工业园2区6栋</x:t>
        </x:is>
      </x:c>
      <x:c r="K2269" s="12" t="str">
        <x:f>LEFT("914403006670956180",18)</x:f>
        <x:v>914403006670956200</x:v>
      </x:c>
    </x:row>
    <x:row r="2270">
      <x:c r="A2270" s="2" t="n">
        <x:v>2269</x:v>
      </x:c>
      <x:c r="B2270" s="2" t="inlineStr">
        <x:is>
          <x:t xml:space="preserve">300711</x:t>
        </x:is>
      </x:c>
      <x:c r="C2270" s="3" t="inlineStr">
        <x:is>
          <x:t xml:space="preserve">广哈通信</x:t>
        </x:is>
      </x:c>
      <x:c r="D2270" s="3" t="inlineStr">
        <x:is>
          <x:t xml:space="preserve">广州广哈通信股份有限公司</x:t>
        </x:is>
      </x:c>
      <x:c r="E2270" s="2" t="inlineStr">
        <x:is>
          <x:t xml:space="preserve">广东省</x:t>
        </x:is>
      </x:c>
      <x:c r="F2270" s="2" t="inlineStr">
        <x:is>
          <x:t xml:space="preserve">广州市</x:t>
        </x:is>
      </x:c>
      <x:c r="G2270" s="3" t="inlineStr">
        <x:is>
          <x:t xml:space="preserve">广东省-广州市</x:t>
        </x:is>
      </x:c>
      <x:c r="H2270" s="2" t="inlineStr">
        <x:is>
          <x:t xml:space="preserve">通讯行业</x:t>
        </x:is>
      </x:c>
      <x:c r="I2270" s="2" t="inlineStr">
        <x:is>
          <x:t xml:space="preserve">2017-11-01</x:t>
        </x:is>
      </x:c>
      <x:c r="J2270" s="3" t="inlineStr">
        <x:is>
          <x:t xml:space="preserve">广州市高新技术产业开发区科学城南云一路16号</x:t>
        </x:is>
      </x:c>
      <x:c r="K2270" s="12" t="str">
        <x:f>LEFT("914401016184278582",18)</x:f>
        <x:v>914401016184278500</x:v>
      </x:c>
    </x:row>
    <x:row r="2271">
      <x:c r="A2271" s="4" t="n">
        <x:v>2270</x:v>
      </x:c>
      <x:c r="B2271" s="4" t="inlineStr">
        <x:is>
          <x:t xml:space="preserve">300713</x:t>
        </x:is>
      </x:c>
      <x:c r="C2271" s="5" t="inlineStr">
        <x:is>
          <x:t xml:space="preserve">英可瑞</x:t>
        </x:is>
      </x:c>
      <x:c r="D2271" s="5" t="inlineStr">
        <x:is>
          <x:t xml:space="preserve">深圳市英可瑞科技股份有限公司</x:t>
        </x:is>
      </x:c>
      <x:c r="E2271" s="4" t="inlineStr">
        <x:is>
          <x:t xml:space="preserve">广东省</x:t>
        </x:is>
      </x:c>
      <x:c r="F2271" s="4" t="inlineStr">
        <x:is>
          <x:t xml:space="preserve">深圳市</x:t>
        </x:is>
      </x:c>
      <x:c r="G2271" s="5" t="inlineStr">
        <x:is>
          <x:t xml:space="preserve">广东省-深圳市</x:t>
        </x:is>
      </x:c>
      <x:c r="H2271" s="4" t="inlineStr">
        <x:is>
          <x:t xml:space="preserve">电源设备</x:t>
        </x:is>
      </x:c>
      <x:c r="I2271" s="4" t="inlineStr">
        <x:is>
          <x:t xml:space="preserve">2017-11-01</x:t>
        </x:is>
      </x:c>
      <x:c r="J2271" s="5" t="inlineStr">
        <x:is>
          <x:t xml:space="preserve">深圳市南山区西丽街道曙光社区中山园路1001号TCL科学园区E1栋1101</x:t>
        </x:is>
      </x:c>
      <x:c r="K2271" s="12" t="str">
        <x:f>LEFT("91440300736294056Q",18)</x:f>
        <x:v>91440300736294056Q</x:v>
      </x:c>
    </x:row>
    <x:row r="2272">
      <x:c r="A2272" s="2" t="n">
        <x:v>2271</x:v>
      </x:c>
      <x:c r="B2272" s="2" t="inlineStr">
        <x:is>
          <x:t xml:space="preserve">300716</x:t>
        </x:is>
      </x:c>
      <x:c r="C2272" s="3" t="inlineStr">
        <x:is>
          <x:t xml:space="preserve">ST泉为</x:t>
        </x:is>
      </x:c>
      <x:c r="D2272" s="3" t="inlineStr">
        <x:is>
          <x:t xml:space="preserve">广东泉为科技股份有限公司</x:t>
        </x:is>
      </x:c>
      <x:c r="E2272" s="2" t="inlineStr">
        <x:is>
          <x:t xml:space="preserve">广东省</x:t>
        </x:is>
      </x:c>
      <x:c r="F2272" s="2" t="inlineStr">
        <x:is>
          <x:t xml:space="preserve">东莞市</x:t>
        </x:is>
      </x:c>
      <x:c r="G2272" s="3" t="inlineStr">
        <x:is>
          <x:t xml:space="preserve">广东省-东莞市</x:t>
        </x:is>
      </x:c>
      <x:c r="H2272" s="2" t="inlineStr">
        <x:is>
          <x:t xml:space="preserve">光伏设备</x:t>
        </x:is>
      </x:c>
      <x:c r="I2272" s="2" t="inlineStr">
        <x:is>
          <x:t xml:space="preserve">2017-11-09</x:t>
        </x:is>
      </x:c>
      <x:c r="J2272" s="3" t="inlineStr">
        <x:is>
          <x:t xml:space="preserve">广东省东莞市道滘镇南阁西路1号</x:t>
        </x:is>
      </x:c>
      <x:c r="K2272" s="12" t="str">
        <x:f>LEFT("914419007385563203",18)</x:f>
        <x:v>914419007385563300</x:v>
      </x:c>
    </x:row>
    <x:row r="2273">
      <x:c r="A2273" s="4" t="n">
        <x:v>2272</x:v>
      </x:c>
      <x:c r="B2273" s="4" t="inlineStr">
        <x:is>
          <x:t xml:space="preserve">300720</x:t>
        </x:is>
      </x:c>
      <x:c r="C2273" s="5" t="inlineStr">
        <x:is>
          <x:t xml:space="preserve">海川智能</x:t>
        </x:is>
      </x:c>
      <x:c r="D2273" s="5" t="inlineStr">
        <x:is>
          <x:t xml:space="preserve">广东海川智能机器股份有限公司</x:t>
        </x:is>
      </x:c>
      <x:c r="E2273" s="4" t="inlineStr">
        <x:is>
          <x:t xml:space="preserve">广东省</x:t>
        </x:is>
      </x:c>
      <x:c r="F2273" s="4" t="inlineStr">
        <x:is>
          <x:t xml:space="preserve">佛山市</x:t>
        </x:is>
      </x:c>
      <x:c r="G2273" s="5" t="inlineStr">
        <x:is>
          <x:t xml:space="preserve">广东省-佛山市</x:t>
        </x:is>
      </x:c>
      <x:c r="H2273" s="4" t="inlineStr">
        <x:is>
          <x:t xml:space="preserve">仪器仪表</x:t>
        </x:is>
      </x:c>
      <x:c r="I2273" s="4" t="inlineStr">
        <x:is>
          <x:t xml:space="preserve">2017-11-06</x:t>
        </x:is>
      </x:c>
      <x:c r="J2273" s="5" t="inlineStr">
        <x:is>
          <x:t xml:space="preserve">佛山市顺德区北滘镇黄龙村委会龙展路3号</x:t>
        </x:is>
      </x:c>
      <x:c r="K2273" s="12" t="str">
        <x:f>LEFT("91440606766570429D",18)</x:f>
        <x:v>91440606766570429D</x:v>
      </x:c>
    </x:row>
    <x:row r="2274">
      <x:c r="A2274" s="2" t="n">
        <x:v>2273</x:v>
      </x:c>
      <x:c r="B2274" s="2" t="inlineStr">
        <x:is>
          <x:t xml:space="preserve">300723</x:t>
        </x:is>
      </x:c>
      <x:c r="C2274" s="3" t="inlineStr">
        <x:is>
          <x:t xml:space="preserve">一品红</x:t>
        </x:is>
      </x:c>
      <x:c r="D2274" s="3" t="inlineStr">
        <x:is>
          <x:t xml:space="preserve">一品红药业集团股份有限公司</x:t>
        </x:is>
      </x:c>
      <x:c r="E2274" s="2" t="inlineStr">
        <x:is>
          <x:t xml:space="preserve">广东省</x:t>
        </x:is>
      </x:c>
      <x:c r="F2274" s="2" t="inlineStr">
        <x:is>
          <x:t xml:space="preserve">广州市</x:t>
        </x:is>
      </x:c>
      <x:c r="G2274" s="3" t="inlineStr">
        <x:is>
          <x:t xml:space="preserve">广东省-广州市</x:t>
        </x:is>
      </x:c>
      <x:c r="H2274" s="2" t="inlineStr">
        <x:is>
          <x:t xml:space="preserve">医药制造</x:t>
        </x:is>
      </x:c>
      <x:c r="I2274" s="2" t="inlineStr">
        <x:is>
          <x:t xml:space="preserve">2017-11-16</x:t>
        </x:is>
      </x:c>
      <x:c r="J2274" s="3" t="inlineStr">
        <x:is>
          <x:t xml:space="preserve">广州市黄埔区广州国际生物岛寰宇一路27号云润大厦17层</x:t>
        </x:is>
      </x:c>
      <x:c r="K2274" s="12" t="str">
        <x:f>LEFT("914400007361542488",18)</x:f>
        <x:v>914400007361542500</x:v>
      </x:c>
    </x:row>
    <x:row r="2275">
      <x:c r="A2275" s="4" t="n">
        <x:v>2274</x:v>
      </x:c>
      <x:c r="B2275" s="4" t="inlineStr">
        <x:is>
          <x:t xml:space="preserve">300724</x:t>
        </x:is>
      </x:c>
      <x:c r="C2275" s="5" t="inlineStr">
        <x:is>
          <x:t xml:space="preserve">捷佳伟创</x:t>
        </x:is>
      </x:c>
      <x:c r="D2275" s="5" t="inlineStr">
        <x:is>
          <x:t xml:space="preserve">深圳市捷佳伟创新能源装备股份有限公司</x:t>
        </x:is>
      </x:c>
      <x:c r="E2275" s="4" t="inlineStr">
        <x:is>
          <x:t xml:space="preserve">广东省</x:t>
        </x:is>
      </x:c>
      <x:c r="F2275" s="4" t="inlineStr">
        <x:is>
          <x:t xml:space="preserve">深圳市</x:t>
        </x:is>
      </x:c>
      <x:c r="G2275" s="5" t="inlineStr">
        <x:is>
          <x:t xml:space="preserve">广东省-深圳市</x:t>
        </x:is>
      </x:c>
      <x:c r="H2275" s="4" t="inlineStr">
        <x:is>
          <x:t xml:space="preserve">光伏设备</x:t>
        </x:is>
      </x:c>
      <x:c r="I2275" s="4" t="inlineStr">
        <x:is>
          <x:t xml:space="preserve">2018-08-10</x:t>
        </x:is>
      </x:c>
      <x:c r="J2275" s="5" t="inlineStr">
        <x:is>
          <x:t xml:space="preserve">深圳市坪山区龙田街道竹坑社区金牛东路62号一层至六层</x:t>
        </x:is>
      </x:c>
      <x:c r="K2275" s="12" t="str">
        <x:f>LEFT("91440300662677723N",18)</x:f>
        <x:v>91440300662677723N</x:v>
      </x:c>
    </x:row>
    <x:row r="2276">
      <x:c r="A2276" s="2" t="n">
        <x:v>2275</x:v>
      </x:c>
      <x:c r="B2276" s="2" t="inlineStr">
        <x:is>
          <x:t xml:space="preserve">300731</x:t>
        </x:is>
      </x:c>
      <x:c r="C2276" s="3" t="inlineStr">
        <x:is>
          <x:t xml:space="preserve">科创新源</x:t>
        </x:is>
      </x:c>
      <x:c r="D2276" s="3" t="inlineStr">
        <x:is>
          <x:t xml:space="preserve">深圳科创新源新材料股份有限公司</x:t>
        </x:is>
      </x:c>
      <x:c r="E2276" s="2" t="inlineStr">
        <x:is>
          <x:t xml:space="preserve">广东省</x:t>
        </x:is>
      </x:c>
      <x:c r="F2276" s="2" t="inlineStr">
        <x:is>
          <x:t xml:space="preserve">深圳市</x:t>
        </x:is>
      </x:c>
      <x:c r="G2276" s="3" t="inlineStr">
        <x:is>
          <x:t xml:space="preserve">广东省-深圳市</x:t>
        </x:is>
      </x:c>
      <x:c r="H2276" s="2" t="inlineStr">
        <x:is>
          <x:t xml:space="preserve">橡胶制品</x:t>
        </x:is>
      </x:c>
      <x:c r="I2276" s="2" t="inlineStr">
        <x:is>
          <x:t xml:space="preserve">2017-12-08</x:t>
        </x:is>
      </x:c>
      <x:c r="J2276" s="3" t="inlineStr">
        <x:is>
          <x:t xml:space="preserve">深圳市光明区新湖街道同富裕工业园富川科技工业园2号、3号厂房</x:t>
        </x:is>
      </x:c>
      <x:c r="K2276" s="12" t="str">
        <x:f>LEFT("914403006700230760",18)</x:f>
        <x:v>914403006700230800</x:v>
      </x:c>
    </x:row>
    <x:row r="2277">
      <x:c r="A2277" s="4" t="n">
        <x:v>2276</x:v>
      </x:c>
      <x:c r="B2277" s="4" t="inlineStr">
        <x:is>
          <x:t xml:space="preserve">300735</x:t>
        </x:is>
      </x:c>
      <x:c r="C2277" s="5" t="inlineStr">
        <x:is>
          <x:t xml:space="preserve">光弘科技</x:t>
        </x:is>
      </x:c>
      <x:c r="D2277" s="5" t="inlineStr">
        <x:is>
          <x:t xml:space="preserve">惠州光弘科技股份有限公司</x:t>
        </x:is>
      </x:c>
      <x:c r="E2277" s="4" t="inlineStr">
        <x:is>
          <x:t xml:space="preserve">广东省</x:t>
        </x:is>
      </x:c>
      <x:c r="F2277" s="4" t="inlineStr">
        <x:is>
          <x:t xml:space="preserve">惠州市</x:t>
        </x:is>
      </x:c>
      <x:c r="G2277" s="5" t="inlineStr">
        <x:is>
          <x:t xml:space="preserve">广东省-惠州市</x:t>
        </x:is>
      </x:c>
      <x:c r="H2277" s="4" t="inlineStr">
        <x:is>
          <x:t xml:space="preserve">消费电子</x:t>
        </x:is>
      </x:c>
      <x:c r="I2277" s="4" t="inlineStr">
        <x:is>
          <x:t xml:space="preserve">2017-12-29</x:t>
        </x:is>
      </x:c>
      <x:c r="J2277" s="5" t="inlineStr">
        <x:is>
          <x:t xml:space="preserve">惠州市大亚湾响水河工业园永达路5号,惠州市大亚湾西区响水河工业园永达路8号,惠州大亚湾石化大道西38号星华电子工业园2栋厂房4层,3栋厂房1、2层,10栋厂房3、4层,惠州大亚湾西区龙海三路95号</x:t>
        </x:is>
      </x:c>
      <x:c r="K2277" s="12" t="str">
        <x:f>LEFT("914413006178909639",18)</x:f>
        <x:v>914413006178909700</x:v>
      </x:c>
    </x:row>
    <x:row r="2278">
      <x:c r="A2278" s="2" t="n">
        <x:v>2277</x:v>
      </x:c>
      <x:c r="B2278" s="2" t="inlineStr">
        <x:is>
          <x:t xml:space="preserve">300737</x:t>
        </x:is>
      </x:c>
      <x:c r="C2278" s="3" t="inlineStr">
        <x:is>
          <x:t xml:space="preserve">科顺股份</x:t>
        </x:is>
      </x:c>
      <x:c r="D2278" s="3" t="inlineStr">
        <x:is>
          <x:t xml:space="preserve">科顺防水科技股份有限公司</x:t>
        </x:is>
      </x:c>
      <x:c r="E2278" s="2" t="inlineStr">
        <x:is>
          <x:t xml:space="preserve">广东省</x:t>
        </x:is>
      </x:c>
      <x:c r="F2278" s="2" t="inlineStr">
        <x:is>
          <x:t xml:space="preserve">佛山市</x:t>
        </x:is>
      </x:c>
      <x:c r="G2278" s="3" t="inlineStr">
        <x:is>
          <x:t xml:space="preserve">广东省-佛山市</x:t>
        </x:is>
      </x:c>
      <x:c r="H2278" s="2" t="inlineStr">
        <x:is>
          <x:t xml:space="preserve">装修建材</x:t>
        </x:is>
      </x:c>
      <x:c r="I2278" s="2" t="inlineStr">
        <x:is>
          <x:t xml:space="preserve">2018-01-25</x:t>
        </x:is>
      </x:c>
      <x:c r="J2278" s="3" t="inlineStr">
        <x:is>
          <x:t xml:space="preserve">佛山市顺德区容桂红旗中路工业区38号之一</x:t>
        </x:is>
      </x:c>
      <x:c r="K2278" s="12" t="str">
        <x:f>LEFT("91440606231959841B",18)</x:f>
        <x:v>91440606231959841B</x:v>
      </x:c>
    </x:row>
    <x:row r="2279">
      <x:c r="A2279" s="4" t="n">
        <x:v>2278</x:v>
      </x:c>
      <x:c r="B2279" s="4" t="inlineStr">
        <x:is>
          <x:t xml:space="preserve">300738</x:t>
        </x:is>
      </x:c>
      <x:c r="C2279" s="5" t="inlineStr">
        <x:is>
          <x:t xml:space="preserve">奥飞数据</x:t>
        </x:is>
      </x:c>
      <x:c r="D2279" s="5" t="inlineStr">
        <x:is>
          <x:t xml:space="preserve">广东奥飞数据科技股份有限公司</x:t>
        </x:is>
      </x:c>
      <x:c r="E2279" s="4" t="inlineStr">
        <x:is>
          <x:t xml:space="preserve">广东省</x:t>
        </x:is>
      </x:c>
      <x:c r="F2279" s="4" t="inlineStr">
        <x:is>
          <x:t xml:space="preserve">广州市</x:t>
        </x:is>
      </x:c>
      <x:c r="G2279" s="5" t="inlineStr">
        <x:is>
          <x:t xml:space="preserve">广东省-广州市</x:t>
        </x:is>
      </x:c>
      <x:c r="H2279" s="4" t="inlineStr">
        <x:is>
          <x:t xml:space="preserve">互联网服务</x:t>
        </x:is>
      </x:c>
      <x:c r="I2279" s="4" t="inlineStr">
        <x:is>
          <x:t xml:space="preserve">2018-01-19</x:t>
        </x:is>
      </x:c>
      <x:c r="J2279" s="5" t="inlineStr">
        <x:is>
          <x:t xml:space="preserve">广州市南沙区庆沙路100号2101房</x:t>
        </x:is>
      </x:c>
      <x:c r="K2279" s="12" t="str">
        <x:f>LEFT("91440101767653410D",18)</x:f>
        <x:v>91440101767653410D</x:v>
      </x:c>
    </x:row>
    <x:row r="2280">
      <x:c r="A2280" s="2" t="n">
        <x:v>2279</x:v>
      </x:c>
      <x:c r="B2280" s="2" t="inlineStr">
        <x:is>
          <x:t xml:space="preserve">300739</x:t>
        </x:is>
      </x:c>
      <x:c r="C2280" s="3" t="inlineStr">
        <x:is>
          <x:t xml:space="preserve">明阳电路</x:t>
        </x:is>
      </x:c>
      <x:c r="D2280" s="3" t="inlineStr">
        <x:is>
          <x:t xml:space="preserve">深圳明阳电路科技股份有限公司</x:t>
        </x:is>
      </x:c>
      <x:c r="E2280" s="2" t="inlineStr">
        <x:is>
          <x:t xml:space="preserve">广东省</x:t>
        </x:is>
      </x:c>
      <x:c r="F2280" s="2" t="inlineStr">
        <x:is>
          <x:t xml:space="preserve">深圳市</x:t>
        </x:is>
      </x:c>
      <x:c r="G2280" s="3" t="inlineStr">
        <x:is>
          <x:t xml:space="preserve">广东省-深圳市</x:t>
        </x:is>
      </x:c>
      <x:c r="H2280" s="2" t="inlineStr">
        <x:is>
          <x:t xml:space="preserve">电子元件</x:t>
        </x:is>
      </x:c>
      <x:c r="I2280" s="2" t="inlineStr">
        <x:is>
          <x:t xml:space="preserve">2018-02-01</x:t>
        </x:is>
      </x:c>
      <x:c r="J2280" s="3" t="inlineStr">
        <x:is>
          <x:t xml:space="preserve">深圳市宝安区新桥街道上星第二工业区南环路32号B栋</x:t>
        </x:is>
      </x:c>
      <x:c r="K2280" s="12" t="str">
        <x:f>LEFT("914403007298410748",18)</x:f>
        <x:v>914403007298410800</x:v>
      </x:c>
    </x:row>
    <x:row r="2281">
      <x:c r="A2281" s="4" t="n">
        <x:v>2280</x:v>
      </x:c>
      <x:c r="B2281" s="4" t="inlineStr">
        <x:is>
          <x:t xml:space="preserve">300745</x:t>
        </x:is>
      </x:c>
      <x:c r="C2281" s="5" t="inlineStr">
        <x:is>
          <x:t xml:space="preserve">欣锐科技</x:t>
        </x:is>
      </x:c>
      <x:c r="D2281" s="5" t="inlineStr">
        <x:is>
          <x:t xml:space="preserve">深圳欣锐科技股份有限公司</x:t>
        </x:is>
      </x:c>
      <x:c r="E2281" s="4" t="inlineStr">
        <x:is>
          <x:t xml:space="preserve">广东省</x:t>
        </x:is>
      </x:c>
      <x:c r="F2281" s="4" t="inlineStr">
        <x:is>
          <x:t xml:space="preserve">深圳市</x:t>
        </x:is>
      </x:c>
      <x:c r="G2281" s="5" t="inlineStr">
        <x:is>
          <x:t xml:space="preserve">广东省-深圳市</x:t>
        </x:is>
      </x:c>
      <x:c r="H2281" s="4" t="inlineStr">
        <x:is>
          <x:t xml:space="preserve">汽车行业</x:t>
        </x:is>
      </x:c>
      <x:c r="I2281" s="4" t="inlineStr">
        <x:is>
          <x:t xml:space="preserve">2018-05-23</x:t>
        </x:is>
      </x:c>
      <x:c r="J2281" s="5" t="inlineStr">
        <x:is>
          <x:t xml:space="preserve">深圳市南山区桃源街道福光社区留仙大道3370号南山智园崇文园区3号楼3401-3504(34、35层)</x:t>
        </x:is>
      </x:c>
      <x:c r="K2281" s="12" t="str">
        <x:f>LEFT("91440300770331412G",18)</x:f>
        <x:v>91440300770331412G</x:v>
      </x:c>
    </x:row>
    <x:row r="2282">
      <x:c r="A2282" s="2" t="n">
        <x:v>2281</x:v>
      </x:c>
      <x:c r="B2282" s="2" t="inlineStr">
        <x:is>
          <x:t xml:space="preserve">300749</x:t>
        </x:is>
      </x:c>
      <x:c r="C2282" s="3" t="inlineStr">
        <x:is>
          <x:t xml:space="preserve">顶固集创</x:t>
        </x:is>
      </x:c>
      <x:c r="D2282" s="3" t="inlineStr">
        <x:is>
          <x:t xml:space="preserve">广东顶固集创家居股份有限公司</x:t>
        </x:is>
      </x:c>
      <x:c r="E2282" s="2" t="inlineStr">
        <x:is>
          <x:t xml:space="preserve">广东省</x:t>
        </x:is>
      </x:c>
      <x:c r="F2282" s="2" t="inlineStr">
        <x:is>
          <x:t xml:space="preserve">中山市</x:t>
        </x:is>
      </x:c>
      <x:c r="G2282" s="3" t="inlineStr">
        <x:is>
          <x:t xml:space="preserve">广东省-中山市</x:t>
        </x:is>
      </x:c>
      <x:c r="H2282" s="2" t="inlineStr">
        <x:is>
          <x:t xml:space="preserve">木业家具</x:t>
        </x:is>
      </x:c>
      <x:c r="I2282" s="2" t="inlineStr">
        <x:is>
          <x:t xml:space="preserve">2018-09-25</x:t>
        </x:is>
      </x:c>
      <x:c r="J2282" s="3" t="inlineStr">
        <x:is>
          <x:t xml:space="preserve">中山市东凤镇和穗工业园</x:t>
        </x:is>
      </x:c>
      <x:c r="K2282" s="12" t="str">
        <x:f>LEFT("91442000745516044Y",18)</x:f>
        <x:v>91442000745516044Y</x:v>
      </x:c>
    </x:row>
    <x:row r="2283">
      <x:c r="A2283" s="4" t="n">
        <x:v>2282</x:v>
      </x:c>
      <x:c r="B2283" s="4" t="inlineStr">
        <x:is>
          <x:t xml:space="preserve">300752</x:t>
        </x:is>
      </x:c>
      <x:c r="C2283" s="5" t="inlineStr">
        <x:is>
          <x:t xml:space="preserve">隆利科技</x:t>
        </x:is>
      </x:c>
      <x:c r="D2283" s="5" t="inlineStr">
        <x:is>
          <x:t xml:space="preserve">深圳市隆利科技股份有限公司</x:t>
        </x:is>
      </x:c>
      <x:c r="E2283" s="4" t="inlineStr">
        <x:is>
          <x:t xml:space="preserve">广东省</x:t>
        </x:is>
      </x:c>
      <x:c r="F2283" s="4" t="inlineStr">
        <x:is>
          <x:t xml:space="preserve">深圳市</x:t>
        </x:is>
      </x:c>
      <x:c r="G2283" s="5" t="inlineStr">
        <x:is>
          <x:t xml:space="preserve">广东省-深圳市</x:t>
        </x:is>
      </x:c>
      <x:c r="H2283" s="4" t="inlineStr">
        <x:is>
          <x:t xml:space="preserve">光学光电子</x:t>
        </x:is>
      </x:c>
      <x:c r="I2283" s="4" t="inlineStr">
        <x:is>
          <x:t xml:space="preserve">2018-11-30</x:t>
        </x:is>
      </x:c>
      <x:c r="J2283" s="5" t="inlineStr">
        <x:is>
          <x:t xml:space="preserve">深圳市龙华区大浪街道高峰社区鹊山路光浩工业园G栋3层、4层</x:t>
        </x:is>
      </x:c>
      <x:c r="K2283" s="12" t="str">
        <x:f>LEFT("91440300665865164D",18)</x:f>
        <x:v>91440300665865164D</x:v>
      </x:c>
    </x:row>
    <x:row r="2284">
      <x:c r="A2284" s="2" t="n">
        <x:v>2283</x:v>
      </x:c>
      <x:c r="B2284" s="2" t="inlineStr">
        <x:is>
          <x:t xml:space="preserve">300756</x:t>
        </x:is>
      </x:c>
      <x:c r="C2284" s="3" t="inlineStr">
        <x:is>
          <x:t xml:space="preserve">金马游乐</x:t>
        </x:is>
      </x:c>
      <x:c r="D2284" s="3" t="inlineStr">
        <x:is>
          <x:t xml:space="preserve">广东金马游乐股份有限公司</x:t>
        </x:is>
      </x:c>
      <x:c r="E2284" s="2" t="inlineStr">
        <x:is>
          <x:t xml:space="preserve">广东省</x:t>
        </x:is>
      </x:c>
      <x:c r="F2284" s="2" t="inlineStr">
        <x:is>
          <x:t xml:space="preserve">中山市</x:t>
        </x:is>
      </x:c>
      <x:c r="G2284" s="3" t="inlineStr">
        <x:is>
          <x:t xml:space="preserve">广东省-中山市</x:t>
        </x:is>
      </x:c>
      <x:c r="H2284" s="2" t="inlineStr">
        <x:is>
          <x:t xml:space="preserve">旅游酒店</x:t>
        </x:is>
      </x:c>
      <x:c r="I2284" s="2" t="inlineStr">
        <x:is>
          <x:t xml:space="preserve">2018-12-28</x:t>
        </x:is>
      </x:c>
      <x:c r="J2284" s="3" t="inlineStr">
        <x:is>
          <x:t xml:space="preserve">广东省中山市火炬开发区沿江东三路5号</x:t>
        </x:is>
      </x:c>
      <x:c r="K2284" s="12" t="str">
        <x:f>LEFT("914420006682315701",18)</x:f>
        <x:v>914420006682315600</x:v>
      </x:c>
    </x:row>
    <x:row r="2285">
      <x:c r="A2285" s="4" t="n">
        <x:v>2284</x:v>
      </x:c>
      <x:c r="B2285" s="4" t="inlineStr">
        <x:is>
          <x:t xml:space="preserve">300760</x:t>
        </x:is>
      </x:c>
      <x:c r="C2285" s="5" t="inlineStr">
        <x:is>
          <x:t xml:space="preserve">迈瑞医疗</x:t>
        </x:is>
      </x:c>
      <x:c r="D2285" s="5" t="inlineStr">
        <x:is>
          <x:t xml:space="preserve">深圳迈瑞生物医疗电子股份有限公司</x:t>
        </x:is>
      </x:c>
      <x:c r="E2285" s="4" t="inlineStr">
        <x:is>
          <x:t xml:space="preserve">广东省</x:t>
        </x:is>
      </x:c>
      <x:c r="F2285" s="4" t="inlineStr">
        <x:is>
          <x:t xml:space="preserve">深圳市</x:t>
        </x:is>
      </x:c>
      <x:c r="G2285" s="5" t="inlineStr">
        <x:is>
          <x:t xml:space="preserve">广东省-深圳市</x:t>
        </x:is>
      </x:c>
      <x:c r="H2285" s="4" t="inlineStr">
        <x:is>
          <x:t xml:space="preserve">医疗器械</x:t>
        </x:is>
      </x:c>
      <x:c r="I2285" s="4" t="inlineStr">
        <x:is>
          <x:t xml:space="preserve">2018-10-16</x:t>
        </x:is>
      </x:c>
      <x:c r="J2285" s="5" t="inlineStr">
        <x:is>
          <x:t xml:space="preserve">深圳市南山区高新技术产业园区科技南十二路迈瑞大厦1-4层</x:t>
        </x:is>
      </x:c>
      <x:c r="K2285" s="12" t="str">
        <x:f>LEFT("914403007084678371",18)</x:f>
        <x:v>914403007084678400</x:v>
      </x:c>
    </x:row>
    <x:row r="2286">
      <x:c r="A2286" s="2" t="n">
        <x:v>2285</x:v>
      </x:c>
      <x:c r="B2286" s="2" t="inlineStr">
        <x:is>
          <x:t xml:space="preserve">300769</x:t>
        </x:is>
      </x:c>
      <x:c r="C2286" s="3" t="inlineStr">
        <x:is>
          <x:t xml:space="preserve">德方纳米</x:t>
        </x:is>
      </x:c>
      <x:c r="D2286" s="3" t="inlineStr">
        <x:is>
          <x:t xml:space="preserve">深圳市德方纳米科技股份有限公司</x:t>
        </x:is>
      </x:c>
      <x:c r="E2286" s="2" t="inlineStr">
        <x:is>
          <x:t xml:space="preserve">广东省</x:t>
        </x:is>
      </x:c>
      <x:c r="F2286" s="2" t="inlineStr">
        <x:is>
          <x:t xml:space="preserve">深圳市</x:t>
        </x:is>
      </x:c>
      <x:c r="G2286" s="3" t="inlineStr">
        <x:is>
          <x:t xml:space="preserve">广东省-深圳市</x:t>
        </x:is>
      </x:c>
      <x:c r="H2286" s="2" t="inlineStr">
        <x:is>
          <x:t xml:space="preserve">电池</x:t>
        </x:is>
      </x:c>
      <x:c r="I2286" s="2" t="inlineStr">
        <x:is>
          <x:t xml:space="preserve">2019-04-15</x:t>
        </x:is>
      </x:c>
      <x:c r="J2286" s="3" t="inlineStr">
        <x:is>
          <x:t xml:space="preserve">深圳市南山区桃源街道福光社区留仙大道3370号南山智园崇文园区1号楼1001</x:t>
        </x:is>
      </x:c>
      <x:c r="K2286" s="12" t="str">
        <x:f>LEFT("91440300797999551E",18)</x:f>
        <x:v>91440300797999551E</x:v>
      </x:c>
    </x:row>
    <x:row r="2287">
      <x:c r="A2287" s="4" t="n">
        <x:v>2286</x:v>
      </x:c>
      <x:c r="B2287" s="4" t="inlineStr">
        <x:is>
          <x:t xml:space="preserve">300770</x:t>
        </x:is>
      </x:c>
      <x:c r="C2287" s="5" t="inlineStr">
        <x:is>
          <x:t xml:space="preserve">新媒股份</x:t>
        </x:is>
      </x:c>
      <x:c r="D2287" s="5" t="inlineStr">
        <x:is>
          <x:t xml:space="preserve">广东南方新媒体股份有限公司</x:t>
        </x:is>
      </x:c>
      <x:c r="E2287" s="4" t="inlineStr">
        <x:is>
          <x:t xml:space="preserve">广东省</x:t>
        </x:is>
      </x:c>
      <x:c r="F2287" s="4" t="inlineStr">
        <x:is>
          <x:t xml:space="preserve">广州市</x:t>
        </x:is>
      </x:c>
      <x:c r="G2287" s="5" t="inlineStr">
        <x:is>
          <x:t xml:space="preserve">广东省-广州市</x:t>
        </x:is>
      </x:c>
      <x:c r="H2287" s="4" t="inlineStr">
        <x:is>
          <x:t xml:space="preserve">文化传媒</x:t>
        </x:is>
      </x:c>
      <x:c r="I2287" s="4" t="inlineStr">
        <x:is>
          <x:t xml:space="preserve">2019-04-19</x:t>
        </x:is>
      </x:c>
      <x:c r="J2287" s="5" t="inlineStr">
        <x:is>
          <x:t xml:space="preserve">广州市越秀区人民北路686号自编25幢411房(仅限办公用途)</x:t>
        </x:is>
      </x:c>
      <x:c r="K2287" s="12" t="str">
        <x:f>LEFT("91440101558371900F",18)</x:f>
        <x:v>91440101558371900F</x:v>
      </x:c>
    </x:row>
    <x:row r="2288">
      <x:c r="A2288" s="2" t="n">
        <x:v>2287</x:v>
      </x:c>
      <x:c r="B2288" s="2" t="inlineStr">
        <x:is>
          <x:t xml:space="preserve">300771</x:t>
        </x:is>
      </x:c>
      <x:c r="C2288" s="3" t="inlineStr">
        <x:is>
          <x:t xml:space="preserve">智莱科技</x:t>
        </x:is>
      </x:c>
      <x:c r="D2288" s="3" t="inlineStr">
        <x:is>
          <x:t xml:space="preserve">深圳市智莱科技股份有限公司</x:t>
        </x:is>
      </x:c>
      <x:c r="E2288" s="2" t="inlineStr">
        <x:is>
          <x:t xml:space="preserve">广东省</x:t>
        </x:is>
      </x:c>
      <x:c r="F2288" s="2" t="inlineStr">
        <x:is>
          <x:t xml:space="preserve">深圳市</x:t>
        </x:is>
      </x:c>
      <x:c r="G2288" s="3" t="inlineStr">
        <x:is>
          <x:t xml:space="preserve">广东省-深圳市</x:t>
        </x:is>
      </x:c>
      <x:c r="H2288" s="2" t="inlineStr">
        <x:is>
          <x:t xml:space="preserve">计算机设备</x:t>
        </x:is>
      </x:c>
      <x:c r="I2288" s="2" t="inlineStr">
        <x:is>
          <x:t xml:space="preserve">2019-04-22</x:t>
        </x:is>
      </x:c>
      <x:c r="J2288" s="3" t="inlineStr">
        <x:is>
          <x:t xml:space="preserve">深圳市光明区马田街道合水口社区建设西路120号507</x:t>
        </x:is>
      </x:c>
      <x:c r="K2288" s="12" t="str">
        <x:f>LEFT("91440300715246397E",18)</x:f>
        <x:v>91440300715246397E</x:v>
      </x:c>
    </x:row>
    <x:row r="2289">
      <x:c r="A2289" s="4" t="n">
        <x:v>2288</x:v>
      </x:c>
      <x:c r="B2289" s="4" t="inlineStr">
        <x:is>
          <x:t xml:space="preserve">300778</x:t>
        </x:is>
      </x:c>
      <x:c r="C2289" s="5" t="inlineStr">
        <x:is>
          <x:t xml:space="preserve">新城市</x:t>
        </x:is>
      </x:c>
      <x:c r="D2289" s="5" t="inlineStr">
        <x:is>
          <x:t xml:space="preserve">深圳市新城市规划建筑设计股份有限公司</x:t>
        </x:is>
      </x:c>
      <x:c r="E2289" s="4" t="inlineStr">
        <x:is>
          <x:t xml:space="preserve">广东省</x:t>
        </x:is>
      </x:c>
      <x:c r="F2289" s="4" t="inlineStr">
        <x:is>
          <x:t xml:space="preserve">深圳市</x:t>
        </x:is>
      </x:c>
      <x:c r="G2289" s="5" t="inlineStr">
        <x:is>
          <x:t xml:space="preserve">广东省-深圳市</x:t>
        </x:is>
      </x:c>
      <x:c r="H2289" s="4" t="inlineStr">
        <x:is>
          <x:t xml:space="preserve">工程咨询服务</x:t>
        </x:is>
      </x:c>
      <x:c r="I2289" s="4" t="inlineStr">
        <x:is>
          <x:t xml:space="preserve">2019-05-10</x:t>
        </x:is>
      </x:c>
      <x:c r="J2289" s="5" t="inlineStr">
        <x:is>
          <x:t xml:space="preserve">广东省深圳市龙岗区中心城清林中路39号新城市大厦10楼</x:t>
        </x:is>
      </x:c>
      <x:c r="K2289" s="12" t="str">
        <x:f>LEFT("914403002795212083",18)</x:f>
        <x:v>914403002795212000</x:v>
      </x:c>
    </x:row>
    <x:row r="2290">
      <x:c r="A2290" s="2" t="n">
        <x:v>2289</x:v>
      </x:c>
      <x:c r="B2290" s="2" t="inlineStr">
        <x:is>
          <x:t xml:space="preserve">300781</x:t>
        </x:is>
      </x:c>
      <x:c r="C2290" s="3" t="inlineStr">
        <x:is>
          <x:t xml:space="preserve">因赛集团</x:t>
        </x:is>
      </x:c>
      <x:c r="D2290" s="3" t="inlineStr">
        <x:is>
          <x:t xml:space="preserve">广东因赛品牌营销集团股份有限公司</x:t>
        </x:is>
      </x:c>
      <x:c r="E2290" s="2" t="inlineStr">
        <x:is>
          <x:t xml:space="preserve">广东省</x:t>
        </x:is>
      </x:c>
      <x:c r="F2290" s="2" t="inlineStr">
        <x:is>
          <x:t xml:space="preserve">广州市</x:t>
        </x:is>
      </x:c>
      <x:c r="G2290" s="3" t="inlineStr">
        <x:is>
          <x:t xml:space="preserve">广东省-广州市</x:t>
        </x:is>
      </x:c>
      <x:c r="H2290" s="2" t="inlineStr">
        <x:is>
          <x:t xml:space="preserve">文化传媒</x:t>
        </x:is>
      </x:c>
      <x:c r="I2290" s="2" t="inlineStr">
        <x:is>
          <x:t xml:space="preserve">2019-06-06</x:t>
        </x:is>
      </x:c>
      <x:c r="J2290" s="3" t="inlineStr">
        <x:is>
          <x:t xml:space="preserve">广州市番禺区东环街番禺大道北555号天安总部中心26号楼501</x:t>
        </x:is>
      </x:c>
      <x:c r="K2290" s="12" t="str">
        <x:f>LEFT("91440101741878187Q",18)</x:f>
        <x:v>91440101741878187Q</x:v>
      </x:c>
    </x:row>
    <x:row r="2291">
      <x:c r="A2291" s="4" t="n">
        <x:v>2290</x:v>
      </x:c>
      <x:c r="B2291" s="4" t="inlineStr">
        <x:is>
          <x:t xml:space="preserve">300790</x:t>
        </x:is>
      </x:c>
      <x:c r="C2291" s="5" t="inlineStr">
        <x:is>
          <x:t xml:space="preserve">宇瞳光学</x:t>
        </x:is>
      </x:c>
      <x:c r="D2291" s="5" t="inlineStr">
        <x:is>
          <x:t xml:space="preserve">东莞市宇瞳光学科技股份有限公司</x:t>
        </x:is>
      </x:c>
      <x:c r="E2291" s="4" t="inlineStr">
        <x:is>
          <x:t xml:space="preserve">广东省</x:t>
        </x:is>
      </x:c>
      <x:c r="F2291" s="4" t="inlineStr">
        <x:is>
          <x:t xml:space="preserve">东莞市</x:t>
        </x:is>
      </x:c>
      <x:c r="G2291" s="5" t="inlineStr">
        <x:is>
          <x:t xml:space="preserve">广东省-东莞市</x:t>
        </x:is>
      </x:c>
      <x:c r="H2291" s="4" t="inlineStr">
        <x:is>
          <x:t xml:space="preserve">光学光电子</x:t>
        </x:is>
      </x:c>
      <x:c r="I2291" s="4" t="inlineStr">
        <x:is>
          <x:t xml:space="preserve">2019-09-20</x:t>
        </x:is>
      </x:c>
      <x:c r="J2291" s="5" t="inlineStr">
        <x:is>
          <x:t xml:space="preserve">广东省东莞市长安镇靖海东路99号</x:t>
        </x:is>
      </x:c>
      <x:c r="K2291" s="12" t="str">
        <x:f>LEFT("9144190058144782XE",18)</x:f>
        <x:v>9144190058144782XE</x:v>
      </x:c>
    </x:row>
    <x:row r="2292">
      <x:c r="A2292" s="2" t="n">
        <x:v>2291</x:v>
      </x:c>
      <x:c r="B2292" s="2" t="inlineStr">
        <x:is>
          <x:t xml:space="preserve">300791</x:t>
        </x:is>
      </x:c>
      <x:c r="C2292" s="3" t="inlineStr">
        <x:is>
          <x:t xml:space="preserve">仙乐健康</x:t>
        </x:is>
      </x:c>
      <x:c r="D2292" s="3" t="inlineStr">
        <x:is>
          <x:t xml:space="preserve">仙乐健康科技股份有限公司</x:t>
        </x:is>
      </x:c>
      <x:c r="E2292" s="2" t="inlineStr">
        <x:is>
          <x:t xml:space="preserve">广东省</x:t>
        </x:is>
      </x:c>
      <x:c r="F2292" s="2" t="inlineStr">
        <x:is>
          <x:t xml:space="preserve">汕头市</x:t>
        </x:is>
      </x:c>
      <x:c r="G2292" s="3" t="inlineStr">
        <x:is>
          <x:t xml:space="preserve">广东省-汕头市</x:t>
        </x:is>
      </x:c>
      <x:c r="H2292" s="2" t="inlineStr">
        <x:is>
          <x:t xml:space="preserve">食品饮料</x:t>
        </x:is>
      </x:c>
      <x:c r="I2292" s="2" t="inlineStr">
        <x:is>
          <x:t xml:space="preserve">2019-09-25</x:t>
        </x:is>
      </x:c>
      <x:c r="J2292" s="3" t="inlineStr">
        <x:is>
          <x:t xml:space="preserve">广东省汕头市泰山路83号</x:t>
        </x:is>
      </x:c>
      <x:c r="K2292" s="12" t="str">
        <x:f>LEFT("91440500617536366K",18)</x:f>
        <x:v>91440500617536366K</x:v>
      </x:c>
    </x:row>
    <x:row r="2293">
      <x:c r="A2293" s="4" t="n">
        <x:v>2292</x:v>
      </x:c>
      <x:c r="B2293" s="4" t="inlineStr">
        <x:is>
          <x:t xml:space="preserve">300793</x:t>
        </x:is>
      </x:c>
      <x:c r="C2293" s="5" t="inlineStr">
        <x:is>
          <x:t xml:space="preserve">佳禾智能</x:t>
        </x:is>
      </x:c>
      <x:c r="D2293" s="5" t="inlineStr">
        <x:is>
          <x:t xml:space="preserve">佳禾智能科技股份有限公司</x:t>
        </x:is>
      </x:c>
      <x:c r="E2293" s="4" t="inlineStr">
        <x:is>
          <x:t xml:space="preserve">广东省</x:t>
        </x:is>
      </x:c>
      <x:c r="F2293" s="4" t="inlineStr">
        <x:is>
          <x:t xml:space="preserve">东莞市</x:t>
        </x:is>
      </x:c>
      <x:c r="G2293" s="5" t="inlineStr">
        <x:is>
          <x:t xml:space="preserve">广东省-东莞市</x:t>
        </x:is>
      </x:c>
      <x:c r="H2293" s="4" t="inlineStr">
        <x:is>
          <x:t xml:space="preserve">消费电子</x:t>
        </x:is>
      </x:c>
      <x:c r="I2293" s="4" t="inlineStr">
        <x:is>
          <x:t xml:space="preserve">2019-10-18</x:t>
        </x:is>
      </x:c>
      <x:c r="J2293" s="5" t="inlineStr">
        <x:is>
          <x:t xml:space="preserve">广东省东莞市松山湖园区科苑路3号</x:t>
        </x:is>
      </x:c>
      <x:c r="K2293" s="12" t="str">
        <x:f>LEFT("914419000810570916",18)</x:f>
        <x:v>914419000810570900</x:v>
      </x:c>
    </x:row>
    <x:row r="2294">
      <x:c r="A2294" s="2" t="n">
        <x:v>2293</x:v>
      </x:c>
      <x:c r="B2294" s="2" t="inlineStr">
        <x:is>
          <x:t xml:space="preserve">300804</x:t>
        </x:is>
      </x:c>
      <x:c r="C2294" s="3" t="inlineStr">
        <x:is>
          <x:t xml:space="preserve">广康生化</x:t>
        </x:is>
      </x:c>
      <x:c r="D2294" s="3" t="inlineStr">
        <x:is>
          <x:t xml:space="preserve">广东广康生化科技股份有限公司</x:t>
        </x:is>
      </x:c>
      <x:c r="E2294" s="2" t="inlineStr">
        <x:is>
          <x:t xml:space="preserve">广东省</x:t>
        </x:is>
      </x:c>
      <x:c r="F2294" s="2" t="inlineStr">
        <x:is>
          <x:t xml:space="preserve">英德市</x:t>
        </x:is>
      </x:c>
      <x:c r="G2294" s="3" t="inlineStr">
        <x:is>
          <x:t xml:space="preserve">广东省-英德市</x:t>
        </x:is>
      </x:c>
      <x:c r="H2294" s="2" t="inlineStr">
        <x:is>
          <x:t xml:space="preserve">农药兽药</x:t>
        </x:is>
      </x:c>
      <x:c r="I2294" s="2" t="inlineStr">
        <x:is>
          <x:t xml:space="preserve">2023-06-27</x:t>
        </x:is>
      </x:c>
      <x:c r="J2294" s="3" t="inlineStr">
        <x:is>
          <x:t xml:space="preserve">英德市农用化工产业链专用基地(沙口镇红丰管理区)</x:t>
        </x:is>
      </x:c>
      <x:c r="K2294" s="12" t="str">
        <x:f>LEFT("91441881755600266B",18)</x:f>
        <x:v>91441881755600266B</x:v>
      </x:c>
    </x:row>
    <x:row r="2295">
      <x:c r="A2295" s="4" t="n">
        <x:v>2294</x:v>
      </x:c>
      <x:c r="B2295" s="4" t="inlineStr">
        <x:is>
          <x:t xml:space="preserve">300805</x:t>
        </x:is>
      </x:c>
      <x:c r="C2295" s="5" t="inlineStr">
        <x:is>
          <x:t xml:space="preserve">电声股份</x:t>
        </x:is>
      </x:c>
      <x:c r="D2295" s="5" t="inlineStr">
        <x:is>
          <x:t xml:space="preserve">广东电声市场营销股份有限公司</x:t>
        </x:is>
      </x:c>
      <x:c r="E2295" s="4" t="inlineStr">
        <x:is>
          <x:t xml:space="preserve">广东省</x:t>
        </x:is>
      </x:c>
      <x:c r="F2295" s="4" t="inlineStr">
        <x:is>
          <x:t xml:space="preserve">广州市</x:t>
        </x:is>
      </x:c>
      <x:c r="G2295" s="5" t="inlineStr">
        <x:is>
          <x:t xml:space="preserve">广东省-广州市</x:t>
        </x:is>
      </x:c>
      <x:c r="H2295" s="4" t="inlineStr">
        <x:is>
          <x:t xml:space="preserve">文化传媒</x:t>
        </x:is>
      </x:c>
      <x:c r="I2295" s="4" t="inlineStr">
        <x:is>
          <x:t xml:space="preserve">2019-11-21</x:t>
        </x:is>
      </x:c>
      <x:c r="J2295" s="5" t="inlineStr">
        <x:is>
          <x:t xml:space="preserve">广州市天河区黄埔大道西平云路163号之四401室自编之01房</x:t>
        </x:is>
      </x:c>
      <x:c r="K2295" s="12" t="str">
        <x:f>LEFT("914401015505981158",18)</x:f>
        <x:v>914401015505981200</x:v>
      </x:c>
    </x:row>
    <x:row r="2296">
      <x:c r="A2296" s="2" t="n">
        <x:v>2295</x:v>
      </x:c>
      <x:c r="B2296" s="2" t="inlineStr">
        <x:is>
          <x:t xml:space="preserve">300811</x:t>
        </x:is>
      </x:c>
      <x:c r="C2296" s="3" t="inlineStr">
        <x:is>
          <x:t xml:space="preserve">铂科新材</x:t>
        </x:is>
      </x:c>
      <x:c r="D2296" s="3" t="inlineStr">
        <x:is>
          <x:t xml:space="preserve">深圳市铂科新材料股份有限公司</x:t>
        </x:is>
      </x:c>
      <x:c r="E2296" s="2" t="inlineStr">
        <x:is>
          <x:t xml:space="preserve">广东省</x:t>
        </x:is>
      </x:c>
      <x:c r="F2296" s="2" t="inlineStr">
        <x:is>
          <x:t xml:space="preserve">深圳市</x:t>
        </x:is>
      </x:c>
      <x:c r="G2296" s="3" t="inlineStr">
        <x:is>
          <x:t xml:space="preserve">广东省-深圳市</x:t>
        </x:is>
      </x:c>
      <x:c r="H2296" s="2" t="inlineStr">
        <x:is>
          <x:t xml:space="preserve">小金属</x:t>
        </x:is>
      </x:c>
      <x:c r="I2296" s="2" t="inlineStr">
        <x:is>
          <x:t xml:space="preserve">2019-12-30</x:t>
        </x:is>
      </x:c>
      <x:c r="J2296" s="3" t="inlineStr">
        <x:is>
          <x:t xml:space="preserve">深圳市南山区西丽街道曙光社区智谷研发楼B栋1301</x:t>
        </x:is>
      </x:c>
      <x:c r="K2296" s="12" t="str">
        <x:f>LEFT("9144030069395982X0",18)</x:f>
        <x:v>9144030069395982X0</x:v>
      </x:c>
    </x:row>
    <x:row r="2297">
      <x:c r="A2297" s="4" t="n">
        <x:v>2296</x:v>
      </x:c>
      <x:c r="B2297" s="4" t="inlineStr">
        <x:is>
          <x:t xml:space="preserve">300812</x:t>
        </x:is>
      </x:c>
      <x:c r="C2297" s="5" t="inlineStr">
        <x:is>
          <x:t xml:space="preserve">易天股份</x:t>
        </x:is>
      </x:c>
      <x:c r="D2297" s="5" t="inlineStr">
        <x:is>
          <x:t xml:space="preserve">深圳市易天自动化设备股份有限公司</x:t>
        </x:is>
      </x:c>
      <x:c r="E2297" s="4" t="inlineStr">
        <x:is>
          <x:t xml:space="preserve">广东省</x:t>
        </x:is>
      </x:c>
      <x:c r="F2297" s="4" t="inlineStr">
        <x:is>
          <x:t xml:space="preserve">深圳市</x:t>
        </x:is>
      </x:c>
      <x:c r="G2297" s="5" t="inlineStr">
        <x:is>
          <x:t xml:space="preserve">广东省-深圳市</x:t>
        </x:is>
      </x:c>
      <x:c r="H2297" s="4" t="inlineStr">
        <x:is>
          <x:t xml:space="preserve">消费电子</x:t>
        </x:is>
      </x:c>
      <x:c r="I2297" s="4" t="inlineStr">
        <x:is>
          <x:t xml:space="preserve">2020-01-09</x:t>
        </x:is>
      </x:c>
      <x:c r="J2297" s="5" t="inlineStr">
        <x:is>
          <x:t xml:space="preserve">深圳市宝安区沙井街道沙头社区沙井南环路446号星展广场1栋A座401</x:t>
        </x:is>
      </x:c>
      <x:c r="K2297" s="12" t="str">
        <x:f>LEFT("91440300799247812K",18)</x:f>
        <x:v>91440300799247812K</x:v>
      </x:c>
    </x:row>
    <x:row r="2298">
      <x:c r="A2298" s="2" t="n">
        <x:v>2297</x:v>
      </x:c>
      <x:c r="B2298" s="2" t="inlineStr">
        <x:is>
          <x:t xml:space="preserve">300814</x:t>
        </x:is>
      </x:c>
      <x:c r="C2298" s="3" t="inlineStr">
        <x:is>
          <x:t xml:space="preserve">中富电路</x:t>
        </x:is>
      </x:c>
      <x:c r="D2298" s="3" t="inlineStr">
        <x:is>
          <x:t xml:space="preserve">深圳中富电路股份有限公司</x:t>
        </x:is>
      </x:c>
      <x:c r="E2298" s="2" t="inlineStr">
        <x:is>
          <x:t xml:space="preserve">广东省</x:t>
        </x:is>
      </x:c>
      <x:c r="F2298" s="2" t="inlineStr">
        <x:is>
          <x:t xml:space="preserve">深圳市</x:t>
        </x:is>
      </x:c>
      <x:c r="G2298" s="3" t="inlineStr">
        <x:is>
          <x:t xml:space="preserve">广东省-深圳市</x:t>
        </x:is>
      </x:c>
      <x:c r="H2298" s="2" t="inlineStr">
        <x:is>
          <x:t xml:space="preserve">电子元件</x:t>
        </x:is>
      </x:c>
      <x:c r="I2298" s="2" t="inlineStr">
        <x:is>
          <x:t xml:space="preserve">2021-08-12</x:t>
        </x:is>
      </x:c>
      <x:c r="J2298" s="3" t="inlineStr">
        <x:is>
          <x:t xml:space="preserve">深圳市宝安区沙井街道和一社区和二工业区兴业路8号</x:t>
        </x:is>
      </x:c>
      <x:c r="K2298" s="12" t="str">
        <x:f>LEFT("9144030075568456XX",18)</x:f>
        <x:v>9144030075568456XX</x:v>
      </x:c>
    </x:row>
    <x:row r="2299">
      <x:c r="A2299" s="4" t="n">
        <x:v>2298</x:v>
      </x:c>
      <x:c r="B2299" s="4" t="inlineStr">
        <x:is>
          <x:t xml:space="preserve">300822</x:t>
        </x:is>
      </x:c>
      <x:c r="C2299" s="5" t="inlineStr">
        <x:is>
          <x:t xml:space="preserve">贝仕达克</x:t>
        </x:is>
      </x:c>
      <x:c r="D2299" s="5" t="inlineStr">
        <x:is>
          <x:t xml:space="preserve">深圳贝仕达克技术股份有限公司</x:t>
        </x:is>
      </x:c>
      <x:c r="E2299" s="4" t="inlineStr">
        <x:is>
          <x:t xml:space="preserve">广东省</x:t>
        </x:is>
      </x:c>
      <x:c r="F2299" s="4" t="inlineStr">
        <x:is>
          <x:t xml:space="preserve">深圳市</x:t>
        </x:is>
      </x:c>
      <x:c r="G2299" s="5" t="inlineStr">
        <x:is>
          <x:t xml:space="preserve">广东省-深圳市</x:t>
        </x:is>
      </x:c>
      <x:c r="H2299" s="4" t="inlineStr">
        <x:is>
          <x:t xml:space="preserve">消费电子</x:t>
        </x:is>
      </x:c>
      <x:c r="I2299" s="4" t="inlineStr">
        <x:is>
          <x:t xml:space="preserve">2020-03-13</x:t>
        </x:is>
      </x:c>
      <x:c r="J2299" s="5" t="inlineStr">
        <x:is>
          <x:t xml:space="preserve">深圳市龙岗区龙岗街道龙西社区学园路第三工业区22栋、23栋、34栋、37栋</x:t>
        </x:is>
      </x:c>
      <x:c r="K2299" s="12" t="str">
        <x:f>LEFT("9144030055544959XA",18)</x:f>
        <x:v>9144030055544959XA</x:v>
      </x:c>
    </x:row>
    <x:row r="2300">
      <x:c r="A2300" s="2" t="n">
        <x:v>2299</x:v>
      </x:c>
      <x:c r="B2300" s="2" t="inlineStr">
        <x:is>
          <x:t xml:space="preserve">300824</x:t>
        </x:is>
      </x:c>
      <x:c r="C2300" s="3" t="inlineStr">
        <x:is>
          <x:t xml:space="preserve">北鼎股份</x:t>
        </x:is>
      </x:c>
      <x:c r="D2300" s="3" t="inlineStr">
        <x:is>
          <x:t xml:space="preserve">深圳市北鼎晶辉科技股份有限公司</x:t>
        </x:is>
      </x:c>
      <x:c r="E2300" s="2" t="inlineStr">
        <x:is>
          <x:t xml:space="preserve">广东省</x:t>
        </x:is>
      </x:c>
      <x:c r="F2300" s="2" t="inlineStr">
        <x:is>
          <x:t xml:space="preserve">深圳市</x:t>
        </x:is>
      </x:c>
      <x:c r="G2300" s="3" t="inlineStr">
        <x:is>
          <x:t xml:space="preserve">广东省-深圳市</x:t>
        </x:is>
      </x:c>
      <x:c r="H2300" s="2" t="inlineStr">
        <x:is>
          <x:t xml:space="preserve">家电行业</x:t>
        </x:is>
      </x:c>
      <x:c r="I2300" s="2" t="inlineStr">
        <x:is>
          <x:t xml:space="preserve">2020-06-19</x:t>
        </x:is>
      </x:c>
      <x:c r="J2300" s="3" t="inlineStr">
        <x:is>
          <x:t xml:space="preserve">深圳市南山区桃源街道福光社区留仙大道3333号塘朗城广场(西区)A座、B座、C座A座3801</x:t>
        </x:is>
      </x:c>
      <x:c r="K2300" s="12" t="str">
        <x:f>LEFT("91440300746641111T",18)</x:f>
        <x:v>91440300746641111T</x:v>
      </x:c>
    </x:row>
    <x:row r="2301">
      <x:c r="A2301" s="4" t="n">
        <x:v>2300</x:v>
      </x:c>
      <x:c r="B2301" s="4" t="inlineStr">
        <x:is>
          <x:t xml:space="preserve">300832</x:t>
        </x:is>
      </x:c>
      <x:c r="C2301" s="5" t="inlineStr">
        <x:is>
          <x:t xml:space="preserve">新产业</x:t>
        </x:is>
      </x:c>
      <x:c r="D2301" s="5" t="inlineStr">
        <x:is>
          <x:t xml:space="preserve">深圳市新产业生物医学工程股份有限公司</x:t>
        </x:is>
      </x:c>
      <x:c r="E2301" s="4" t="inlineStr">
        <x:is>
          <x:t xml:space="preserve">广东省</x:t>
        </x:is>
      </x:c>
      <x:c r="F2301" s="4" t="inlineStr">
        <x:is>
          <x:t xml:space="preserve">深圳市</x:t>
        </x:is>
      </x:c>
      <x:c r="G2301" s="5" t="inlineStr">
        <x:is>
          <x:t xml:space="preserve">广东省-深圳市</x:t>
        </x:is>
      </x:c>
      <x:c r="H2301" s="4" t="inlineStr">
        <x:is>
          <x:t xml:space="preserve">医疗器械</x:t>
        </x:is>
      </x:c>
      <x:c r="I2301" s="4" t="inlineStr">
        <x:is>
          <x:t xml:space="preserve">2020-05-12</x:t>
        </x:is>
      </x:c>
      <x:c r="J2301" s="5" t="inlineStr">
        <x:is>
          <x:t xml:space="preserve">深圳市坪山区坑梓街道金沙社区锦绣东路23号新产业生物大厦二十一层</x:t>
        </x:is>
      </x:c>
      <x:c r="K2301" s="12" t="str">
        <x:f>LEFT("914403001923998520",18)</x:f>
        <x:v>914403001923998500</x:v>
      </x:c>
    </x:row>
    <x:row r="2302">
      <x:c r="A2302" s="2" t="n">
        <x:v>2301</x:v>
      </x:c>
      <x:c r="B2302" s="2" t="inlineStr">
        <x:is>
          <x:t xml:space="preserve">300833</x:t>
        </x:is>
      </x:c>
      <x:c r="C2302" s="3" t="inlineStr">
        <x:is>
          <x:t xml:space="preserve">浩洋股份</x:t>
        </x:is>
      </x:c>
      <x:c r="D2302" s="3" t="inlineStr">
        <x:is>
          <x:t xml:space="preserve">广州市浩洋电子股份有限公司</x:t>
        </x:is>
      </x:c>
      <x:c r="E2302" s="2" t="inlineStr">
        <x:is>
          <x:t xml:space="preserve">广东省</x:t>
        </x:is>
      </x:c>
      <x:c r="F2302" s="2" t="inlineStr">
        <x:is>
          <x:t xml:space="preserve">广州市</x:t>
        </x:is>
      </x:c>
      <x:c r="G2302" s="3" t="inlineStr">
        <x:is>
          <x:t xml:space="preserve">广东省-广州市</x:t>
        </x:is>
      </x:c>
      <x:c r="H2302" s="2" t="inlineStr">
        <x:is>
          <x:t xml:space="preserve">专用设备</x:t>
        </x:is>
      </x:c>
      <x:c r="I2302" s="2" t="inlineStr">
        <x:is>
          <x:t xml:space="preserve">2020-05-20</x:t>
        </x:is>
      </x:c>
      <x:c r="J2302" s="3" t="inlineStr">
        <x:is>
          <x:t xml:space="preserve">广州市番禺区石碁镇海涌路109号(厂房)</x:t>
        </x:is>
      </x:c>
      <x:c r="K2302" s="12" t="str">
        <x:f>LEFT("914401137711795473",18)</x:f>
        <x:v>914401137711795500</x:v>
      </x:c>
    </x:row>
    <x:row r="2303">
      <x:c r="A2303" s="4" t="n">
        <x:v>2302</x:v>
      </x:c>
      <x:c r="B2303" s="4" t="inlineStr">
        <x:is>
          <x:t xml:space="preserve">300834</x:t>
        </x:is>
      </x:c>
      <x:c r="C2303" s="5" t="inlineStr">
        <x:is>
          <x:t xml:space="preserve">星辉环材</x:t>
        </x:is>
      </x:c>
      <x:c r="D2303" s="5" t="inlineStr">
        <x:is>
          <x:t xml:space="preserve">星辉环保材料股份有限公司</x:t>
        </x:is>
      </x:c>
      <x:c r="E2303" s="4" t="inlineStr">
        <x:is>
          <x:t xml:space="preserve">广东省</x:t>
        </x:is>
      </x:c>
      <x:c r="F2303" s="4" t="inlineStr">
        <x:is>
          <x:t xml:space="preserve">汕头市</x:t>
        </x:is>
      </x:c>
      <x:c r="G2303" s="5" t="inlineStr">
        <x:is>
          <x:t xml:space="preserve">广东省-汕头市</x:t>
        </x:is>
      </x:c>
      <x:c r="H2303" s="4" t="inlineStr">
        <x:is>
          <x:t xml:space="preserve">化学原料</x:t>
        </x:is>
      </x:c>
      <x:c r="I2303" s="4" t="inlineStr">
        <x:is>
          <x:t xml:space="preserve">2022-01-13</x:t>
        </x:is>
      </x:c>
      <x:c r="J2303" s="5" t="inlineStr">
        <x:is>
          <x:t xml:space="preserve">汕头保税区通洋路37号</x:t>
        </x:is>
      </x:c>
      <x:c r="K2303" s="12" t="str">
        <x:f>LEFT("914405007894511074",18)</x:f>
        <x:v>914405007894511100</x:v>
      </x:c>
    </x:row>
    <x:row r="2304">
      <x:c r="A2304" s="2" t="n">
        <x:v>2303</x:v>
      </x:c>
      <x:c r="B2304" s="2" t="inlineStr">
        <x:is>
          <x:t xml:space="preserve">300843</x:t>
        </x:is>
      </x:c>
      <x:c r="C2304" s="3" t="inlineStr">
        <x:is>
          <x:t xml:space="preserve">胜蓝股份</x:t>
        </x:is>
      </x:c>
      <x:c r="D2304" s="3" t="inlineStr">
        <x:is>
          <x:t xml:space="preserve">胜蓝科技股份有限公司</x:t>
        </x:is>
      </x:c>
      <x:c r="E2304" s="2" t="inlineStr">
        <x:is>
          <x:t xml:space="preserve">广东省</x:t>
        </x:is>
      </x:c>
      <x:c r="F2304" s="2" t="inlineStr">
        <x:is>
          <x:t xml:space="preserve">东莞市</x:t>
        </x:is>
      </x:c>
      <x:c r="G2304" s="3" t="inlineStr">
        <x:is>
          <x:t xml:space="preserve">广东省-东莞市</x:t>
        </x:is>
      </x:c>
      <x:c r="H2304" s="2" t="inlineStr">
        <x:is>
          <x:t xml:space="preserve">消费电子</x:t>
        </x:is>
      </x:c>
      <x:c r="I2304" s="2" t="inlineStr">
        <x:is>
          <x:t xml:space="preserve">2020-07-02</x:t>
        </x:is>
      </x:c>
      <x:c r="J2304" s="3" t="inlineStr">
        <x:is>
          <x:t xml:space="preserve">广东省东莞市长安镇沙头南区合兴路4号</x:t>
        </x:is>
      </x:c>
      <x:c r="K2304" s="12" t="str">
        <x:f>LEFT("91441900669856804J",18)</x:f>
        <x:v>91441900669856804J</x:v>
      </x:c>
    </x:row>
    <x:row r="2305">
      <x:c r="A2305" s="4" t="n">
        <x:v>2304</x:v>
      </x:c>
      <x:c r="B2305" s="4" t="inlineStr">
        <x:is>
          <x:t xml:space="preserve">300844</x:t>
        </x:is>
      </x:c>
      <x:c r="C2305" s="5" t="inlineStr">
        <x:is>
          <x:t xml:space="preserve">山水比德</x:t>
        </x:is>
      </x:c>
      <x:c r="D2305" s="5" t="inlineStr">
        <x:is>
          <x:t xml:space="preserve">广州山水比德设计股份有限公司</x:t>
        </x:is>
      </x:c>
      <x:c r="E2305" s="4" t="inlineStr">
        <x:is>
          <x:t xml:space="preserve">广东省</x:t>
        </x:is>
      </x:c>
      <x:c r="F2305" s="4" t="inlineStr">
        <x:is>
          <x:t xml:space="preserve">广州市</x:t>
        </x:is>
      </x:c>
      <x:c r="G2305" s="5" t="inlineStr">
        <x:is>
          <x:t xml:space="preserve">广东省-广州市</x:t>
        </x:is>
      </x:c>
      <x:c r="H2305" s="4" t="inlineStr">
        <x:is>
          <x:t xml:space="preserve">园林工程</x:t>
        </x:is>
      </x:c>
      <x:c r="I2305" s="4" t="inlineStr">
        <x:is>
          <x:t xml:space="preserve">2021-08-13</x:t>
        </x:is>
      </x:c>
      <x:c r="J2305" s="5" t="inlineStr">
        <x:is>
          <x:t xml:space="preserve">广州市海珠区新港东路1166号201室202室203室204室205室301室302室303室304室305室401室</x:t>
        </x:is>
      </x:c>
      <x:c r="K2305" s="12" t="str">
        <x:f>LEFT("91440106799435733E",18)</x:f>
        <x:v>91440106799435733E</x:v>
      </x:c>
    </x:row>
    <x:row r="2306">
      <x:c r="A2306" s="2" t="n">
        <x:v>2305</x:v>
      </x:c>
      <x:c r="B2306" s="2" t="inlineStr">
        <x:is>
          <x:t xml:space="preserve">300852</x:t>
        </x:is>
      </x:c>
      <x:c r="C2306" s="3" t="inlineStr">
        <x:is>
          <x:t xml:space="preserve">四会富仕</x:t>
        </x:is>
      </x:c>
      <x:c r="D2306" s="3" t="inlineStr">
        <x:is>
          <x:t xml:space="preserve">四会富仕电子科技股份有限公司</x:t>
        </x:is>
      </x:c>
      <x:c r="E2306" s="2" t="inlineStr">
        <x:is>
          <x:t xml:space="preserve">广东省</x:t>
        </x:is>
      </x:c>
      <x:c r="F2306" s="2" t="inlineStr">
        <x:is>
          <x:t xml:space="preserve">四会市</x:t>
        </x:is>
      </x:c>
      <x:c r="G2306" s="3" t="inlineStr">
        <x:is>
          <x:t xml:space="preserve">广东省-四会市</x:t>
        </x:is>
      </x:c>
      <x:c r="H2306" s="2" t="inlineStr">
        <x:is>
          <x:t xml:space="preserve">电子元件</x:t>
        </x:is>
      </x:c>
      <x:c r="I2306" s="2" t="inlineStr">
        <x:is>
          <x:t xml:space="preserve">2020-07-13</x:t>
        </x:is>
      </x:c>
      <x:c r="J2306" s="3" t="inlineStr">
        <x:is>
          <x:t xml:space="preserve">四会市下茆镇龙湾村西鸦崀</x:t>
        </x:is>
      </x:c>
      <x:c r="K2306" s="12" t="str">
        <x:f>LEFT("914412006924881063",18)</x:f>
        <x:v>914412006924881000</x:v>
      </x:c>
    </x:row>
    <x:row r="2307">
      <x:c r="A2307" s="4" t="n">
        <x:v>2306</x:v>
      </x:c>
      <x:c r="B2307" s="4" t="inlineStr">
        <x:is>
          <x:t xml:space="preserve">300854</x:t>
        </x:is>
      </x:c>
      <x:c r="C2307" s="5" t="inlineStr">
        <x:is>
          <x:t xml:space="preserve">中兰环保</x:t>
        </x:is>
      </x:c>
      <x:c r="D2307" s="5" t="inlineStr">
        <x:is>
          <x:t xml:space="preserve">中兰环保科技股份有限公司</x:t>
        </x:is>
      </x:c>
      <x:c r="E2307" s="4" t="inlineStr">
        <x:is>
          <x:t xml:space="preserve">广东省</x:t>
        </x:is>
      </x:c>
      <x:c r="F2307" s="4" t="inlineStr">
        <x:is>
          <x:t xml:space="preserve">深圳市</x:t>
        </x:is>
      </x:c>
      <x:c r="G2307" s="5" t="inlineStr">
        <x:is>
          <x:t xml:space="preserve">广东省-深圳市</x:t>
        </x:is>
      </x:c>
      <x:c r="H2307" s="4" t="inlineStr">
        <x:is>
          <x:t xml:space="preserve">环保工程</x:t>
        </x:is>
      </x:c>
      <x:c r="I2307" s="4" t="inlineStr">
        <x:is>
          <x:t xml:space="preserve">2021-09-16</x:t>
        </x:is>
      </x:c>
      <x:c r="J2307" s="5" t="inlineStr">
        <x:is>
          <x:t xml:space="preserve">深圳市罗湖区笋岗街道笋西社区梅园路9号润弘大厦T1第17层06单元</x:t>
        </x:is>
      </x:c>
      <x:c r="K2307" s="12" t="str">
        <x:f>LEFT("91440300733063498K",18)</x:f>
        <x:v>91440300733063498K</x:v>
      </x:c>
    </x:row>
    <x:row r="2308">
      <x:c r="A2308" s="2" t="n">
        <x:v>2307</x:v>
      </x:c>
      <x:c r="B2308" s="2" t="inlineStr">
        <x:is>
          <x:t xml:space="preserve">300857</x:t>
        </x:is>
      </x:c>
      <x:c r="C2308" s="3" t="inlineStr">
        <x:is>
          <x:t xml:space="preserve">协创数据</x:t>
        </x:is>
      </x:c>
      <x:c r="D2308" s="3" t="inlineStr">
        <x:is>
          <x:t xml:space="preserve">协创数据技术股份有限公司</x:t>
        </x:is>
      </x:c>
      <x:c r="E2308" s="2" t="inlineStr">
        <x:is>
          <x:t xml:space="preserve">广东省</x:t>
        </x:is>
      </x:c>
      <x:c r="F2308" s="2" t="inlineStr">
        <x:is>
          <x:t xml:space="preserve">深圳市</x:t>
        </x:is>
      </x:c>
      <x:c r="G2308" s="3" t="inlineStr">
        <x:is>
          <x:t xml:space="preserve">广东省-深圳市</x:t>
        </x:is>
      </x:c>
      <x:c r="H2308" s="2" t="inlineStr">
        <x:is>
          <x:t xml:space="preserve">消费电子</x:t>
        </x:is>
      </x:c>
      <x:c r="I2308" s="2" t="inlineStr">
        <x:is>
          <x:t xml:space="preserve">2020-07-27</x:t>
        </x:is>
      </x:c>
      <x:c r="J2308" s="3" t="inlineStr">
        <x:is>
          <x:t xml:space="preserve">深圳市福田区梅林街道梅都社区中康路136号深圳新一代产业园3栋1701</x:t>
        </x:is>
      </x:c>
      <x:c r="K2308" s="12" t="str">
        <x:f>LEFT("914403007798542523",18)</x:f>
        <x:v>914403007798542500</x:v>
      </x:c>
    </x:row>
    <x:row r="2309">
      <x:c r="A2309" s="4" t="n">
        <x:v>2308</x:v>
      </x:c>
      <x:c r="B2309" s="4" t="inlineStr">
        <x:is>
          <x:t xml:space="preserve">300868</x:t>
        </x:is>
      </x:c>
      <x:c r="C2309" s="5" t="inlineStr">
        <x:is>
          <x:t xml:space="preserve">杰美特</x:t>
        </x:is>
      </x:c>
      <x:c r="D2309" s="5" t="inlineStr">
        <x:is>
          <x:t xml:space="preserve">深圳市杰美特科技股份有限公司</x:t>
        </x:is>
      </x:c>
      <x:c r="E2309" s="4" t="inlineStr">
        <x:is>
          <x:t xml:space="preserve">广东省</x:t>
        </x:is>
      </x:c>
      <x:c r="F2309" s="4" t="inlineStr">
        <x:is>
          <x:t xml:space="preserve">深圳市</x:t>
        </x:is>
      </x:c>
      <x:c r="G2309" s="5" t="inlineStr">
        <x:is>
          <x:t xml:space="preserve">广东省-深圳市</x:t>
        </x:is>
      </x:c>
      <x:c r="H2309" s="4" t="inlineStr">
        <x:is>
          <x:t xml:space="preserve">电子元件</x:t>
        </x:is>
      </x:c>
      <x:c r="I2309" s="4" t="inlineStr">
        <x:is>
          <x:t xml:space="preserve">2020-08-24</x:t>
        </x:is>
      </x:c>
      <x:c r="J2309" s="5" t="inlineStr">
        <x:is>
          <x:t xml:space="preserve">深圳市龙华区民治街道北站社区汇德大厦1号楼4201</x:t>
        </x:is>
      </x:c>
      <x:c r="K2309" s="12" t="str">
        <x:f>LEFT("91440300789220544P",18)</x:f>
        <x:v>91440300789220544P</x:v>
      </x:c>
    </x:row>
    <x:row r="2310">
      <x:c r="A2310" s="2" t="n">
        <x:v>2309</x:v>
      </x:c>
      <x:c r="B2310" s="2" t="inlineStr">
        <x:is>
          <x:t xml:space="preserve">300870</x:t>
        </x:is>
      </x:c>
      <x:c r="C2310" s="3" t="inlineStr">
        <x:is>
          <x:t xml:space="preserve">欧陆通</x:t>
        </x:is>
      </x:c>
      <x:c r="D2310" s="3" t="inlineStr">
        <x:is>
          <x:t xml:space="preserve">深圳欧陆通电子股份有限公司</x:t>
        </x:is>
      </x:c>
      <x:c r="E2310" s="2" t="inlineStr">
        <x:is>
          <x:t xml:space="preserve">广东省</x:t>
        </x:is>
      </x:c>
      <x:c r="F2310" s="2" t="inlineStr">
        <x:is>
          <x:t xml:space="preserve">深圳市</x:t>
        </x:is>
      </x:c>
      <x:c r="G2310" s="3" t="inlineStr">
        <x:is>
          <x:t xml:space="preserve">广东省-深圳市</x:t>
        </x:is>
      </x:c>
      <x:c r="H2310" s="2" t="inlineStr">
        <x:is>
          <x:t xml:space="preserve">电源设备</x:t>
        </x:is>
      </x:c>
      <x:c r="I2310" s="2" t="inlineStr">
        <x:is>
          <x:t xml:space="preserve">2020-08-24</x:t>
        </x:is>
      </x:c>
      <x:c r="J2310" s="3" t="inlineStr">
        <x:is>
          <x:t xml:space="preserve">深圳市宝安区航城街道三围社区航城大道175号南航明珠花园1栋19号</x:t>
        </x:is>
      </x:c>
      <x:c r="K2310" s="12" t="str">
        <x:f>LEFT("914403006189162804",18)</x:f>
        <x:v>914403006189162800</x:v>
      </x:c>
    </x:row>
    <x:row r="2311">
      <x:c r="A2311" s="4" t="n">
        <x:v>2310</x:v>
      </x:c>
      <x:c r="B2311" s="4" t="inlineStr">
        <x:is>
          <x:t xml:space="preserve">300876</x:t>
        </x:is>
      </x:c>
      <x:c r="C2311" s="5" t="inlineStr">
        <x:is>
          <x:t xml:space="preserve">蒙泰高新</x:t>
        </x:is>
      </x:c>
      <x:c r="D2311" s="5" t="inlineStr">
        <x:is>
          <x:t xml:space="preserve">广东蒙泰高新纤维股份有限公司</x:t>
        </x:is>
      </x:c>
      <x:c r="E2311" s="4" t="inlineStr">
        <x:is>
          <x:t xml:space="preserve">广东省</x:t>
        </x:is>
      </x:c>
      <x:c r="F2311" s="4" t="inlineStr">
        <x:is>
          <x:t xml:space="preserve">揭阳市</x:t>
        </x:is>
      </x:c>
      <x:c r="G2311" s="5" t="inlineStr">
        <x:is>
          <x:t xml:space="preserve">广东省-揭阳市</x:t>
        </x:is>
      </x:c>
      <x:c r="H2311" s="4" t="inlineStr">
        <x:is>
          <x:t xml:space="preserve">化纤行业</x:t>
        </x:is>
      </x:c>
      <x:c r="I2311" s="4" t="inlineStr">
        <x:is>
          <x:t xml:space="preserve">2020-08-24</x:t>
        </x:is>
      </x:c>
      <x:c r="J2311" s="5" t="inlineStr">
        <x:is>
          <x:t xml:space="preserve">揭阳市揭东区城西片工业区(一照多址)</x:t>
        </x:is>
      </x:c>
      <x:c r="K2311" s="12" t="str">
        <x:f>LEFT("91445200077874291G",18)</x:f>
        <x:v>91445200077874291G</x:v>
      </x:c>
    </x:row>
    <x:row r="2312">
      <x:c r="A2312" s="2" t="n">
        <x:v>2311</x:v>
      </x:c>
      <x:c r="B2312" s="2" t="inlineStr">
        <x:is>
          <x:t xml:space="preserve">300888</x:t>
        </x:is>
      </x:c>
      <x:c r="C2312" s="3" t="inlineStr">
        <x:is>
          <x:t xml:space="preserve">稳健医疗</x:t>
        </x:is>
      </x:c>
      <x:c r="D2312" s="3" t="inlineStr">
        <x:is>
          <x:t xml:space="preserve">稳健医疗用品股份有限公司</x:t>
        </x:is>
      </x:c>
      <x:c r="E2312" s="2" t="inlineStr">
        <x:is>
          <x:t xml:space="preserve">广东省</x:t>
        </x:is>
      </x:c>
      <x:c r="F2312" s="2" t="inlineStr">
        <x:is>
          <x:t xml:space="preserve">深圳市</x:t>
        </x:is>
      </x:c>
      <x:c r="G2312" s="3" t="inlineStr">
        <x:is>
          <x:t xml:space="preserve">广东省-深圳市</x:t>
        </x:is>
      </x:c>
      <x:c r="H2312" s="2" t="inlineStr">
        <x:is>
          <x:t xml:space="preserve">美容护理</x:t>
        </x:is>
      </x:c>
      <x:c r="I2312" s="2" t="inlineStr">
        <x:is>
          <x:t xml:space="preserve">2020-09-17</x:t>
        </x:is>
      </x:c>
      <x:c r="J2312" s="3" t="inlineStr">
        <x:is>
          <x:t xml:space="preserve">深圳市龙华区民治街道北站社区汇隆商务中心2号楼42层,深圳市龙华区布龙路660号稳健工业园</x:t>
        </x:is>
      </x:c>
      <x:c r="K2312" s="12" t="str">
        <x:f>LEFT("91440300723009295R",18)</x:f>
        <x:v>91440300723009295R</x:v>
      </x:c>
    </x:row>
    <x:row r="2313">
      <x:c r="A2313" s="4" t="n">
        <x:v>2312</x:v>
      </x:c>
      <x:c r="B2313" s="4" t="inlineStr">
        <x:is>
          <x:t xml:space="preserve">300889</x:t>
        </x:is>
      </x:c>
      <x:c r="C2313" s="5" t="inlineStr">
        <x:is>
          <x:t xml:space="preserve">爱克股份</x:t>
        </x:is>
      </x:c>
      <x:c r="D2313" s="5" t="inlineStr">
        <x:is>
          <x:t xml:space="preserve">深圳爱克莱特科技股份有限公司</x:t>
        </x:is>
      </x:c>
      <x:c r="E2313" s="4" t="inlineStr">
        <x:is>
          <x:t xml:space="preserve">广东省</x:t>
        </x:is>
      </x:c>
      <x:c r="F2313" s="4" t="inlineStr">
        <x:is>
          <x:t xml:space="preserve">深圳市</x:t>
        </x:is>
      </x:c>
      <x:c r="G2313" s="5" t="inlineStr">
        <x:is>
          <x:t xml:space="preserve">广东省-深圳市</x:t>
        </x:is>
      </x:c>
      <x:c r="H2313" s="4" t="inlineStr">
        <x:is>
          <x:t xml:space="preserve">光学光电子</x:t>
        </x:is>
      </x:c>
      <x:c r="I2313" s="4" t="inlineStr">
        <x:is>
          <x:t xml:space="preserve">2020-09-16</x:t>
        </x:is>
      </x:c>
      <x:c r="J2313" s="5" t="inlineStr">
        <x:is>
          <x:t xml:space="preserve">深圳市光明区凤凰街道塘家社区科农路589号爱克股份产业园1栋101</x:t>
        </x:is>
      </x:c>
      <x:c r="K2313" s="12" t="str">
        <x:f>LEFT("91440300693965699Q",18)</x:f>
        <x:v>91440300693965699Q</x:v>
      </x:c>
    </x:row>
    <x:row r="2314">
      <x:c r="A2314" s="2" t="n">
        <x:v>2313</x:v>
      </x:c>
      <x:c r="B2314" s="2" t="inlineStr">
        <x:is>
          <x:t xml:space="preserve">300891</x:t>
        </x:is>
      </x:c>
      <x:c r="C2314" s="3" t="inlineStr">
        <x:is>
          <x:t xml:space="preserve">惠云钛业</x:t>
        </x:is>
      </x:c>
      <x:c r="D2314" s="3" t="inlineStr">
        <x:is>
          <x:t xml:space="preserve">广东惠云钛业股份有限公司</x:t>
        </x:is>
      </x:c>
      <x:c r="E2314" s="2" t="inlineStr">
        <x:is>
          <x:t xml:space="preserve">广东省</x:t>
        </x:is>
      </x:c>
      <x:c r="F2314" s="2" t="inlineStr">
        <x:is>
          <x:t xml:space="preserve">云浮市</x:t>
        </x:is>
      </x:c>
      <x:c r="G2314" s="3" t="inlineStr">
        <x:is>
          <x:t xml:space="preserve">广东省-云浮市</x:t>
        </x:is>
      </x:c>
      <x:c r="H2314" s="2" t="inlineStr">
        <x:is>
          <x:t xml:space="preserve">化学原料</x:t>
        </x:is>
      </x:c>
      <x:c r="I2314" s="2" t="inlineStr">
        <x:is>
          <x:t xml:space="preserve">2020-09-17</x:t>
        </x:is>
      </x:c>
      <x:c r="J2314" s="3" t="inlineStr">
        <x:is>
          <x:t xml:space="preserve">云浮市云安区六都镇</x:t>
        </x:is>
      </x:c>
      <x:c r="K2314" s="12" t="str">
        <x:f>LEFT("914453007545211876",18)</x:f>
        <x:v>914453007545211900</x:v>
      </x:c>
    </x:row>
    <x:row r="2315">
      <x:c r="A2315" s="4" t="n">
        <x:v>2314</x:v>
      </x:c>
      <x:c r="B2315" s="4" t="inlineStr">
        <x:is>
          <x:t xml:space="preserve">300903</x:t>
        </x:is>
      </x:c>
      <x:c r="C2315" s="5" t="inlineStr">
        <x:is>
          <x:t xml:space="preserve">科翔股份</x:t>
        </x:is>
      </x:c>
      <x:c r="D2315" s="5" t="inlineStr">
        <x:is>
          <x:t xml:space="preserve">广东科翔电子科技股份有限公司</x:t>
        </x:is>
      </x:c>
      <x:c r="E2315" s="4" t="inlineStr">
        <x:is>
          <x:t xml:space="preserve">广东省</x:t>
        </x:is>
      </x:c>
      <x:c r="F2315" s="4" t="inlineStr">
        <x:is>
          <x:t xml:space="preserve">惠州市</x:t>
        </x:is>
      </x:c>
      <x:c r="G2315" s="5" t="inlineStr">
        <x:is>
          <x:t xml:space="preserve">广东省-惠州市</x:t>
        </x:is>
      </x:c>
      <x:c r="H2315" s="4" t="inlineStr">
        <x:is>
          <x:t xml:space="preserve">电子元件</x:t>
        </x:is>
      </x:c>
      <x:c r="I2315" s="4" t="inlineStr">
        <x:is>
          <x:t xml:space="preserve">2020-11-05</x:t>
        </x:is>
      </x:c>
      <x:c r="J2315" s="5" t="inlineStr">
        <x:is>
          <x:t xml:space="preserve">广东省惠州市大亚湾西区龙山八路9号</x:t>
        </x:is>
      </x:c>
      <x:c r="K2315" s="12" t="str">
        <x:f>LEFT("9144130073218700XR",18)</x:f>
        <x:v>9144130073218700XR</x:v>
      </x:c>
    </x:row>
    <x:row r="2316">
      <x:c r="A2316" s="2" t="n">
        <x:v>2315</x:v>
      </x:c>
      <x:c r="B2316" s="2" t="inlineStr">
        <x:is>
          <x:t xml:space="preserve">300909</x:t>
        </x:is>
      </x:c>
      <x:c r="C2316" s="3" t="inlineStr">
        <x:is>
          <x:t xml:space="preserve">汇创达</x:t>
        </x:is>
      </x:c>
      <x:c r="D2316" s="3" t="inlineStr">
        <x:is>
          <x:t xml:space="preserve">深圳市汇创达科技股份有限公司</x:t>
        </x:is>
      </x:c>
      <x:c r="E2316" s="2" t="inlineStr">
        <x:is>
          <x:t xml:space="preserve">广东省</x:t>
        </x:is>
      </x:c>
      <x:c r="F2316" s="2" t="inlineStr">
        <x:is>
          <x:t xml:space="preserve">深圳市</x:t>
        </x:is>
      </x:c>
      <x:c r="G2316" s="3" t="inlineStr">
        <x:is>
          <x:t xml:space="preserve">广东省-深圳市</x:t>
        </x:is>
      </x:c>
      <x:c r="H2316" s="2" t="inlineStr">
        <x:is>
          <x:t xml:space="preserve">光学光电子</x:t>
        </x:is>
      </x:c>
      <x:c r="I2316" s="2" t="inlineStr">
        <x:is>
          <x:t xml:space="preserve">2020-11-18</x:t>
        </x:is>
      </x:c>
      <x:c r="J2316" s="3" t="inlineStr">
        <x:is>
          <x:t xml:space="preserve">深圳市宝安区石岩街道长排社区爱群路同富裕工业区2-2号厂房一层、二层、三层</x:t>
        </x:is>
      </x:c>
      <x:c r="K2316" s="12" t="str">
        <x:f>LEFT("914403007586056365",18)</x:f>
        <x:v>914403007586056300</x:v>
      </x:c>
    </x:row>
    <x:row r="2317">
      <x:c r="A2317" s="4" t="n">
        <x:v>2316</x:v>
      </x:c>
      <x:c r="B2317" s="4" t="inlineStr">
        <x:is>
          <x:t xml:space="preserve">300916</x:t>
        </x:is>
      </x:c>
      <x:c r="C2317" s="5" t="inlineStr">
        <x:is>
          <x:t xml:space="preserve">朗特智能</x:t>
        </x:is>
      </x:c>
      <x:c r="D2317" s="5" t="inlineStr">
        <x:is>
          <x:t xml:space="preserve">深圳朗特智能控制股份有限公司</x:t>
        </x:is>
      </x:c>
      <x:c r="E2317" s="4" t="inlineStr">
        <x:is>
          <x:t xml:space="preserve">广东省</x:t>
        </x:is>
      </x:c>
      <x:c r="F2317" s="4" t="inlineStr">
        <x:is>
          <x:t xml:space="preserve">深圳市</x:t>
        </x:is>
      </x:c>
      <x:c r="G2317" s="5" t="inlineStr">
        <x:is>
          <x:t xml:space="preserve">广东省-深圳市</x:t>
        </x:is>
      </x:c>
      <x:c r="H2317" s="4" t="inlineStr">
        <x:is>
          <x:t xml:space="preserve">消费电子</x:t>
        </x:is>
      </x:c>
      <x:c r="I2317" s="4" t="inlineStr">
        <x:is>
          <x:t xml:space="preserve">2020-12-02</x:t>
        </x:is>
      </x:c>
      <x:c r="J2317" s="5" t="inlineStr">
        <x:is>
          <x:t xml:space="preserve">深圳市宝安区新桥街道象山社区新发东路7号一层至三层、5号一层至三层;深圳市宝安区新桥街道上寮社区黄埔路52号G栋一层至四层(一照多址企业)</x:t>
        </x:is>
      </x:c>
      <x:c r="K2317" s="12" t="str">
        <x:f>LEFT("91440300754256352L",18)</x:f>
        <x:v>91440300754256352L</x:v>
      </x:c>
    </x:row>
    <x:row r="2318">
      <x:c r="A2318" s="2" t="n">
        <x:v>2317</x:v>
      </x:c>
      <x:c r="B2318" s="2" t="inlineStr">
        <x:is>
          <x:t xml:space="preserve">300917</x:t>
        </x:is>
      </x:c>
      <x:c r="C2318" s="3" t="inlineStr">
        <x:is>
          <x:t xml:space="preserve">特发服务</x:t>
        </x:is>
      </x:c>
      <x:c r="D2318" s="3" t="inlineStr">
        <x:is>
          <x:t xml:space="preserve">深圳市特发服务股份有限公司</x:t>
        </x:is>
      </x:c>
      <x:c r="E2318" s="2" t="inlineStr">
        <x:is>
          <x:t xml:space="preserve">广东省</x:t>
        </x:is>
      </x:c>
      <x:c r="F2318" s="2" t="inlineStr">
        <x:is>
          <x:t xml:space="preserve">深圳市</x:t>
        </x:is>
      </x:c>
      <x:c r="G2318" s="3" t="inlineStr">
        <x:is>
          <x:t xml:space="preserve">广东省-深圳市</x:t>
        </x:is>
      </x:c>
      <x:c r="H2318" s="2" t="inlineStr">
        <x:is>
          <x:t xml:space="preserve">房地产服务</x:t>
        </x:is>
      </x:c>
      <x:c r="I2318" s="2" t="inlineStr">
        <x:is>
          <x:t xml:space="preserve">2020-12-21</x:t>
        </x:is>
      </x:c>
      <x:c r="J2318" s="3" t="inlineStr">
        <x:is>
          <x:t xml:space="preserve">深圳市福田区香蜜湖街道侨香路1010号特发文创广场五楼</x:t>
        </x:is>
      </x:c>
      <x:c r="K2318" s="12" t="str">
        <x:f>LEFT("914403001922285356",18)</x:f>
        <x:v>914403001922285300</x:v>
      </x:c>
    </x:row>
    <x:row r="2319">
      <x:c r="A2319" s="4" t="n">
        <x:v>2318</x:v>
      </x:c>
      <x:c r="B2319" s="4" t="inlineStr">
        <x:is>
          <x:t xml:space="preserve">300921</x:t>
        </x:is>
      </x:c>
      <x:c r="C2319" s="5" t="inlineStr">
        <x:is>
          <x:t xml:space="preserve">南凌科技</x:t>
        </x:is>
      </x:c>
      <x:c r="D2319" s="5" t="inlineStr">
        <x:is>
          <x:t xml:space="preserve">南凌科技股份有限公司</x:t>
        </x:is>
      </x:c>
      <x:c r="E2319" s="4" t="inlineStr">
        <x:is>
          <x:t xml:space="preserve">广东省</x:t>
        </x:is>
      </x:c>
      <x:c r="F2319" s="4" t="inlineStr">
        <x:is>
          <x:t xml:space="preserve">深圳市</x:t>
        </x:is>
      </x:c>
      <x:c r="G2319" s="5" t="inlineStr">
        <x:is>
          <x:t xml:space="preserve">广东省-深圳市</x:t>
        </x:is>
      </x:c>
      <x:c r="H2319" s="4" t="inlineStr">
        <x:is>
          <x:t xml:space="preserve">通信服务</x:t>
        </x:is>
      </x:c>
      <x:c r="I2319" s="4" t="inlineStr">
        <x:is>
          <x:t xml:space="preserve">2020-12-22</x:t>
        </x:is>
      </x:c>
      <x:c r="J2319" s="5" t="inlineStr">
        <x:is>
          <x:t xml:space="preserve">深圳市福田区深南大道1006号深圳国际创新中心A栋16层</x:t>
        </x:is>
      </x:c>
      <x:c r="K2319" s="12" t="str">
        <x:f>LEFT("91440300279303761R",18)</x:f>
        <x:v>91440300279303761R</x:v>
      </x:c>
    </x:row>
    <x:row r="2320">
      <x:c r="A2320" s="2" t="n">
        <x:v>2319</x:v>
      </x:c>
      <x:c r="B2320" s="2" t="inlineStr">
        <x:is>
          <x:t xml:space="preserve">300925</x:t>
        </x:is>
      </x:c>
      <x:c r="C2320" s="3" t="inlineStr">
        <x:is>
          <x:t xml:space="preserve">法本信息</x:t>
        </x:is>
      </x:c>
      <x:c r="D2320" s="3" t="inlineStr">
        <x:is>
          <x:t xml:space="preserve">深圳市法本信息技术股份有限公司</x:t>
        </x:is>
      </x:c>
      <x:c r="E2320" s="2" t="inlineStr">
        <x:is>
          <x:t xml:space="preserve">广东省</x:t>
        </x:is>
      </x:c>
      <x:c r="F2320" s="2" t="inlineStr">
        <x:is>
          <x:t xml:space="preserve">深圳市</x:t>
        </x:is>
      </x:c>
      <x:c r="G2320" s="3" t="inlineStr">
        <x:is>
          <x:t xml:space="preserve">广东省-深圳市</x:t>
        </x:is>
      </x:c>
      <x:c r="H2320" s="2" t="inlineStr">
        <x:is>
          <x:t xml:space="preserve">软件服务</x:t>
        </x:is>
      </x:c>
      <x:c r="I2320" s="2" t="inlineStr">
        <x:is>
          <x:t xml:space="preserve">2020-12-30</x:t>
        </x:is>
      </x:c>
      <x:c r="J2320" s="3" t="inlineStr">
        <x:is>
          <x:t xml:space="preserve">深圳市南山区西丽街道松坪山社区高新北六道15号威大科技园B座1层-6层</x:t>
        </x:is>
      </x:c>
      <x:c r="K2320" s="12" t="str">
        <x:f>LEFT("91440300795421713J",18)</x:f>
        <x:v>91440300795421713J</x:v>
      </x:c>
    </x:row>
    <x:row r="2321">
      <x:c r="A2321" s="4" t="n">
        <x:v>2320</x:v>
      </x:c>
      <x:c r="B2321" s="4" t="inlineStr">
        <x:is>
          <x:t xml:space="preserve">300932</x:t>
        </x:is>
      </x:c>
      <x:c r="C2321" s="5" t="inlineStr">
        <x:is>
          <x:t xml:space="preserve">三友联众</x:t>
        </x:is>
      </x:c>
      <x:c r="D2321" s="5" t="inlineStr">
        <x:is>
          <x:t xml:space="preserve">三友联众集团股份有限公司</x:t>
        </x:is>
      </x:c>
      <x:c r="E2321" s="4" t="inlineStr">
        <x:is>
          <x:t xml:space="preserve">广东省</x:t>
        </x:is>
      </x:c>
      <x:c r="F2321" s="4" t="inlineStr">
        <x:is>
          <x:t xml:space="preserve">东莞市</x:t>
        </x:is>
      </x:c>
      <x:c r="G2321" s="5" t="inlineStr">
        <x:is>
          <x:t xml:space="preserve">广东省-东莞市</x:t>
        </x:is>
      </x:c>
      <x:c r="H2321" s="4" t="inlineStr">
        <x:is>
          <x:t xml:space="preserve">电网设备</x:t>
        </x:is>
      </x:c>
      <x:c r="I2321" s="4" t="inlineStr">
        <x:is>
          <x:t xml:space="preserve">2021-01-22</x:t>
        </x:is>
      </x:c>
      <x:c r="J2321" s="5" t="inlineStr">
        <x:is>
          <x:t xml:space="preserve">东莞市塘厦镇莆心湖中心二路27号</x:t>
        </x:is>
      </x:c>
      <x:c r="K2321" s="12" t="str">
        <x:f>LEFT("914419006751774969",18)</x:f>
        <x:v>914419006751775000</x:v>
      </x:c>
    </x:row>
    <x:row r="2322">
      <x:c r="A2322" s="2" t="n">
        <x:v>2321</x:v>
      </x:c>
      <x:c r="B2322" s="2" t="inlineStr">
        <x:is>
          <x:t xml:space="preserve">300938</x:t>
        </x:is>
      </x:c>
      <x:c r="C2322" s="3" t="inlineStr">
        <x:is>
          <x:t xml:space="preserve">信测标准</x:t>
        </x:is>
      </x:c>
      <x:c r="D2322" s="3" t="inlineStr">
        <x:is>
          <x:t xml:space="preserve">深圳信测标准技术服务股份有限公司</x:t>
        </x:is>
      </x:c>
      <x:c r="E2322" s="2" t="inlineStr">
        <x:is>
          <x:t xml:space="preserve">广东省</x:t>
        </x:is>
      </x:c>
      <x:c r="F2322" s="2" t="inlineStr">
        <x:is>
          <x:t xml:space="preserve">深圳市</x:t>
        </x:is>
      </x:c>
      <x:c r="G2322" s="3" t="inlineStr">
        <x:is>
          <x:t xml:space="preserve">广东省-深圳市</x:t>
        </x:is>
      </x:c>
      <x:c r="H2322" s="2" t="inlineStr">
        <x:is>
          <x:t xml:space="preserve">专业服务</x:t>
        </x:is>
      </x:c>
      <x:c r="I2322" s="2" t="inlineStr">
        <x:is>
          <x:t xml:space="preserve">2021-01-27</x:t>
        </x:is>
      </x:c>
      <x:c r="J2322" s="3" t="inlineStr">
        <x:is>
          <x:t xml:space="preserve">深圳市南山区马家龙工业区69栋</x:t>
        </x:is>
      </x:c>
      <x:c r="K2322" s="12" t="str">
        <x:f>LEFT("914403007230301820",18)</x:f>
        <x:v>914403007230301800</x:v>
      </x:c>
    </x:row>
    <x:row r="2323">
      <x:c r="A2323" s="4" t="n">
        <x:v>2322</x:v>
      </x:c>
      <x:c r="B2323" s="4" t="inlineStr">
        <x:is>
          <x:t xml:space="preserve">300939</x:t>
        </x:is>
      </x:c>
      <x:c r="C2323" s="5" t="inlineStr">
        <x:is>
          <x:t xml:space="preserve">秋田微</x:t>
        </x:is>
      </x:c>
      <x:c r="D2323" s="5" t="inlineStr">
        <x:is>
          <x:t xml:space="preserve">深圳秋田微电子股份有限公司</x:t>
        </x:is>
      </x:c>
      <x:c r="E2323" s="4" t="inlineStr">
        <x:is>
          <x:t xml:space="preserve">广东省</x:t>
        </x:is>
      </x:c>
      <x:c r="F2323" s="4" t="inlineStr">
        <x:is>
          <x:t xml:space="preserve">深圳市</x:t>
        </x:is>
      </x:c>
      <x:c r="G2323" s="5" t="inlineStr">
        <x:is>
          <x:t xml:space="preserve">广东省-深圳市</x:t>
        </x:is>
      </x:c>
      <x:c r="H2323" s="4" t="inlineStr">
        <x:is>
          <x:t xml:space="preserve">光学光电子</x:t>
        </x:is>
      </x:c>
      <x:c r="I2323" s="4" t="inlineStr">
        <x:is>
          <x:t xml:space="preserve">2021-01-28</x:t>
        </x:is>
      </x:c>
      <x:c r="J2323" s="5" t="inlineStr">
        <x:is>
          <x:t xml:space="preserve">深圳市龙岗区园山街道荷坳金源路39号</x:t>
        </x:is>
      </x:c>
      <x:c r="K2323" s="12" t="str">
        <x:f>LEFT("91440300766362945T",18)</x:f>
        <x:v>91440300766362945T</x:v>
      </x:c>
    </x:row>
    <x:row r="2324">
      <x:c r="A2324" s="2" t="n">
        <x:v>2323</x:v>
      </x:c>
      <x:c r="B2324" s="2" t="inlineStr">
        <x:is>
          <x:t xml:space="preserve">300940</x:t>
        </x:is>
      </x:c>
      <x:c r="C2324" s="3" t="inlineStr">
        <x:is>
          <x:t xml:space="preserve">南极光</x:t>
        </x:is>
      </x:c>
      <x:c r="D2324" s="3" t="inlineStr">
        <x:is>
          <x:t xml:space="preserve">深圳市南极光电子科技股份有限公司</x:t>
        </x:is>
      </x:c>
      <x:c r="E2324" s="2" t="inlineStr">
        <x:is>
          <x:t xml:space="preserve">广东省</x:t>
        </x:is>
      </x:c>
      <x:c r="F2324" s="2" t="inlineStr">
        <x:is>
          <x:t xml:space="preserve">深圳市</x:t>
        </x:is>
      </x:c>
      <x:c r="G2324" s="3" t="inlineStr">
        <x:is>
          <x:t xml:space="preserve">广东省-深圳市</x:t>
        </x:is>
      </x:c>
      <x:c r="H2324" s="2" t="inlineStr">
        <x:is>
          <x:t xml:space="preserve">光学光电子</x:t>
        </x:is>
      </x:c>
      <x:c r="I2324" s="2" t="inlineStr">
        <x:is>
          <x:t xml:space="preserve">2021-02-03</x:t>
        </x:is>
      </x:c>
      <x:c r="J2324" s="3" t="inlineStr">
        <x:is>
          <x:t xml:space="preserve">深圳市宝安区松岗街道潭头社区潭头石场房屋一101</x:t>
        </x:is>
      </x:c>
      <x:c r="K2324" s="12" t="str">
        <x:f>LEFT("91440300683778347J",18)</x:f>
        <x:v>91440300683778347J</x:v>
      </x:c>
    </x:row>
    <x:row r="2325">
      <x:c r="A2325" s="4" t="n">
        <x:v>2324</x:v>
      </x:c>
      <x:c r="B2325" s="4" t="inlineStr">
        <x:is>
          <x:t xml:space="preserve">300942</x:t>
        </x:is>
      </x:c>
      <x:c r="C2325" s="5" t="inlineStr">
        <x:is>
          <x:t xml:space="preserve">易瑞生物</x:t>
        </x:is>
      </x:c>
      <x:c r="D2325" s="5" t="inlineStr">
        <x:is>
          <x:t xml:space="preserve">深圳市易瑞生物技术股份有限公司</x:t>
        </x:is>
      </x:c>
      <x:c r="E2325" s="4" t="inlineStr">
        <x:is>
          <x:t xml:space="preserve">广东省</x:t>
        </x:is>
      </x:c>
      <x:c r="F2325" s="4" t="inlineStr">
        <x:is>
          <x:t xml:space="preserve">深圳市</x:t>
        </x:is>
      </x:c>
      <x:c r="G2325" s="5" t="inlineStr">
        <x:is>
          <x:t xml:space="preserve">广东省-深圳市</x:t>
        </x:is>
      </x:c>
      <x:c r="H2325" s="4" t="inlineStr">
        <x:is>
          <x:t xml:space="preserve">医药制造</x:t>
        </x:is>
      </x:c>
      <x:c r="I2325" s="4" t="inlineStr">
        <x:is>
          <x:t xml:space="preserve">2021-02-09</x:t>
        </x:is>
      </x:c>
      <x:c r="J2325" s="5" t="inlineStr">
        <x:is>
          <x:t xml:space="preserve">深圳市宝安区航城街道三围社区运昌路289号易瑞生物产业园2栋A101</x:t>
        </x:is>
      </x:c>
      <x:c r="K2325" s="12" t="str">
        <x:f>LEFT("914403006641998843",18)</x:f>
        <x:v>914403006641998800</x:v>
      </x:c>
    </x:row>
    <x:row r="2326">
      <x:c r="A2326" s="2" t="n">
        <x:v>2325</x:v>
      </x:c>
      <x:c r="B2326" s="2" t="inlineStr">
        <x:is>
          <x:t xml:space="preserve">300949</x:t>
        </x:is>
      </x:c>
      <x:c r="C2326" s="3" t="inlineStr">
        <x:is>
          <x:t xml:space="preserve">奥雅股份</x:t>
        </x:is>
      </x:c>
      <x:c r="D2326" s="3" t="inlineStr">
        <x:is>
          <x:t xml:space="preserve">深圳奥雅设计股份有限公司</x:t>
        </x:is>
      </x:c>
      <x:c r="E2326" s="2" t="inlineStr">
        <x:is>
          <x:t xml:space="preserve">广东省</x:t>
        </x:is>
      </x:c>
      <x:c r="F2326" s="2" t="inlineStr">
        <x:is>
          <x:t xml:space="preserve">深圳市</x:t>
        </x:is>
      </x:c>
      <x:c r="G2326" s="3" t="inlineStr">
        <x:is>
          <x:t xml:space="preserve">广东省-深圳市</x:t>
        </x:is>
      </x:c>
      <x:c r="H2326" s="2" t="inlineStr">
        <x:is>
          <x:t xml:space="preserve">园林工程</x:t>
        </x:is>
      </x:c>
      <x:c r="I2326" s="2" t="inlineStr">
        <x:is>
          <x:t xml:space="preserve">2021-02-26</x:t>
        </x:is>
      </x:c>
      <x:c r="J2326" s="3" t="inlineStr">
        <x:is>
          <x:t xml:space="preserve">深圳市南山区招商街道水湾社区太子路5号新时代广场(二期)1号楼1901-1905</x:t>
        </x:is>
      </x:c>
      <x:c r="K2326" s="12" t="str">
        <x:f>LEFT("91440300734157226Q",18)</x:f>
        <x:v>91440300734157226Q</x:v>
      </x:c>
    </x:row>
    <x:row r="2327">
      <x:c r="A2327" s="4" t="n">
        <x:v>2326</x:v>
      </x:c>
      <x:c r="B2327" s="4" t="inlineStr">
        <x:is>
          <x:t xml:space="preserve">300951</x:t>
        </x:is>
      </x:c>
      <x:c r="C2327" s="5" t="inlineStr">
        <x:is>
          <x:t xml:space="preserve">博硕科技</x:t>
        </x:is>
      </x:c>
      <x:c r="D2327" s="5" t="inlineStr">
        <x:is>
          <x:t xml:space="preserve">深圳市博硕科技股份有限公司</x:t>
        </x:is>
      </x:c>
      <x:c r="E2327" s="4" t="inlineStr">
        <x:is>
          <x:t xml:space="preserve">广东省</x:t>
        </x:is>
      </x:c>
      <x:c r="F2327" s="4" t="inlineStr">
        <x:is>
          <x:t xml:space="preserve">深圳市</x:t>
        </x:is>
      </x:c>
      <x:c r="G2327" s="5" t="inlineStr">
        <x:is>
          <x:t xml:space="preserve">广东省-深圳市</x:t>
        </x:is>
      </x:c>
      <x:c r="H2327" s="4" t="inlineStr">
        <x:is>
          <x:t xml:space="preserve">消费电子</x:t>
        </x:is>
      </x:c>
      <x:c r="I2327" s="4" t="inlineStr">
        <x:is>
          <x:t xml:space="preserve">2021-02-26</x:t>
        </x:is>
      </x:c>
      <x:c r="J2327" s="5" t="inlineStr">
        <x:is>
          <x:t xml:space="preserve">深圳市龙岗区宝龙街道同乐社区水田路26号</x:t>
        </x:is>
      </x:c>
      <x:c r="K2327" s="12" t="str">
        <x:f>LEFT("91440300MA5DK1296K",18)</x:f>
        <x:v>91440300MA5DK1296K</x:v>
      </x:c>
    </x:row>
    <x:row r="2328">
      <x:c r="A2328" s="2" t="n">
        <x:v>2327</x:v>
      </x:c>
      <x:c r="B2328" s="2" t="inlineStr">
        <x:is>
          <x:t xml:space="preserve">300960</x:t>
        </x:is>
      </x:c>
      <x:c r="C2328" s="3" t="inlineStr">
        <x:is>
          <x:t xml:space="preserve">通业科技</x:t>
        </x:is>
      </x:c>
      <x:c r="D2328" s="3" t="inlineStr">
        <x:is>
          <x:t xml:space="preserve">深圳通业科技股份有限公司</x:t>
        </x:is>
      </x:c>
      <x:c r="E2328" s="2" t="inlineStr">
        <x:is>
          <x:t xml:space="preserve">广东省</x:t>
        </x:is>
      </x:c>
      <x:c r="F2328" s="2" t="inlineStr">
        <x:is>
          <x:t xml:space="preserve">深圳市</x:t>
        </x:is>
      </x:c>
      <x:c r="G2328" s="3" t="inlineStr">
        <x:is>
          <x:t xml:space="preserve">广东省-深圳市</x:t>
        </x:is>
      </x:c>
      <x:c r="H2328" s="2" t="inlineStr">
        <x:is>
          <x:t xml:space="preserve">交运设备</x:t>
        </x:is>
      </x:c>
      <x:c r="I2328" s="2" t="inlineStr">
        <x:is>
          <x:t xml:space="preserve">2021-03-29</x:t>
        </x:is>
      </x:c>
      <x:c r="J2328" s="3" t="inlineStr">
        <x:is>
          <x:t xml:space="preserve">深圳市龙华区观澜街道桂花社区观光路1231号美泰工业园3栋厂房101</x:t>
        </x:is>
      </x:c>
      <x:c r="K2328" s="12" t="str">
        <x:f>LEFT("91440300726171714C",18)</x:f>
        <x:v>91440300726171714C</x:v>
      </x:c>
    </x:row>
    <x:row r="2329">
      <x:c r="A2329" s="4" t="n">
        <x:v>2328</x:v>
      </x:c>
      <x:c r="B2329" s="4" t="inlineStr">
        <x:is>
          <x:t xml:space="preserve">300961</x:t>
        </x:is>
      </x:c>
      <x:c r="C2329" s="5" t="inlineStr">
        <x:is>
          <x:t xml:space="preserve">深水海纳</x:t>
        </x:is>
      </x:c>
      <x:c r="D2329" s="5" t="inlineStr">
        <x:is>
          <x:t xml:space="preserve">深水海纳水务集团股份有限公司</x:t>
        </x:is>
      </x:c>
      <x:c r="E2329" s="4" t="inlineStr">
        <x:is>
          <x:t xml:space="preserve">广东省</x:t>
        </x:is>
      </x:c>
      <x:c r="F2329" s="4" t="inlineStr">
        <x:is>
          <x:t xml:space="preserve">深圳市</x:t>
        </x:is>
      </x:c>
      <x:c r="G2329" s="5" t="inlineStr">
        <x:is>
          <x:t xml:space="preserve">广东省-深圳市</x:t>
        </x:is>
      </x:c>
      <x:c r="H2329" s="4" t="inlineStr">
        <x:is>
          <x:t xml:space="preserve">环保工程</x:t>
        </x:is>
      </x:c>
      <x:c r="I2329" s="4" t="inlineStr">
        <x:is>
          <x:t xml:space="preserve">2021-03-30</x:t>
        </x:is>
      </x:c>
      <x:c r="J2329" s="5" t="inlineStr">
        <x:is>
          <x:t xml:space="preserve">广东省深圳市南山区西丽街道西丽社区打石一路深圳国际创新谷六栋B座19层、A座19层</x:t>
        </x:is>
      </x:c>
      <x:c r="K2329" s="12" t="str">
        <x:f>LEFT("914403007285898906",18)</x:f>
        <x:v>914403007285898900</x:v>
      </x:c>
    </x:row>
    <x:row r="2330">
      <x:c r="A2330" s="2" t="n">
        <x:v>2329</x:v>
      </x:c>
      <x:c r="B2330" s="2" t="inlineStr">
        <x:is>
          <x:t xml:space="preserve">300962</x:t>
        </x:is>
      </x:c>
      <x:c r="C2330" s="3" t="inlineStr">
        <x:is>
          <x:t xml:space="preserve">中金辐照</x:t>
        </x:is>
      </x:c>
      <x:c r="D2330" s="3" t="inlineStr">
        <x:is>
          <x:t xml:space="preserve">中金辐照股份有限公司</x:t>
        </x:is>
      </x:c>
      <x:c r="E2330" s="2" t="inlineStr">
        <x:is>
          <x:t xml:space="preserve">广东省</x:t>
        </x:is>
      </x:c>
      <x:c r="F2330" s="2" t="inlineStr">
        <x:is>
          <x:t xml:space="preserve">深圳市</x:t>
        </x:is>
      </x:c>
      <x:c r="G2330" s="3" t="inlineStr">
        <x:is>
          <x:t xml:space="preserve">广东省-深圳市</x:t>
        </x:is>
      </x:c>
      <x:c r="H2330" s="2" t="inlineStr">
        <x:is>
          <x:t xml:space="preserve">专业服务</x:t>
        </x:is>
      </x:c>
      <x:c r="I2330" s="2" t="inlineStr">
        <x:is>
          <x:t xml:space="preserve">2021-04-09</x:t>
        </x:is>
      </x:c>
      <x:c r="J2330" s="3" t="inlineStr">
        <x:is>
          <x:t xml:space="preserve">深圳市罗湖区东晓街道绿景社区布吉路1028号中设广场B栋19层</x:t>
        </x:is>
      </x:c>
      <x:c r="K2330" s="12" t="str">
        <x:f>LEFT("91440300754257216E",18)</x:f>
        <x:v>91440300754257216E</x:v>
      </x:c>
    </x:row>
    <x:row r="2331">
      <x:c r="A2331" s="4" t="n">
        <x:v>2330</x:v>
      </x:c>
      <x:c r="B2331" s="4" t="inlineStr">
        <x:is>
          <x:t xml:space="preserve">300968</x:t>
        </x:is>
      </x:c>
      <x:c r="C2331" s="5" t="inlineStr">
        <x:is>
          <x:t xml:space="preserve">格林精密</x:t>
        </x:is>
      </x:c>
      <x:c r="D2331" s="5" t="inlineStr">
        <x:is>
          <x:t xml:space="preserve">广东格林精密部件股份有限公司</x:t>
        </x:is>
      </x:c>
      <x:c r="E2331" s="4" t="inlineStr">
        <x:is>
          <x:t xml:space="preserve">广东省</x:t>
        </x:is>
      </x:c>
      <x:c r="F2331" s="4" t="inlineStr">
        <x:is>
          <x:t xml:space="preserve">惠州市</x:t>
        </x:is>
      </x:c>
      <x:c r="G2331" s="5" t="inlineStr">
        <x:is>
          <x:t xml:space="preserve">广东省-惠州市</x:t>
        </x:is>
      </x:c>
      <x:c r="H2331" s="4" t="inlineStr">
        <x:is>
          <x:t xml:space="preserve">消费电子</x:t>
        </x:is>
      </x:c>
      <x:c r="I2331" s="4" t="inlineStr">
        <x:is>
          <x:t xml:space="preserve">2021-04-15</x:t>
        </x:is>
      </x:c>
      <x:c r="J2331" s="5" t="inlineStr">
        <x:is>
          <x:t xml:space="preserve">惠州市三栋数码工业园</x:t>
        </x:is>
      </x:c>
      <x:c r="K2331" s="12" t="str">
        <x:f>LEFT("91441300738561402H",18)</x:f>
        <x:v>91441300738561402H</x:v>
      </x:c>
    </x:row>
    <x:row r="2332">
      <x:c r="A2332" s="2" t="n">
        <x:v>2331</x:v>
      </x:c>
      <x:c r="B2332" s="2" t="inlineStr">
        <x:is>
          <x:t xml:space="preserve">300973</x:t>
        </x:is>
      </x:c>
      <x:c r="C2332" s="3" t="inlineStr">
        <x:is>
          <x:t xml:space="preserve">立高食品</x:t>
        </x:is>
      </x:c>
      <x:c r="D2332" s="3" t="inlineStr">
        <x:is>
          <x:t xml:space="preserve">立高食品股份有限公司</x:t>
        </x:is>
      </x:c>
      <x:c r="E2332" s="2" t="inlineStr">
        <x:is>
          <x:t xml:space="preserve">广东省</x:t>
        </x:is>
      </x:c>
      <x:c r="F2332" s="2" t="inlineStr">
        <x:is>
          <x:t xml:space="preserve">广州市</x:t>
        </x:is>
      </x:c>
      <x:c r="G2332" s="3" t="inlineStr">
        <x:is>
          <x:t xml:space="preserve">广东省-广州市</x:t>
        </x:is>
      </x:c>
      <x:c r="H2332" s="2" t="inlineStr">
        <x:is>
          <x:t xml:space="preserve">食品饮料</x:t>
        </x:is>
      </x:c>
      <x:c r="I2332" s="2" t="inlineStr">
        <x:is>
          <x:t xml:space="preserve">2021-04-15</x:t>
        </x:is>
      </x:c>
      <x:c r="J2332" s="3" t="inlineStr">
        <x:is>
          <x:t xml:space="preserve">广州市增城石滩镇工业园平岭工业区</x:t>
        </x:is>
      </x:c>
      <x:c r="K2332" s="12" t="str">
        <x:f>LEFT("91440183721959625P",18)</x:f>
        <x:v>91440183721959625P</x:v>
      </x:c>
    </x:row>
    <x:row r="2333">
      <x:c r="A2333" s="4" t="n">
        <x:v>2332</x:v>
      </x:c>
      <x:c r="B2333" s="4" t="inlineStr">
        <x:is>
          <x:t xml:space="preserve">300976</x:t>
        </x:is>
      </x:c>
      <x:c r="C2333" s="5" t="inlineStr">
        <x:is>
          <x:t xml:space="preserve">达瑞电子</x:t>
        </x:is>
      </x:c>
      <x:c r="D2333" s="5" t="inlineStr">
        <x:is>
          <x:t xml:space="preserve">东莞市达瑞电子股份有限公司</x:t>
        </x:is>
      </x:c>
      <x:c r="E2333" s="4" t="inlineStr">
        <x:is>
          <x:t xml:space="preserve">广东省</x:t>
        </x:is>
      </x:c>
      <x:c r="F2333" s="4" t="inlineStr">
        <x:is>
          <x:t xml:space="preserve">东莞市</x:t>
        </x:is>
      </x:c>
      <x:c r="G2333" s="5" t="inlineStr">
        <x:is>
          <x:t xml:space="preserve">广东省-东莞市</x:t>
        </x:is>
      </x:c>
      <x:c r="H2333" s="4" t="inlineStr">
        <x:is>
          <x:t xml:space="preserve">消费电子</x:t>
        </x:is>
      </x:c>
      <x:c r="I2333" s="4" t="inlineStr">
        <x:is>
          <x:t xml:space="preserve">2021-04-19</x:t>
        </x:is>
      </x:c>
      <x:c r="J2333" s="5" t="inlineStr">
        <x:is>
          <x:t xml:space="preserve">广东省东莞市洪梅镇洪金路48号</x:t>
        </x:is>
      </x:c>
      <x:c r="K2333" s="12" t="str">
        <x:f>LEFT("914419007545102854",18)</x:f>
        <x:v>914419007545102800</x:v>
      </x:c>
    </x:row>
    <x:row r="2334">
      <x:c r="A2334" s="2" t="n">
        <x:v>2333</x:v>
      </x:c>
      <x:c r="B2334" s="2" t="inlineStr">
        <x:is>
          <x:t xml:space="preserve">300977</x:t>
        </x:is>
      </x:c>
      <x:c r="C2334" s="3" t="inlineStr">
        <x:is>
          <x:t xml:space="preserve">深圳瑞捷</x:t>
        </x:is>
      </x:c>
      <x:c r="D2334" s="3" t="inlineStr">
        <x:is>
          <x:t xml:space="preserve">深圳瑞捷技术股份有限公司</x:t>
        </x:is>
      </x:c>
      <x:c r="E2334" s="2" t="inlineStr">
        <x:is>
          <x:t xml:space="preserve">广东省</x:t>
        </x:is>
      </x:c>
      <x:c r="F2334" s="2" t="inlineStr">
        <x:is>
          <x:t xml:space="preserve">深圳市</x:t>
        </x:is>
      </x:c>
      <x:c r="G2334" s="3" t="inlineStr">
        <x:is>
          <x:t xml:space="preserve">广东省-深圳市</x:t>
        </x:is>
      </x:c>
      <x:c r="H2334" s="2" t="inlineStr">
        <x:is>
          <x:t xml:space="preserve">工程咨询服务</x:t>
        </x:is>
      </x:c>
      <x:c r="I2334" s="2" t="inlineStr">
        <x:is>
          <x:t xml:space="preserve">2021-04-20</x:t>
        </x:is>
      </x:c>
      <x:c r="J2334" s="3" t="inlineStr">
        <x:is>
          <x:t xml:space="preserve">深圳市龙岗区坂田街道南坑社区雅星路8号星河WORLD双子塔.东塔26层</x:t>
        </x:is>
      </x:c>
      <x:c r="K2334" s="12" t="str">
        <x:f>LEFT("91440300553899896Q",18)</x:f>
        <x:v>91440300553899896Q</x:v>
      </x:c>
    </x:row>
    <x:row r="2335">
      <x:c r="A2335" s="4" t="n">
        <x:v>2334</x:v>
      </x:c>
      <x:c r="B2335" s="4" t="inlineStr">
        <x:is>
          <x:t xml:space="preserve">300978</x:t>
        </x:is>
      </x:c>
      <x:c r="C2335" s="5" t="inlineStr">
        <x:is>
          <x:t xml:space="preserve">东箭科技</x:t>
        </x:is>
      </x:c>
      <x:c r="D2335" s="5" t="inlineStr">
        <x:is>
          <x:t xml:space="preserve">广东东箭汽车科技股份有限公司</x:t>
        </x:is>
      </x:c>
      <x:c r="E2335" s="4" t="inlineStr">
        <x:is>
          <x:t xml:space="preserve">广东省</x:t>
        </x:is>
      </x:c>
      <x:c r="F2335" s="4" t="inlineStr">
        <x:is>
          <x:t xml:space="preserve">佛山市</x:t>
        </x:is>
      </x:c>
      <x:c r="G2335" s="5" t="inlineStr">
        <x:is>
          <x:t xml:space="preserve">广东省-佛山市</x:t>
        </x:is>
      </x:c>
      <x:c r="H2335" s="4" t="inlineStr">
        <x:is>
          <x:t xml:space="preserve">汽车行业</x:t>
        </x:is>
      </x:c>
      <x:c r="I2335" s="4" t="inlineStr">
        <x:is>
          <x:t xml:space="preserve">2021-04-26</x:t>
        </x:is>
      </x:c>
      <x:c r="J2335" s="5" t="inlineStr">
        <x:is>
          <x:t xml:space="preserve">佛山市顺德区乐从镇乐从大道西B333号</x:t>
        </x:is>
      </x:c>
      <x:c r="K2335" s="12" t="str">
        <x:f>LEFT("91440606752097773B",18)</x:f>
        <x:v>91440606752097773B</x:v>
      </x:c>
    </x:row>
    <x:row r="2336">
      <x:c r="A2336" s="2" t="n">
        <x:v>2335</x:v>
      </x:c>
      <x:c r="B2336" s="2" t="inlineStr">
        <x:is>
          <x:t xml:space="preserve">300979</x:t>
        </x:is>
      </x:c>
      <x:c r="C2336" s="3" t="inlineStr">
        <x:is>
          <x:t xml:space="preserve">华利集团</x:t>
        </x:is>
      </x:c>
      <x:c r="D2336" s="3" t="inlineStr">
        <x:is>
          <x:t xml:space="preserve">中山华利实业集团股份有限公司</x:t>
        </x:is>
      </x:c>
      <x:c r="E2336" s="2" t="inlineStr">
        <x:is>
          <x:t xml:space="preserve">广东省</x:t>
        </x:is>
      </x:c>
      <x:c r="F2336" s="2" t="inlineStr">
        <x:is>
          <x:t xml:space="preserve">中山市</x:t>
        </x:is>
      </x:c>
      <x:c r="G2336" s="3" t="inlineStr">
        <x:is>
          <x:t xml:space="preserve">广东省-中山市</x:t>
        </x:is>
      </x:c>
      <x:c r="H2336" s="2" t="inlineStr">
        <x:is>
          <x:t xml:space="preserve">纺织服装</x:t>
        </x:is>
      </x:c>
      <x:c r="I2336" s="2" t="inlineStr">
        <x:is>
          <x:t xml:space="preserve">2021-04-26</x:t>
        </x:is>
      </x:c>
      <x:c r="J2336" s="3" t="inlineStr">
        <x:is>
          <x:t xml:space="preserve">广东省中山市火炬开发区世纪一路2号第3栋厂房1楼</x:t>
        </x:is>
      </x:c>
      <x:c r="K2336" s="12" t="str">
        <x:f>LEFT("914420007665649509",18)</x:f>
        <x:v>914420007665649500</x:v>
      </x:c>
    </x:row>
    <x:row r="2337">
      <x:c r="A2337" s="4" t="n">
        <x:v>2336</x:v>
      </x:c>
      <x:c r="B2337" s="4" t="inlineStr">
        <x:is>
          <x:t xml:space="preserve">300989</x:t>
        </x:is>
      </x:c>
      <x:c r="C2337" s="5" t="inlineStr">
        <x:is>
          <x:t xml:space="preserve">蕾奥规划</x:t>
        </x:is>
      </x:c>
      <x:c r="D2337" s="5" t="inlineStr">
        <x:is>
          <x:t xml:space="preserve">深圳市蕾奥规划设计咨询股份有限公司</x:t>
        </x:is>
      </x:c>
      <x:c r="E2337" s="4" t="inlineStr">
        <x:is>
          <x:t xml:space="preserve">广东省</x:t>
        </x:is>
      </x:c>
      <x:c r="F2337" s="4" t="inlineStr">
        <x:is>
          <x:t xml:space="preserve">深圳市</x:t>
        </x:is>
      </x:c>
      <x:c r="G2337" s="5" t="inlineStr">
        <x:is>
          <x:t xml:space="preserve">广东省-深圳市</x:t>
        </x:is>
      </x:c>
      <x:c r="H2337" s="4" t="inlineStr">
        <x:is>
          <x:t xml:space="preserve">工程咨询服务</x:t>
        </x:is>
      </x:c>
      <x:c r="I2337" s="4" t="inlineStr">
        <x:is>
          <x:t xml:space="preserve">2021-05-07</x:t>
        </x:is>
      </x:c>
      <x:c r="J2337" s="5" t="inlineStr">
        <x:is>
          <x:t xml:space="preserve">深圳市福田区华富街道新田社区深南大道1006号深圳国际创新中心C座二十一层</x:t>
        </x:is>
      </x:c>
      <x:c r="K2337" s="12" t="str">
        <x:f>LEFT("914403006748035555",18)</x:f>
        <x:v>914403006748035600</x:v>
      </x:c>
    </x:row>
    <x:row r="2338">
      <x:c r="A2338" s="2" t="n">
        <x:v>2337</x:v>
      </x:c>
      <x:c r="B2338" s="2" t="inlineStr">
        <x:is>
          <x:t xml:space="preserve">300991</x:t>
        </x:is>
      </x:c>
      <x:c r="C2338" s="3" t="inlineStr">
        <x:is>
          <x:t xml:space="preserve">创益通</x:t>
        </x:is>
      </x:c>
      <x:c r="D2338" s="3" t="inlineStr">
        <x:is>
          <x:t xml:space="preserve">深圳市创益通技术股份有限公司</x:t>
        </x:is>
      </x:c>
      <x:c r="E2338" s="2" t="inlineStr">
        <x:is>
          <x:t xml:space="preserve">广东省</x:t>
        </x:is>
      </x:c>
      <x:c r="F2338" s="2" t="inlineStr">
        <x:is>
          <x:t xml:space="preserve">深圳市</x:t>
        </x:is>
      </x:c>
      <x:c r="G2338" s="3" t="inlineStr">
        <x:is>
          <x:t xml:space="preserve">广东省-深圳市</x:t>
        </x:is>
      </x:c>
      <x:c r="H2338" s="2" t="inlineStr">
        <x:is>
          <x:t xml:space="preserve">电子元件</x:t>
        </x:is>
      </x:c>
      <x:c r="I2338" s="2" t="inlineStr">
        <x:is>
          <x:t xml:space="preserve">2021-05-20</x:t>
        </x:is>
      </x:c>
      <x:c r="J2338" s="3" t="inlineStr">
        <x:is>
          <x:t xml:space="preserve">深圳市光明区凤凰街道东坑社区长丰工业园第4栋101-501、第11栋</x:t>
        </x:is>
      </x:c>
      <x:c r="K2338" s="12" t="str">
        <x:f>LEFT("914403007542827966",18)</x:f>
        <x:v>914403007542827900</x:v>
      </x:c>
    </x:row>
    <x:row r="2339">
      <x:c r="A2339" s="4" t="n">
        <x:v>2338</x:v>
      </x:c>
      <x:c r="B2339" s="4" t="inlineStr">
        <x:is>
          <x:t xml:space="preserve">300995</x:t>
        </x:is>
      </x:c>
      <x:c r="C2339" s="5" t="inlineStr">
        <x:is>
          <x:t xml:space="preserve">奇德新材</x:t>
        </x:is>
      </x:c>
      <x:c r="D2339" s="5" t="inlineStr">
        <x:is>
          <x:t xml:space="preserve">广东奇德新材料股份有限公司</x:t>
        </x:is>
      </x:c>
      <x:c r="E2339" s="4" t="inlineStr">
        <x:is>
          <x:t xml:space="preserve">广东省</x:t>
        </x:is>
      </x:c>
      <x:c r="F2339" s="4" t="inlineStr">
        <x:is>
          <x:t xml:space="preserve">江门市</x:t>
        </x:is>
      </x:c>
      <x:c r="G2339" s="5" t="inlineStr">
        <x:is>
          <x:t xml:space="preserve">广东省-江门市</x:t>
        </x:is>
      </x:c>
      <x:c r="H2339" s="4" t="inlineStr">
        <x:is>
          <x:t xml:space="preserve">塑胶制品</x:t>
        </x:is>
      </x:c>
      <x:c r="I2339" s="4" t="inlineStr">
        <x:is>
          <x:t xml:space="preserve">2021-05-26</x:t>
        </x:is>
      </x:c>
      <x:c r="J2339" s="5" t="inlineStr">
        <x:is>
          <x:t xml:space="preserve">江门市江海区连海路323号</x:t>
        </x:is>
      </x:c>
      <x:c r="K2339" s="12" t="str">
        <x:f>LEFT("91440700665032613L",18)</x:f>
        <x:v>91440700665032613L</x:v>
      </x:c>
    </x:row>
    <x:row r="2340">
      <x:c r="A2340" s="2" t="n">
        <x:v>2339</x:v>
      </x:c>
      <x:c r="B2340" s="2" t="inlineStr">
        <x:is>
          <x:t xml:space="preserve">300997</x:t>
        </x:is>
      </x:c>
      <x:c r="C2340" s="3" t="inlineStr">
        <x:is>
          <x:t xml:space="preserve">欢乐家</x:t>
        </x:is>
      </x:c>
      <x:c r="D2340" s="3" t="inlineStr">
        <x:is>
          <x:t xml:space="preserve">欢乐家食品集团股份有限公司</x:t>
        </x:is>
      </x:c>
      <x:c r="E2340" s="2" t="inlineStr">
        <x:is>
          <x:t xml:space="preserve">广东省</x:t>
        </x:is>
      </x:c>
      <x:c r="F2340" s="2" t="inlineStr">
        <x:is>
          <x:t xml:space="preserve">湛江市</x:t>
        </x:is>
      </x:c>
      <x:c r="G2340" s="3" t="inlineStr">
        <x:is>
          <x:t xml:space="preserve">广东省-湛江市</x:t>
        </x:is>
      </x:c>
      <x:c r="H2340" s="2" t="inlineStr">
        <x:is>
          <x:t xml:space="preserve">食品饮料</x:t>
        </x:is>
      </x:c>
      <x:c r="I2340" s="2" t="inlineStr">
        <x:is>
          <x:t xml:space="preserve">2021-06-02</x:t>
        </x:is>
      </x:c>
      <x:c r="J2340" s="3" t="inlineStr">
        <x:is>
          <x:t xml:space="preserve">湛江市开发区人民大道中71号欢乐家大厦28层、29层、31层、32层</x:t>
        </x:is>
      </x:c>
      <x:c r="K2340" s="12" t="str">
        <x:f>LEFT("9144080073412036XR",18)</x:f>
        <x:v>9144080073412036XR</x:v>
      </x:c>
    </x:row>
    <x:row r="2341">
      <x:c r="A2341" s="4" t="n">
        <x:v>2340</x:v>
      </x:c>
      <x:c r="B2341" s="4" t="inlineStr">
        <x:is>
          <x:t xml:space="preserve">301002</x:t>
        </x:is>
      </x:c>
      <x:c r="C2341" s="5" t="inlineStr">
        <x:is>
          <x:t xml:space="preserve">崧盛股份</x:t>
        </x:is>
      </x:c>
      <x:c r="D2341" s="5" t="inlineStr">
        <x:is>
          <x:t xml:space="preserve">深圳市崧盛电子股份有限公司</x:t>
        </x:is>
      </x:c>
      <x:c r="E2341" s="4" t="inlineStr">
        <x:is>
          <x:t xml:space="preserve">广东省</x:t>
        </x:is>
      </x:c>
      <x:c r="F2341" s="4" t="inlineStr">
        <x:is>
          <x:t xml:space="preserve">深圳市</x:t>
        </x:is>
      </x:c>
      <x:c r="G2341" s="5" t="inlineStr">
        <x:is>
          <x:t xml:space="preserve">广东省-深圳市</x:t>
        </x:is>
      </x:c>
      <x:c r="H2341" s="4" t="inlineStr">
        <x:is>
          <x:t xml:space="preserve">电网设备</x:t>
        </x:is>
      </x:c>
      <x:c r="I2341" s="4" t="inlineStr">
        <x:is>
          <x:t xml:space="preserve">2021-06-07</x:t>
        </x:is>
      </x:c>
      <x:c r="J2341" s="5" t="inlineStr">
        <x:is>
          <x:t xml:space="preserve">深圳市宝安区新桥街道新桥社区中心路233号鹏展汇1栋1001</x:t>
        </x:is>
      </x:c>
      <x:c r="K2341" s="12" t="str">
        <x:f>LEFT("914403005788341837",18)</x:f>
        <x:v>914403005788341900</x:v>
      </x:c>
    </x:row>
    <x:row r="2342">
      <x:c r="A2342" s="2" t="n">
        <x:v>2341</x:v>
      </x:c>
      <x:c r="B2342" s="2" t="inlineStr">
        <x:is>
          <x:t xml:space="preserve">301011</x:t>
        </x:is>
      </x:c>
      <x:c r="C2342" s="3" t="inlineStr">
        <x:is>
          <x:t xml:space="preserve">华立科技</x:t>
        </x:is>
      </x:c>
      <x:c r="D2342" s="3" t="inlineStr">
        <x:is>
          <x:t xml:space="preserve">广州华立科技股份有限公司</x:t>
        </x:is>
      </x:c>
      <x:c r="E2342" s="2" t="inlineStr">
        <x:is>
          <x:t xml:space="preserve">广东省</x:t>
        </x:is>
      </x:c>
      <x:c r="F2342" s="2" t="inlineStr">
        <x:is>
          <x:t xml:space="preserve">广州市</x:t>
        </x:is>
      </x:c>
      <x:c r="G2342" s="3" t="inlineStr">
        <x:is>
          <x:t xml:space="preserve">广东省-广州市</x:t>
        </x:is>
      </x:c>
      <x:c r="H2342" s="2" t="inlineStr">
        <x:is>
          <x:t xml:space="preserve">专用设备</x:t>
        </x:is>
      </x:c>
      <x:c r="I2342" s="2" t="inlineStr">
        <x:is>
          <x:t xml:space="preserve">2021-06-17</x:t>
        </x:is>
      </x:c>
      <x:c r="J2342" s="3" t="inlineStr">
        <x:is>
          <x:t xml:space="preserve">广东省广州市番禺区石碁镇莲运二横路28号(1-8层)</x:t>
        </x:is>
      </x:c>
      <x:c r="K2342" s="12" t="str">
        <x:f>LEFT("91440101560210161K",18)</x:f>
        <x:v>91440101560210161K</x:v>
      </x:c>
    </x:row>
    <x:row r="2343">
      <x:c r="A2343" s="4" t="n">
        <x:v>2342</x:v>
      </x:c>
      <x:c r="B2343" s="4" t="inlineStr">
        <x:is>
          <x:t xml:space="preserve">301013</x:t>
        </x:is>
      </x:c>
      <x:c r="C2343" s="5" t="inlineStr">
        <x:is>
          <x:t xml:space="preserve">利和兴</x:t>
        </x:is>
      </x:c>
      <x:c r="D2343" s="5" t="inlineStr">
        <x:is>
          <x:t xml:space="preserve">深圳市利和兴股份有限公司</x:t>
        </x:is>
      </x:c>
      <x:c r="E2343" s="4" t="inlineStr">
        <x:is>
          <x:t xml:space="preserve">广东省</x:t>
        </x:is>
      </x:c>
      <x:c r="F2343" s="4" t="inlineStr">
        <x:is>
          <x:t xml:space="preserve">深圳市</x:t>
        </x:is>
      </x:c>
      <x:c r="G2343" s="5" t="inlineStr">
        <x:is>
          <x:t xml:space="preserve">广东省-深圳市</x:t>
        </x:is>
      </x:c>
      <x:c r="H2343" s="4" t="inlineStr">
        <x:is>
          <x:t xml:space="preserve">专用设备</x:t>
        </x:is>
      </x:c>
      <x:c r="I2343" s="4" t="inlineStr">
        <x:is>
          <x:t xml:space="preserve">2021-06-29</x:t>
        </x:is>
      </x:c>
      <x:c r="J2343" s="5" t="inlineStr">
        <x:is>
          <x:t xml:space="preserve">深圳市龙华区观湖街道松轩社区环观中路308号立伟工业园厂房四102</x:t>
        </x:is>
      </x:c>
      <x:c r="K2343" s="12" t="str">
        <x:f>LEFT("91440300783928031P",18)</x:f>
        <x:v>91440300783928031P</x:v>
      </x:c>
    </x:row>
    <x:row r="2344">
      <x:c r="A2344" s="2" t="n">
        <x:v>2343</x:v>
      </x:c>
      <x:c r="B2344" s="2" t="inlineStr">
        <x:is>
          <x:t xml:space="preserve">301018</x:t>
        </x:is>
      </x:c>
      <x:c r="C2344" s="3" t="inlineStr">
        <x:is>
          <x:t xml:space="preserve">申菱环境</x:t>
        </x:is>
      </x:c>
      <x:c r="D2344" s="3" t="inlineStr">
        <x:is>
          <x:t xml:space="preserve">广东申菱环境系统股份有限公司</x:t>
        </x:is>
      </x:c>
      <x:c r="E2344" s="2" t="inlineStr">
        <x:is>
          <x:t xml:space="preserve">广东省</x:t>
        </x:is>
      </x:c>
      <x:c r="F2344" s="2" t="inlineStr">
        <x:is>
          <x:t xml:space="preserve">佛山市</x:t>
        </x:is>
      </x:c>
      <x:c r="G2344" s="3" t="inlineStr">
        <x:is>
          <x:t xml:space="preserve">广东省-佛山市</x:t>
        </x:is>
      </x:c>
      <x:c r="H2344" s="2" t="inlineStr">
        <x:is>
          <x:t xml:space="preserve">专用设备</x:t>
        </x:is>
      </x:c>
      <x:c r="I2344" s="2" t="inlineStr">
        <x:is>
          <x:t xml:space="preserve">2021-07-07</x:t>
        </x:is>
      </x:c>
      <x:c r="J2344" s="3" t="inlineStr">
        <x:is>
          <x:t xml:space="preserve">广东省佛山市顺德区陈村镇机械装备园兴隆十路8号</x:t>
        </x:is>
      </x:c>
      <x:c r="K2344" s="12" t="str">
        <x:f>LEFT("914406067243530987",18)</x:f>
        <x:v>914406067243531000</x:v>
      </x:c>
    </x:row>
    <x:row r="2345">
      <x:c r="A2345" s="4" t="n">
        <x:v>2344</x:v>
      </x:c>
      <x:c r="B2345" s="4" t="inlineStr">
        <x:is>
          <x:t xml:space="preserve">301021</x:t>
        </x:is>
      </x:c>
      <x:c r="C2345" s="5" t="inlineStr">
        <x:is>
          <x:t xml:space="preserve">英诺激光</x:t>
        </x:is>
      </x:c>
      <x:c r="D2345" s="5" t="inlineStr">
        <x:is>
          <x:t xml:space="preserve">英诺激光科技股份有限公司</x:t>
        </x:is>
      </x:c>
      <x:c r="E2345" s="4" t="inlineStr">
        <x:is>
          <x:t xml:space="preserve">广东省</x:t>
        </x:is>
      </x:c>
      <x:c r="F2345" s="4" t="inlineStr">
        <x:is>
          <x:t xml:space="preserve">深圳市</x:t>
        </x:is>
      </x:c>
      <x:c r="G2345" s="5" t="inlineStr">
        <x:is>
          <x:t xml:space="preserve">广东省-深圳市</x:t>
        </x:is>
      </x:c>
      <x:c r="H2345" s="4" t="inlineStr">
        <x:is>
          <x:t xml:space="preserve">电子元件</x:t>
        </x:is>
      </x:c>
      <x:c r="I2345" s="4" t="inlineStr">
        <x:is>
          <x:t xml:space="preserve">2021-07-06</x:t>
        </x:is>
      </x:c>
      <x:c r="J2345" s="5" t="inlineStr">
        <x:is>
          <x:t xml:space="preserve">深圳市南山区创智云城大厦(工业区)1标段1栋A座11层01号</x:t>
        </x:is>
      </x:c>
      <x:c r="K2345" s="12" t="str">
        <x:f>LEFT("91440300585615966X",18)</x:f>
        <x:v>91440300585615966X</x:v>
      </x:c>
    </x:row>
    <x:row r="2346">
      <x:c r="A2346" s="2" t="n">
        <x:v>2345</x:v>
      </x:c>
      <x:c r="B2346" s="2" t="inlineStr">
        <x:is>
          <x:t xml:space="preserve">301029</x:t>
        </x:is>
      </x:c>
      <x:c r="C2346" s="3" t="inlineStr">
        <x:is>
          <x:t xml:space="preserve">怡合达</x:t>
        </x:is>
      </x:c>
      <x:c r="D2346" s="3" t="inlineStr">
        <x:is>
          <x:t xml:space="preserve">东莞怡合达自动化股份有限公司</x:t>
        </x:is>
      </x:c>
      <x:c r="E2346" s="2" t="inlineStr">
        <x:is>
          <x:t xml:space="preserve">广东省</x:t>
        </x:is>
      </x:c>
      <x:c r="F2346" s="2" t="inlineStr">
        <x:is>
          <x:t xml:space="preserve">东莞市</x:t>
        </x:is>
      </x:c>
      <x:c r="G2346" s="3" t="inlineStr">
        <x:is>
          <x:t xml:space="preserve">广东省-东莞市</x:t>
        </x:is>
      </x:c>
      <x:c r="H2346" s="2" t="inlineStr">
        <x:is>
          <x:t xml:space="preserve">机械行业</x:t>
        </x:is>
      </x:c>
      <x:c r="I2346" s="2" t="inlineStr">
        <x:is>
          <x:t xml:space="preserve">2021-07-23</x:t>
        </x:is>
      </x:c>
      <x:c r="J2346" s="3" t="inlineStr">
        <x:is>
          <x:t xml:space="preserve">广东省东莞市横沥镇村尾桃园二路33号</x:t>
        </x:is>
      </x:c>
      <x:c r="K2346" s="12" t="str">
        <x:f>LEFT("91441900566614589Q",18)</x:f>
        <x:v>91441900566614589Q</x:v>
      </x:c>
    </x:row>
    <x:row r="2347">
      <x:c r="A2347" s="4" t="n">
        <x:v>2346</x:v>
      </x:c>
      <x:c r="B2347" s="4" t="inlineStr">
        <x:is>
          <x:t xml:space="preserve">301033</x:t>
        </x:is>
      </x:c>
      <x:c r="C2347" s="5" t="inlineStr">
        <x:is>
          <x:t xml:space="preserve">迈普医学</x:t>
        </x:is>
      </x:c>
      <x:c r="D2347" s="5" t="inlineStr">
        <x:is>
          <x:t xml:space="preserve">广州迈普再生医学科技股份有限公司</x:t>
        </x:is>
      </x:c>
      <x:c r="E2347" s="4" t="inlineStr">
        <x:is>
          <x:t xml:space="preserve">广东省</x:t>
        </x:is>
      </x:c>
      <x:c r="F2347" s="4" t="inlineStr">
        <x:is>
          <x:t xml:space="preserve">广州市</x:t>
        </x:is>
      </x:c>
      <x:c r="G2347" s="5" t="inlineStr">
        <x:is>
          <x:t xml:space="preserve">广东省-广州市</x:t>
        </x:is>
      </x:c>
      <x:c r="H2347" s="4" t="inlineStr">
        <x:is>
          <x:t xml:space="preserve">医疗行业</x:t>
        </x:is>
      </x:c>
      <x:c r="I2347" s="4" t="inlineStr">
        <x:is>
          <x:t xml:space="preserve">2021-07-26</x:t>
        </x:is>
      </x:c>
      <x:c r="J2347" s="5" t="inlineStr">
        <x:is>
          <x:t xml:space="preserve">广州市黄埔区崖鹰石路3号</x:t>
        </x:is>
      </x:c>
      <x:c r="K2347" s="12" t="str">
        <x:f>LEFT("91440116679717541L",18)</x:f>
        <x:v>91440116679717541L</x:v>
      </x:c>
    </x:row>
    <x:row r="2348">
      <x:c r="A2348" s="2" t="n">
        <x:v>2347</x:v>
      </x:c>
      <x:c r="B2348" s="2" t="inlineStr">
        <x:is>
          <x:t xml:space="preserve">301038</x:t>
        </x:is>
      </x:c>
      <x:c r="C2348" s="3" t="inlineStr">
        <x:is>
          <x:t xml:space="preserve">深水规院</x:t>
        </x:is>
      </x:c>
      <x:c r="D2348" s="3" t="inlineStr">
        <x:is>
          <x:t xml:space="preserve">深圳市水务规划设计院股份有限公司</x:t>
        </x:is>
      </x:c>
      <x:c r="E2348" s="2" t="inlineStr">
        <x:is>
          <x:t xml:space="preserve">广东省</x:t>
        </x:is>
      </x:c>
      <x:c r="F2348" s="2" t="inlineStr">
        <x:is>
          <x:t xml:space="preserve">深圳市</x:t>
        </x:is>
      </x:c>
      <x:c r="G2348" s="3" t="inlineStr">
        <x:is>
          <x:t xml:space="preserve">广东省-深圳市</x:t>
        </x:is>
      </x:c>
      <x:c r="H2348" s="2" t="inlineStr">
        <x:is>
          <x:t xml:space="preserve">工程建设</x:t>
        </x:is>
      </x:c>
      <x:c r="I2348" s="2" t="inlineStr">
        <x:is>
          <x:t xml:space="preserve">2021-08-04</x:t>
        </x:is>
      </x:c>
      <x:c r="J2348" s="3" t="inlineStr">
        <x:is>
          <x:t xml:space="preserve">深圳市龙华区民治街道北站社区龙华设计产业园总部大厦4栋1301</x:t>
        </x:is>
      </x:c>
      <x:c r="K2348" s="12" t="str">
        <x:f>LEFT("91440300672999996A",18)</x:f>
        <x:v>91440300672999996A</x:v>
      </x:c>
    </x:row>
    <x:row r="2349">
      <x:c r="A2349" s="4" t="n">
        <x:v>2348</x:v>
      </x:c>
      <x:c r="B2349" s="4" t="inlineStr">
        <x:is>
          <x:t xml:space="preserve">301039</x:t>
        </x:is>
      </x:c>
      <x:c r="C2349" s="5" t="inlineStr">
        <x:is>
          <x:t xml:space="preserve">中集车辆</x:t>
        </x:is>
      </x:c>
      <x:c r="D2349" s="5" t="inlineStr">
        <x:is>
          <x:t xml:space="preserve">中集车辆(集团)股份有限公司</x:t>
        </x:is>
      </x:c>
      <x:c r="E2349" s="4" t="inlineStr">
        <x:is>
          <x:t xml:space="preserve">广东省</x:t>
        </x:is>
      </x:c>
      <x:c r="F2349" s="4" t="inlineStr">
        <x:is>
          <x:t xml:space="preserve">深圳市</x:t>
        </x:is>
      </x:c>
      <x:c r="G2349" s="5" t="inlineStr">
        <x:is>
          <x:t xml:space="preserve">广东省-深圳市</x:t>
        </x:is>
      </x:c>
      <x:c r="H2349" s="4" t="inlineStr">
        <x:is>
          <x:t xml:space="preserve">汽车整车</x:t>
        </x:is>
      </x:c>
      <x:c r="I2349" s="4" t="inlineStr">
        <x:is>
          <x:t xml:space="preserve">2021-07-08</x:t>
        </x:is>
      </x:c>
      <x:c r="J2349" s="5" t="inlineStr">
        <x:is>
          <x:t xml:space="preserve">中国广东省深圳市南山区蛇口港湾大道2号</x:t>
        </x:is>
      </x:c>
      <x:c r="K2349" s="12" t="str">
        <x:f>LEFT("91440300618919879N",18)</x:f>
        <x:v>91440300618919879N</x:v>
      </x:c>
    </x:row>
    <x:row r="2350">
      <x:c r="A2350" s="2" t="n">
        <x:v>2349</x:v>
      </x:c>
      <x:c r="B2350" s="2" t="inlineStr">
        <x:is>
          <x:t xml:space="preserve">301041</x:t>
        </x:is>
      </x:c>
      <x:c r="C2350" s="3" t="inlineStr">
        <x:is>
          <x:t xml:space="preserve">金百泽</x:t>
        </x:is>
      </x:c>
      <x:c r="D2350" s="3" t="inlineStr">
        <x:is>
          <x:t xml:space="preserve">深圳市金百泽电子科技股份有限公司</x:t>
        </x:is>
      </x:c>
      <x:c r="E2350" s="2" t="inlineStr">
        <x:is>
          <x:t xml:space="preserve">广东省</x:t>
        </x:is>
      </x:c>
      <x:c r="F2350" s="2" t="inlineStr">
        <x:is>
          <x:t xml:space="preserve">深圳市</x:t>
        </x:is>
      </x:c>
      <x:c r="G2350" s="3" t="inlineStr">
        <x:is>
          <x:t xml:space="preserve">广东省-深圳市</x:t>
        </x:is>
      </x:c>
      <x:c r="H2350" s="2" t="inlineStr">
        <x:is>
          <x:t xml:space="preserve">电子元件</x:t>
        </x:is>
      </x:c>
      <x:c r="I2350" s="2" t="inlineStr">
        <x:is>
          <x:t xml:space="preserve">2021-08-11</x:t>
        </x:is>
      </x:c>
      <x:c r="J2350" s="3" t="inlineStr">
        <x:is>
          <x:t xml:space="preserve">深圳市福田区梅林街道梅都社区中康路136号深圳新一代产业园1栋1501</x:t>
        </x:is>
      </x:c>
      <x:c r="K2350" s="12" t="str">
        <x:f>LEFT("914403002793441849",18)</x:f>
        <x:v>914403002793441800</x:v>
      </x:c>
    </x:row>
    <x:row r="2351">
      <x:c r="A2351" s="4" t="n">
        <x:v>2350</x:v>
      </x:c>
      <x:c r="B2351" s="4" t="inlineStr">
        <x:is>
          <x:t xml:space="preserve">301042</x:t>
        </x:is>
      </x:c>
      <x:c r="C2351" s="5" t="inlineStr">
        <x:is>
          <x:t xml:space="preserve">安联锐视</x:t>
        </x:is>
      </x:c>
      <x:c r="D2351" s="5" t="inlineStr">
        <x:is>
          <x:t xml:space="preserve">珠海安联锐视科技股份有限公司</x:t>
        </x:is>
      </x:c>
      <x:c r="E2351" s="4" t="inlineStr">
        <x:is>
          <x:t xml:space="preserve">广东省</x:t>
        </x:is>
      </x:c>
      <x:c r="F2351" s="4" t="inlineStr">
        <x:is>
          <x:t xml:space="preserve">珠海市</x:t>
        </x:is>
      </x:c>
      <x:c r="G2351" s="5" t="inlineStr">
        <x:is>
          <x:t xml:space="preserve">广东省-珠海市</x:t>
        </x:is>
      </x:c>
      <x:c r="H2351" s="4" t="inlineStr">
        <x:is>
          <x:t xml:space="preserve">安防设备</x:t>
        </x:is>
      </x:c>
      <x:c r="I2351" s="4" t="inlineStr">
        <x:is>
          <x:t xml:space="preserve">2021-08-05</x:t>
        </x:is>
      </x:c>
      <x:c r="J2351" s="5" t="inlineStr">
        <x:is>
          <x:t xml:space="preserve">珠海市国家高新区科技六路100号</x:t>
        </x:is>
      </x:c>
      <x:c r="K2351" s="12" t="str">
        <x:f>LEFT("91440400665003767C",18)</x:f>
        <x:v>91440400665003767C</x:v>
      </x:c>
    </x:row>
    <x:row r="2352">
      <x:c r="A2352" s="2" t="n">
        <x:v>2351</x:v>
      </x:c>
      <x:c r="B2352" s="2" t="inlineStr">
        <x:is>
          <x:t xml:space="preserve">301043</x:t>
        </x:is>
      </x:c>
      <x:c r="C2352" s="3" t="inlineStr">
        <x:is>
          <x:t xml:space="preserve">绿岛风</x:t>
        </x:is>
      </x:c>
      <x:c r="D2352" s="3" t="inlineStr">
        <x:is>
          <x:t xml:space="preserve">广东绿岛风空气系统股份有限公司</x:t>
        </x:is>
      </x:c>
      <x:c r="E2352" s="2" t="inlineStr">
        <x:is>
          <x:t xml:space="preserve">广东省</x:t>
        </x:is>
      </x:c>
      <x:c r="F2352" s="2" t="inlineStr">
        <x:is>
          <x:t xml:space="preserve">东省台山市</x:t>
        </x:is>
      </x:c>
      <x:c r="G2352" s="3" t="inlineStr">
        <x:is>
          <x:t xml:space="preserve">广东省-东省台山市</x:t>
        </x:is>
      </x:c>
      <x:c r="H2352" s="2" t="inlineStr">
        <x:is>
          <x:t xml:space="preserve">专用设备</x:t>
        </x:is>
      </x:c>
      <x:c r="I2352" s="2" t="inlineStr">
        <x:is>
          <x:t xml:space="preserve">2021-08-11</x:t>
        </x:is>
      </x:c>
      <x:c r="J2352" s="3" t="inlineStr">
        <x:is>
          <x:t xml:space="preserve">广东省台山市台城南兴路15号</x:t>
        </x:is>
      </x:c>
      <x:c r="K2352" s="12" t="str">
        <x:f>LEFT("91440781694705530J",18)</x:f>
        <x:v>91440781694705530J</x:v>
      </x:c>
    </x:row>
    <x:row r="2353">
      <x:c r="A2353" s="4" t="n">
        <x:v>2352</x:v>
      </x:c>
      <x:c r="B2353" s="4" t="inlineStr">
        <x:is>
          <x:t xml:space="preserve">301051</x:t>
        </x:is>
      </x:c>
      <x:c r="C2353" s="5" t="inlineStr">
        <x:is>
          <x:t xml:space="preserve">信濠光电</x:t>
        </x:is>
      </x:c>
      <x:c r="D2353" s="5" t="inlineStr">
        <x:is>
          <x:t xml:space="preserve">深圳市信濠光电科技股份有限公司</x:t>
        </x:is>
      </x:c>
      <x:c r="E2353" s="4" t="inlineStr">
        <x:is>
          <x:t xml:space="preserve">广东省</x:t>
        </x:is>
      </x:c>
      <x:c r="F2353" s="4" t="inlineStr">
        <x:is>
          <x:t xml:space="preserve">深圳市</x:t>
        </x:is>
      </x:c>
      <x:c r="G2353" s="5" t="inlineStr">
        <x:is>
          <x:t xml:space="preserve">广东省-深圳市</x:t>
        </x:is>
      </x:c>
      <x:c r="H2353" s="4" t="inlineStr">
        <x:is>
          <x:t xml:space="preserve">消费电子</x:t>
        </x:is>
      </x:c>
      <x:c r="I2353" s="4" t="inlineStr">
        <x:is>
          <x:t xml:space="preserve">2021-08-27</x:t>
        </x:is>
      </x:c>
      <x:c r="J2353" s="5" t="inlineStr">
        <x:is>
          <x:t xml:space="preserve">深圳市宝安区燕罗街道塘下涌社区松塘路18号行政大楼101</x:t>
        </x:is>
      </x:c>
      <x:c r="K2353" s="12" t="str">
        <x:f>LEFT("914403000846393454",18)</x:f>
        <x:v>914403000846393500</x:v>
      </x:c>
    </x:row>
    <x:row r="2354">
      <x:c r="A2354" s="2" t="n">
        <x:v>2353</x:v>
      </x:c>
      <x:c r="B2354" s="2" t="inlineStr">
        <x:is>
          <x:t xml:space="preserve">301059</x:t>
        </x:is>
      </x:c>
      <x:c r="C2354" s="3" t="inlineStr">
        <x:is>
          <x:t xml:space="preserve">金三江</x:t>
        </x:is>
      </x:c>
      <x:c r="D2354" s="3" t="inlineStr">
        <x:is>
          <x:t xml:space="preserve">金三江(肇庆)硅材料股份有限公司</x:t>
        </x:is>
      </x:c>
      <x:c r="E2354" s="2" t="inlineStr">
        <x:is>
          <x:t xml:space="preserve">广东省</x:t>
        </x:is>
      </x:c>
      <x:c r="F2354" s="2" t="inlineStr">
        <x:is>
          <x:t xml:space="preserve">肇庆市</x:t>
        </x:is>
      </x:c>
      <x:c r="G2354" s="3" t="inlineStr">
        <x:is>
          <x:t xml:space="preserve">广东省-肇庆市</x:t>
        </x:is>
      </x:c>
      <x:c r="H2354" s="2" t="inlineStr">
        <x:is>
          <x:t xml:space="preserve">化学原料</x:t>
        </x:is>
      </x:c>
      <x:c r="I2354" s="2" t="inlineStr">
        <x:is>
          <x:t xml:space="preserve">2021-09-13</x:t>
        </x:is>
      </x:c>
      <x:c r="J2354" s="3" t="inlineStr">
        <x:is>
          <x:t xml:space="preserve">广东省肇庆市高新技术开发区(大旺)迎宾大道23号</x:t>
        </x:is>
      </x:c>
      <x:c r="K2354" s="12" t="str">
        <x:f>LEFT("91441200756484885Y",18)</x:f>
        <x:v>91441200756484885Y</x:v>
      </x:c>
    </x:row>
    <x:row r="2355">
      <x:c r="A2355" s="4" t="n">
        <x:v>2354</x:v>
      </x:c>
      <x:c r="B2355" s="4" t="inlineStr">
        <x:is>
          <x:t xml:space="preserve">301067</x:t>
        </x:is>
      </x:c>
      <x:c r="C2355" s="5" t="inlineStr">
        <x:is>
          <x:t xml:space="preserve">显盈科技</x:t>
        </x:is>
      </x:c>
      <x:c r="D2355" s="5" t="inlineStr">
        <x:is>
          <x:t xml:space="preserve">深圳市显盈科技股份有限公司</x:t>
        </x:is>
      </x:c>
      <x:c r="E2355" s="4" t="inlineStr">
        <x:is>
          <x:t xml:space="preserve">广东省</x:t>
        </x:is>
      </x:c>
      <x:c r="F2355" s="4" t="inlineStr">
        <x:is>
          <x:t xml:space="preserve">深圳市</x:t>
        </x:is>
      </x:c>
      <x:c r="G2355" s="5" t="inlineStr">
        <x:is>
          <x:t xml:space="preserve">广东省-深圳市</x:t>
        </x:is>
      </x:c>
      <x:c r="H2355" s="4" t="inlineStr">
        <x:is>
          <x:t xml:space="preserve">消费电子</x:t>
        </x:is>
      </x:c>
      <x:c r="I2355" s="4" t="inlineStr">
        <x:is>
          <x:t xml:space="preserve">2021-09-22</x:t>
        </x:is>
      </x:c>
      <x:c r="J2355" s="5" t="inlineStr">
        <x:is>
          <x:t xml:space="preserve">深圳市宝安区燕罗街道燕川社区红湖东路西侧嘉达工业园7栋厂房601(6-7层)</x:t>
        </x:is>
      </x:c>
      <x:c r="K2355" s="12" t="str">
        <x:f>LEFT("91440300578820507D",18)</x:f>
        <x:v>91440300578820507D</x:v>
      </x:c>
    </x:row>
    <x:row r="2356">
      <x:c r="A2356" s="2" t="n">
        <x:v>2355</x:v>
      </x:c>
      <x:c r="B2356" s="2" t="inlineStr">
        <x:is>
          <x:t xml:space="preserve">301086</x:t>
        </x:is>
      </x:c>
      <x:c r="C2356" s="3" t="inlineStr">
        <x:is>
          <x:t xml:space="preserve">鸿富瀚</x:t>
        </x:is>
      </x:c>
      <x:c r="D2356" s="3" t="inlineStr">
        <x:is>
          <x:t xml:space="preserve">深圳市鸿富瀚科技股份有限公司</x:t>
        </x:is>
      </x:c>
      <x:c r="E2356" s="2" t="inlineStr">
        <x:is>
          <x:t xml:space="preserve">广东省</x:t>
        </x:is>
      </x:c>
      <x:c r="F2356" s="2" t="inlineStr">
        <x:is>
          <x:t xml:space="preserve">深圳市</x:t>
        </x:is>
      </x:c>
      <x:c r="G2356" s="3" t="inlineStr">
        <x:is>
          <x:t xml:space="preserve">广东省-深圳市</x:t>
        </x:is>
      </x:c>
      <x:c r="H2356" s="2" t="inlineStr">
        <x:is>
          <x:t xml:space="preserve">消费电子</x:t>
        </x:is>
      </x:c>
      <x:c r="I2356" s="2" t="inlineStr">
        <x:is>
          <x:t xml:space="preserve">2021-10-20</x:t>
        </x:is>
      </x:c>
      <x:c r="J2356" s="3" t="inlineStr">
        <x:is>
          <x:t xml:space="preserve">深圳市龙岗区宝龙街道宝龙社区拓新路11号鸿富瀚科技大楼1栋101</x:t>
        </x:is>
      </x:c>
      <x:c r="K2356" s="12" t="str">
        <x:f>LEFT("91440300671880010T",18)</x:f>
        <x:v>91440300671880010T</x:v>
      </x:c>
    </x:row>
    <x:row r="2357">
      <x:c r="A2357" s="4" t="n">
        <x:v>2356</x:v>
      </x:c>
      <x:c r="B2357" s="4" t="inlineStr">
        <x:is>
          <x:t xml:space="preserve">301091</x:t>
        </x:is>
      </x:c>
      <x:c r="C2357" s="5" t="inlineStr">
        <x:is>
          <x:t xml:space="preserve">深城交</x:t>
        </x:is>
      </x:c>
      <x:c r="D2357" s="5" t="inlineStr">
        <x:is>
          <x:t xml:space="preserve">深城交科技集团股份有限公司</x:t>
        </x:is>
      </x:c>
      <x:c r="E2357" s="4" t="inlineStr">
        <x:is>
          <x:t xml:space="preserve">广东省</x:t>
        </x:is>
      </x:c>
      <x:c r="F2357" s="4" t="inlineStr">
        <x:is>
          <x:t xml:space="preserve">深圳市</x:t>
        </x:is>
      </x:c>
      <x:c r="G2357" s="5" t="inlineStr">
        <x:is>
          <x:t xml:space="preserve">广东省-深圳市</x:t>
        </x:is>
      </x:c>
      <x:c r="H2357" s="4" t="inlineStr">
        <x:is>
          <x:t xml:space="preserve">工程咨询服务</x:t>
        </x:is>
      </x:c>
      <x:c r="I2357" s="4" t="inlineStr">
        <x:is>
          <x:t xml:space="preserve">2021-10-29</x:t>
        </x:is>
      </x:c>
      <x:c r="J2357" s="5" t="inlineStr">
        <x:is>
          <x:t xml:space="preserve">深圳市龙华区民治街道北站社区龙华设计产业园总部大厦1栋1101</x:t>
        </x:is>
      </x:c>
      <x:c r="K2357" s="12" t="str">
        <x:f>LEFT("91440300671877217N",18)</x:f>
        <x:v>91440300671877217N</x:v>
      </x:c>
    </x:row>
    <x:row r="2358">
      <x:c r="A2358" s="2" t="n">
        <x:v>2357</x:v>
      </x:c>
      <x:c r="B2358" s="2" t="inlineStr">
        <x:is>
          <x:t xml:space="preserve">301105</x:t>
        </x:is>
      </x:c>
      <x:c r="C2358" s="3" t="inlineStr">
        <x:is>
          <x:t xml:space="preserve">鸿铭股份</x:t>
        </x:is>
      </x:c>
      <x:c r="D2358" s="3" t="inlineStr">
        <x:is>
          <x:t xml:space="preserve">广东鸿铭智能股份有限公司</x:t>
        </x:is>
      </x:c>
      <x:c r="E2358" s="2" t="inlineStr">
        <x:is>
          <x:t xml:space="preserve">广东省</x:t>
        </x:is>
      </x:c>
      <x:c r="F2358" s="2" t="inlineStr">
        <x:is>
          <x:t xml:space="preserve">东莞市</x:t>
        </x:is>
      </x:c>
      <x:c r="G2358" s="3" t="inlineStr">
        <x:is>
          <x:t xml:space="preserve">广东省-东莞市</x:t>
        </x:is>
      </x:c>
      <x:c r="H2358" s="2" t="inlineStr">
        <x:is>
          <x:t xml:space="preserve">专用设备</x:t>
        </x:is>
      </x:c>
      <x:c r="I2358" s="2" t="inlineStr">
        <x:is>
          <x:t xml:space="preserve">2022-12-30</x:t>
        </x:is>
      </x:c>
      <x:c r="J2358" s="3" t="inlineStr">
        <x:is>
          <x:t xml:space="preserve">东莞市东城街道同沙同欢路7号</x:t>
        </x:is>
      </x:c>
      <x:c r="K2358" s="12" t="str">
        <x:f>LEFT("91441900744488299W",18)</x:f>
        <x:v>91441900744488299W</x:v>
      </x:c>
    </x:row>
    <x:row r="2359">
      <x:c r="A2359" s="4" t="n">
        <x:v>2358</x:v>
      </x:c>
      <x:c r="B2359" s="4" t="inlineStr">
        <x:is>
          <x:t xml:space="preserve">301110</x:t>
        </x:is>
      </x:c>
      <x:c r="C2359" s="5" t="inlineStr">
        <x:is>
          <x:t xml:space="preserve">青木科技</x:t>
        </x:is>
      </x:c>
      <x:c r="D2359" s="5" t="inlineStr">
        <x:is>
          <x:t xml:space="preserve">青木科技股份有限公司</x:t>
        </x:is>
      </x:c>
      <x:c r="E2359" s="4" t="inlineStr">
        <x:is>
          <x:t xml:space="preserve">广东省</x:t>
        </x:is>
      </x:c>
      <x:c r="F2359" s="4" t="inlineStr">
        <x:is>
          <x:t xml:space="preserve">广州市</x:t>
        </x:is>
      </x:c>
      <x:c r="G2359" s="5" t="inlineStr">
        <x:is>
          <x:t xml:space="preserve">广东省-广州市</x:t>
        </x:is>
      </x:c>
      <x:c r="H2359" s="4" t="inlineStr">
        <x:is>
          <x:t xml:space="preserve">互联网服务</x:t>
        </x:is>
      </x:c>
      <x:c r="I2359" s="4" t="inlineStr">
        <x:is>
          <x:t xml:space="preserve">2022-03-11</x:t>
        </x:is>
      </x:c>
      <x:c r="J2359" s="5" t="inlineStr">
        <x:is>
          <x:t xml:space="preserve">广州市海珠区逸景路353号3601房</x:t>
        </x:is>
      </x:c>
      <x:c r="K2359" s="12" t="str">
        <x:f>LEFT("91440105693560034G",18)</x:f>
        <x:v>91440105693560034G</x:v>
      </x:c>
    </x:row>
    <x:row r="2360">
      <x:c r="A2360" s="2" t="n">
        <x:v>2359</x:v>
      </x:c>
      <x:c r="B2360" s="2" t="inlineStr">
        <x:is>
          <x:t xml:space="preserve">301111</x:t>
        </x:is>
      </x:c>
      <x:c r="C2360" s="3" t="inlineStr">
        <x:is>
          <x:t xml:space="preserve">粤万年青</x:t>
        </x:is>
      </x:c>
      <x:c r="D2360" s="3" t="inlineStr">
        <x:is>
          <x:t xml:space="preserve">广东万年青制药股份有限公司</x:t>
        </x:is>
      </x:c>
      <x:c r="E2360" s="2" t="inlineStr">
        <x:is>
          <x:t xml:space="preserve">广东省</x:t>
        </x:is>
      </x:c>
      <x:c r="F2360" s="2" t="inlineStr">
        <x:is>
          <x:t xml:space="preserve">汕头市</x:t>
        </x:is>
      </x:c>
      <x:c r="G2360" s="3" t="inlineStr">
        <x:is>
          <x:t xml:space="preserve">广东省-汕头市</x:t>
        </x:is>
      </x:c>
      <x:c r="H2360" s="2" t="inlineStr">
        <x:is>
          <x:t xml:space="preserve">中药</x:t>
        </x:is>
      </x:c>
      <x:c r="I2360" s="2" t="inlineStr">
        <x:is>
          <x:t xml:space="preserve">2021-12-07</x:t>
        </x:is>
      </x:c>
      <x:c r="J2360" s="3" t="inlineStr">
        <x:is>
          <x:t xml:space="preserve">汕头市金园工业城潮阳路16片区08号</x:t>
        </x:is>
      </x:c>
      <x:c r="K2360" s="12" t="str">
        <x:f>LEFT("9144050019272917XC",18)</x:f>
        <x:v>9144050019272917XC</x:v>
      </x:c>
    </x:row>
    <x:row r="2361">
      <x:c r="A2361" s="4" t="n">
        <x:v>2360</x:v>
      </x:c>
      <x:c r="B2361" s="4" t="inlineStr">
        <x:is>
          <x:t xml:space="preserve">301112</x:t>
        </x:is>
      </x:c>
      <x:c r="C2361" s="5" t="inlineStr">
        <x:is>
          <x:t xml:space="preserve">信邦智能</x:t>
        </x:is>
      </x:c>
      <x:c r="D2361" s="5" t="inlineStr">
        <x:is>
          <x:t xml:space="preserve">广州信邦智能装备股份有限公司</x:t>
        </x:is>
      </x:c>
      <x:c r="E2361" s="4" t="inlineStr">
        <x:is>
          <x:t xml:space="preserve">广东省</x:t>
        </x:is>
      </x:c>
      <x:c r="F2361" s="4" t="inlineStr">
        <x:is>
          <x:t xml:space="preserve">广州市</x:t>
        </x:is>
      </x:c>
      <x:c r="G2361" s="5" t="inlineStr">
        <x:is>
          <x:t xml:space="preserve">广东省-广州市</x:t>
        </x:is>
      </x:c>
      <x:c r="H2361" s="4" t="inlineStr">
        <x:is>
          <x:t xml:space="preserve">专用设备</x:t>
        </x:is>
      </x:c>
      <x:c r="I2361" s="4" t="inlineStr">
        <x:is>
          <x:t xml:space="preserve">2022-06-29</x:t>
        </x:is>
      </x:c>
      <x:c r="J2361" s="5" t="inlineStr">
        <x:is>
          <x:t xml:space="preserve">广州市花都区汽车城车城大道北侧</x:t>
        </x:is>
      </x:c>
      <x:c r="K2361" s="12" t="str">
        <x:f>LEFT("914401017756647694",18)</x:f>
        <x:v>914401017756647700</x:v>
      </x:c>
    </x:row>
    <x:row r="2362">
      <x:c r="A2362" s="2" t="n">
        <x:v>2361</x:v>
      </x:c>
      <x:c r="B2362" s="2" t="inlineStr">
        <x:is>
          <x:t xml:space="preserve">301123</x:t>
        </x:is>
      </x:c>
      <x:c r="C2362" s="3" t="inlineStr">
        <x:is>
          <x:t xml:space="preserve">奕东电子</x:t>
        </x:is>
      </x:c>
      <x:c r="D2362" s="3" t="inlineStr">
        <x:is>
          <x:t xml:space="preserve">奕东电子科技股份有限公司</x:t>
        </x:is>
      </x:c>
      <x:c r="E2362" s="2" t="inlineStr">
        <x:is>
          <x:t xml:space="preserve">广东省</x:t>
        </x:is>
      </x:c>
      <x:c r="F2362" s="2" t="inlineStr">
        <x:is>
          <x:t xml:space="preserve">东莞市</x:t>
        </x:is>
      </x:c>
      <x:c r="G2362" s="3" t="inlineStr">
        <x:is>
          <x:t xml:space="preserve">广东省-东莞市</x:t>
        </x:is>
      </x:c>
      <x:c r="H2362" s="2" t="inlineStr">
        <x:is>
          <x:t xml:space="preserve">消费电子</x:t>
        </x:is>
      </x:c>
      <x:c r="I2362" s="2" t="inlineStr">
        <x:is>
          <x:t xml:space="preserve">2022-01-25</x:t>
        </x:is>
      </x:c>
      <x:c r="J2362" s="3" t="inlineStr">
        <x:is>
          <x:t xml:space="preserve">东莞市东城区同沙科技工业园</x:t>
        </x:is>
      </x:c>
      <x:c r="K2362" s="12" t="str">
        <x:f>LEFT("91441900618333632H",18)</x:f>
        <x:v>91441900618333632H</x:v>
      </x:c>
    </x:row>
    <x:row r="2363">
      <x:c r="A2363" s="4" t="n">
        <x:v>2362</x:v>
      </x:c>
      <x:c r="B2363" s="4" t="inlineStr">
        <x:is>
          <x:t xml:space="preserve">301128</x:t>
        </x:is>
      </x:c>
      <x:c r="C2363" s="5" t="inlineStr">
        <x:is>
          <x:t xml:space="preserve">强瑞技术</x:t>
        </x:is>
      </x:c>
      <x:c r="D2363" s="5" t="inlineStr">
        <x:is>
          <x:t xml:space="preserve">深圳市强瑞精密技术股份有限公司</x:t>
        </x:is>
      </x:c>
      <x:c r="E2363" s="4" t="inlineStr">
        <x:is>
          <x:t xml:space="preserve">广东省</x:t>
        </x:is>
      </x:c>
      <x:c r="F2363" s="4" t="inlineStr">
        <x:is>
          <x:t xml:space="preserve">深圳市</x:t>
        </x:is>
      </x:c>
      <x:c r="G2363" s="5" t="inlineStr">
        <x:is>
          <x:t xml:space="preserve">广东省-深圳市</x:t>
        </x:is>
      </x:c>
      <x:c r="H2363" s="4" t="inlineStr">
        <x:is>
          <x:t xml:space="preserve">专用设备</x:t>
        </x:is>
      </x:c>
      <x:c r="I2363" s="4" t="inlineStr">
        <x:is>
          <x:t xml:space="preserve">2021-11-10</x:t>
        </x:is>
      </x:c>
      <x:c r="J2363" s="5" t="inlineStr">
        <x:is>
          <x:t xml:space="preserve">深圳市龙华区观湖街道樟坑径社区安澜路308号C栋厂房101至501(一照多址企业)</x:t>
        </x:is>
      </x:c>
      <x:c r="K2363" s="12" t="str">
        <x:f>LEFT("91440300778794710B",18)</x:f>
        <x:v>91440300778794710B</x:v>
      </x:c>
    </x:row>
    <x:row r="2364">
      <x:c r="A2364" s="2" t="n">
        <x:v>2363</x:v>
      </x:c>
      <x:c r="B2364" s="2" t="inlineStr">
        <x:is>
          <x:t xml:space="preserve">301131</x:t>
        </x:is>
      </x:c>
      <x:c r="C2364" s="3" t="inlineStr">
        <x:is>
          <x:t xml:space="preserve">聚赛龙</x:t>
        </x:is>
      </x:c>
      <x:c r="D2364" s="3" t="inlineStr">
        <x:is>
          <x:t xml:space="preserve">广州市聚赛龙工程塑料股份有限公司</x:t>
        </x:is>
      </x:c>
      <x:c r="E2364" s="2" t="inlineStr">
        <x:is>
          <x:t xml:space="preserve">广东省</x:t>
        </x:is>
      </x:c>
      <x:c r="F2364" s="2" t="inlineStr">
        <x:is>
          <x:t xml:space="preserve">广州市</x:t>
        </x:is>
      </x:c>
      <x:c r="G2364" s="3" t="inlineStr">
        <x:is>
          <x:t xml:space="preserve">广东省-广州市</x:t>
        </x:is>
      </x:c>
      <x:c r="H2364" s="2" t="inlineStr">
        <x:is>
          <x:t xml:space="preserve">塑料制品</x:t>
        </x:is>
      </x:c>
      <x:c r="I2364" s="2" t="inlineStr">
        <x:is>
          <x:t xml:space="preserve">2022-03-14</x:t>
        </x:is>
      </x:c>
      <x:c r="J2364" s="3" t="inlineStr">
        <x:is>
          <x:t xml:space="preserve">广州市从化鳌头镇龙潭聚宝工业区(村)</x:t>
        </x:is>
      </x:c>
      <x:c r="K2364" s="12" t="str">
        <x:f>LEFT("91440184231297884C",18)</x:f>
        <x:v>91440184231297884C</x:v>
      </x:c>
    </x:row>
    <x:row r="2365">
      <x:c r="A2365" s="4" t="n">
        <x:v>2364</x:v>
      </x:c>
      <x:c r="B2365" s="4" t="inlineStr">
        <x:is>
          <x:t xml:space="preserve">301133</x:t>
        </x:is>
      </x:c>
      <x:c r="C2365" s="5" t="inlineStr">
        <x:is>
          <x:t xml:space="preserve">金钟股份</x:t>
        </x:is>
      </x:c>
      <x:c r="D2365" s="5" t="inlineStr">
        <x:is>
          <x:t xml:space="preserve">广州市金钟汽车零件股份有限公司</x:t>
        </x:is>
      </x:c>
      <x:c r="E2365" s="4" t="inlineStr">
        <x:is>
          <x:t xml:space="preserve">广东省</x:t>
        </x:is>
      </x:c>
      <x:c r="F2365" s="4" t="inlineStr">
        <x:is>
          <x:t xml:space="preserve">广州市</x:t>
        </x:is>
      </x:c>
      <x:c r="G2365" s="5" t="inlineStr">
        <x:is>
          <x:t xml:space="preserve">广东省-广州市</x:t>
        </x:is>
      </x:c>
      <x:c r="H2365" s="4" t="inlineStr">
        <x:is>
          <x:t xml:space="preserve">汽车行业</x:t>
        </x:is>
      </x:c>
      <x:c r="I2365" s="4" t="inlineStr">
        <x:is>
          <x:t xml:space="preserve">2021-11-26</x:t>
        </x:is>
      </x:c>
      <x:c r="J2365" s="5" t="inlineStr">
        <x:is>
          <x:t xml:space="preserve">广州市花都区新华街东风大道西</x:t>
        </x:is>
      </x:c>
      <x:c r="K2365" s="12" t="str">
        <x:f>LEFT("914401147619330242",18)</x:f>
        <x:v>914401147619330300</x:v>
      </x:c>
    </x:row>
    <x:row r="2366">
      <x:c r="A2366" s="2" t="n">
        <x:v>2365</x:v>
      </x:c>
      <x:c r="B2366" s="2" t="inlineStr">
        <x:is>
          <x:t xml:space="preserve">301135</x:t>
        </x:is>
      </x:c>
      <x:c r="C2366" s="3" t="inlineStr">
        <x:is>
          <x:t xml:space="preserve">瑞德智能</x:t>
        </x:is>
      </x:c>
      <x:c r="D2366" s="3" t="inlineStr">
        <x:is>
          <x:t xml:space="preserve">广东瑞德智能科技股份有限公司</x:t>
        </x:is>
      </x:c>
      <x:c r="E2366" s="2" t="inlineStr">
        <x:is>
          <x:t xml:space="preserve">广东省</x:t>
        </x:is>
      </x:c>
      <x:c r="F2366" s="2" t="inlineStr">
        <x:is>
          <x:t xml:space="preserve">佛山市</x:t>
        </x:is>
      </x:c>
      <x:c r="G2366" s="3" t="inlineStr">
        <x:is>
          <x:t xml:space="preserve">广东省-佛山市</x:t>
        </x:is>
      </x:c>
      <x:c r="H2366" s="2" t="inlineStr">
        <x:is>
          <x:t xml:space="preserve">消费电子</x:t>
        </x:is>
      </x:c>
      <x:c r="I2366" s="2" t="inlineStr">
        <x:is>
          <x:t xml:space="preserve">2022-04-12</x:t>
        </x:is>
      </x:c>
      <x:c r="J2366" s="3" t="inlineStr">
        <x:is>
          <x:t xml:space="preserve">佛山市顺德区大良凤翔工业园瑞翔路1号</x:t>
        </x:is>
      </x:c>
      <x:c r="K2366" s="12" t="str">
        <x:f>LEFT("91440606231926812E",18)</x:f>
        <x:v>91440606231926812E</x:v>
      </x:c>
    </x:row>
    <x:row r="2367">
      <x:c r="A2367" s="4" t="n">
        <x:v>2366</x:v>
      </x:c>
      <x:c r="B2367" s="4" t="inlineStr">
        <x:is>
          <x:t xml:space="preserve">301138</x:t>
        </x:is>
      </x:c>
      <x:c r="C2367" s="5" t="inlineStr">
        <x:is>
          <x:t xml:space="preserve">华研精机</x:t>
        </x:is>
      </x:c>
      <x:c r="D2367" s="5" t="inlineStr">
        <x:is>
          <x:t xml:space="preserve">广州华研精密机械股份有限公司</x:t>
        </x:is>
      </x:c>
      <x:c r="E2367" s="4" t="inlineStr">
        <x:is>
          <x:t xml:space="preserve">广东省</x:t>
        </x:is>
      </x:c>
      <x:c r="F2367" s="4" t="inlineStr">
        <x:is>
          <x:t xml:space="preserve">广州市</x:t>
        </x:is>
      </x:c>
      <x:c r="G2367" s="5" t="inlineStr">
        <x:is>
          <x:t xml:space="preserve">广东省-广州市</x:t>
        </x:is>
      </x:c>
      <x:c r="H2367" s="4" t="inlineStr">
        <x:is>
          <x:t xml:space="preserve">专用设备</x:t>
        </x:is>
      </x:c>
      <x:c r="I2367" s="4" t="inlineStr">
        <x:is>
          <x:t xml:space="preserve">2021-12-15</x:t>
        </x:is>
      </x:c>
      <x:c r="J2367" s="5" t="inlineStr">
        <x:is>
          <x:t xml:space="preserve">广州市增城区宁西街创立路6号</x:t>
        </x:is>
      </x:c>
      <x:c r="K2367" s="12" t="str">
        <x:f>LEFT("91440183737177038K",18)</x:f>
        <x:v>91440183737177038K</x:v>
      </x:c>
    </x:row>
    <x:row r="2368">
      <x:c r="A2368" s="2" t="n">
        <x:v>2367</x:v>
      </x:c>
      <x:c r="B2368" s="2" t="inlineStr">
        <x:is>
          <x:t xml:space="preserve">301177</x:t>
        </x:is>
      </x:c>
      <x:c r="C2368" s="3" t="inlineStr">
        <x:is>
          <x:t xml:space="preserve">迪阿股份</x:t>
        </x:is>
      </x:c>
      <x:c r="D2368" s="3" t="inlineStr">
        <x:is>
          <x:t xml:space="preserve">迪阿股份有限公司</x:t>
        </x:is>
      </x:c>
      <x:c r="E2368" s="2" t="inlineStr">
        <x:is>
          <x:t xml:space="preserve">广东省</x:t>
        </x:is>
      </x:c>
      <x:c r="F2368" s="2" t="inlineStr">
        <x:is>
          <x:t xml:space="preserve">深圳市</x:t>
        </x:is>
      </x:c>
      <x:c r="G2368" s="3" t="inlineStr">
        <x:is>
          <x:t xml:space="preserve">广东省-深圳市</x:t>
        </x:is>
      </x:c>
      <x:c r="H2368" s="2" t="inlineStr">
        <x:is>
          <x:t xml:space="preserve">珠宝首饰</x:t>
        </x:is>
      </x:c>
      <x:c r="I2368" s="2" t="inlineStr">
        <x:is>
          <x:t xml:space="preserve">2021-12-15</x:t>
        </x:is>
      </x:c>
      <x:c r="J2368" s="3" t="inlineStr">
        <x:is>
          <x:t xml:space="preserve">深圳市南山区粤海街道大冲社区华润置地大厦C座1308</x:t>
        </x:is>
      </x:c>
      <x:c r="K2368" s="12" t="str">
        <x:f>LEFT("914403005538802391",18)</x:f>
        <x:v>914403005538802400</x:v>
      </x:c>
    </x:row>
    <x:row r="2369">
      <x:c r="A2369" s="4" t="n">
        <x:v>2368</x:v>
      </x:c>
      <x:c r="B2369" s="4" t="inlineStr">
        <x:is>
          <x:t xml:space="preserve">301178</x:t>
        </x:is>
      </x:c>
      <x:c r="C2369" s="5" t="inlineStr">
        <x:is>
          <x:t xml:space="preserve">天亿马</x:t>
        </x:is>
      </x:c>
      <x:c r="D2369" s="5" t="inlineStr">
        <x:is>
          <x:t xml:space="preserve">广东天亿马信息产业股份有限公司</x:t>
        </x:is>
      </x:c>
      <x:c r="E2369" s="4" t="inlineStr">
        <x:is>
          <x:t xml:space="preserve">广东省</x:t>
        </x:is>
      </x:c>
      <x:c r="F2369" s="4" t="inlineStr">
        <x:is>
          <x:t xml:space="preserve">汕头市</x:t>
        </x:is>
      </x:c>
      <x:c r="G2369" s="5" t="inlineStr">
        <x:is>
          <x:t xml:space="preserve">广东省-汕头市</x:t>
        </x:is>
      </x:c>
      <x:c r="H2369" s="4" t="inlineStr">
        <x:is>
          <x:t xml:space="preserve">软件服务</x:t>
        </x:is>
      </x:c>
      <x:c r="I2369" s="4" t="inlineStr">
        <x:is>
          <x:t xml:space="preserve">2021-11-12</x:t>
        </x:is>
      </x:c>
      <x:c r="J2369" s="5" t="inlineStr">
        <x:is>
          <x:t xml:space="preserve">汕头市嵩山路南20号天澜国际大厦西塔2111-2112房</x:t>
        </x:is>
      </x:c>
      <x:c r="K2369" s="12" t="str">
        <x:f>LEFT("914405007080295548",18)</x:f>
        <x:v>914405007080295600</x:v>
      </x:c>
    </x:row>
    <x:row r="2370">
      <x:c r="A2370" s="2" t="n">
        <x:v>2369</x:v>
      </x:c>
      <x:c r="B2370" s="2" t="inlineStr">
        <x:is>
          <x:t xml:space="preserve">301189</x:t>
        </x:is>
      </x:c>
      <x:c r="C2370" s="3" t="inlineStr">
        <x:is>
          <x:t xml:space="preserve">奥尼电子</x:t>
        </x:is>
      </x:c>
      <x:c r="D2370" s="3" t="inlineStr">
        <x:is>
          <x:t xml:space="preserve">深圳奥尼电子股份有限公司</x:t>
        </x:is>
      </x:c>
      <x:c r="E2370" s="2" t="inlineStr">
        <x:is>
          <x:t xml:space="preserve">广东省</x:t>
        </x:is>
      </x:c>
      <x:c r="F2370" s="2" t="inlineStr">
        <x:is>
          <x:t xml:space="preserve">深圳市</x:t>
        </x:is>
      </x:c>
      <x:c r="G2370" s="3" t="inlineStr">
        <x:is>
          <x:t xml:space="preserve">广东省-深圳市</x:t>
        </x:is>
      </x:c>
      <x:c r="H2370" s="2" t="inlineStr">
        <x:is>
          <x:t xml:space="preserve">通信设备</x:t>
        </x:is>
      </x:c>
      <x:c r="I2370" s="2" t="inlineStr">
        <x:is>
          <x:t xml:space="preserve">2021-12-28</x:t>
        </x:is>
      </x:c>
      <x:c r="J2370" s="3" t="inlineStr">
        <x:is>
          <x:t xml:space="preserve">深圳市宝安区新安街道留仙二路鸿辉工业园5#厂房2楼、3楼、6楼、7楼,8楼西半层,9楼</x:t>
        </x:is>
      </x:c>
      <x:c r="K2370" s="12" t="str">
        <x:f>LEFT("91440300778761628J",18)</x:f>
        <x:v>91440300778761628J</x:v>
      </x:c>
    </x:row>
    <x:row r="2371">
      <x:c r="A2371" s="4" t="n">
        <x:v>2370</x:v>
      </x:c>
      <x:c r="B2371" s="4" t="inlineStr">
        <x:is>
          <x:t xml:space="preserve">301191</x:t>
        </x:is>
      </x:c>
      <x:c r="C2371" s="5" t="inlineStr">
        <x:is>
          <x:t xml:space="preserve">菲菱科思</x:t>
        </x:is>
      </x:c>
      <x:c r="D2371" s="5" t="inlineStr">
        <x:is>
          <x:t xml:space="preserve">深圳市菲菱科思通信技术股份有限公司</x:t>
        </x:is>
      </x:c>
      <x:c r="E2371" s="4" t="inlineStr">
        <x:is>
          <x:t xml:space="preserve">广东省</x:t>
        </x:is>
      </x:c>
      <x:c r="F2371" s="4" t="inlineStr">
        <x:is>
          <x:t xml:space="preserve">深圳市</x:t>
        </x:is>
      </x:c>
      <x:c r="G2371" s="5" t="inlineStr">
        <x:is>
          <x:t xml:space="preserve">广东省-深圳市</x:t>
        </x:is>
      </x:c>
      <x:c r="H2371" s="4" t="inlineStr">
        <x:is>
          <x:t xml:space="preserve">通信设备</x:t>
        </x:is>
      </x:c>
      <x:c r="I2371" s="4" t="inlineStr">
        <x:is>
          <x:t xml:space="preserve">2022-05-26</x:t>
        </x:is>
      </x:c>
      <x:c r="J2371" s="5" t="inlineStr">
        <x:is>
          <x:t xml:space="preserve">深圳市宝安区福海街道福园一路润恒工业厂区3#厂房201</x:t>
        </x:is>
      </x:c>
      <x:c r="K2371" s="12" t="str">
        <x:f>LEFT("91440300708497841N",18)</x:f>
        <x:v>91440300708497841N</x:v>
      </x:c>
    </x:row>
    <x:row r="2372">
      <x:c r="A2372" s="2" t="n">
        <x:v>2371</x:v>
      </x:c>
      <x:c r="B2372" s="2" t="inlineStr">
        <x:is>
          <x:t xml:space="preserve">301200</x:t>
        </x:is>
      </x:c>
      <x:c r="C2372" s="3" t="inlineStr">
        <x:is>
          <x:t xml:space="preserve">大族数控</x:t>
        </x:is>
      </x:c>
      <x:c r="D2372" s="3" t="inlineStr">
        <x:is>
          <x:t xml:space="preserve">深圳市大族数控科技股份有限公司</x:t>
        </x:is>
      </x:c>
      <x:c r="E2372" s="2" t="inlineStr">
        <x:is>
          <x:t xml:space="preserve">广东省</x:t>
        </x:is>
      </x:c>
      <x:c r="F2372" s="2" t="inlineStr">
        <x:is>
          <x:t xml:space="preserve">深圳市</x:t>
        </x:is>
      </x:c>
      <x:c r="G2372" s="3" t="inlineStr">
        <x:is>
          <x:t xml:space="preserve">广东省-深圳市</x:t>
        </x:is>
      </x:c>
      <x:c r="H2372" s="2" t="inlineStr">
        <x:is>
          <x:t xml:space="preserve">专用设备</x:t>
        </x:is>
      </x:c>
      <x:c r="I2372" s="2" t="inlineStr">
        <x:is>
          <x:t xml:space="preserve">2022-02-28</x:t>
        </x:is>
      </x:c>
      <x:c r="J2372" s="3" t="inlineStr">
        <x:is>
          <x:t xml:space="preserve">深圳市宝安区福海街道和平社区重庆路12号大族激光智造中心3栋厂房101、3栋1楼、3栋2楼、3栋4楼、3栋7楼、4栋1楼、4栋4楼</x:t>
        </x:is>
      </x:c>
      <x:c r="K2372" s="12" t="str">
        <x:f>LEFT("914403007362935988",18)</x:f>
        <x:v>914403007362935900</x:v>
      </x:c>
    </x:row>
    <x:row r="2373">
      <x:c r="A2373" s="4" t="n">
        <x:v>2372</x:v>
      </x:c>
      <x:c r="B2373" s="4" t="inlineStr">
        <x:is>
          <x:t xml:space="preserve">301223</x:t>
        </x:is>
      </x:c>
      <x:c r="C2373" s="5" t="inlineStr">
        <x:is>
          <x:t xml:space="preserve">中荣股份</x:t>
        </x:is>
      </x:c>
      <x:c r="D2373" s="5" t="inlineStr">
        <x:is>
          <x:t xml:space="preserve">中荣印刷集团股份有限公司</x:t>
        </x:is>
      </x:c>
      <x:c r="E2373" s="4" t="inlineStr">
        <x:is>
          <x:t xml:space="preserve">广东省</x:t>
        </x:is>
      </x:c>
      <x:c r="F2373" s="4" t="inlineStr">
        <x:is>
          <x:t xml:space="preserve">中山市</x:t>
        </x:is>
      </x:c>
      <x:c r="G2373" s="5" t="inlineStr">
        <x:is>
          <x:t xml:space="preserve">广东省-中山市</x:t>
        </x:is>
      </x:c>
      <x:c r="H2373" s="4" t="inlineStr">
        <x:is>
          <x:t xml:space="preserve">包装材料</x:t>
        </x:is>
      </x:c>
      <x:c r="I2373" s="4" t="inlineStr">
        <x:is>
          <x:t xml:space="preserve">2022-10-26</x:t>
        </x:is>
      </x:c>
      <x:c r="J2373" s="5" t="inlineStr">
        <x:is>
          <x:t xml:space="preserve">中山市火炬开发区沿江东三路28号</x:t>
        </x:is>
      </x:c>
      <x:c r="K2373" s="12" t="str">
        <x:f>LEFT("91442000618132806P",18)</x:f>
        <x:v>91442000618132806P</x:v>
      </x:c>
    </x:row>
    <x:row r="2374">
      <x:c r="A2374" s="2" t="n">
        <x:v>2373</x:v>
      </x:c>
      <x:c r="B2374" s="2" t="inlineStr">
        <x:is>
          <x:t xml:space="preserve">301248</x:t>
        </x:is>
      </x:c>
      <x:c r="C2374" s="3" t="inlineStr">
        <x:is>
          <x:t xml:space="preserve">杰创智能</x:t>
        </x:is>
      </x:c>
      <x:c r="D2374" s="3" t="inlineStr">
        <x:is>
          <x:t xml:space="preserve">杰创智能科技股份有限公司</x:t>
        </x:is>
      </x:c>
      <x:c r="E2374" s="2" t="inlineStr">
        <x:is>
          <x:t xml:space="preserve">广东省</x:t>
        </x:is>
      </x:c>
      <x:c r="F2374" s="2" t="inlineStr">
        <x:is>
          <x:t xml:space="preserve">广州市</x:t>
        </x:is>
      </x:c>
      <x:c r="G2374" s="3" t="inlineStr">
        <x:is>
          <x:t xml:space="preserve">广东省-广州市</x:t>
        </x:is>
      </x:c>
      <x:c r="H2374" s="2" t="inlineStr">
        <x:is>
          <x:t xml:space="preserve">软件开发</x:t>
        </x:is>
      </x:c>
      <x:c r="I2374" s="2" t="inlineStr">
        <x:is>
          <x:t xml:space="preserve">2022-04-20</x:t>
        </x:is>
      </x:c>
      <x:c r="J2374" s="3" t="inlineStr">
        <x:is>
          <x:t xml:space="preserve">广州市黄埔区瑞祥路88号</x:t>
        </x:is>
      </x:c>
      <x:c r="K2374" s="12" t="str">
        <x:f>LEFT("91440101683276435R",18)</x:f>
        <x:v>91440101683276435R</x:v>
      </x:c>
    </x:row>
    <x:row r="2375">
      <x:c r="A2375" s="4" t="n">
        <x:v>2374</x:v>
      </x:c>
      <x:c r="B2375" s="4" t="inlineStr">
        <x:is>
          <x:t xml:space="preserve">301263</x:t>
        </x:is>
      </x:c>
      <x:c r="C2375" s="5" t="inlineStr">
        <x:is>
          <x:t xml:space="preserve">泰恩康</x:t>
        </x:is>
      </x:c>
      <x:c r="D2375" s="5" t="inlineStr">
        <x:is>
          <x:t xml:space="preserve">广东泰恩康医药股份有限公司</x:t>
        </x:is>
      </x:c>
      <x:c r="E2375" s="4" t="inlineStr">
        <x:is>
          <x:t xml:space="preserve">广东省</x:t>
        </x:is>
      </x:c>
      <x:c r="F2375" s="4" t="inlineStr">
        <x:is>
          <x:t xml:space="preserve">汕头市</x:t>
        </x:is>
      </x:c>
      <x:c r="G2375" s="5" t="inlineStr">
        <x:is>
          <x:t xml:space="preserve">广东省-汕头市</x:t>
        </x:is>
      </x:c>
      <x:c r="H2375" s="4" t="inlineStr">
        <x:is>
          <x:t xml:space="preserve">医药商业</x:t>
        </x:is>
      </x:c>
      <x:c r="I2375" s="4" t="inlineStr">
        <x:is>
          <x:t xml:space="preserve">2022-03-29</x:t>
        </x:is>
      </x:c>
      <x:c r="J2375" s="5" t="inlineStr">
        <x:is>
          <x:t xml:space="preserve">汕头市龙湖区泰山北路万吉南二街8号A幢</x:t>
        </x:is>
      </x:c>
      <x:c r="K2375" s="12" t="str">
        <x:f>LEFT("9144050071228956X7",18)</x:f>
        <x:v>9144050071228956X7</x:v>
      </x:c>
    </x:row>
    <x:row r="2376">
      <x:c r="A2376" s="2" t="n">
        <x:v>2375</x:v>
      </x:c>
      <x:c r="B2376" s="2" t="inlineStr">
        <x:is>
          <x:t xml:space="preserve">301268</x:t>
        </x:is>
      </x:c>
      <x:c r="C2376" s="3" t="inlineStr">
        <x:is>
          <x:t xml:space="preserve">铭利达</x:t>
        </x:is>
      </x:c>
      <x:c r="D2376" s="3" t="inlineStr">
        <x:is>
          <x:t xml:space="preserve">深圳市铭利达精密技术股份有限公司</x:t>
        </x:is>
      </x:c>
      <x:c r="E2376" s="2" t="inlineStr">
        <x:is>
          <x:t xml:space="preserve">广东省</x:t>
        </x:is>
      </x:c>
      <x:c r="F2376" s="2" t="inlineStr">
        <x:is>
          <x:t xml:space="preserve">深圳市</x:t>
        </x:is>
      </x:c>
      <x:c r="G2376" s="3" t="inlineStr">
        <x:is>
          <x:t xml:space="preserve">广东省-深圳市</x:t>
        </x:is>
      </x:c>
      <x:c r="H2376" s="2" t="inlineStr">
        <x:is>
          <x:t xml:space="preserve">通用设备</x:t>
        </x:is>
      </x:c>
      <x:c r="I2376" s="2" t="inlineStr">
        <x:is>
          <x:t xml:space="preserve">2022-04-07</x:t>
        </x:is>
      </x:c>
      <x:c r="J2376" s="3" t="inlineStr">
        <x:is>
          <x:t xml:space="preserve">深圳市南山区西丽街道松坪山社区朗山路11号同方信息港F栋3202</x:t>
        </x:is>
      </x:c>
      <x:c r="K2376" s="12" t="str">
        <x:f>LEFT("91440300764970779B",18)</x:f>
        <x:v>91440300764970779B</x:v>
      </x:c>
    </x:row>
    <x:row r="2377">
      <x:c r="A2377" s="4" t="n">
        <x:v>2376</x:v>
      </x:c>
      <x:c r="B2377" s="4" t="inlineStr">
        <x:is>
          <x:t xml:space="preserve">301282</x:t>
        </x:is>
      </x:c>
      <x:c r="C2377" s="5" t="inlineStr">
        <x:is>
          <x:t xml:space="preserve">金禄电子</x:t>
        </x:is>
      </x:c>
      <x:c r="D2377" s="5" t="inlineStr">
        <x:is>
          <x:t xml:space="preserve">金禄电子科技股份有限公司</x:t>
        </x:is>
      </x:c>
      <x:c r="E2377" s="4" t="inlineStr">
        <x:is>
          <x:t xml:space="preserve">广东省</x:t>
        </x:is>
      </x:c>
      <x:c r="F2377" s="4" t="inlineStr">
        <x:is>
          <x:t xml:space="preserve">清远市</x:t>
        </x:is>
      </x:c>
      <x:c r="G2377" s="5" t="inlineStr">
        <x:is>
          <x:t xml:space="preserve">广东省-清远市</x:t>
        </x:is>
      </x:c>
      <x:c r="H2377" s="4" t="inlineStr">
        <x:is>
          <x:t xml:space="preserve">电子元件</x:t>
        </x:is>
      </x:c>
      <x:c r="I2377" s="4" t="inlineStr">
        <x:is>
          <x:t xml:space="preserve">2022-08-26</x:t>
        </x:is>
      </x:c>
      <x:c r="J2377" s="5" t="inlineStr">
        <x:is>
          <x:t xml:space="preserve">清远市高新技术开发区安丰工业园盈富工业区M1-04,05A号地</x:t>
        </x:is>
      </x:c>
      <x:c r="K2377" s="12" t="str">
        <x:f>LEFT("914418007929985760",18)</x:f>
        <x:v>914418007929985800</x:v>
      </x:c>
    </x:row>
    <x:row r="2378">
      <x:c r="A2378" s="2" t="n">
        <x:v>2377</x:v>
      </x:c>
      <x:c r="B2378" s="2" t="inlineStr">
        <x:is>
          <x:t xml:space="preserve">301283</x:t>
        </x:is>
      </x:c>
      <x:c r="C2378" s="3" t="inlineStr">
        <x:is>
          <x:t xml:space="preserve">聚胶股份</x:t>
        </x:is>
      </x:c>
      <x:c r="D2378" s="3" t="inlineStr">
        <x:is>
          <x:t xml:space="preserve">聚胶新材料股份有限公司</x:t>
        </x:is>
      </x:c>
      <x:c r="E2378" s="2" t="inlineStr">
        <x:is>
          <x:t xml:space="preserve">广东省</x:t>
        </x:is>
      </x:c>
      <x:c r="F2378" s="2" t="inlineStr">
        <x:is>
          <x:t xml:space="preserve">广州市</x:t>
        </x:is>
      </x:c>
      <x:c r="G2378" s="3" t="inlineStr">
        <x:is>
          <x:t xml:space="preserve">广东省-广州市</x:t>
        </x:is>
      </x:c>
      <x:c r="H2378" s="2" t="inlineStr">
        <x:is>
          <x:t xml:space="preserve">化学制品</x:t>
        </x:is>
      </x:c>
      <x:c r="I2378" s="2" t="inlineStr">
        <x:is>
          <x:t xml:space="preserve">2022-09-02</x:t>
        </x:is>
      </x:c>
      <x:c r="J2378" s="3" t="inlineStr">
        <x:is>
          <x:t xml:space="preserve">广州市增城新塘镇仙村东区工业园沙滘村岗谷山(厂房A1)首层</x:t>
        </x:is>
      </x:c>
      <x:c r="K2378" s="12" t="str">
        <x:f>LEFT("914401830545413557",18)</x:f>
        <x:v>914401830545413500</x:v>
      </x:c>
    </x:row>
    <x:row r="2379">
      <x:c r="A2379" s="4" t="n">
        <x:v>2378</x:v>
      </x:c>
      <x:c r="B2379" s="4" t="inlineStr">
        <x:is>
          <x:t xml:space="preserve">301288</x:t>
        </x:is>
      </x:c>
      <x:c r="C2379" s="5" t="inlineStr">
        <x:is>
          <x:t xml:space="preserve">清研环境</x:t>
        </x:is>
      </x:c>
      <x:c r="D2379" s="5" t="inlineStr">
        <x:is>
          <x:t xml:space="preserve">清研环境科技股份有限公司</x:t>
        </x:is>
      </x:c>
      <x:c r="E2379" s="4" t="inlineStr">
        <x:is>
          <x:t xml:space="preserve">广东省</x:t>
        </x:is>
      </x:c>
      <x:c r="F2379" s="4" t="inlineStr">
        <x:is>
          <x:t xml:space="preserve">深圳市</x:t>
        </x:is>
      </x:c>
      <x:c r="G2379" s="5" t="inlineStr">
        <x:is>
          <x:t xml:space="preserve">广东省-深圳市</x:t>
        </x:is>
      </x:c>
      <x:c r="H2379" s="4" t="inlineStr">
        <x:is>
          <x:t xml:space="preserve">环保行业</x:t>
        </x:is>
      </x:c>
      <x:c r="I2379" s="4" t="inlineStr">
        <x:is>
          <x:t xml:space="preserve">2022-04-22</x:t>
        </x:is>
      </x:c>
      <x:c r="J2379" s="5" t="inlineStr">
        <x:is>
          <x:t xml:space="preserve">深圳市南山区粤海街道高新区社区高新南七道019号清华大学研究院5层C527</x:t>
        </x:is>
      </x:c>
      <x:c r="K2379" s="12" t="str">
        <x:f>LEFT("91440300306212591R",18)</x:f>
        <x:v>91440300306212591R</x:v>
      </x:c>
    </x:row>
    <x:row r="2380">
      <x:c r="A2380" s="2" t="n">
        <x:v>2379</x:v>
      </x:c>
      <x:c r="B2380" s="2" t="inlineStr">
        <x:is>
          <x:t xml:space="preserve">301291</x:t>
        </x:is>
      </x:c>
      <x:c r="C2380" s="3" t="inlineStr">
        <x:is>
          <x:t xml:space="preserve">明阳电气</x:t>
        </x:is>
      </x:c>
      <x:c r="D2380" s="3" t="inlineStr">
        <x:is>
          <x:t xml:space="preserve">广东明阳电气股份有限公司</x:t>
        </x:is>
      </x:c>
      <x:c r="E2380" s="2" t="inlineStr">
        <x:is>
          <x:t xml:space="preserve">广东省</x:t>
        </x:is>
      </x:c>
      <x:c r="F2380" s="2" t="inlineStr">
        <x:is>
          <x:t xml:space="preserve">中山市</x:t>
        </x:is>
      </x:c>
      <x:c r="G2380" s="3" t="inlineStr">
        <x:is>
          <x:t xml:space="preserve">广东省-中山市</x:t>
        </x:is>
      </x:c>
      <x:c r="H2380" s="2" t="inlineStr">
        <x:is>
          <x:t xml:space="preserve">电网设备</x:t>
        </x:is>
      </x:c>
      <x:c r="I2380" s="2" t="inlineStr">
        <x:is>
          <x:t xml:space="preserve">2023-06-30</x:t>
        </x:is>
      </x:c>
      <x:c r="J2380" s="3" t="inlineStr">
        <x:is>
          <x:t xml:space="preserve">中山市南朗镇横门兴业西路1号</x:t>
        </x:is>
      </x:c>
      <x:c r="K2380" s="12" t="str">
        <x:f>LEFT("91442000MA4UK5848T",18)</x:f>
        <x:v>91442000MA4UK5848T</x:v>
      </x:c>
    </x:row>
    <x:row r="2381">
      <x:c r="A2381" s="4" t="n">
        <x:v>2380</x:v>
      </x:c>
      <x:c r="B2381" s="4" t="inlineStr">
        <x:is>
          <x:t xml:space="preserve">301305</x:t>
        </x:is>
      </x:c>
      <x:c r="C2381" s="5" t="inlineStr">
        <x:is>
          <x:t xml:space="preserve">朗坤科技</x:t>
        </x:is>
      </x:c>
      <x:c r="D2381" s="5" t="inlineStr">
        <x:is>
          <x:t xml:space="preserve">深圳市朗坤科技股份有限公司</x:t>
        </x:is>
      </x:c>
      <x:c r="E2381" s="4" t="inlineStr">
        <x:is>
          <x:t xml:space="preserve">广东省</x:t>
        </x:is>
      </x:c>
      <x:c r="F2381" s="4" t="inlineStr">
        <x:is>
          <x:t xml:space="preserve">深圳市</x:t>
        </x:is>
      </x:c>
      <x:c r="G2381" s="5" t="inlineStr">
        <x:is>
          <x:t xml:space="preserve">广东省-深圳市</x:t>
        </x:is>
      </x:c>
      <x:c r="H2381" s="4" t="inlineStr">
        <x:is>
          <x:t xml:space="preserve">环保行业</x:t>
        </x:is>
      </x:c>
      <x:c r="I2381" s="4" t="inlineStr">
        <x:is>
          <x:t xml:space="preserve">2023-05-23</x:t>
        </x:is>
      </x:c>
      <x:c r="J2381" s="5" t="inlineStr">
        <x:is>
          <x:t xml:space="preserve">深圳市龙岗区坪地街道高桥社区坪桥路2号13楼</x:t>
        </x:is>
      </x:c>
      <x:c r="K2381" s="12" t="str">
        <x:f>LEFT("91440300726179986Y",18)</x:f>
        <x:v>91440300726179986Y</x:v>
      </x:c>
    </x:row>
    <x:row r="2382">
      <x:c r="A2382" s="2" t="n">
        <x:v>2381</x:v>
      </x:c>
      <x:c r="B2382" s="2" t="inlineStr">
        <x:is>
          <x:t xml:space="preserve">301308</x:t>
        </x:is>
      </x:c>
      <x:c r="C2382" s="3" t="inlineStr">
        <x:is>
          <x:t xml:space="preserve">江波龙</x:t>
        </x:is>
      </x:c>
      <x:c r="D2382" s="3" t="inlineStr">
        <x:is>
          <x:t xml:space="preserve">深圳市江波龙电子股份有限公司</x:t>
        </x:is>
      </x:c>
      <x:c r="E2382" s="2" t="inlineStr">
        <x:is>
          <x:t xml:space="preserve">广东省</x:t>
        </x:is>
      </x:c>
      <x:c r="F2382" s="2" t="inlineStr">
        <x:is>
          <x:t xml:space="preserve">深圳市</x:t>
        </x:is>
      </x:c>
      <x:c r="G2382" s="3" t="inlineStr">
        <x:is>
          <x:t xml:space="preserve">广东省-深圳市</x:t>
        </x:is>
      </x:c>
      <x:c r="H2382" s="2" t="inlineStr">
        <x:is>
          <x:t xml:space="preserve">半导体</x:t>
        </x:is>
      </x:c>
      <x:c r="I2382" s="2" t="inlineStr">
        <x:is>
          <x:t xml:space="preserve">2022-08-05</x:t>
        </x:is>
      </x:c>
      <x:c r="J2382" s="3" t="inlineStr">
        <x:is>
          <x:t xml:space="preserve">深圳市前海深港合作区南山街道听海大道5059号鸿荣源前海金融中心二期B座2001、2201、2301</x:t>
        </x:is>
      </x:c>
      <x:c r="K2382" s="12" t="str">
        <x:f>LEFT("91440300708499732H",18)</x:f>
        <x:v>91440300708499732H</x:v>
      </x:c>
    </x:row>
    <x:row r="2383">
      <x:c r="A2383" s="4" t="n">
        <x:v>2382</x:v>
      </x:c>
      <x:c r="B2383" s="4" t="inlineStr">
        <x:is>
          <x:t xml:space="preserve">301312</x:t>
        </x:is>
      </x:c>
      <x:c r="C2383" s="5" t="inlineStr">
        <x:is>
          <x:t xml:space="preserve">智立方</x:t>
        </x:is>
      </x:c>
      <x:c r="D2383" s="5" t="inlineStr">
        <x:is>
          <x:t xml:space="preserve">深圳市智立方自动化设备股份有限公司</x:t>
        </x:is>
      </x:c>
      <x:c r="E2383" s="4" t="inlineStr">
        <x:is>
          <x:t xml:space="preserve">广东省</x:t>
        </x:is>
      </x:c>
      <x:c r="F2383" s="4" t="inlineStr">
        <x:is>
          <x:t xml:space="preserve">深圳市</x:t>
        </x:is>
      </x:c>
      <x:c r="G2383" s="5" t="inlineStr">
        <x:is>
          <x:t xml:space="preserve">广东省-深圳市</x:t>
        </x:is>
      </x:c>
      <x:c r="H2383" s="4" t="inlineStr">
        <x:is>
          <x:t xml:space="preserve">专用设备</x:t>
        </x:is>
      </x:c>
      <x:c r="I2383" s="4" t="inlineStr">
        <x:is>
          <x:t xml:space="preserve">2022-07-11</x:t>
        </x:is>
      </x:c>
      <x:c r="J2383" s="5" t="inlineStr">
        <x:is>
          <x:t xml:space="preserve">深圳市宝安区石岩街道塘头社区厂房A栋1层至5层</x:t>
        </x:is>
      </x:c>
      <x:c r="K2383" s="12" t="str">
        <x:f>LEFT("91440300578839312C",18)</x:f>
        <x:v>91440300578839312C</x:v>
      </x:c>
    </x:row>
    <x:row r="2384">
      <x:c r="A2384" s="2" t="n">
        <x:v>2383</x:v>
      </x:c>
      <x:c r="B2384" s="2" t="inlineStr">
        <x:is>
          <x:t xml:space="preserve">301313</x:t>
        </x:is>
      </x:c>
      <x:c r="C2384" s="3" t="inlineStr">
        <x:is>
          <x:t xml:space="preserve">凡拓数创</x:t>
        </x:is>
      </x:c>
      <x:c r="D2384" s="3" t="inlineStr">
        <x:is>
          <x:t xml:space="preserve">广州凡拓数字创意科技股份有限公司</x:t>
        </x:is>
      </x:c>
      <x:c r="E2384" s="2" t="inlineStr">
        <x:is>
          <x:t xml:space="preserve">广东省</x:t>
        </x:is>
      </x:c>
      <x:c r="F2384" s="2" t="inlineStr">
        <x:is>
          <x:t xml:space="preserve">广州市</x:t>
        </x:is>
      </x:c>
      <x:c r="G2384" s="3" t="inlineStr">
        <x:is>
          <x:t xml:space="preserve">广东省-广州市</x:t>
        </x:is>
      </x:c>
      <x:c r="H2384" s="2" t="inlineStr">
        <x:is>
          <x:t xml:space="preserve">软件开发</x:t>
        </x:is>
      </x:c>
      <x:c r="I2384" s="2" t="inlineStr">
        <x:is>
          <x:t xml:space="preserve">2022-09-30</x:t>
        </x:is>
      </x:c>
      <x:c r="J2384" s="3" t="inlineStr">
        <x:is>
          <x:t xml:space="preserve">广州市天河区龙怡路117号2701、2703、2704、2705、2706、2707</x:t>
        </x:is>
      </x:c>
      <x:c r="K2384" s="12" t="str">
        <x:f>LEFT("914401017418853876",18)</x:f>
        <x:v>914401017418853900</x:v>
      </x:c>
    </x:row>
    <x:row r="2385">
      <x:c r="A2385" s="4" t="n">
        <x:v>2384</x:v>
      </x:c>
      <x:c r="B2385" s="4" t="inlineStr">
        <x:is>
          <x:t xml:space="preserve">301314</x:t>
        </x:is>
      </x:c>
      <x:c r="C2385" s="5" t="inlineStr">
        <x:is>
          <x:t xml:space="preserve">科瑞思</x:t>
        </x:is>
      </x:c>
      <x:c r="D2385" s="5" t="inlineStr">
        <x:is>
          <x:t xml:space="preserve">珠海科瑞思科技股份有限公司</x:t>
        </x:is>
      </x:c>
      <x:c r="E2385" s="4" t="inlineStr">
        <x:is>
          <x:t xml:space="preserve">广东省</x:t>
        </x:is>
      </x:c>
      <x:c r="F2385" s="4" t="inlineStr">
        <x:is>
          <x:t xml:space="preserve">珠海市</x:t>
        </x:is>
      </x:c>
      <x:c r="G2385" s="5" t="inlineStr">
        <x:is>
          <x:t xml:space="preserve">广东省-珠海市</x:t>
        </x:is>
      </x:c>
      <x:c r="H2385" s="4" t="inlineStr">
        <x:is>
          <x:t xml:space="preserve">通信设备</x:t>
        </x:is>
      </x:c>
      <x:c r="I2385" s="4" t="inlineStr">
        <x:is>
          <x:t xml:space="preserve">2023-03-28</x:t>
        </x:is>
      </x:c>
      <x:c r="J2385" s="5" t="inlineStr">
        <x:is>
          <x:t xml:space="preserve">珠海市香洲区福田路10号厂房2四层</x:t>
        </x:is>
      </x:c>
      <x:c r="K2385" s="12" t="str">
        <x:f>LEFT("91440400782988681C",18)</x:f>
        <x:v>91440400782988681C</x:v>
      </x:c>
    </x:row>
    <x:row r="2386">
      <x:c r="A2386" s="2" t="n">
        <x:v>2385</x:v>
      </x:c>
      <x:c r="B2386" s="2" t="inlineStr">
        <x:is>
          <x:t xml:space="preserve">301318</x:t>
        </x:is>
      </x:c>
      <x:c r="C2386" s="3" t="inlineStr">
        <x:is>
          <x:t xml:space="preserve">维海德</x:t>
        </x:is>
      </x:c>
      <x:c r="D2386" s="3" t="inlineStr">
        <x:is>
          <x:t xml:space="preserve">深圳市维海德技术股份有限公司</x:t>
        </x:is>
      </x:c>
      <x:c r="E2386" s="2" t="inlineStr">
        <x:is>
          <x:t xml:space="preserve">广东省</x:t>
        </x:is>
      </x:c>
      <x:c r="F2386" s="2" t="inlineStr">
        <x:is>
          <x:t xml:space="preserve">深圳市</x:t>
        </x:is>
      </x:c>
      <x:c r="G2386" s="3" t="inlineStr">
        <x:is>
          <x:t xml:space="preserve">广东省-深圳市</x:t>
        </x:is>
      </x:c>
      <x:c r="H2386" s="2" t="inlineStr">
        <x:is>
          <x:t xml:space="preserve">消费电子</x:t>
        </x:is>
      </x:c>
      <x:c r="I2386" s="2" t="inlineStr">
        <x:is>
          <x:t xml:space="preserve">2022-08-10</x:t>
        </x:is>
      </x:c>
      <x:c r="J2386" s="3" t="inlineStr">
        <x:is>
          <x:t xml:space="preserve">深圳市宝安区新安街道鸿辉工业园2号2-3层</x:t>
        </x:is>
      </x:c>
      <x:c r="K2386" s="12" t="str">
        <x:f>LEFT("91440300674841586U",18)</x:f>
        <x:v>91440300674841586U</x:v>
      </x:c>
    </x:row>
    <x:row r="2387">
      <x:c r="A2387" s="4" t="n">
        <x:v>2386</x:v>
      </x:c>
      <x:c r="B2387" s="4" t="inlineStr">
        <x:is>
          <x:t xml:space="preserve">301319</x:t>
        </x:is>
      </x:c>
      <x:c r="C2387" s="5" t="inlineStr">
        <x:is>
          <x:t xml:space="preserve">唯特偶</x:t>
        </x:is>
      </x:c>
      <x:c r="D2387" s="5" t="inlineStr">
        <x:is>
          <x:t xml:space="preserve">深圳市唯特偶新材料股份有限公司</x:t>
        </x:is>
      </x:c>
      <x:c r="E2387" s="4" t="inlineStr">
        <x:is>
          <x:t xml:space="preserve">广东省</x:t>
        </x:is>
      </x:c>
      <x:c r="F2387" s="4" t="inlineStr">
        <x:is>
          <x:t xml:space="preserve">深圳市</x:t>
        </x:is>
      </x:c>
      <x:c r="G2387" s="5" t="inlineStr">
        <x:is>
          <x:t xml:space="preserve">广东省-深圳市</x:t>
        </x:is>
      </x:c>
      <x:c r="H2387" s="4" t="inlineStr">
        <x:is>
          <x:t xml:space="preserve">电子元件</x:t>
        </x:is>
      </x:c>
      <x:c r="I2387" s="4" t="inlineStr">
        <x:is>
          <x:t xml:space="preserve">2022-09-29</x:t>
        </x:is>
      </x:c>
      <x:c r="J2387" s="5" t="inlineStr">
        <x:is>
          <x:t xml:space="preserve">深圳市龙岗区宝龙街道同乐社区水田一路18号唯特偶工业园</x:t>
        </x:is>
      </x:c>
      <x:c r="K2387" s="12" t="str">
        <x:f>LEFT("91440300192465506L",18)</x:f>
        <x:v>91440300192465506L</x:v>
      </x:c>
    </x:row>
    <x:row r="2388">
      <x:c r="A2388" s="2" t="n">
        <x:v>2387</x:v>
      </x:c>
      <x:c r="B2388" s="2" t="inlineStr">
        <x:is>
          <x:t xml:space="preserve">301322</x:t>
        </x:is>
      </x:c>
      <x:c r="C2388" s="3" t="inlineStr">
        <x:is>
          <x:t xml:space="preserve">绿通科技</x:t>
        </x:is>
      </x:c>
      <x:c r="D2388" s="3" t="inlineStr">
        <x:is>
          <x:t xml:space="preserve">广东绿通新能源电动车科技股份有限公司</x:t>
        </x:is>
      </x:c>
      <x:c r="E2388" s="2" t="inlineStr">
        <x:is>
          <x:t xml:space="preserve">广东省</x:t>
        </x:is>
      </x:c>
      <x:c r="F2388" s="2" t="inlineStr">
        <x:is>
          <x:t xml:space="preserve">东莞市</x:t>
        </x:is>
      </x:c>
      <x:c r="G2388" s="3" t="inlineStr">
        <x:is>
          <x:t xml:space="preserve">广东省-东莞市</x:t>
        </x:is>
      </x:c>
      <x:c r="H2388" s="2" t="inlineStr">
        <x:is>
          <x:t xml:space="preserve">交运设备</x:t>
        </x:is>
      </x:c>
      <x:c r="I2388" s="2" t="inlineStr">
        <x:is>
          <x:t xml:space="preserve">2023-03-06</x:t>
        </x:is>
      </x:c>
      <x:c r="J2388" s="3" t="inlineStr">
        <x:is>
          <x:t xml:space="preserve">广东省东莞市洪梅镇望沙路洪梅段15号</x:t>
        </x:is>
      </x:c>
      <x:c r="K2388" s="12" t="str">
        <x:f>LEFT("91441900761591482T",18)</x:f>
        <x:v>91441900761591482T</x:v>
      </x:c>
    </x:row>
    <x:row r="2389">
      <x:c r="A2389" s="4" t="n">
        <x:v>2388</x:v>
      </x:c>
      <x:c r="B2389" s="4" t="inlineStr">
        <x:is>
          <x:t xml:space="preserve">301323</x:t>
        </x:is>
      </x:c>
      <x:c r="C2389" s="5" t="inlineStr">
        <x:is>
          <x:t xml:space="preserve">新莱福</x:t>
        </x:is>
      </x:c>
      <x:c r="D2389" s="5" t="inlineStr">
        <x:is>
          <x:t xml:space="preserve">广州新莱福新材料股份有限公司</x:t>
        </x:is>
      </x:c>
      <x:c r="E2389" s="4" t="inlineStr">
        <x:is>
          <x:t xml:space="preserve">广东省</x:t>
        </x:is>
      </x:c>
      <x:c r="F2389" s="4" t="inlineStr">
        <x:is>
          <x:t xml:space="preserve">广州市</x:t>
        </x:is>
      </x:c>
      <x:c r="G2389" s="5" t="inlineStr">
        <x:is>
          <x:t xml:space="preserve">广东省-广州市</x:t>
        </x:is>
      </x:c>
      <x:c r="H2389" s="4" t="inlineStr">
        <x:is>
          <x:t xml:space="preserve">塑料制品</x:t>
        </x:is>
      </x:c>
      <x:c r="I2389" s="4" t="inlineStr">
        <x:is>
          <x:t xml:space="preserve">2023-06-06</x:t>
        </x:is>
      </x:c>
      <x:c r="J2389" s="5" t="inlineStr">
        <x:is>
          <x:t xml:space="preserve">广州经济技术开发区永和经济区沧海四路4号</x:t>
        </x:is>
      </x:c>
      <x:c r="K2389" s="12" t="str">
        <x:f>LEFT("91440116708238794Y",18)</x:f>
        <x:v>91440116708238794Y</x:v>
      </x:c>
    </x:row>
    <x:row r="2390">
      <x:c r="A2390" s="2" t="n">
        <x:v>2389</x:v>
      </x:c>
      <x:c r="B2390" s="2" t="inlineStr">
        <x:is>
          <x:t xml:space="preserve">301325</x:t>
        </x:is>
      </x:c>
      <x:c r="C2390" s="3" t="inlineStr">
        <x:is>
          <x:t xml:space="preserve">曼恩斯特</x:t>
        </x:is>
      </x:c>
      <x:c r="D2390" s="3" t="inlineStr">
        <x:is>
          <x:t xml:space="preserve">深圳市曼恩斯特科技股份有限公司</x:t>
        </x:is>
      </x:c>
      <x:c r="E2390" s="2" t="inlineStr">
        <x:is>
          <x:t xml:space="preserve">广东省</x:t>
        </x:is>
      </x:c>
      <x:c r="F2390" s="2" t="inlineStr">
        <x:is>
          <x:t xml:space="preserve">深圳市</x:t>
        </x:is>
      </x:c>
      <x:c r="G2390" s="3" t="inlineStr">
        <x:is>
          <x:t xml:space="preserve">广东省-深圳市</x:t>
        </x:is>
      </x:c>
      <x:c r="H2390" s="2" t="inlineStr">
        <x:is>
          <x:t xml:space="preserve">电池</x:t>
        </x:is>
      </x:c>
      <x:c r="I2390" s="2" t="inlineStr">
        <x:is>
          <x:t xml:space="preserve">2023-05-12</x:t>
        </x:is>
      </x:c>
      <x:c r="J2390" s="3" t="inlineStr">
        <x:is>
          <x:t xml:space="preserve">深圳市坪山区龙田街道竹坑社区第三工业区C区3号厂房101-201</x:t>
        </x:is>
      </x:c>
      <x:c r="K2390" s="12" t="str">
        <x:f>LEFT("914403003195289154",18)</x:f>
        <x:v>914403003195289200</x:v>
      </x:c>
    </x:row>
    <x:row r="2391">
      <x:c r="A2391" s="4" t="n">
        <x:v>2390</x:v>
      </x:c>
      <x:c r="B2391" s="4" t="inlineStr">
        <x:is>
          <x:t xml:space="preserve">301326</x:t>
        </x:is>
      </x:c>
      <x:c r="C2391" s="5" t="inlineStr">
        <x:is>
          <x:t xml:space="preserve">捷邦科技</x:t>
        </x:is>
      </x:c>
      <x:c r="D2391" s="5" t="inlineStr">
        <x:is>
          <x:t xml:space="preserve">捷邦精密科技股份有限公司</x:t>
        </x:is>
      </x:c>
      <x:c r="E2391" s="4" t="inlineStr">
        <x:is>
          <x:t xml:space="preserve">广东省</x:t>
        </x:is>
      </x:c>
      <x:c r="F2391" s="4" t="inlineStr">
        <x:is>
          <x:t xml:space="preserve">东莞市</x:t>
        </x:is>
      </x:c>
      <x:c r="G2391" s="5" t="inlineStr">
        <x:is>
          <x:t xml:space="preserve">广东省-东莞市</x:t>
        </x:is>
      </x:c>
      <x:c r="H2391" s="4" t="inlineStr">
        <x:is>
          <x:t xml:space="preserve">消费电子</x:t>
        </x:is>
      </x:c>
      <x:c r="I2391" s="4" t="inlineStr">
        <x:is>
          <x:t xml:space="preserve">2022-09-21</x:t>
        </x:is>
      </x:c>
      <x:c r="J2391" s="5" t="inlineStr">
        <x:is>
          <x:t xml:space="preserve">广东省东莞市松山湖园区研发一路1号1栋201室</x:t>
        </x:is>
      </x:c>
      <x:c r="K2391" s="12" t="str">
        <x:f>LEFT("91441900663343661L",18)</x:f>
        <x:v>91441900663343661L</x:v>
      </x:c>
    </x:row>
    <x:row r="2392">
      <x:c r="A2392" s="2" t="n">
        <x:v>2391</x:v>
      </x:c>
      <x:c r="B2392" s="2" t="inlineStr">
        <x:is>
          <x:t xml:space="preserve">301327</x:t>
        </x:is>
      </x:c>
      <x:c r="C2392" s="3" t="inlineStr">
        <x:is>
          <x:t xml:space="preserve">华宝新能</x:t>
        </x:is>
      </x:c>
      <x:c r="D2392" s="3" t="inlineStr">
        <x:is>
          <x:t xml:space="preserve">深圳市华宝新能源股份有限公司</x:t>
        </x:is>
      </x:c>
      <x:c r="E2392" s="2" t="inlineStr">
        <x:is>
          <x:t xml:space="preserve">广东省</x:t>
        </x:is>
      </x:c>
      <x:c r="F2392" s="2" t="inlineStr">
        <x:is>
          <x:t xml:space="preserve">深圳市</x:t>
        </x:is>
      </x:c>
      <x:c r="G2392" s="3" t="inlineStr">
        <x:is>
          <x:t xml:space="preserve">广东省-深圳市</x:t>
        </x:is>
      </x:c>
      <x:c r="H2392" s="2" t="inlineStr">
        <x:is>
          <x:t xml:space="preserve">电池</x:t>
        </x:is>
      </x:c>
      <x:c r="I2392" s="2" t="inlineStr">
        <x:is>
          <x:t xml:space="preserve">2022-09-19</x:t>
        </x:is>
      </x:c>
      <x:c r="J2392" s="3" t="inlineStr">
        <x:is>
          <x:t xml:space="preserve">深圳市龙华区大浪街道同胜社区华繁路东侧嘉安达科技工业园厂房七2层、3层(一照多址企业)</x:t>
        </x:is>
      </x:c>
      <x:c r="K2392" s="12" t="str">
        <x:f>LEFT("91440300580086655P",18)</x:f>
        <x:v>91440300580086655P</x:v>
      </x:c>
    </x:row>
    <x:row r="2393">
      <x:c r="A2393" s="4" t="n">
        <x:v>2392</x:v>
      </x:c>
      <x:c r="B2393" s="4" t="inlineStr">
        <x:is>
          <x:t xml:space="preserve">301328</x:t>
        </x:is>
      </x:c>
      <x:c r="C2393" s="5" t="inlineStr">
        <x:is>
          <x:t xml:space="preserve">维峰电子</x:t>
        </x:is>
      </x:c>
      <x:c r="D2393" s="5" t="inlineStr">
        <x:is>
          <x:t xml:space="preserve">维峰电子股份有限公司</x:t>
        </x:is>
      </x:c>
      <x:c r="E2393" s="4" t="inlineStr">
        <x:is>
          <x:t xml:space="preserve">广东省</x:t>
        </x:is>
      </x:c>
      <x:c r="F2393" s="4" t="inlineStr">
        <x:is>
          <x:t xml:space="preserve">东莞市</x:t>
        </x:is>
      </x:c>
      <x:c r="G2393" s="5" t="inlineStr">
        <x:is>
          <x:t xml:space="preserve">广东省-东莞市</x:t>
        </x:is>
      </x:c>
      <x:c r="H2393" s="4" t="inlineStr">
        <x:is>
          <x:t xml:space="preserve">电子元件</x:t>
        </x:is>
      </x:c>
      <x:c r="I2393" s="4" t="inlineStr">
        <x:is>
          <x:t xml:space="preserve">2022-09-08</x:t>
        </x:is>
      </x:c>
      <x:c r="J2393" s="5" t="inlineStr">
        <x:is>
          <x:t xml:space="preserve">广东省东莞市虎门镇大宁文明路15号</x:t>
        </x:is>
      </x:c>
      <x:c r="K2393" s="12" t="str">
        <x:f>LEFT("91441900745512430D",18)</x:f>
        <x:v>91441900745512430D</x:v>
      </x:c>
    </x:row>
    <x:row r="2394">
      <x:c r="A2394" s="2" t="n">
        <x:v>2393</x:v>
      </x:c>
      <x:c r="B2394" s="2" t="inlineStr">
        <x:is>
          <x:t xml:space="preserve">301330</x:t>
        </x:is>
      </x:c>
      <x:c r="C2394" s="3" t="inlineStr">
        <x:is>
          <x:t xml:space="preserve">熵基科技</x:t>
        </x:is>
      </x:c>
      <x:c r="D2394" s="3" t="inlineStr">
        <x:is>
          <x:t xml:space="preserve">熵基科技股份有限公司</x:t>
        </x:is>
      </x:c>
      <x:c r="E2394" s="2" t="inlineStr">
        <x:is>
          <x:t xml:space="preserve">广东省</x:t>
        </x:is>
      </x:c>
      <x:c r="F2394" s="2" t="inlineStr">
        <x:is>
          <x:t xml:space="preserve">东莞市</x:t>
        </x:is>
      </x:c>
      <x:c r="G2394" s="3" t="inlineStr">
        <x:is>
          <x:t xml:space="preserve">广东省-东莞市</x:t>
        </x:is>
      </x:c>
      <x:c r="H2394" s="2" t="inlineStr">
        <x:is>
          <x:t xml:space="preserve">软件开发</x:t>
        </x:is>
      </x:c>
      <x:c r="I2394" s="2" t="inlineStr">
        <x:is>
          <x:t xml:space="preserve">2022-08-17</x:t>
        </x:is>
      </x:c>
      <x:c r="J2394" s="3" t="inlineStr">
        <x:is>
          <x:t xml:space="preserve">广东省东莞市塘厦镇平山工业大路32号</x:t>
        </x:is>
      </x:c>
      <x:c r="K2394" s="12" t="str">
        <x:f>LEFT("914419006698651618",18)</x:f>
        <x:v>914419006698651600</x:v>
      </x:c>
    </x:row>
    <x:row r="2395">
      <x:c r="A2395" s="4" t="n">
        <x:v>2394</x:v>
      </x:c>
      <x:c r="B2395" s="4" t="inlineStr">
        <x:is>
          <x:t xml:space="preserve">301332</x:t>
        </x:is>
      </x:c>
      <x:c r="C2395" s="5" t="inlineStr">
        <x:is>
          <x:t xml:space="preserve">德尔玛</x:t>
        </x:is>
      </x:c>
      <x:c r="D2395" s="5" t="inlineStr">
        <x:is>
          <x:t xml:space="preserve">广东德尔玛科技股份有限公司</x:t>
        </x:is>
      </x:c>
      <x:c r="E2395" s="4" t="inlineStr">
        <x:is>
          <x:t xml:space="preserve">广东省</x:t>
        </x:is>
      </x:c>
      <x:c r="F2395" s="4" t="inlineStr">
        <x:is>
          <x:t xml:space="preserve">佛山市</x:t>
        </x:is>
      </x:c>
      <x:c r="G2395" s="5" t="inlineStr">
        <x:is>
          <x:t xml:space="preserve">广东省-佛山市</x:t>
        </x:is>
      </x:c>
      <x:c r="H2395" s="4" t="inlineStr">
        <x:is>
          <x:t xml:space="preserve">家电行业</x:t>
        </x:is>
      </x:c>
      <x:c r="I2395" s="4" t="inlineStr">
        <x:is>
          <x:t xml:space="preserve">2023-05-18</x:t>
        </x:is>
      </x:c>
      <x:c r="J2395" s="5" t="inlineStr">
        <x:is>
          <x:t xml:space="preserve">广东省佛山市顺德区北滘镇莘村村创盛路9号A栋A区</x:t>
        </x:is>
      </x:c>
      <x:c r="K2395" s="12" t="str">
        <x:f>LEFT("9144060657969491XK",18)</x:f>
        <x:v>9144060657969491XK</x:v>
      </x:c>
    </x:row>
    <x:row r="2396">
      <x:c r="A2396" s="2" t="n">
        <x:v>2395</x:v>
      </x:c>
      <x:c r="B2396" s="2" t="inlineStr">
        <x:is>
          <x:t xml:space="preserve">301338</x:t>
        </x:is>
      </x:c>
      <x:c r="C2396" s="3" t="inlineStr">
        <x:is>
          <x:t xml:space="preserve">凯格精机</x:t>
        </x:is>
      </x:c>
      <x:c r="D2396" s="3" t="inlineStr">
        <x:is>
          <x:t xml:space="preserve">东莞市凯格精机股份有限公司</x:t>
        </x:is>
      </x:c>
      <x:c r="E2396" s="2" t="inlineStr">
        <x:is>
          <x:t xml:space="preserve">广东省</x:t>
        </x:is>
      </x:c>
      <x:c r="F2396" s="2" t="inlineStr">
        <x:is>
          <x:t xml:space="preserve">东莞市</x:t>
        </x:is>
      </x:c>
      <x:c r="G2396" s="3" t="inlineStr">
        <x:is>
          <x:t xml:space="preserve">广东省-东莞市</x:t>
        </x:is>
      </x:c>
      <x:c r="H2396" s="2" t="inlineStr">
        <x:is>
          <x:t xml:space="preserve">专用设备</x:t>
        </x:is>
      </x:c>
      <x:c r="I2396" s="2" t="inlineStr">
        <x:is>
          <x:t xml:space="preserve">2022-08-16</x:t>
        </x:is>
      </x:c>
      <x:c r="J2396" s="3" t="inlineStr">
        <x:is>
          <x:t xml:space="preserve">东莞市东城街道沙朗路2号</x:t>
        </x:is>
      </x:c>
      <x:c r="K2396" s="12" t="str">
        <x:f>LEFT("91441900775087033K",18)</x:f>
        <x:v>91441900775087033K</x:v>
      </x:c>
    </x:row>
    <x:row r="2397">
      <x:c r="A2397" s="4" t="n">
        <x:v>2396</x:v>
      </x:c>
      <x:c r="B2397" s="4" t="inlineStr">
        <x:is>
          <x:t xml:space="preserve">301348</x:t>
        </x:is>
      </x:c>
      <x:c r="C2397" s="5" t="inlineStr">
        <x:is>
          <x:t xml:space="preserve">蓝箭电子</x:t>
        </x:is>
      </x:c>
      <x:c r="D2397" s="5" t="inlineStr">
        <x:is>
          <x:t xml:space="preserve">佛山市蓝箭电子股份有限公司</x:t>
        </x:is>
      </x:c>
      <x:c r="E2397" s="4" t="inlineStr">
        <x:is>
          <x:t xml:space="preserve">广东省</x:t>
        </x:is>
      </x:c>
      <x:c r="F2397" s="4" t="inlineStr">
        <x:is>
          <x:t xml:space="preserve">佛山市</x:t>
        </x:is>
      </x:c>
      <x:c r="G2397" s="5" t="inlineStr">
        <x:is>
          <x:t xml:space="preserve">广东省-佛山市</x:t>
        </x:is>
      </x:c>
      <x:c r="H2397" s="4" t="inlineStr">
        <x:is>
          <x:t xml:space="preserve">半导体</x:t>
        </x:is>
      </x:c>
      <x:c r="I2397" s="4" t="inlineStr">
        <x:is>
          <x:t xml:space="preserve">2023-08-10</x:t>
        </x:is>
      </x:c>
      <x:c r="J2397" s="5" t="inlineStr">
        <x:is>
          <x:t xml:space="preserve">佛山市禅城区古新路45号</x:t>
        </x:is>
      </x:c>
      <x:c r="K2397" s="12" t="str">
        <x:f>LEFT("91440600708175914C",18)</x:f>
        <x:v>91440600708175914C</x:v>
      </x:c>
    </x:row>
    <x:row r="2398">
      <x:c r="A2398" s="2" t="n">
        <x:v>2397</x:v>
      </x:c>
      <x:c r="B2398" s="2" t="inlineStr">
        <x:is>
          <x:t xml:space="preserve">301362</x:t>
        </x:is>
      </x:c>
      <x:c r="C2398" s="3" t="inlineStr">
        <x:is>
          <x:t xml:space="preserve">民爆光电</x:t>
        </x:is>
      </x:c>
      <x:c r="D2398" s="3" t="inlineStr">
        <x:is>
          <x:t xml:space="preserve">深圳民爆光电股份有限公司</x:t>
        </x:is>
      </x:c>
      <x:c r="E2398" s="2" t="inlineStr">
        <x:is>
          <x:t xml:space="preserve">广东省</x:t>
        </x:is>
      </x:c>
      <x:c r="F2398" s="2" t="inlineStr">
        <x:is>
          <x:t xml:space="preserve">深圳市</x:t>
        </x:is>
      </x:c>
      <x:c r="G2398" s="3" t="inlineStr">
        <x:is>
          <x:t xml:space="preserve">广东省-深圳市</x:t>
        </x:is>
      </x:c>
      <x:c r="H2398" s="2" t="inlineStr">
        <x:is>
          <x:t xml:space="preserve">家电行业</x:t>
        </x:is>
      </x:c>
      <x:c r="I2398" s="2" t="inlineStr">
        <x:is>
          <x:t xml:space="preserve">2023-08-04</x:t>
        </x:is>
      </x:c>
      <x:c r="J2398" s="3" t="inlineStr">
        <x:is>
          <x:t xml:space="preserve">深圳市宝安区福永街道(福园一路西侧)润恒工业厂区2#厂房第二、三、四、五层</x:t>
        </x:is>
      </x:c>
      <x:c r="K2398" s="12" t="str">
        <x:f>LEFT("91440300552110232W",18)</x:f>
        <x:v>91440300552110232W</x:v>
      </x:c>
    </x:row>
    <x:row r="2399">
      <x:c r="A2399" s="4" t="n">
        <x:v>2398</x:v>
      </x:c>
      <x:c r="B2399" s="4" t="inlineStr">
        <x:is>
          <x:t xml:space="preserve">301363</x:t>
        </x:is>
      </x:c>
      <x:c r="C2399" s="5" t="inlineStr">
        <x:is>
          <x:t xml:space="preserve">美好医疗</x:t>
        </x:is>
      </x:c>
      <x:c r="D2399" s="5" t="inlineStr">
        <x:is>
          <x:t xml:space="preserve">深圳市美好创亿医疗科技股份有限公司</x:t>
        </x:is>
      </x:c>
      <x:c r="E2399" s="4" t="inlineStr">
        <x:is>
          <x:t xml:space="preserve">广东省</x:t>
        </x:is>
      </x:c>
      <x:c r="F2399" s="4" t="inlineStr">
        <x:is>
          <x:t xml:space="preserve">深圳市</x:t>
        </x:is>
      </x:c>
      <x:c r="G2399" s="5" t="inlineStr">
        <x:is>
          <x:t xml:space="preserve">广东省-深圳市</x:t>
        </x:is>
      </x:c>
      <x:c r="H2399" s="4" t="inlineStr">
        <x:is>
          <x:t xml:space="preserve">医疗器械</x:t>
        </x:is>
      </x:c>
      <x:c r="I2399" s="4" t="inlineStr">
        <x:is>
          <x:t xml:space="preserve">2022-10-12</x:t>
        </x:is>
      </x:c>
      <x:c r="J2399" s="5" t="inlineStr">
        <x:is>
          <x:t xml:space="preserve">深圳市龙岗区宝龙街道宝龙社区宝龙三路8号美好创亿大厦2号厂房101-1701(一照多址企业)</x:t>
        </x:is>
      </x:c>
      <x:c r="K2399" s="12" t="str">
        <x:f>LEFT("914403005586534068",18)</x:f>
        <x:v>914403005586534000</x:v>
      </x:c>
    </x:row>
    <x:row r="2400">
      <x:c r="A2400" s="2" t="n">
        <x:v>2399</x:v>
      </x:c>
      <x:c r="B2400" s="2" t="inlineStr">
        <x:is>
          <x:t xml:space="preserve">301365</x:t>
        </x:is>
      </x:c>
      <x:c r="C2400" s="3" t="inlineStr">
        <x:is>
          <x:t xml:space="preserve">矩阵股份</x:t>
        </x:is>
      </x:c>
      <x:c r="D2400" s="3" t="inlineStr">
        <x:is>
          <x:t xml:space="preserve">矩阵纵横设计股份有限公司</x:t>
        </x:is>
      </x:c>
      <x:c r="E2400" s="2" t="inlineStr">
        <x:is>
          <x:t xml:space="preserve">广东省</x:t>
        </x:is>
      </x:c>
      <x:c r="F2400" s="2" t="inlineStr">
        <x:is>
          <x:t xml:space="preserve">深圳市</x:t>
        </x:is>
      </x:c>
      <x:c r="G2400" s="3" t="inlineStr">
        <x:is>
          <x:t xml:space="preserve">广东省-深圳市</x:t>
        </x:is>
      </x:c>
      <x:c r="H2400" s="2" t="inlineStr">
        <x:is>
          <x:t xml:space="preserve">装修装饰</x:t>
        </x:is>
      </x:c>
      <x:c r="I2400" s="2" t="inlineStr">
        <x:is>
          <x:t xml:space="preserve">2022-11-22</x:t>
        </x:is>
      </x:c>
      <x:c r="J2400" s="3" t="inlineStr">
        <x:is>
          <x:t xml:space="preserve">深圳市福田区莲花街道福中社区福田中心区金田路4036号荣超大厦17层1701、1702</x:t>
        </x:is>
      </x:c>
      <x:c r="K2400" s="12" t="str">
        <x:f>LEFT("91440300552144766W",18)</x:f>
        <x:v>91440300552144766W</x:v>
      </x:c>
    </x:row>
    <x:row r="2401">
      <x:c r="A2401" s="4" t="n">
        <x:v>2400</x:v>
      </x:c>
      <x:c r="B2401" s="4" t="inlineStr">
        <x:is>
          <x:t xml:space="preserve">301366</x:t>
        </x:is>
      </x:c>
      <x:c r="C2401" s="5" t="inlineStr">
        <x:is>
          <x:t xml:space="preserve">一博科技</x:t>
        </x:is>
      </x:c>
      <x:c r="D2401" s="5" t="inlineStr">
        <x:is>
          <x:t xml:space="preserve">深圳市一博科技股份有限公司</x:t>
        </x:is>
      </x:c>
      <x:c r="E2401" s="4" t="inlineStr">
        <x:is>
          <x:t xml:space="preserve">广东省</x:t>
        </x:is>
      </x:c>
      <x:c r="F2401" s="4" t="inlineStr">
        <x:is>
          <x:t xml:space="preserve">深圳市</x:t>
        </x:is>
      </x:c>
      <x:c r="G2401" s="5" t="inlineStr">
        <x:is>
          <x:t xml:space="preserve">广东省-深圳市</x:t>
        </x:is>
      </x:c>
      <x:c r="H2401" s="4" t="inlineStr">
        <x:is>
          <x:t xml:space="preserve">电子元件</x:t>
        </x:is>
      </x:c>
      <x:c r="I2401" s="4" t="inlineStr">
        <x:is>
          <x:t xml:space="preserve">2022-09-26</x:t>
        </x:is>
      </x:c>
      <x:c r="J2401" s="5" t="inlineStr">
        <x:is>
          <x:t xml:space="preserve">深圳市南山区粤海街道深大社区深南大道9819号地铁金融科技大厦11F</x:t>
        </x:is>
      </x:c>
      <x:c r="K2401" s="12" t="str">
        <x:f>LEFT("914403007466471694",18)</x:f>
        <x:v>914403007466471700</x:v>
      </x:c>
    </x:row>
    <x:row r="2402">
      <x:c r="A2402" s="2" t="n">
        <x:v>2401</x:v>
      </x:c>
      <x:c r="B2402" s="2" t="inlineStr">
        <x:is>
          <x:t xml:space="preserve">301369</x:t>
        </x:is>
      </x:c>
      <x:c r="C2402" s="3" t="inlineStr">
        <x:is>
          <x:t xml:space="preserve">联动科技</x:t>
        </x:is>
      </x:c>
      <x:c r="D2402" s="3" t="inlineStr">
        <x:is>
          <x:t xml:space="preserve">佛山市联动科技股份有限公司</x:t>
        </x:is>
      </x:c>
      <x:c r="E2402" s="2" t="inlineStr">
        <x:is>
          <x:t xml:space="preserve">广东省</x:t>
        </x:is>
      </x:c>
      <x:c r="F2402" s="2" t="inlineStr">
        <x:is>
          <x:t xml:space="preserve">佛山市</x:t>
        </x:is>
      </x:c>
      <x:c r="G2402" s="3" t="inlineStr">
        <x:is>
          <x:t xml:space="preserve">广东省-佛山市</x:t>
        </x:is>
      </x:c>
      <x:c r="H2402" s="2" t="inlineStr">
        <x:is>
          <x:t xml:space="preserve">半导体</x:t>
        </x:is>
      </x:c>
      <x:c r="I2402" s="2" t="inlineStr">
        <x:is>
          <x:t xml:space="preserve">2022-09-22</x:t>
        </x:is>
      </x:c>
      <x:c r="J2402" s="3" t="inlineStr">
        <x:is>
          <x:t xml:space="preserve">佛山市南海国家高新区新光源产业基地光明大道16号</x:t>
        </x:is>
      </x:c>
      <x:c r="K2402" s="12" t="str">
        <x:f>LEFT("91440605708173759E",18)</x:f>
        <x:v>91440605708173759E</x:v>
      </x:c>
    </x:row>
    <x:row r="2403">
      <x:c r="A2403" s="4" t="n">
        <x:v>2402</x:v>
      </x:c>
      <x:c r="B2403" s="4" t="inlineStr">
        <x:is>
          <x:t xml:space="preserve">301373</x:t>
        </x:is>
      </x:c>
      <x:c r="C2403" s="5" t="inlineStr">
        <x:is>
          <x:t xml:space="preserve">凌玮科技</x:t>
        </x:is>
      </x:c>
      <x:c r="D2403" s="5" t="inlineStr">
        <x:is>
          <x:t xml:space="preserve">广州凌玮科技股份有限公司</x:t>
        </x:is>
      </x:c>
      <x:c r="E2403" s="4" t="inlineStr">
        <x:is>
          <x:t xml:space="preserve">广东省</x:t>
        </x:is>
      </x:c>
      <x:c r="F2403" s="4" t="inlineStr">
        <x:is>
          <x:t xml:space="preserve">广州市</x:t>
        </x:is>
      </x:c>
      <x:c r="G2403" s="5" t="inlineStr">
        <x:is>
          <x:t xml:space="preserve">广东省-广州市</x:t>
        </x:is>
      </x:c>
      <x:c r="H2403" s="4" t="inlineStr">
        <x:is>
          <x:t xml:space="preserve">化学制品</x:t>
        </x:is>
      </x:c>
      <x:c r="I2403" s="4" t="inlineStr">
        <x:is>
          <x:t xml:space="preserve">2023-02-08</x:t>
        </x:is>
      </x:c>
      <x:c r="J2403" s="5" t="inlineStr">
        <x:is>
          <x:t xml:space="preserve">广州市番禺区番禺大道北555号番禺节能科技园内天安科技交流中心701-702</x:t>
        </x:is>
      </x:c>
      <x:c r="K2403" s="12" t="str">
        <x:f>LEFT("914401016640118296",18)</x:f>
        <x:v>914401016640118300</x:v>
      </x:c>
    </x:row>
    <x:row r="2404">
      <x:c r="A2404" s="2" t="n">
        <x:v>2403</x:v>
      </x:c>
      <x:c r="B2404" s="2" t="inlineStr">
        <x:is>
          <x:t xml:space="preserve">301377</x:t>
        </x:is>
      </x:c>
      <x:c r="C2404" s="3" t="inlineStr">
        <x:is>
          <x:t xml:space="preserve">鼎泰高科</x:t>
        </x:is>
      </x:c>
      <x:c r="D2404" s="3" t="inlineStr">
        <x:is>
          <x:t xml:space="preserve">广东鼎泰高科技术股份有限公司</x:t>
        </x:is>
      </x:c>
      <x:c r="E2404" s="2" t="inlineStr">
        <x:is>
          <x:t xml:space="preserve">广东省</x:t>
        </x:is>
      </x:c>
      <x:c r="F2404" s="2" t="inlineStr">
        <x:is>
          <x:t xml:space="preserve">东莞市</x:t>
        </x:is>
      </x:c>
      <x:c r="G2404" s="3" t="inlineStr">
        <x:is>
          <x:t xml:space="preserve">广东省-东莞市</x:t>
        </x:is>
      </x:c>
      <x:c r="H2404" s="2" t="inlineStr">
        <x:is>
          <x:t xml:space="preserve">通用设备</x:t>
        </x:is>
      </x:c>
      <x:c r="I2404" s="2" t="inlineStr">
        <x:is>
          <x:t xml:space="preserve">2022-11-22</x:t>
        </x:is>
      </x:c>
      <x:c r="J2404" s="3" t="inlineStr">
        <x:is>
          <x:t xml:space="preserve">广东省东莞市厚街镇寮厦竹园路39号1号楼201室</x:t>
        </x:is>
      </x:c>
      <x:c r="K2404" s="12" t="str">
        <x:f>LEFT("91441900076699698P",18)</x:f>
        <x:v>91441900076699698P</x:v>
      </x:c>
    </x:row>
    <x:row r="2405">
      <x:c r="A2405" s="4" t="n">
        <x:v>2404</x:v>
      </x:c>
      <x:c r="B2405" s="4" t="inlineStr">
        <x:is>
          <x:t xml:space="preserve">301381</x:t>
        </x:is>
      </x:c>
      <x:c r="C2405" s="5" t="inlineStr">
        <x:is>
          <x:t xml:space="preserve">赛维时代</x:t>
        </x:is>
      </x:c>
      <x:c r="D2405" s="5" t="inlineStr">
        <x:is>
          <x:t xml:space="preserve">赛维时代科技股份有限公司</x:t>
        </x:is>
      </x:c>
      <x:c r="E2405" s="4" t="inlineStr">
        <x:is>
          <x:t xml:space="preserve">广东省</x:t>
        </x:is>
      </x:c>
      <x:c r="F2405" s="4" t="inlineStr">
        <x:is>
          <x:t xml:space="preserve">深圳市</x:t>
        </x:is>
      </x:c>
      <x:c r="G2405" s="5" t="inlineStr">
        <x:is>
          <x:t xml:space="preserve">广东省-深圳市</x:t>
        </x:is>
      </x:c>
      <x:c r="H2405" s="4" t="inlineStr">
        <x:is>
          <x:t xml:space="preserve">互联网服务</x:t>
        </x:is>
      </x:c>
      <x:c r="I2405" s="4" t="inlineStr">
        <x:is>
          <x:t xml:space="preserve">2023-07-12</x:t>
        </x:is>
      </x:c>
      <x:c r="J2405" s="5" t="inlineStr">
        <x:is>
          <x:t xml:space="preserve">深圳市龙岗区南湾街道上李朗社区康利城6号1001</x:t>
        </x:is>
      </x:c>
      <x:c r="K2405" s="12" t="str">
        <x:f>LEFT("91440300597777727F",18)</x:f>
        <x:v>91440300597777727F</x:v>
      </x:c>
    </x:row>
    <x:row r="2406">
      <x:c r="A2406" s="2" t="n">
        <x:v>2405</x:v>
      </x:c>
      <x:c r="B2406" s="2" t="inlineStr">
        <x:is>
          <x:t xml:space="preserve">301382</x:t>
        </x:is>
      </x:c>
      <x:c r="C2406" s="3" t="inlineStr">
        <x:is>
          <x:t xml:space="preserve">蜂助手</x:t>
        </x:is>
      </x:c>
      <x:c r="D2406" s="3" t="inlineStr">
        <x:is>
          <x:t xml:space="preserve">蜂助手股份有限公司</x:t>
        </x:is>
      </x:c>
      <x:c r="E2406" s="2" t="inlineStr">
        <x:is>
          <x:t xml:space="preserve">广东省</x:t>
        </x:is>
      </x:c>
      <x:c r="F2406" s="2" t="inlineStr">
        <x:is>
          <x:t xml:space="preserve">广州市</x:t>
        </x:is>
      </x:c>
      <x:c r="G2406" s="3" t="inlineStr">
        <x:is>
          <x:t xml:space="preserve">广东省-广州市</x:t>
        </x:is>
      </x:c>
      <x:c r="H2406" s="2" t="inlineStr">
        <x:is>
          <x:t xml:space="preserve">互联网服务</x:t>
        </x:is>
      </x:c>
      <x:c r="I2406" s="2" t="inlineStr">
        <x:is>
          <x:t xml:space="preserve">2023-05-17</x:t>
        </x:is>
      </x:c>
      <x:c r="J2406" s="3" t="inlineStr">
        <x:is>
          <x:t xml:space="preserve">广州市天河区黄埔大道中660号之一901-909房</x:t>
        </x:is>
      </x:c>
      <x:c r="K2406" s="12" t="str">
        <x:f>LEFT("914401015895112324",18)</x:f>
        <x:v>914401015895112300</x:v>
      </x:c>
    </x:row>
    <x:row r="2407">
      <x:c r="A2407" s="4" t="n">
        <x:v>2406</x:v>
      </x:c>
      <x:c r="B2407" s="4" t="inlineStr">
        <x:is>
          <x:t xml:space="preserve">301387</x:t>
        </x:is>
      </x:c>
      <x:c r="C2407" s="5" t="inlineStr">
        <x:is>
          <x:t xml:space="preserve">光大同创</x:t>
        </x:is>
      </x:c>
      <x:c r="D2407" s="5" t="inlineStr">
        <x:is>
          <x:t xml:space="preserve">深圳光大同创新材料股份有限公司</x:t>
        </x:is>
      </x:c>
      <x:c r="E2407" s="4" t="inlineStr">
        <x:is>
          <x:t xml:space="preserve">广东省</x:t>
        </x:is>
      </x:c>
      <x:c r="F2407" s="4" t="inlineStr">
        <x:is>
          <x:t xml:space="preserve">深圳市</x:t>
        </x:is>
      </x:c>
      <x:c r="G2407" s="5" t="inlineStr">
        <x:is>
          <x:t xml:space="preserve">广东省-深圳市</x:t>
        </x:is>
      </x:c>
      <x:c r="H2407" s="4" t="inlineStr">
        <x:is>
          <x:t xml:space="preserve">消费电子</x:t>
        </x:is>
      </x:c>
      <x:c r="I2407" s="4" t="inlineStr">
        <x:is>
          <x:t xml:space="preserve">2023-04-18</x:t>
        </x:is>
      </x:c>
      <x:c r="J2407" s="5" t="inlineStr">
        <x:is>
          <x:t xml:space="preserve">深圳市光明区玉塘街道田察社区同观路十九号路10号九洲工业园厂房2栋102</x:t>
        </x:is>
      </x:c>
      <x:c r="K2407" s="12" t="str">
        <x:f>LEFT("914403005930493943",18)</x:f>
        <x:v>914403005930494000</x:v>
      </x:c>
    </x:row>
    <x:row r="2408">
      <x:c r="A2408" s="2" t="n">
        <x:v>2407</x:v>
      </x:c>
      <x:c r="B2408" s="2" t="inlineStr">
        <x:is>
          <x:t xml:space="preserve">301391</x:t>
        </x:is>
      </x:c>
      <x:c r="C2408" s="3" t="inlineStr">
        <x:is>
          <x:t xml:space="preserve">卡莱特</x:t>
        </x:is>
      </x:c>
      <x:c r="D2408" s="3" t="inlineStr">
        <x:is>
          <x:t xml:space="preserve">卡莱特云科技股份有限公司</x:t>
        </x:is>
      </x:c>
      <x:c r="E2408" s="2" t="inlineStr">
        <x:is>
          <x:t xml:space="preserve">广东省</x:t>
        </x:is>
      </x:c>
      <x:c r="F2408" s="2" t="inlineStr">
        <x:is>
          <x:t xml:space="preserve">深圳市</x:t>
        </x:is>
      </x:c>
      <x:c r="G2408" s="3" t="inlineStr">
        <x:is>
          <x:t xml:space="preserve">广东省-深圳市</x:t>
        </x:is>
      </x:c>
      <x:c r="H2408" s="2" t="inlineStr">
        <x:is>
          <x:t xml:space="preserve">计算机设备</x:t>
        </x:is>
      </x:c>
      <x:c r="I2408" s="2" t="inlineStr">
        <x:is>
          <x:t xml:space="preserve">2022-12-01</x:t>
        </x:is>
      </x:c>
      <x:c r="J2408" s="3" t="inlineStr">
        <x:is>
          <x:t xml:space="preserve">深圳市南山区西丽街道西丽社区留新四街万科云城三期C区八栋A座3801房(37-39层)</x:t>
        </x:is>
      </x:c>
      <x:c r="K2408" s="12" t="str">
        <x:f>LEFT("914403005891698012",18)</x:f>
        <x:v>914403005891698000</x:v>
      </x:c>
    </x:row>
    <x:row r="2409">
      <x:c r="A2409" s="4" t="n">
        <x:v>2408</x:v>
      </x:c>
      <x:c r="B2409" s="4" t="inlineStr">
        <x:is>
          <x:t xml:space="preserve">301392</x:t>
        </x:is>
      </x:c>
      <x:c r="C2409" s="5" t="inlineStr">
        <x:is>
          <x:t xml:space="preserve">汇成真空</x:t>
        </x:is>
      </x:c>
      <x:c r="D2409" s="5" t="inlineStr">
        <x:is>
          <x:t xml:space="preserve">广东汇成真空科技股份有限公司</x:t>
        </x:is>
      </x:c>
      <x:c r="E2409" s="4" t="inlineStr">
        <x:is>
          <x:t xml:space="preserve">广东省</x:t>
        </x:is>
      </x:c>
      <x:c r="F2409" s="4" t="inlineStr">
        <x:is>
          <x:t xml:space="preserve">东莞市</x:t>
        </x:is>
      </x:c>
      <x:c r="G2409" s="5" t="inlineStr">
        <x:is>
          <x:t xml:space="preserve">广东省-东莞市</x:t>
        </x:is>
      </x:c>
      <x:c r="H2409" s="4" t="inlineStr">
        <x:is>
          <x:t xml:space="preserve">专用设备</x:t>
        </x:is>
      </x:c>
      <x:c r="I2409" s="4" t="inlineStr">
        <x:is>
          <x:t xml:space="preserve">2024-06-05</x:t>
        </x:is>
      </x:c>
      <x:c r="J2409" s="5" t="inlineStr">
        <x:is>
          <x:t xml:space="preserve">广东省东莞市大岭山镇颜屋龙园路2号</x:t>
        </x:is>
      </x:c>
      <x:c r="K2409" s="12" t="str">
        <x:f>LEFT("91441900791240616U",18)</x:f>
        <x:v>91441900791240616U</x:v>
      </x:c>
    </x:row>
    <x:row r="2410">
      <x:c r="A2410" s="2" t="n">
        <x:v>2409</x:v>
      </x:c>
      <x:c r="B2410" s="2" t="inlineStr">
        <x:is>
          <x:t xml:space="preserve">301395</x:t>
        </x:is>
      </x:c>
      <x:c r="C2410" s="3" t="inlineStr">
        <x:is>
          <x:t xml:space="preserve">仁信新材</x:t>
        </x:is>
      </x:c>
      <x:c r="D2410" s="3" t="inlineStr">
        <x:is>
          <x:t xml:space="preserve">惠州仁信新材料股份有限公司</x:t>
        </x:is>
      </x:c>
      <x:c r="E2410" s="2" t="inlineStr">
        <x:is>
          <x:t xml:space="preserve">广东省</x:t>
        </x:is>
      </x:c>
      <x:c r="F2410" s="2" t="inlineStr">
        <x:is>
          <x:t xml:space="preserve">惠州市</x:t>
        </x:is>
      </x:c>
      <x:c r="G2410" s="3" t="inlineStr">
        <x:is>
          <x:t xml:space="preserve">广东省-惠州市</x:t>
        </x:is>
      </x:c>
      <x:c r="H2410" s="2" t="inlineStr">
        <x:is>
          <x:t xml:space="preserve">化学原料</x:t>
        </x:is>
      </x:c>
      <x:c r="I2410" s="2" t="inlineStr">
        <x:is>
          <x:t xml:space="preserve">2023-07-03</x:t>
        </x:is>
      </x:c>
      <x:c r="J2410" s="3" t="inlineStr">
        <x:is>
          <x:t xml:space="preserve">惠州大亚湾霞涌石化大道中28号</x:t>
        </x:is>
      </x:c>
      <x:c r="K2410" s="12" t="str">
        <x:f>LEFT("914413005682533509",18)</x:f>
        <x:v>914413005682533500</x:v>
      </x:c>
    </x:row>
    <x:row r="2411">
      <x:c r="A2411" s="4" t="n">
        <x:v>2410</x:v>
      </x:c>
      <x:c r="B2411" s="4" t="inlineStr">
        <x:is>
          <x:t xml:space="preserve">301396</x:t>
        </x:is>
      </x:c>
      <x:c r="C2411" s="5" t="inlineStr">
        <x:is>
          <x:t xml:space="preserve">宏景科技</x:t>
        </x:is>
      </x:c>
      <x:c r="D2411" s="5" t="inlineStr">
        <x:is>
          <x:t xml:space="preserve">宏景科技股份有限公司</x:t>
        </x:is>
      </x:c>
      <x:c r="E2411" s="4" t="inlineStr">
        <x:is>
          <x:t xml:space="preserve">广东省</x:t>
        </x:is>
      </x:c>
      <x:c r="F2411" s="4" t="inlineStr">
        <x:is>
          <x:t xml:space="preserve">广州市</x:t>
        </x:is>
      </x:c>
      <x:c r="G2411" s="5" t="inlineStr">
        <x:is>
          <x:t xml:space="preserve">广东省-广州市</x:t>
        </x:is>
      </x:c>
      <x:c r="H2411" s="4" t="inlineStr">
        <x:is>
          <x:t xml:space="preserve">互联网服务</x:t>
        </x:is>
      </x:c>
      <x:c r="I2411" s="4" t="inlineStr">
        <x:is>
          <x:t xml:space="preserve">2022-11-11</x:t>
        </x:is>
      </x:c>
      <x:c r="J2411" s="5" t="inlineStr">
        <x:is>
          <x:t xml:space="preserve">广州市黄埔区映日路111号</x:t>
        </x:is>
      </x:c>
      <x:c r="K2411" s="12" t="str">
        <x:f>LEFT("91440101618097617B",18)</x:f>
        <x:v>91440101618097617B</x:v>
      </x:c>
    </x:row>
    <x:row r="2412">
      <x:c r="A2412" s="2" t="n">
        <x:v>2411</x:v>
      </x:c>
      <x:c r="B2412" s="2" t="inlineStr">
        <x:is>
          <x:t xml:space="preserve">301413</x:t>
        </x:is>
      </x:c>
      <x:c r="C2412" s="3" t="inlineStr">
        <x:is>
          <x:t xml:space="preserve">安培龙</x:t>
        </x:is>
      </x:c>
      <x:c r="D2412" s="3" t="inlineStr">
        <x:is>
          <x:t xml:space="preserve">深圳安培龙科技股份有限公司</x:t>
        </x:is>
      </x:c>
      <x:c r="E2412" s="2" t="inlineStr">
        <x:is>
          <x:t xml:space="preserve">广东省</x:t>
        </x:is>
      </x:c>
      <x:c r="F2412" s="2" t="inlineStr">
        <x:is>
          <x:t xml:space="preserve">深圳市</x:t>
        </x:is>
      </x:c>
      <x:c r="G2412" s="3" t="inlineStr">
        <x:is>
          <x:t xml:space="preserve">广东省-深圳市</x:t>
        </x:is>
      </x:c>
      <x:c r="H2412" s="2" t="inlineStr">
        <x:is>
          <x:t xml:space="preserve">电子元件</x:t>
        </x:is>
      </x:c>
      <x:c r="I2412" s="2" t="inlineStr">
        <x:is>
          <x:t xml:space="preserve">2023-12-18</x:t>
        </x:is>
      </x:c>
      <x:c r="J2412" s="3" t="inlineStr">
        <x:is>
          <x:t xml:space="preserve">深圳市坪山区坑梓街道金沙社区聚园路1号安培龙智能传感器产业园1A栋201、1A栋、1B栋、2栋</x:t>
        </x:is>
      </x:c>
      <x:c r="K2412" s="12" t="str">
        <x:f>LEFT("914403007691574533",18)</x:f>
        <x:v>914403007691574500</x:v>
      </x:c>
    </x:row>
    <x:row r="2413">
      <x:c r="A2413" s="4" t="n">
        <x:v>2412</x:v>
      </x:c>
      <x:c r="B2413" s="4" t="inlineStr">
        <x:is>
          <x:t xml:space="preserve">301449</x:t>
        </x:is>
      </x:c>
      <x:c r="C2413" s="5" t="inlineStr">
        <x:is>
          <x:t xml:space="preserve">天溯计量</x:t>
        </x:is>
      </x:c>
      <x:c r="D2413" s="5" t="inlineStr">
        <x:is>
          <x:t xml:space="preserve">深圳天溯计量检测股份有限公司</x:t>
        </x:is>
      </x:c>
      <x:c r="E2413" s="4" t="inlineStr">
        <x:is>
          <x:t xml:space="preserve">广东省</x:t>
        </x:is>
      </x:c>
      <x:c r="F2413" s="4" t="inlineStr">
        <x:is>
          <x:t xml:space="preserve">深圳市</x:t>
        </x:is>
      </x:c>
      <x:c r="G2413" s="5" t="inlineStr">
        <x:is>
          <x:t xml:space="preserve">广东省-深圳市</x:t>
        </x:is>
      </x:c>
      <x:c r="H2413" s="4" t="inlineStr">
        <x:is>
          <x:t xml:space="preserve">专业服务</x:t>
        </x:is>
      </x:c>
      <x:c r="I2413" s="4" t="inlineStr">
        <x:is>
          <x:t xml:space="preserve">2025-12-23</x:t>
        </x:is>
      </x:c>
      <x:c r="J2413" s="5" t="inlineStr">
        <x:is>
          <x:t xml:space="preserve">深圳市龙岗区宝龙街道宝龙社区锦龙大道2号1栋1层-6层、4栋1层-5层、2栋1层-2层</x:t>
        </x:is>
      </x:c>
      <x:c r="K2413" s="12" t="str">
        <x:f>LEFT("91440300691167175B",18)</x:f>
        <x:v>91440300691167175B</x:v>
      </x:c>
    </x:row>
    <x:row r="2414">
      <x:c r="A2414" s="2" t="n">
        <x:v>2413</x:v>
      </x:c>
      <x:c r="B2414" s="2" t="inlineStr">
        <x:is>
          <x:t xml:space="preserve">301458</x:t>
        </x:is>
      </x:c>
      <x:c r="C2414" s="3" t="inlineStr">
        <x:is>
          <x:t xml:space="preserve">钧崴电子</x:t>
        </x:is>
      </x:c>
      <x:c r="D2414" s="3" t="inlineStr">
        <x:is>
          <x:t xml:space="preserve">钧崴电子科技股份有限公司</x:t>
        </x:is>
      </x:c>
      <x:c r="E2414" s="2" t="inlineStr">
        <x:is>
          <x:t xml:space="preserve">广东省</x:t>
        </x:is>
      </x:c>
      <x:c r="F2414" s="2" t="inlineStr">
        <x:is>
          <x:t xml:space="preserve">江门市</x:t>
        </x:is>
      </x:c>
      <x:c r="G2414" s="3" t="inlineStr">
        <x:is>
          <x:t xml:space="preserve">广东省-江门市</x:t>
        </x:is>
      </x:c>
      <x:c r="H2414" s="2" t="inlineStr">
        <x:is>
          <x:t xml:space="preserve">电子元件</x:t>
        </x:is>
      </x:c>
      <x:c r="I2414" s="2" t="inlineStr">
        <x:is>
          <x:t xml:space="preserve">2025-01-10</x:t>
        </x:is>
      </x:c>
      <x:c r="J2414" s="3" t="inlineStr">
        <x:is>
          <x:t xml:space="preserve">江门市新会区崖门镇新财富环保电镀基地202座第二、三、四层</x:t>
        </x:is>
      </x:c>
      <x:c r="K2414" s="12" t="str">
        <x:f>LEFT("91440700090124276R",18)</x:f>
        <x:v>91440700090124276R</x:v>
      </x:c>
    </x:row>
    <x:row r="2415">
      <x:c r="A2415" s="4" t="n">
        <x:v>2414</x:v>
      </x:c>
      <x:c r="B2415" s="4" t="inlineStr">
        <x:is>
          <x:t xml:space="preserve">301468</x:t>
        </x:is>
      </x:c>
      <x:c r="C2415" s="5" t="inlineStr">
        <x:is>
          <x:t xml:space="preserve">博盈特焊</x:t>
        </x:is>
      </x:c>
      <x:c r="D2415" s="5" t="inlineStr">
        <x:is>
          <x:t xml:space="preserve">广东博盈特焊技术股份有限公司</x:t>
        </x:is>
      </x:c>
      <x:c r="E2415" s="4" t="inlineStr">
        <x:is>
          <x:t xml:space="preserve">广东省</x:t>
        </x:is>
      </x:c>
      <x:c r="F2415" s="4" t="inlineStr">
        <x:is>
          <x:t xml:space="preserve">鹤山市</x:t>
        </x:is>
      </x:c>
      <x:c r="G2415" s="5" t="inlineStr">
        <x:is>
          <x:t xml:space="preserve">广东省-鹤山市</x:t>
        </x:is>
      </x:c>
      <x:c r="H2415" s="4" t="inlineStr">
        <x:is>
          <x:t xml:space="preserve">专用设备</x:t>
        </x:is>
      </x:c>
      <x:c r="I2415" s="4" t="inlineStr">
        <x:is>
          <x:t xml:space="preserve">2023-07-24</x:t>
        </x:is>
      </x:c>
      <x:c r="J2415" s="5" t="inlineStr">
        <x:is>
          <x:t xml:space="preserve">鹤山市共和镇共盈路8号</x:t>
        </x:is>
      </x:c>
      <x:c r="K2415" s="12" t="str">
        <x:f>LEFT("91440784799354458J",18)</x:f>
        <x:v>91440784799354458J</x:v>
      </x:c>
    </x:row>
    <x:row r="2416">
      <x:c r="A2416" s="2" t="n">
        <x:v>2415</x:v>
      </x:c>
      <x:c r="B2416" s="2" t="inlineStr">
        <x:is>
          <x:t xml:space="preserve">301479</x:t>
        </x:is>
      </x:c>
      <x:c r="C2416" s="3" t="inlineStr">
        <x:is>
          <x:t xml:space="preserve">弘景光电</x:t>
        </x:is>
      </x:c>
      <x:c r="D2416" s="3" t="inlineStr">
        <x:is>
          <x:t xml:space="preserve">广东弘景光电科技股份有限公司</x:t>
        </x:is>
      </x:c>
      <x:c r="E2416" s="2" t="inlineStr">
        <x:is>
          <x:t xml:space="preserve">广东省</x:t>
        </x:is>
      </x:c>
      <x:c r="F2416" s="2" t="inlineStr">
        <x:is>
          <x:t xml:space="preserve">中山市</x:t>
        </x:is>
      </x:c>
      <x:c r="G2416" s="3" t="inlineStr">
        <x:is>
          <x:t xml:space="preserve">广东省-中山市</x:t>
        </x:is>
      </x:c>
      <x:c r="H2416" s="2" t="inlineStr">
        <x:is>
          <x:t xml:space="preserve">光学光电子</x:t>
        </x:is>
      </x:c>
      <x:c r="I2416" s="2" t="inlineStr">
        <x:is>
          <x:t xml:space="preserve">2025-03-18</x:t>
        </x:is>
      </x:c>
      <x:c r="J2416" s="3" t="inlineStr">
        <x:is>
          <x:t xml:space="preserve">广东省中山市火炬开发区勤业路27号</x:t>
        </x:is>
      </x:c>
      <x:c r="K2416" s="12" t="str">
        <x:f>LEFT("91442000052452906K",18)</x:f>
        <x:v>91442000052452906K</x:v>
      </x:c>
    </x:row>
    <x:row r="2417">
      <x:c r="A2417" s="4" t="n">
        <x:v>2416</x:v>
      </x:c>
      <x:c r="B2417" s="4" t="inlineStr">
        <x:is>
          <x:t xml:space="preserve">301486</x:t>
        </x:is>
      </x:c>
      <x:c r="C2417" s="5" t="inlineStr">
        <x:is>
          <x:t xml:space="preserve">致尚科技</x:t>
        </x:is>
      </x:c>
      <x:c r="D2417" s="5" t="inlineStr">
        <x:is>
          <x:t xml:space="preserve">深圳市致尚科技股份有限公司</x:t>
        </x:is>
      </x:c>
      <x:c r="E2417" s="4" t="inlineStr">
        <x:is>
          <x:t xml:space="preserve">广东省</x:t>
        </x:is>
      </x:c>
      <x:c r="F2417" s="4" t="inlineStr">
        <x:is>
          <x:t xml:space="preserve">深圳市</x:t>
        </x:is>
      </x:c>
      <x:c r="G2417" s="5" t="inlineStr">
        <x:is>
          <x:t xml:space="preserve">广东省-深圳市</x:t>
        </x:is>
      </x:c>
      <x:c r="H2417" s="4" t="inlineStr">
        <x:is>
          <x:t xml:space="preserve">消费电子</x:t>
        </x:is>
      </x:c>
      <x:c r="I2417" s="4" t="inlineStr">
        <x:is>
          <x:t xml:space="preserve">2023-07-07</x:t>
        </x:is>
      </x:c>
      <x:c r="J2417" s="5" t="inlineStr">
        <x:is>
          <x:t xml:space="preserve">深圳市光明区马田街道马山头社区致尚科技园A栋一层</x:t>
        </x:is>
      </x:c>
      <x:c r="K2417" s="12" t="str">
        <x:f>LEFT("9144030069711893XL",18)</x:f>
        <x:v>9144030069711893XL</x:v>
      </x:c>
    </x:row>
    <x:row r="2418">
      <x:c r="A2418" s="2" t="n">
        <x:v>2417</x:v>
      </x:c>
      <x:c r="B2418" s="2" t="inlineStr">
        <x:is>
          <x:t xml:space="preserve">301488</x:t>
        </x:is>
      </x:c>
      <x:c r="C2418" s="3" t="inlineStr">
        <x:is>
          <x:t xml:space="preserve">豪恩汽电</x:t>
        </x:is>
      </x:c>
      <x:c r="D2418" s="3" t="inlineStr">
        <x:is>
          <x:t xml:space="preserve">深圳市豪恩汽车电子装备股份有限公司</x:t>
        </x:is>
      </x:c>
      <x:c r="E2418" s="2" t="inlineStr">
        <x:is>
          <x:t xml:space="preserve">广东省</x:t>
        </x:is>
      </x:c>
      <x:c r="F2418" s="2" t="inlineStr">
        <x:is>
          <x:t xml:space="preserve">深圳市</x:t>
        </x:is>
      </x:c>
      <x:c r="G2418" s="3" t="inlineStr">
        <x:is>
          <x:t xml:space="preserve">广东省-深圳市</x:t>
        </x:is>
      </x:c>
      <x:c r="H2418" s="2" t="inlineStr">
        <x:is>
          <x:t xml:space="preserve">汽车零部件</x:t>
        </x:is>
      </x:c>
      <x:c r="I2418" s="2" t="inlineStr">
        <x:is>
          <x:t xml:space="preserve">2023-07-04</x:t>
        </x:is>
      </x:c>
      <x:c r="J2418" s="3" t="inlineStr">
        <x:is>
          <x:t xml:space="preserve">深圳市龙华区大浪街道上横朗社区同富裕第三功能区豪恩科技集团股份有限公司厂房A号3层B号第1层、第2层、第3层、第4层</x:t>
        </x:is>
      </x:c>
      <x:c r="K2418" s="12" t="str">
        <x:f>LEFT("91440300699050107Y",18)</x:f>
        <x:v>91440300699050107Y</x:v>
      </x:c>
    </x:row>
    <x:row r="2419">
      <x:c r="A2419" s="4" t="n">
        <x:v>2418</x:v>
      </x:c>
      <x:c r="B2419" s="4" t="inlineStr">
        <x:is>
          <x:t xml:space="preserve">301489</x:t>
        </x:is>
      </x:c>
      <x:c r="C2419" s="5" t="inlineStr">
        <x:is>
          <x:t xml:space="preserve">思泉新材</x:t>
        </x:is>
      </x:c>
      <x:c r="D2419" s="5" t="inlineStr">
        <x:is>
          <x:t xml:space="preserve">广东思泉新材料股份有限公司</x:t>
        </x:is>
      </x:c>
      <x:c r="E2419" s="4" t="inlineStr">
        <x:is>
          <x:t xml:space="preserve">广东省</x:t>
        </x:is>
      </x:c>
      <x:c r="F2419" s="4" t="inlineStr">
        <x:is>
          <x:t xml:space="preserve">东莞市</x:t>
        </x:is>
      </x:c>
      <x:c r="G2419" s="5" t="inlineStr">
        <x:is>
          <x:t xml:space="preserve">广东省-东莞市</x:t>
        </x:is>
      </x:c>
      <x:c r="H2419" s="4" t="inlineStr">
        <x:is>
          <x:t xml:space="preserve">消费电子</x:t>
        </x:is>
      </x:c>
      <x:c r="I2419" s="4" t="inlineStr">
        <x:is>
          <x:t xml:space="preserve">2023-10-24</x:t>
        </x:is>
      </x:c>
      <x:c r="J2419" s="5" t="inlineStr">
        <x:is>
          <x:t xml:space="preserve">广东省东莞市企石镇企石环镇路362号</x:t>
        </x:is>
      </x:c>
      <x:c r="K2419" s="12" t="str">
        <x:f>LEFT("91441900576432316T",18)</x:f>
        <x:v>91441900576432316T</x:v>
      </x:c>
    </x:row>
    <x:row r="2420">
      <x:c r="A2420" s="2" t="n">
        <x:v>2419</x:v>
      </x:c>
      <x:c r="B2420" s="2" t="inlineStr">
        <x:is>
          <x:t xml:space="preserve">301500</x:t>
        </x:is>
      </x:c>
      <x:c r="C2420" s="3" t="inlineStr">
        <x:is>
          <x:t xml:space="preserve">飞南资源</x:t>
        </x:is>
      </x:c>
      <x:c r="D2420" s="3" t="inlineStr">
        <x:is>
          <x:t xml:space="preserve">广东飞南资源利用股份有限公司</x:t>
        </x:is>
      </x:c>
      <x:c r="E2420" s="2" t="inlineStr">
        <x:is>
          <x:t xml:space="preserve">广东省</x:t>
        </x:is>
      </x:c>
      <x:c r="F2420" s="2" t="inlineStr">
        <x:is>
          <x:t xml:space="preserve">四会市</x:t>
        </x:is>
      </x:c>
      <x:c r="G2420" s="3" t="inlineStr">
        <x:is>
          <x:t xml:space="preserve">广东省-四会市</x:t>
        </x:is>
      </x:c>
      <x:c r="H2420" s="2" t="inlineStr">
        <x:is>
          <x:t xml:space="preserve">环保行业</x:t>
        </x:is>
      </x:c>
      <x:c r="I2420" s="2" t="inlineStr">
        <x:is>
          <x:t xml:space="preserve">2023-09-21</x:t>
        </x:is>
      </x:c>
      <x:c r="J2420" s="3" t="inlineStr">
        <x:is>
          <x:t xml:space="preserve">四会市罗源镇罗源工业园</x:t>
        </x:is>
      </x:c>
      <x:c r="K2420" s="12" t="str">
        <x:f>LEFT("914412847665669483",18)</x:f>
        <x:v>914412847665669500</x:v>
      </x:c>
    </x:row>
    <x:row r="2421">
      <x:c r="A2421" s="4" t="n">
        <x:v>2420</x:v>
      </x:c>
      <x:c r="B2421" s="4" t="inlineStr">
        <x:is>
          <x:t xml:space="preserve">301503</x:t>
        </x:is>
      </x:c>
      <x:c r="C2421" s="5" t="inlineStr">
        <x:is>
          <x:t xml:space="preserve">智迪科技</x:t>
        </x:is>
      </x:c>
      <x:c r="D2421" s="5" t="inlineStr">
        <x:is>
          <x:t xml:space="preserve">珠海市智迪科技股份有限公司</x:t>
        </x:is>
      </x:c>
      <x:c r="E2421" s="4" t="inlineStr">
        <x:is>
          <x:t xml:space="preserve">广东省</x:t>
        </x:is>
      </x:c>
      <x:c r="F2421" s="4" t="inlineStr">
        <x:is>
          <x:t xml:space="preserve">珠海市</x:t>
        </x:is>
      </x:c>
      <x:c r="G2421" s="5" t="inlineStr">
        <x:is>
          <x:t xml:space="preserve">广东省-珠海市</x:t>
        </x:is>
      </x:c>
      <x:c r="H2421" s="4" t="inlineStr">
        <x:is>
          <x:t xml:space="preserve">消费电子</x:t>
        </x:is>
      </x:c>
      <x:c r="I2421" s="4" t="inlineStr">
        <x:is>
          <x:t xml:space="preserve">2023-07-17</x:t>
        </x:is>
      </x:c>
      <x:c r="J2421" s="5" t="inlineStr">
        <x:is>
          <x:t xml:space="preserve">珠海市高新区唐家湾镇金园一路8号厂房</x:t>
        </x:is>
      </x:c>
      <x:c r="K2421" s="12" t="str">
        <x:f>LEFT("91440400617975895W",18)</x:f>
        <x:v>91440400617975895W</x:v>
      </x:c>
    </x:row>
    <x:row r="2422">
      <x:c r="A2422" s="2" t="n">
        <x:v>2421</x:v>
      </x:c>
      <x:c r="B2422" s="2" t="inlineStr">
        <x:is>
          <x:t xml:space="preserve">301510</x:t>
        </x:is>
      </x:c>
      <x:c r="C2422" s="3" t="inlineStr">
        <x:is>
          <x:t xml:space="preserve">固高科技</x:t>
        </x:is>
      </x:c>
      <x:c r="D2422" s="3" t="inlineStr">
        <x:is>
          <x:t xml:space="preserve">固高科技股份有限公司</x:t>
        </x:is>
      </x:c>
      <x:c r="E2422" s="2" t="inlineStr">
        <x:is>
          <x:t xml:space="preserve">广东省</x:t>
        </x:is>
      </x:c>
      <x:c r="F2422" s="2" t="inlineStr">
        <x:is>
          <x:t xml:space="preserve">深圳市</x:t>
        </x:is>
      </x:c>
      <x:c r="G2422" s="3" t="inlineStr">
        <x:is>
          <x:t xml:space="preserve">广东省-深圳市</x:t>
        </x:is>
      </x:c>
      <x:c r="H2422" s="2" t="inlineStr">
        <x:is>
          <x:t xml:space="preserve">仪器仪表</x:t>
        </x:is>
      </x:c>
      <x:c r="I2422" s="2" t="inlineStr">
        <x:is>
          <x:t xml:space="preserve">2023-08-15</x:t>
        </x:is>
      </x:c>
      <x:c r="J2422" s="3" t="inlineStr">
        <x:is>
          <x:t xml:space="preserve">深圳市南山区高新区南区深港产学研基地西座二楼W211室</x:t>
        </x:is>
      </x:c>
      <x:c r="K2422" s="12" t="str">
        <x:f>LEFT("91440300715231734R",18)</x:f>
        <x:v>91440300715231734R</x:v>
      </x:c>
    </x:row>
    <x:row r="2423">
      <x:c r="A2423" s="4" t="n">
        <x:v>2422</x:v>
      </x:c>
      <x:c r="B2423" s="4" t="inlineStr">
        <x:is>
          <x:t xml:space="preserve">301512</x:t>
        </x:is>
      </x:c>
      <x:c r="C2423" s="5" t="inlineStr">
        <x:is>
          <x:t xml:space="preserve">智信精密</x:t>
        </x:is>
      </x:c>
      <x:c r="D2423" s="5" t="inlineStr">
        <x:is>
          <x:t xml:space="preserve">深圳市智信精密仪器股份有限公司</x:t>
        </x:is>
      </x:c>
      <x:c r="E2423" s="4" t="inlineStr">
        <x:is>
          <x:t xml:space="preserve">广东省</x:t>
        </x:is>
      </x:c>
      <x:c r="F2423" s="4" t="inlineStr">
        <x:is>
          <x:t xml:space="preserve">深圳市</x:t>
        </x:is>
      </x:c>
      <x:c r="G2423" s="5" t="inlineStr">
        <x:is>
          <x:t xml:space="preserve">广东省-深圳市</x:t>
        </x:is>
      </x:c>
      <x:c r="H2423" s="4" t="inlineStr">
        <x:is>
          <x:t xml:space="preserve">专用设备</x:t>
        </x:is>
      </x:c>
      <x:c r="I2423" s="4" t="inlineStr">
        <x:is>
          <x:t xml:space="preserve">2023-07-20</x:t>
        </x:is>
      </x:c>
      <x:c r="J2423" s="5" t="inlineStr">
        <x:is>
          <x:t xml:space="preserve">深圳市龙华区观澜街道大富社区建优路8号精密智造大厦2栋厂房101</x:t>
        </x:is>
      </x:c>
      <x:c r="K2423" s="12" t="str">
        <x:f>LEFT("9144030059186490XW",18)</x:f>
        <x:v>9144030059186490XW</x:v>
      </x:c>
    </x:row>
    <x:row r="2424">
      <x:c r="A2424" s="2" t="n">
        <x:v>2423</x:v>
      </x:c>
      <x:c r="B2424" s="2" t="inlineStr">
        <x:is>
          <x:t xml:space="preserve">301516</x:t>
        </x:is>
      </x:c>
      <x:c r="C2424" s="3" t="inlineStr">
        <x:is>
          <x:t xml:space="preserve">中远通</x:t>
        </x:is>
      </x:c>
      <x:c r="D2424" s="3" t="inlineStr">
        <x:is>
          <x:t xml:space="preserve">深圳市核达中远通电源技术股份有限公司</x:t>
        </x:is>
      </x:c>
      <x:c r="E2424" s="2" t="inlineStr">
        <x:is>
          <x:t xml:space="preserve">广东省</x:t>
        </x:is>
      </x:c>
      <x:c r="F2424" s="2" t="inlineStr">
        <x:is>
          <x:t xml:space="preserve">深圳市</x:t>
        </x:is>
      </x:c>
      <x:c r="G2424" s="3" t="inlineStr">
        <x:is>
          <x:t xml:space="preserve">广东省-深圳市</x:t>
        </x:is>
      </x:c>
      <x:c r="H2424" s="2" t="inlineStr">
        <x:is>
          <x:t xml:space="preserve">电源设备</x:t>
        </x:is>
      </x:c>
      <x:c r="I2424" s="2" t="inlineStr">
        <x:is>
          <x:t xml:space="preserve">2023-12-08</x:t>
        </x:is>
      </x:c>
      <x:c r="J2424" s="3" t="inlineStr">
        <x:is>
          <x:t xml:space="preserve">深圳市龙岗区宝龙街道宝龙社区宝龙二路36号核达中远通A座厂房1层-9层、B座1-7层、C座1-9层</x:t>
        </x:is>
      </x:c>
      <x:c r="K2424" s="12" t="str">
        <x:f>LEFT("91440300715226353E",18)</x:f>
        <x:v>91440300715226353E</x:v>
      </x:c>
    </x:row>
    <x:row r="2425">
      <x:c r="A2425" s="4" t="n">
        <x:v>2424</x:v>
      </x:c>
      <x:c r="B2425" s="4" t="inlineStr">
        <x:is>
          <x:t xml:space="preserve">301528</x:t>
        </x:is>
      </x:c>
      <x:c r="C2425" s="5" t="inlineStr">
        <x:is>
          <x:t xml:space="preserve">多浦乐</x:t>
        </x:is>
      </x:c>
      <x:c r="D2425" s="5" t="inlineStr">
        <x:is>
          <x:t xml:space="preserve">广州多浦乐电子科技股份有限公司</x:t>
        </x:is>
      </x:c>
      <x:c r="E2425" s="4" t="inlineStr">
        <x:is>
          <x:t xml:space="preserve">广东省</x:t>
        </x:is>
      </x:c>
      <x:c r="F2425" s="4" t="inlineStr">
        <x:is>
          <x:t xml:space="preserve">广州市</x:t>
        </x:is>
      </x:c>
      <x:c r="G2425" s="5" t="inlineStr">
        <x:is>
          <x:t xml:space="preserve">广东省-广州市</x:t>
        </x:is>
      </x:c>
      <x:c r="H2425" s="4" t="inlineStr">
        <x:is>
          <x:t xml:space="preserve">仪器仪表</x:t>
        </x:is>
      </x:c>
      <x:c r="I2425" s="4" t="inlineStr">
        <x:is>
          <x:t xml:space="preserve">2023-08-28</x:t>
        </x:is>
      </x:c>
      <x:c r="J2425" s="5" t="inlineStr">
        <x:is>
          <x:t xml:space="preserve">广州经济技术开发区开创大道1501号2栋一楼</x:t>
        </x:is>
      </x:c>
      <x:c r="K2425" s="12" t="str">
        <x:f>LEFT("91440116669998941K",18)</x:f>
        <x:v>91440116669998941K</x:v>
      </x:c>
    </x:row>
    <x:row r="2426">
      <x:c r="A2426" s="2" t="n">
        <x:v>2425</x:v>
      </x:c>
      <x:c r="B2426" s="2" t="inlineStr">
        <x:is>
          <x:t xml:space="preserve">301538</x:t>
        </x:is>
      </x:c>
      <x:c r="C2426" s="3" t="inlineStr">
        <x:is>
          <x:t xml:space="preserve">骏鼎达</x:t>
        </x:is>
      </x:c>
      <x:c r="D2426" s="3" t="inlineStr">
        <x:is>
          <x:t xml:space="preserve">深圳市骏鼎达新材料股份有限公司</x:t>
        </x:is>
      </x:c>
      <x:c r="E2426" s="2" t="inlineStr">
        <x:is>
          <x:t xml:space="preserve">广东省</x:t>
        </x:is>
      </x:c>
      <x:c r="F2426" s="2" t="inlineStr">
        <x:is>
          <x:t xml:space="preserve">深圳市</x:t>
        </x:is>
      </x:c>
      <x:c r="G2426" s="3" t="inlineStr">
        <x:is>
          <x:t xml:space="preserve">广东省-深圳市</x:t>
        </x:is>
      </x:c>
      <x:c r="H2426" s="2" t="inlineStr">
        <x:is>
          <x:t xml:space="preserve">塑料制品</x:t>
        </x:is>
      </x:c>
      <x:c r="I2426" s="2" t="inlineStr">
        <x:is>
          <x:t xml:space="preserve">2024-03-20</x:t>
        </x:is>
      </x:c>
      <x:c r="J2426" s="3" t="inlineStr">
        <x:is>
          <x:t xml:space="preserve">深圳市宝安区沙井街道民主西部工业园E区2栋工业厂房</x:t>
        </x:is>
      </x:c>
      <x:c r="K2426" s="12" t="str">
        <x:f>LEFT("9144030076637564XH",18)</x:f>
        <x:v>9144030076637564XH</x:v>
      </x:c>
    </x:row>
    <x:row r="2427">
      <x:c r="A2427" s="4" t="n">
        <x:v>2426</x:v>
      </x:c>
      <x:c r="B2427" s="4" t="inlineStr">
        <x:is>
          <x:t xml:space="preserve">301558</x:t>
        </x:is>
      </x:c>
      <x:c r="C2427" s="5" t="inlineStr">
        <x:is>
          <x:t xml:space="preserve">三态股份</x:t>
        </x:is>
      </x:c>
      <x:c r="D2427" s="5" t="inlineStr">
        <x:is>
          <x:t xml:space="preserve">深圳市三态电子商务股份有限公司</x:t>
        </x:is>
      </x:c>
      <x:c r="E2427" s="4" t="inlineStr">
        <x:is>
          <x:t xml:space="preserve">广东省</x:t>
        </x:is>
      </x:c>
      <x:c r="F2427" s="4" t="inlineStr">
        <x:is>
          <x:t xml:space="preserve">深圳市</x:t>
        </x:is>
      </x:c>
      <x:c r="G2427" s="5" t="inlineStr">
        <x:is>
          <x:t xml:space="preserve">广东省-深圳市</x:t>
        </x:is>
      </x:c>
      <x:c r="H2427" s="4" t="inlineStr">
        <x:is>
          <x:t xml:space="preserve">贸易行业</x:t>
        </x:is>
      </x:c>
      <x:c r="I2427" s="4" t="inlineStr">
        <x:is>
          <x:t xml:space="preserve">2023-09-28</x:t>
        </x:is>
      </x:c>
      <x:c r="J2427" s="5" t="inlineStr">
        <x:is>
          <x:t xml:space="preserve">深圳市南山区粤海街道滨海社区海天二路25号深圳湾创业投资大厦3901</x:t>
        </x:is>
      </x:c>
      <x:c r="K2427" s="12" t="str">
        <x:f>LEFT("91110108670556294R",18)</x:f>
        <x:v>91110108670556294R</x:v>
      </x:c>
    </x:row>
    <x:row r="2428">
      <x:c r="A2428" s="2" t="n">
        <x:v>2427</x:v>
      </x:c>
      <x:c r="B2428" s="2" t="inlineStr">
        <x:is>
          <x:t xml:space="preserve">301577</x:t>
        </x:is>
      </x:c>
      <x:c r="C2428" s="3" t="inlineStr">
        <x:is>
          <x:t xml:space="preserve">美信科技</x:t>
        </x:is>
      </x:c>
      <x:c r="D2428" s="3" t="inlineStr">
        <x:is>
          <x:t xml:space="preserve">广东美信科技股份有限公司</x:t>
        </x:is>
      </x:c>
      <x:c r="E2428" s="2" t="inlineStr">
        <x:is>
          <x:t xml:space="preserve">广东省</x:t>
        </x:is>
      </x:c>
      <x:c r="F2428" s="2" t="inlineStr">
        <x:is>
          <x:t xml:space="preserve">东莞市</x:t>
        </x:is>
      </x:c>
      <x:c r="G2428" s="3" t="inlineStr">
        <x:is>
          <x:t xml:space="preserve">广东省-东莞市</x:t>
        </x:is>
      </x:c>
      <x:c r="H2428" s="2" t="inlineStr">
        <x:is>
          <x:t xml:space="preserve">电子元件</x:t>
        </x:is>
      </x:c>
      <x:c r="I2428" s="2" t="inlineStr">
        <x:is>
          <x:t xml:space="preserve">2024-01-24</x:t>
        </x:is>
      </x:c>
      <x:c r="J2428" s="3" t="inlineStr">
        <x:is>
          <x:t xml:space="preserve">广东省东莞市企石镇江南大道20号</x:t>
        </x:is>
      </x:c>
      <x:c r="K2428" s="12" t="str">
        <x:f>LEFT("91441900753682376W",18)</x:f>
        <x:v>91441900753682376W</x:v>
      </x:c>
    </x:row>
    <x:row r="2429">
      <x:c r="A2429" s="4" t="n">
        <x:v>2428</x:v>
      </x:c>
      <x:c r="B2429" s="4" t="inlineStr">
        <x:is>
          <x:t xml:space="preserve">301578</x:t>
        </x:is>
      </x:c>
      <x:c r="C2429" s="5" t="inlineStr">
        <x:is>
          <x:t xml:space="preserve">辰奕智能</x:t>
        </x:is>
      </x:c>
      <x:c r="D2429" s="5" t="inlineStr">
        <x:is>
          <x:t xml:space="preserve">广东辰奕智能科技股份有限公司</x:t>
        </x:is>
      </x:c>
      <x:c r="E2429" s="4" t="inlineStr">
        <x:is>
          <x:t xml:space="preserve">广东省</x:t>
        </x:is>
      </x:c>
      <x:c r="F2429" s="4" t="inlineStr">
        <x:is>
          <x:t xml:space="preserve">惠州市</x:t>
        </x:is>
      </x:c>
      <x:c r="G2429" s="5" t="inlineStr">
        <x:is>
          <x:t xml:space="preserve">广东省-惠州市</x:t>
        </x:is>
      </x:c>
      <x:c r="H2429" s="4" t="inlineStr">
        <x:is>
          <x:t xml:space="preserve">消费电子</x:t>
        </x:is>
      </x:c>
      <x:c r="I2429" s="4" t="inlineStr">
        <x:is>
          <x:t xml:space="preserve">2023-12-28</x:t>
        </x:is>
      </x:c>
      <x:c r="J2429" s="5" t="inlineStr">
        <x:is>
          <x:t xml:space="preserve">惠州市仲恺高新区陈江街道东升村东升中路10号</x:t>
        </x:is>
      </x:c>
      <x:c r="K2429" s="12" t="str">
        <x:f>LEFT("914413006886199199",18)</x:f>
        <x:v>914413006886199200</x:v>
      </x:c>
    </x:row>
    <x:row r="2430">
      <x:c r="A2430" s="2" t="n">
        <x:v>2429</x:v>
      </x:c>
      <x:c r="B2430" s="2" t="inlineStr">
        <x:is>
          <x:t xml:space="preserve">301588</x:t>
        </x:is>
      </x:c>
      <x:c r="C2430" s="3" t="inlineStr">
        <x:is>
          <x:t xml:space="preserve">美新科技</x:t>
        </x:is>
      </x:c>
      <x:c r="D2430" s="3" t="inlineStr">
        <x:is>
          <x:t xml:space="preserve">美新科技股份有限公司</x:t>
        </x:is>
      </x:c>
      <x:c r="E2430" s="2" t="inlineStr">
        <x:is>
          <x:t xml:space="preserve">广东省</x:t>
        </x:is>
      </x:c>
      <x:c r="F2430" s="2" t="inlineStr">
        <x:is>
          <x:t xml:space="preserve">惠州市</x:t>
        </x:is>
      </x:c>
      <x:c r="G2430" s="3" t="inlineStr">
        <x:is>
          <x:t xml:space="preserve">广东省-惠州市</x:t>
        </x:is>
      </x:c>
      <x:c r="H2430" s="2" t="inlineStr">
        <x:is>
          <x:t xml:space="preserve">家用轻工</x:t>
        </x:is>
      </x:c>
      <x:c r="I2430" s="2" t="inlineStr">
        <x:is>
          <x:t xml:space="preserve">2024-03-13</x:t>
        </x:is>
      </x:c>
      <x:c r="J2430" s="3" t="inlineStr">
        <x:is>
          <x:t xml:space="preserve">惠州市惠东县大岭镇十二托乌塘地段</x:t>
        </x:is>
      </x:c>
      <x:c r="K2430" s="12" t="str">
        <x:f>LEFT("914413237638068970",18)</x:f>
        <x:v>914413237638069000</x:v>
      </x:c>
    </x:row>
    <x:row r="2431">
      <x:c r="A2431" s="4" t="n">
        <x:v>2430</x:v>
      </x:c>
      <x:c r="B2431" s="4" t="inlineStr">
        <x:is>
          <x:t xml:space="preserve">301590</x:t>
        </x:is>
      </x:c>
      <x:c r="C2431" s="5" t="inlineStr">
        <x:is>
          <x:t xml:space="preserve">优优绿能</x:t>
        </x:is>
      </x:c>
      <x:c r="D2431" s="5" t="inlineStr">
        <x:is>
          <x:t xml:space="preserve">深圳市优优绿能股份有限公司</x:t>
        </x:is>
      </x:c>
      <x:c r="E2431" s="4" t="inlineStr">
        <x:is>
          <x:t xml:space="preserve">广东省</x:t>
        </x:is>
      </x:c>
      <x:c r="F2431" s="4" t="inlineStr">
        <x:is>
          <x:t xml:space="preserve">深圳市</x:t>
        </x:is>
      </x:c>
      <x:c r="G2431" s="5" t="inlineStr">
        <x:is>
          <x:t xml:space="preserve">广东省-深圳市</x:t>
        </x:is>
      </x:c>
      <x:c r="H2431" s="4" t="inlineStr">
        <x:is>
          <x:t xml:space="preserve">--</x:t>
        </x:is>
      </x:c>
      <x:c r="I2431" s="4" t="inlineStr">
        <x:is>
          <x:t xml:space="preserve">2025-06-05</x:t>
        </x:is>
      </x:c>
      <x:c r="J2431" s="5" t="inlineStr">
        <x:is>
          <x:t xml:space="preserve">深圳市光明区玉塘街道田寮社区同观路华力特工业园第1栋301</x:t>
        </x:is>
      </x:c>
      <x:c r="K2431" s="12" t="str">
        <x:f>LEFT("91440300350007413E",18)</x:f>
        <x:v>91440300350007413E</x:v>
      </x:c>
    </x:row>
    <x:row r="2432">
      <x:c r="A2432" s="2" t="n">
        <x:v>2431</x:v>
      </x:c>
      <x:c r="B2432" s="2" t="inlineStr">
        <x:is>
          <x:t xml:space="preserve">301595</x:t>
        </x:is>
      </x:c>
      <x:c r="C2432" s="3" t="inlineStr">
        <x:is>
          <x:t xml:space="preserve">太力科技</x:t>
        </x:is>
      </x:c>
      <x:c r="D2432" s="3" t="inlineStr">
        <x:is>
          <x:t xml:space="preserve">广东太力科技集团股份有限公司</x:t>
        </x:is>
      </x:c>
      <x:c r="E2432" s="2" t="inlineStr">
        <x:is>
          <x:t xml:space="preserve">广东省</x:t>
        </x:is>
      </x:c>
      <x:c r="F2432" s="2" t="inlineStr">
        <x:is>
          <x:t xml:space="preserve">中山市</x:t>
        </x:is>
      </x:c>
      <x:c r="G2432" s="3" t="inlineStr">
        <x:is>
          <x:t xml:space="preserve">广东省-中山市</x:t>
        </x:is>
      </x:c>
      <x:c r="H2432" s="2" t="inlineStr">
        <x:is>
          <x:t xml:space="preserve">家用轻工</x:t>
        </x:is>
      </x:c>
      <x:c r="I2432" s="2" t="inlineStr">
        <x:is>
          <x:t xml:space="preserve">2025-05-19</x:t>
        </x:is>
      </x:c>
      <x:c r="J2432" s="3" t="inlineStr">
        <x:is>
          <x:t xml:space="preserve">中山市石岐区湖滨北路40号之二前座</x:t>
        </x:is>
      </x:c>
      <x:c r="K2432" s="12" t="str">
        <x:f>LEFT("91442000749190600H",18)</x:f>
        <x:v>91442000749190600H</x:v>
      </x:c>
    </x:row>
    <x:row r="2433">
      <x:c r="A2433" s="4" t="n">
        <x:v>2432</x:v>
      </x:c>
      <x:c r="B2433" s="4" t="inlineStr">
        <x:is>
          <x:t xml:space="preserve">301602</x:t>
        </x:is>
      </x:c>
      <x:c r="C2433" s="5" t="inlineStr">
        <x:is>
          <x:t xml:space="preserve">超研股份</x:t>
        </x:is>
      </x:c>
      <x:c r="D2433" s="5" t="inlineStr">
        <x:is>
          <x:t xml:space="preserve">汕头市超声仪器研究所股份有限公司</x:t>
        </x:is>
      </x:c>
      <x:c r="E2433" s="4" t="inlineStr">
        <x:is>
          <x:t xml:space="preserve">广东省</x:t>
        </x:is>
      </x:c>
      <x:c r="F2433" s="4" t="inlineStr">
        <x:is>
          <x:t xml:space="preserve">汕头市</x:t>
        </x:is>
      </x:c>
      <x:c r="G2433" s="5" t="inlineStr">
        <x:is>
          <x:t xml:space="preserve">广东省-汕头市</x:t>
        </x:is>
      </x:c>
      <x:c r="H2433" s="4" t="inlineStr">
        <x:is>
          <x:t xml:space="preserve">医疗器械</x:t>
        </x:is>
      </x:c>
      <x:c r="I2433" s="4" t="inlineStr">
        <x:is>
          <x:t xml:space="preserve">2025-01-22</x:t>
        </x:is>
      </x:c>
      <x:c r="J2433" s="5" t="inlineStr">
        <x:is>
          <x:t xml:space="preserve">广东省汕头市金砂路77号</x:t>
        </x:is>
      </x:c>
      <x:c r="K2433" s="12" t="str">
        <x:f>LEFT("91440500455942803T",18)</x:f>
        <x:v>91440500455942803T</x:v>
      </x:c>
    </x:row>
    <x:row r="2434">
      <x:c r="A2434" s="2" t="n">
        <x:v>2433</x:v>
      </x:c>
      <x:c r="B2434" s="2" t="inlineStr">
        <x:is>
          <x:t xml:space="preserve">301603</x:t>
        </x:is>
      </x:c>
      <x:c r="C2434" s="3" t="inlineStr">
        <x:is>
          <x:t xml:space="preserve">乔锋智能</x:t>
        </x:is>
      </x:c>
      <x:c r="D2434" s="3" t="inlineStr">
        <x:is>
          <x:t xml:space="preserve">乔锋智能装备股份有限公司</x:t>
        </x:is>
      </x:c>
      <x:c r="E2434" s="2" t="inlineStr">
        <x:is>
          <x:t xml:space="preserve">广东省</x:t>
        </x:is>
      </x:c>
      <x:c r="F2434" s="2" t="inlineStr">
        <x:is>
          <x:t xml:space="preserve">东莞市</x:t>
        </x:is>
      </x:c>
      <x:c r="G2434" s="3" t="inlineStr">
        <x:is>
          <x:t xml:space="preserve">广东省-东莞市</x:t>
        </x:is>
      </x:c>
      <x:c r="H2434" s="2" t="inlineStr">
        <x:is>
          <x:t xml:space="preserve">通用设备</x:t>
        </x:is>
      </x:c>
      <x:c r="I2434" s="2" t="inlineStr">
        <x:is>
          <x:t xml:space="preserve">2024-07-10</x:t>
        </x:is>
      </x:c>
      <x:c r="J2434" s="3" t="inlineStr">
        <x:is>
          <x:t xml:space="preserve">广东省东莞市常平镇园华路103号</x:t>
        </x:is>
      </x:c>
      <x:c r="K2434" s="12" t="str">
        <x:f>LEFT("91441900688619791C",18)</x:f>
        <x:v>91441900688619791C</x:v>
      </x:c>
    </x:row>
    <x:row r="2435">
      <x:c r="A2435" s="4" t="n">
        <x:v>2434</x:v>
      </x:c>
      <x:c r="B2435" s="4" t="inlineStr">
        <x:is>
          <x:t xml:space="preserve">301606</x:t>
        </x:is>
      </x:c>
      <x:c r="C2435" s="5" t="inlineStr">
        <x:is>
          <x:t xml:space="preserve">绿联科技</x:t>
        </x:is>
      </x:c>
      <x:c r="D2435" s="5" t="inlineStr">
        <x:is>
          <x:t xml:space="preserve">深圳市绿联科技股份有限公司</x:t>
        </x:is>
      </x:c>
      <x:c r="E2435" s="4" t="inlineStr">
        <x:is>
          <x:t xml:space="preserve">广东省</x:t>
        </x:is>
      </x:c>
      <x:c r="F2435" s="4" t="inlineStr">
        <x:is>
          <x:t xml:space="preserve">深圳市</x:t>
        </x:is>
      </x:c>
      <x:c r="G2435" s="5" t="inlineStr">
        <x:is>
          <x:t xml:space="preserve">广东省-深圳市</x:t>
        </x:is>
      </x:c>
      <x:c r="H2435" s="4" t="inlineStr">
        <x:is>
          <x:t xml:space="preserve">消费电子</x:t>
        </x:is>
      </x:c>
      <x:c r="I2435" s="4" t="inlineStr">
        <x:is>
          <x:t xml:space="preserve">2024-07-26</x:t>
        </x:is>
      </x:c>
      <x:c r="J2435" s="5" t="inlineStr">
        <x:is>
          <x:t xml:space="preserve">深圳市龙华区大浪街道高峰社区龙城工贸御安厂区7号办公楼1层-6层、6栋厂房4楼</x:t>
        </x:is>
      </x:c>
      <x:c r="K2435" s="12" t="str">
        <x:f>LEFT("91440300591865259K",18)</x:f>
        <x:v>91440300591865259K</x:v>
      </x:c>
    </x:row>
    <x:row r="2436">
      <x:c r="A2436" s="2" t="n">
        <x:v>2435</x:v>
      </x:c>
      <x:c r="B2436" s="2" t="inlineStr">
        <x:is>
          <x:t xml:space="preserve">301608</x:t>
        </x:is>
      </x:c>
      <x:c r="C2436" s="3" t="inlineStr">
        <x:is>
          <x:t xml:space="preserve">博实结</x:t>
        </x:is>
      </x:c>
      <x:c r="D2436" s="3" t="inlineStr">
        <x:is>
          <x:t xml:space="preserve">深圳市博实结科技股份有限公司</x:t>
        </x:is>
      </x:c>
      <x:c r="E2436" s="2" t="inlineStr">
        <x:is>
          <x:t xml:space="preserve">广东省</x:t>
        </x:is>
      </x:c>
      <x:c r="F2436" s="2" t="inlineStr">
        <x:is>
          <x:t xml:space="preserve">深圳市</x:t>
        </x:is>
      </x:c>
      <x:c r="G2436" s="3" t="inlineStr">
        <x:is>
          <x:t xml:space="preserve">广东省-深圳市</x:t>
        </x:is>
      </x:c>
      <x:c r="H2436" s="2" t="inlineStr">
        <x:is>
          <x:t xml:space="preserve">计算机设备</x:t>
        </x:is>
      </x:c>
      <x:c r="I2436" s="2" t="inlineStr">
        <x:is>
          <x:t xml:space="preserve">2024-08-01</x:t>
        </x:is>
      </x:c>
      <x:c r="J2436" s="3" t="inlineStr">
        <x:is>
          <x:t xml:space="preserve">深圳市龙华区民治街道北站社区汇德大厦1号楼2701、2702、2703</x:t>
        </x:is>
      </x:c>
      <x:c r="K2436" s="12" t="str">
        <x:f>LEFT("914403006894367945",18)</x:f>
        <x:v>914403006894368000</x:v>
      </x:c>
    </x:row>
    <x:row r="2437">
      <x:c r="A2437" s="4" t="n">
        <x:v>2436</x:v>
      </x:c>
      <x:c r="B2437" s="4" t="inlineStr">
        <x:is>
          <x:t xml:space="preserve">301618</x:t>
        </x:is>
      </x:c>
      <x:c r="C2437" s="5" t="inlineStr">
        <x:is>
          <x:t xml:space="preserve">长联科技</x:t>
        </x:is>
      </x:c>
      <x:c r="D2437" s="5" t="inlineStr">
        <x:is>
          <x:t xml:space="preserve">东莞长联新材料科技股份有限公司</x:t>
        </x:is>
      </x:c>
      <x:c r="E2437" s="4" t="inlineStr">
        <x:is>
          <x:t xml:space="preserve">广东省</x:t>
        </x:is>
      </x:c>
      <x:c r="F2437" s="4" t="inlineStr">
        <x:is>
          <x:t xml:space="preserve">东莞市</x:t>
        </x:is>
      </x:c>
      <x:c r="G2437" s="5" t="inlineStr">
        <x:is>
          <x:t xml:space="preserve">广东省-东莞市</x:t>
        </x:is>
      </x:c>
      <x:c r="H2437" s="4" t="inlineStr">
        <x:is>
          <x:t xml:space="preserve">化学制品</x:t>
        </x:is>
      </x:c>
      <x:c r="I2437" s="4" t="inlineStr">
        <x:is>
          <x:t xml:space="preserve">2024-09-30</x:t>
        </x:is>
      </x:c>
      <x:c r="J2437" s="5" t="inlineStr">
        <x:is>
          <x:t xml:space="preserve">广东省东莞市寮步镇小坑村香博路20号</x:t>
        </x:is>
      </x:c>
      <x:c r="K2437" s="12" t="str">
        <x:f>LEFT("914419006964875225",18)</x:f>
        <x:v>914419006964875300</x:v>
      </x:c>
    </x:row>
    <x:row r="2438">
      <x:c r="A2438" s="2" t="n">
        <x:v>2437</x:v>
      </x:c>
      <x:c r="B2438" s="2" t="inlineStr">
        <x:is>
          <x:t xml:space="preserve">301629</x:t>
        </x:is>
      </x:c>
      <x:c r="C2438" s="3" t="inlineStr">
        <x:is>
          <x:t xml:space="preserve">矽电股份</x:t>
        </x:is>
      </x:c>
      <x:c r="D2438" s="3" t="inlineStr">
        <x:is>
          <x:t xml:space="preserve">矽电半导体设备(深圳)股份有限公司</x:t>
        </x:is>
      </x:c>
      <x:c r="E2438" s="2" t="inlineStr">
        <x:is>
          <x:t xml:space="preserve">广东省</x:t>
        </x:is>
      </x:c>
      <x:c r="F2438" s="2" t="inlineStr">
        <x:is>
          <x:t xml:space="preserve">深圳市</x:t>
        </x:is>
      </x:c>
      <x:c r="G2438" s="3" t="inlineStr">
        <x:is>
          <x:t xml:space="preserve">广东省-深圳市</x:t>
        </x:is>
      </x:c>
      <x:c r="H2438" s="2" t="inlineStr">
        <x:is>
          <x:t xml:space="preserve">半导体</x:t>
        </x:is>
      </x:c>
      <x:c r="I2438" s="2" t="inlineStr">
        <x:is>
          <x:t xml:space="preserve">2025-03-24</x:t>
        </x:is>
      </x:c>
      <x:c r="J2438" s="3" t="inlineStr">
        <x:is>
          <x:t xml:space="preserve">深圳市龙岗区龙城街道黄阁坑社区龙城工业园3号厂房三楼东区、五楼中西区</x:t>
        </x:is>
      </x:c>
      <x:c r="K2438" s="12" t="str">
        <x:f>LEFT("914403007576234880",18)</x:f>
        <x:v>914403007576234900</x:v>
      </x:c>
    </x:row>
    <x:row r="2439">
      <x:c r="A2439" s="4" t="n">
        <x:v>2438</x:v>
      </x:c>
      <x:c r="B2439" s="4" t="inlineStr">
        <x:is>
          <x:t xml:space="preserve">301630</x:t>
        </x:is>
      </x:c>
      <x:c r="C2439" s="5" t="inlineStr">
        <x:is>
          <x:t xml:space="preserve">同宇新材</x:t>
        </x:is>
      </x:c>
      <x:c r="D2439" s="5" t="inlineStr">
        <x:is>
          <x:t xml:space="preserve">同宇新材料(广东)股份有限公司</x:t>
        </x:is>
      </x:c>
      <x:c r="E2439" s="4" t="inlineStr">
        <x:is>
          <x:t xml:space="preserve">广东省</x:t>
        </x:is>
      </x:c>
      <x:c r="F2439" s="4" t="inlineStr">
        <x:is>
          <x:t xml:space="preserve">肇庆市</x:t>
        </x:is>
      </x:c>
      <x:c r="G2439" s="5" t="inlineStr">
        <x:is>
          <x:t xml:space="preserve">广东省-肇庆市</x:t>
        </x:is>
      </x:c>
      <x:c r="H2439" s="4" t="inlineStr">
        <x:is>
          <x:t xml:space="preserve">电子化学品</x:t>
        </x:is>
      </x:c>
      <x:c r="I2439" s="4" t="inlineStr">
        <x:is>
          <x:t xml:space="preserve">2025-07-10</x:t>
        </x:is>
      </x:c>
      <x:c r="J2439" s="5" t="inlineStr">
        <x:is>
          <x:t xml:space="preserve">广东省肇庆市四会市大沙镇马房开发区(西南一区编号ES1020)</x:t>
        </x:is>
      </x:c>
      <x:c r="K2439" s="12" t="str">
        <x:f>LEFT("91441284MA4UKXQJ1F",18)</x:f>
        <x:v>91441284MA4UKXQJ1F</x:v>
      </x:c>
    </x:row>
    <x:row r="2440">
      <x:c r="A2440" s="2" t="n">
        <x:v>2439</x:v>
      </x:c>
      <x:c r="B2440" s="2" t="inlineStr">
        <x:is>
          <x:t xml:space="preserve">301631</x:t>
        </x:is>
      </x:c>
      <x:c r="C2440" s="3" t="inlineStr">
        <x:is>
          <x:t xml:space="preserve">壹连科技</x:t>
        </x:is>
      </x:c>
      <x:c r="D2440" s="3" t="inlineStr">
        <x:is>
          <x:t xml:space="preserve">深圳壹连科技股份有限公司</x:t>
        </x:is>
      </x:c>
      <x:c r="E2440" s="2" t="inlineStr">
        <x:is>
          <x:t xml:space="preserve">广东省</x:t>
        </x:is>
      </x:c>
      <x:c r="F2440" s="2" t="inlineStr">
        <x:is>
          <x:t xml:space="preserve">深圳市</x:t>
        </x:is>
      </x:c>
      <x:c r="G2440" s="3" t="inlineStr">
        <x:is>
          <x:t xml:space="preserve">广东省-深圳市</x:t>
        </x:is>
      </x:c>
      <x:c r="H2440" s="2" t="inlineStr">
        <x:is>
          <x:t xml:space="preserve">--</x:t>
        </x:is>
      </x:c>
      <x:c r="I2440" s="2" t="inlineStr">
        <x:is>
          <x:t xml:space="preserve">2024-11-22</x:t>
        </x:is>
      </x:c>
      <x:c r="J2440" s="3" t="inlineStr">
        <x:is>
          <x:t xml:space="preserve">深圳市宝安区燕罗街道燕川社区大华路1号A栋厂房103-501,B栋厂房301-501(一照多址企业)</x:t>
        </x:is>
      </x:c>
      <x:c r="K2440" s="12" t="str">
        <x:f>LEFT("91440300586708179H",18)</x:f>
        <x:v>91440300586708179H</x:v>
      </x:c>
    </x:row>
    <x:row r="2441">
      <x:c r="A2441" s="4" t="n">
        <x:v>2440</x:v>
      </x:c>
      <x:c r="B2441" s="4" t="inlineStr">
        <x:is>
          <x:t xml:space="preserve">301632</x:t>
        </x:is>
      </x:c>
      <x:c r="C2441" s="5" t="inlineStr">
        <x:is>
          <x:t xml:space="preserve">广东建科</x:t>
        </x:is>
      </x:c>
      <x:c r="D2441" s="5" t="inlineStr">
        <x:is>
          <x:t xml:space="preserve">广东省建筑科学研究院集团股份有限公司</x:t>
        </x:is>
      </x:c>
      <x:c r="E2441" s="4" t="inlineStr">
        <x:is>
          <x:t xml:space="preserve">广东省</x:t>
        </x:is>
      </x:c>
      <x:c r="F2441" s="4" t="inlineStr">
        <x:is>
          <x:t xml:space="preserve">广州市</x:t>
        </x:is>
      </x:c>
      <x:c r="G2441" s="5" t="inlineStr">
        <x:is>
          <x:t xml:space="preserve">广东省-广州市</x:t>
        </x:is>
      </x:c>
      <x:c r="H2441" s="4" t="inlineStr">
        <x:is>
          <x:t xml:space="preserve">专业服务</x:t>
        </x:is>
      </x:c>
      <x:c r="I2441" s="4" t="inlineStr">
        <x:is>
          <x:t xml:space="preserve">2025-08-12</x:t>
        </x:is>
      </x:c>
      <x:c r="J2441" s="5" t="inlineStr">
        <x:is>
          <x:t xml:space="preserve">广东省广州市天河区先烈东路121号大院</x:t>
        </x:is>
      </x:c>
      <x:c r="K2441" s="12" t="str">
        <x:f>LEFT("91440000455860875W",18)</x:f>
        <x:v>91440000455860875W</x:v>
      </x:c>
    </x:row>
    <x:row r="2442">
      <x:c r="A2442" s="2" t="n">
        <x:v>2441</x:v>
      </x:c>
      <x:c r="B2442" s="2" t="inlineStr">
        <x:is>
          <x:t xml:space="preserve">301638</x:t>
        </x:is>
      </x:c>
      <x:c r="C2442" s="3" t="inlineStr">
        <x:is>
          <x:t xml:space="preserve">南网数字</x:t>
        </x:is>
      </x:c>
      <x:c r="D2442" s="3" t="inlineStr">
        <x:is>
          <x:t xml:space="preserve">南方电网数字电网研究院股份有限公司</x:t>
        </x:is>
      </x:c>
      <x:c r="E2442" s="2" t="inlineStr">
        <x:is>
          <x:t xml:space="preserve">广东省</x:t>
        </x:is>
      </x:c>
      <x:c r="F2442" s="2" t="inlineStr">
        <x:is>
          <x:t xml:space="preserve">广州市</x:t>
        </x:is>
      </x:c>
      <x:c r="G2442" s="3" t="inlineStr">
        <x:is>
          <x:t xml:space="preserve">广东省-广州市</x:t>
        </x:is>
      </x:c>
      <x:c r="H2442" s="2" t="inlineStr">
        <x:is>
          <x:t xml:space="preserve">互联网服务</x:t>
        </x:is>
      </x:c>
      <x:c r="I2442" s="2" t="inlineStr">
        <x:is>
          <x:t xml:space="preserve">2025-11-18</x:t>
        </x:is>
      </x:c>
      <x:c r="J2442" s="3" t="inlineStr">
        <x:is>
          <x:t xml:space="preserve">广州市黄埔区中新广州知识城亿创街1号406房之86</x:t>
        </x:is>
      </x:c>
      <x:c r="K2442" s="12" t="str">
        <x:f>LEFT("91440000MA4WCUGX22",18)</x:f>
        <x:v>91440000MA4WCUGX22</x:v>
      </x:c>
    </x:row>
    <x:row r="2443">
      <x:c r="A2443" s="4" t="n">
        <x:v>2442</x:v>
      </x:c>
      <x:c r="B2443" s="4" t="inlineStr">
        <x:is>
          <x:t xml:space="preserve">301658</x:t>
        </x:is>
      </x:c>
      <x:c r="C2443" s="5" t="inlineStr">
        <x:is>
          <x:t xml:space="preserve">首航新能</x:t>
        </x:is>
      </x:c>
      <x:c r="D2443" s="5" t="inlineStr">
        <x:is>
          <x:t xml:space="preserve">深圳市首航新能源股份有限公司</x:t>
        </x:is>
      </x:c>
      <x:c r="E2443" s="4" t="inlineStr">
        <x:is>
          <x:t xml:space="preserve">广东省</x:t>
        </x:is>
      </x:c>
      <x:c r="F2443" s="4" t="inlineStr">
        <x:is>
          <x:t xml:space="preserve">深圳市</x:t>
        </x:is>
      </x:c>
      <x:c r="G2443" s="5" t="inlineStr">
        <x:is>
          <x:t xml:space="preserve">广东省-深圳市</x:t>
        </x:is>
      </x:c>
      <x:c r="H2443" s="4" t="inlineStr">
        <x:is>
          <x:t xml:space="preserve">光伏设备</x:t>
        </x:is>
      </x:c>
      <x:c r="I2443" s="4" t="inlineStr">
        <x:is>
          <x:t xml:space="preserve">2025-04-02</x:t>
        </x:is>
      </x:c>
      <x:c r="J2443" s="5" t="inlineStr">
        <x:is>
          <x:t xml:space="preserve">深圳市宝安区新安街道兴东社区67区高新奇科技楼11层</x:t>
        </x:is>
      </x:c>
      <x:c r="K2443" s="12" t="str">
        <x:f>LEFT("9144030007111227X8",18)</x:f>
        <x:v>9144030007111227X8</x:v>
      </x:c>
    </x:row>
    <x:row r="2444">
      <x:c r="A2444" s="2" t="n">
        <x:v>2443</x:v>
      </x:c>
      <x:c r="B2444" s="2" t="inlineStr">
        <x:is>
          <x:t xml:space="preserve">301662</x:t>
        </x:is>
      </x:c>
      <x:c r="C2444" s="3" t="inlineStr">
        <x:is>
          <x:t xml:space="preserve">宏工科技</x:t>
        </x:is>
      </x:c>
      <x:c r="D2444" s="3" t="inlineStr">
        <x:is>
          <x:t xml:space="preserve">宏工科技股份有限公司</x:t>
        </x:is>
      </x:c>
      <x:c r="E2444" s="2" t="inlineStr">
        <x:is>
          <x:t xml:space="preserve">广东省</x:t>
        </x:is>
      </x:c>
      <x:c r="F2444" s="2" t="inlineStr">
        <x:is>
          <x:t xml:space="preserve">东莞市</x:t>
        </x:is>
      </x:c>
      <x:c r="G2444" s="3" t="inlineStr">
        <x:is>
          <x:t xml:space="preserve">广东省-东莞市</x:t>
        </x:is>
      </x:c>
      <x:c r="H2444" s="2" t="inlineStr">
        <x:is>
          <x:t xml:space="preserve">专用设备</x:t>
        </x:is>
      </x:c>
      <x:c r="I2444" s="2" t="inlineStr">
        <x:is>
          <x:t xml:space="preserve">2025-04-17</x:t>
        </x:is>
      </x:c>
      <x:c r="J2444" s="3" t="inlineStr">
        <x:is>
          <x:t xml:space="preserve">广东省东莞市桥头镇桥新西二路10号10号楼108室</x:t>
        </x:is>
      </x:c>
      <x:c r="K2444" s="12" t="str">
        <x:f>LEFT("91441900678827132K",18)</x:f>
        <x:v>91441900678827132K</x:v>
      </x:c>
    </x:row>
    <x:row r="2445">
      <x:c r="A2445" s="4" t="n">
        <x:v>2444</x:v>
      </x:c>
      <x:c r="B2445" s="4" t="inlineStr">
        <x:is>
          <x:t xml:space="preserve">600004</x:t>
        </x:is>
      </x:c>
      <x:c r="C2445" s="5" t="inlineStr">
        <x:is>
          <x:t xml:space="preserve">白云机场</x:t>
        </x:is>
      </x:c>
      <x:c r="D2445" s="5" t="inlineStr">
        <x:is>
          <x:t xml:space="preserve">广州白云国际机场股份有限公司</x:t>
        </x:is>
      </x:c>
      <x:c r="E2445" s="4" t="inlineStr">
        <x:is>
          <x:t xml:space="preserve">广东省</x:t>
        </x:is>
      </x:c>
      <x:c r="F2445" s="4" t="inlineStr">
        <x:is>
          <x:t xml:space="preserve">广州市</x:t>
        </x:is>
      </x:c>
      <x:c r="G2445" s="5" t="inlineStr">
        <x:is>
          <x:t xml:space="preserve">广东省-广州市</x:t>
        </x:is>
      </x:c>
      <x:c r="H2445" s="4" t="inlineStr">
        <x:is>
          <x:t xml:space="preserve">民航机场</x:t>
        </x:is>
      </x:c>
      <x:c r="I2445" s="4" t="inlineStr">
        <x:is>
          <x:t xml:space="preserve">2003-04-28</x:t>
        </x:is>
      </x:c>
      <x:c r="J2445" s="5" t="inlineStr">
        <x:is>
          <x:t xml:space="preserve">广州白云国际机场南工作区自编一号</x:t>
        </x:is>
      </x:c>
      <x:c r="K2445" s="12" t="str">
        <x:f>LEFT("914400007250669553",18)</x:f>
        <x:v>914400007250669600</x:v>
      </x:c>
    </x:row>
    <x:row r="2446">
      <x:c r="A2446" s="2" t="n">
        <x:v>2445</x:v>
      </x:c>
      <x:c r="B2446" s="2" t="inlineStr">
        <x:is>
          <x:t xml:space="preserve">600029</x:t>
        </x:is>
      </x:c>
      <x:c r="C2446" s="3" t="inlineStr">
        <x:is>
          <x:t xml:space="preserve">南方航空</x:t>
        </x:is>
      </x:c>
      <x:c r="D2446" s="3" t="inlineStr">
        <x:is>
          <x:t xml:space="preserve">中国南方航空股份有限公司</x:t>
        </x:is>
      </x:c>
      <x:c r="E2446" s="2" t="inlineStr">
        <x:is>
          <x:t xml:space="preserve">广东省</x:t>
        </x:is>
      </x:c>
      <x:c r="F2446" s="2" t="inlineStr">
        <x:is>
          <x:t xml:space="preserve">广州市</x:t>
        </x:is>
      </x:c>
      <x:c r="G2446" s="3" t="inlineStr">
        <x:is>
          <x:t xml:space="preserve">广东省-广州市</x:t>
        </x:is>
      </x:c>
      <x:c r="H2446" s="2" t="inlineStr">
        <x:is>
          <x:t xml:space="preserve">民航机场</x:t>
        </x:is>
      </x:c>
      <x:c r="I2446" s="2" t="inlineStr">
        <x:is>
          <x:t xml:space="preserve">2003-07-25</x:t>
        </x:is>
      </x:c>
      <x:c r="J2446" s="3" t="inlineStr">
        <x:is>
          <x:t xml:space="preserve">广东省广州市黄埔区玉岩路12号冠昊科技园区一期办公楼3楼301室</x:t>
        </x:is>
      </x:c>
      <x:c r="K2446" s="12" t="str">
        <x:f>LEFT("91440000100017600N",18)</x:f>
        <x:v>91440000100017600N</x:v>
      </x:c>
    </x:row>
    <x:row r="2447">
      <x:c r="A2447" s="4" t="n">
        <x:v>2446</x:v>
      </x:c>
      <x:c r="B2447" s="4" t="inlineStr">
        <x:is>
          <x:t xml:space="preserve">600030</x:t>
        </x:is>
      </x:c>
      <x:c r="C2447" s="5" t="inlineStr">
        <x:is>
          <x:t xml:space="preserve">中信证券</x:t>
        </x:is>
      </x:c>
      <x:c r="D2447" s="5" t="inlineStr">
        <x:is>
          <x:t xml:space="preserve">中信证券股份有限公司</x:t>
        </x:is>
      </x:c>
      <x:c r="E2447" s="4" t="inlineStr">
        <x:is>
          <x:t xml:space="preserve">广东省</x:t>
        </x:is>
      </x:c>
      <x:c r="F2447" s="4" t="inlineStr">
        <x:is>
          <x:t xml:space="preserve">深圳市</x:t>
        </x:is>
      </x:c>
      <x:c r="G2447" s="5" t="inlineStr">
        <x:is>
          <x:t xml:space="preserve">广东省-深圳市</x:t>
        </x:is>
      </x:c>
      <x:c r="H2447" s="4" t="inlineStr">
        <x:is>
          <x:t xml:space="preserve">券商信托</x:t>
        </x:is>
      </x:c>
      <x:c r="I2447" s="4" t="inlineStr">
        <x:is>
          <x:t xml:space="preserve">2003-01-06</x:t>
        </x:is>
      </x:c>
      <x:c r="J2447" s="5" t="inlineStr">
        <x:is>
          <x:t xml:space="preserve">广东省深圳市福田区中心三路8号卓越时代广场(二期)北座</x:t>
        </x:is>
      </x:c>
      <x:c r="K2447" s="12" t="str">
        <x:f>LEFT("914403001017814402",18)</x:f>
        <x:v>914403001017814400</x:v>
      </x:c>
    </x:row>
    <x:row r="2448">
      <x:c r="A2448" s="2" t="n">
        <x:v>2447</x:v>
      </x:c>
      <x:c r="B2448" s="2" t="inlineStr">
        <x:is>
          <x:t xml:space="preserve">600036</x:t>
        </x:is>
      </x:c>
      <x:c r="C2448" s="3" t="inlineStr">
        <x:is>
          <x:t xml:space="preserve">招商银行</x:t>
        </x:is>
      </x:c>
      <x:c r="D2448" s="3" t="inlineStr">
        <x:is>
          <x:t xml:space="preserve">招商银行股份有限公司</x:t>
        </x:is>
      </x:c>
      <x:c r="E2448" s="2" t="inlineStr">
        <x:is>
          <x:t xml:space="preserve">广东省</x:t>
        </x:is>
      </x:c>
      <x:c r="F2448" s="2" t="inlineStr">
        <x:is>
          <x:t xml:space="preserve">深圳市</x:t>
        </x:is>
      </x:c>
      <x:c r="G2448" s="3" t="inlineStr">
        <x:is>
          <x:t xml:space="preserve">广东省-深圳市</x:t>
        </x:is>
      </x:c>
      <x:c r="H2448" s="2" t="inlineStr">
        <x:is>
          <x:t xml:space="preserve">银行</x:t>
        </x:is>
      </x:c>
      <x:c r="I2448" s="2" t="inlineStr">
        <x:is>
          <x:t xml:space="preserve">2002-04-09</x:t>
        </x:is>
      </x:c>
      <x:c r="J2448" s="3" t="inlineStr">
        <x:is>
          <x:t xml:space="preserve">中国广东省深圳市福田区深南大道7088号</x:t>
        </x:is>
      </x:c>
      <x:c r="K2448" s="12" t="str">
        <x:f>LEFT("9144030010001686XA",18)</x:f>
        <x:v>9144030010001686XA</x:v>
      </x:c>
    </x:row>
    <x:row r="2449">
      <x:c r="A2449" s="4" t="n">
        <x:v>2448</x:v>
      </x:c>
      <x:c r="B2449" s="4" t="inlineStr">
        <x:is>
          <x:t xml:space="preserve">600048</x:t>
        </x:is>
      </x:c>
      <x:c r="C2449" s="5" t="inlineStr">
        <x:is>
          <x:t xml:space="preserve">保利发展</x:t>
        </x:is>
      </x:c>
      <x:c r="D2449" s="5" t="inlineStr">
        <x:is>
          <x:t xml:space="preserve">保利发展控股集团股份有限公司</x:t>
        </x:is>
      </x:c>
      <x:c r="E2449" s="4" t="inlineStr">
        <x:is>
          <x:t xml:space="preserve">广东省</x:t>
        </x:is>
      </x:c>
      <x:c r="F2449" s="4" t="inlineStr">
        <x:is>
          <x:t xml:space="preserve">广州市</x:t>
        </x:is>
      </x:c>
      <x:c r="G2449" s="5" t="inlineStr">
        <x:is>
          <x:t xml:space="preserve">广东省-广州市</x:t>
        </x:is>
      </x:c>
      <x:c r="H2449" s="4" t="inlineStr">
        <x:is>
          <x:t xml:space="preserve">房地产</x:t>
        </x:is>
      </x:c>
      <x:c r="I2449" s="4" t="inlineStr">
        <x:is>
          <x:t xml:space="preserve">2006-07-31</x:t>
        </x:is>
      </x:c>
      <x:c r="J2449" s="5" t="inlineStr">
        <x:is>
          <x:t xml:space="preserve">广州市海珠区阅江中路823号保利发展广场53-59层</x:t>
        </x:is>
      </x:c>
      <x:c r="K2449" s="12" t="str">
        <x:f>LEFT("91440101741884392G",18)</x:f>
        <x:v>91440101741884392G</x:v>
      </x:c>
    </x:row>
    <x:row r="2450">
      <x:c r="A2450" s="2" t="n">
        <x:v>2449</x:v>
      </x:c>
      <x:c r="B2450" s="2" t="inlineStr">
        <x:is>
          <x:t xml:space="preserve">600098</x:t>
        </x:is>
      </x:c>
      <x:c r="C2450" s="3" t="inlineStr">
        <x:is>
          <x:t xml:space="preserve">广州发展</x:t>
        </x:is>
      </x:c>
      <x:c r="D2450" s="3" t="inlineStr">
        <x:is>
          <x:t xml:space="preserve">广州发展集团股份有限公司</x:t>
        </x:is>
      </x:c>
      <x:c r="E2450" s="2" t="inlineStr">
        <x:is>
          <x:t xml:space="preserve">广东省</x:t>
        </x:is>
      </x:c>
      <x:c r="F2450" s="2" t="inlineStr">
        <x:is>
          <x:t xml:space="preserve">广州市</x:t>
        </x:is>
      </x:c>
      <x:c r="G2450" s="3" t="inlineStr">
        <x:is>
          <x:t xml:space="preserve">广东省-广州市</x:t>
        </x:is>
      </x:c>
      <x:c r="H2450" s="2" t="inlineStr">
        <x:is>
          <x:t xml:space="preserve">电力行业</x:t>
        </x:is>
      </x:c>
      <x:c r="I2450" s="2" t="inlineStr">
        <x:is>
          <x:t xml:space="preserve">1997-07-18</x:t>
        </x:is>
      </x:c>
      <x:c r="J2450" s="3" t="inlineStr">
        <x:is>
          <x:t xml:space="preserve">广州市天河区临江大道3号30楼、31楼自编B单元、32楼自编A单元</x:t>
        </x:is>
      </x:c>
      <x:c r="K2450" s="12" t="str">
        <x:f>LEFT("91440101231243173M",18)</x:f>
        <x:v>91440101231243173M</x:v>
      </x:c>
    </x:row>
    <x:row r="2451">
      <x:c r="A2451" s="4" t="n">
        <x:v>2450</x:v>
      </x:c>
      <x:c r="B2451" s="4" t="inlineStr">
        <x:is>
          <x:t xml:space="preserve">600143</x:t>
        </x:is>
      </x:c>
      <x:c r="C2451" s="5" t="inlineStr">
        <x:is>
          <x:t xml:space="preserve">金发科技</x:t>
        </x:is>
      </x:c>
      <x:c r="D2451" s="5" t="inlineStr">
        <x:is>
          <x:t xml:space="preserve">金发科技股份有限公司</x:t>
        </x:is>
      </x:c>
      <x:c r="E2451" s="4" t="inlineStr">
        <x:is>
          <x:t xml:space="preserve">广东省</x:t>
        </x:is>
      </x:c>
      <x:c r="F2451" s="4" t="inlineStr">
        <x:is>
          <x:t xml:space="preserve">广州市</x:t>
        </x:is>
      </x:c>
      <x:c r="G2451" s="5" t="inlineStr">
        <x:is>
          <x:t xml:space="preserve">广东省-广州市</x:t>
        </x:is>
      </x:c>
      <x:c r="H2451" s="4" t="inlineStr">
        <x:is>
          <x:t xml:space="preserve">塑胶制品</x:t>
        </x:is>
      </x:c>
      <x:c r="I2451" s="4" t="inlineStr">
        <x:is>
          <x:t xml:space="preserve">2004-06-23</x:t>
        </x:is>
      </x:c>
      <x:c r="J2451" s="5" t="inlineStr">
        <x:is>
          <x:t xml:space="preserve">广州市广州高新技术产业开发区科学城科丰路33号</x:t>
        </x:is>
      </x:c>
      <x:c r="K2451" s="12" t="str">
        <x:f>LEFT("91440101618607269R",18)</x:f>
        <x:v>91440101618607269R</x:v>
      </x:c>
    </x:row>
    <x:row r="2452">
      <x:c r="A2452" s="2" t="n">
        <x:v>2451</x:v>
      </x:c>
      <x:c r="B2452" s="2" t="inlineStr">
        <x:is>
          <x:t xml:space="preserve">600162</x:t>
        </x:is>
      </x:c>
      <x:c r="C2452" s="3" t="inlineStr">
        <x:is>
          <x:t xml:space="preserve">香江控股</x:t>
        </x:is>
      </x:c>
      <x:c r="D2452" s="3" t="inlineStr">
        <x:is>
          <x:t xml:space="preserve">深圳香江控股股份有限公司</x:t>
        </x:is>
      </x:c>
      <x:c r="E2452" s="2" t="inlineStr">
        <x:is>
          <x:t xml:space="preserve">广东省</x:t>
        </x:is>
      </x:c>
      <x:c r="F2452" s="2" t="inlineStr">
        <x:is>
          <x:t xml:space="preserve">深圳市</x:t>
        </x:is>
      </x:c>
      <x:c r="G2452" s="3" t="inlineStr">
        <x:is>
          <x:t xml:space="preserve">广东省-深圳市</x:t>
        </x:is>
      </x:c>
      <x:c r="H2452" s="2" t="inlineStr">
        <x:is>
          <x:t xml:space="preserve">房地产</x:t>
        </x:is>
      </x:c>
      <x:c r="I2452" s="2" t="inlineStr">
        <x:is>
          <x:t xml:space="preserve">1998-06-09</x:t>
        </x:is>
      </x:c>
      <x:c r="J2452" s="3" t="inlineStr">
        <x:is>
          <x:t xml:space="preserve">深圳市前海深港合作区南山街道兴海大道3046号香江金融大厦32楼—A1</x:t>
        </x:is>
      </x:c>
      <x:c r="K2452" s="12" t="str">
        <x:f>LEFT("91440300267146826U",18)</x:f>
        <x:v>91440300267146826U</x:v>
      </x:c>
    </x:row>
    <x:row r="2453">
      <x:c r="A2453" s="4" t="n">
        <x:v>2452</x:v>
      </x:c>
      <x:c r="B2453" s="4" t="inlineStr">
        <x:is>
          <x:t xml:space="preserve">600183</x:t>
        </x:is>
      </x:c>
      <x:c r="C2453" s="5" t="inlineStr">
        <x:is>
          <x:t xml:space="preserve">生益科技</x:t>
        </x:is>
      </x:c>
      <x:c r="D2453" s="5" t="inlineStr">
        <x:is>
          <x:t xml:space="preserve">广东生益科技股份有限公司</x:t>
        </x:is>
      </x:c>
      <x:c r="E2453" s="4" t="inlineStr">
        <x:is>
          <x:t xml:space="preserve">广东省</x:t>
        </x:is>
      </x:c>
      <x:c r="F2453" s="4" t="inlineStr">
        <x:is>
          <x:t xml:space="preserve">东莞市</x:t>
        </x:is>
      </x:c>
      <x:c r="G2453" s="5" t="inlineStr">
        <x:is>
          <x:t xml:space="preserve">广东省-东莞市</x:t>
        </x:is>
      </x:c>
      <x:c r="H2453" s="4" t="inlineStr">
        <x:is>
          <x:t xml:space="preserve">电子元件</x:t>
        </x:is>
      </x:c>
      <x:c r="I2453" s="4" t="inlineStr">
        <x:is>
          <x:t xml:space="preserve">1998-10-28</x:t>
        </x:is>
      </x:c>
      <x:c r="J2453" s="5" t="inlineStr">
        <x:is>
          <x:t xml:space="preserve">广东省东莞市松山湖园区工业西路5号</x:t>
        </x:is>
      </x:c>
      <x:c r="K2453" s="12" t="str">
        <x:f>LEFT("91441900618163186Q",18)</x:f>
        <x:v>91441900618163186Q</x:v>
      </x:c>
    </x:row>
    <x:row r="2454">
      <x:c r="A2454" s="2" t="n">
        <x:v>2453</x:v>
      </x:c>
      <x:c r="B2454" s="2" t="inlineStr">
        <x:is>
          <x:t xml:space="preserve">600185</x:t>
        </x:is>
      </x:c>
      <x:c r="C2454" s="3" t="inlineStr">
        <x:is>
          <x:t xml:space="preserve">格力地产</x:t>
        </x:is>
      </x:c>
      <x:c r="D2454" s="3" t="inlineStr">
        <x:is>
          <x:t xml:space="preserve">珠海珠免集团股份有限公司</x:t>
        </x:is>
      </x:c>
      <x:c r="E2454" s="2" t="inlineStr">
        <x:is>
          <x:t xml:space="preserve">广东省</x:t>
        </x:is>
      </x:c>
      <x:c r="F2454" s="2" t="inlineStr">
        <x:is>
          <x:t xml:space="preserve">珠海市</x:t>
        </x:is>
      </x:c>
      <x:c r="G2454" s="3" t="inlineStr">
        <x:is>
          <x:t xml:space="preserve">广东省-珠海市</x:t>
        </x:is>
      </x:c>
      <x:c r="H2454" s="2" t="inlineStr">
        <x:is>
          <x:t xml:space="preserve">房地产</x:t>
        </x:is>
      </x:c>
      <x:c r="I2454" s="2" t="inlineStr">
        <x:is>
          <x:t xml:space="preserve">1999-06-11</x:t>
        </x:is>
      </x:c>
      <x:c r="J2454" s="3" t="inlineStr">
        <x:is>
          <x:t xml:space="preserve">珠海市横琴新区环岛东路3000号2103办公</x:t>
        </x:is>
      </x:c>
      <x:c r="K2454" s="12" t="str">
        <x:f>LEFT("91440400628053925E",18)</x:f>
        <x:v>91440400628053925E</x:v>
      </x:c>
    </x:row>
    <x:row r="2455">
      <x:c r="A2455" s="4" t="n">
        <x:v>2454</x:v>
      </x:c>
      <x:c r="B2455" s="4" t="inlineStr">
        <x:is>
          <x:t xml:space="preserve">600323</x:t>
        </x:is>
      </x:c>
      <x:c r="C2455" s="5" t="inlineStr">
        <x:is>
          <x:t xml:space="preserve">瀚蓝环境</x:t>
        </x:is>
      </x:c>
      <x:c r="D2455" s="5" t="inlineStr">
        <x:is>
          <x:t xml:space="preserve">瀚蓝环境股份有限公司</x:t>
        </x:is>
      </x:c>
      <x:c r="E2455" s="4" t="inlineStr">
        <x:is>
          <x:t xml:space="preserve">广东省</x:t>
        </x:is>
      </x:c>
      <x:c r="F2455" s="4" t="inlineStr">
        <x:is>
          <x:t xml:space="preserve">佛山市</x:t>
        </x:is>
      </x:c>
      <x:c r="G2455" s="5" t="inlineStr">
        <x:is>
          <x:t xml:space="preserve">广东省-佛山市</x:t>
        </x:is>
      </x:c>
      <x:c r="H2455" s="4" t="inlineStr">
        <x:is>
          <x:t xml:space="preserve">环保行业</x:t>
        </x:is>
      </x:c>
      <x:c r="I2455" s="4" t="inlineStr">
        <x:is>
          <x:t xml:space="preserve">2000-12-25</x:t>
        </x:is>
      </x:c>
      <x:c r="J2455" s="5" t="inlineStr">
        <x:is>
          <x:t xml:space="preserve">佛山市南海区桂城融和路23号瀚蓝广场12楼</x:t>
        </x:is>
      </x:c>
      <x:c r="K2455" s="12" t="str">
        <x:f>LEFT("9144060028000315XF",18)</x:f>
        <x:v>9144060028000315XF</x:v>
      </x:c>
    </x:row>
    <x:row r="2456">
      <x:c r="A2456" s="2" t="n">
        <x:v>2455</x:v>
      </x:c>
      <x:c r="B2456" s="2" t="inlineStr">
        <x:is>
          <x:t xml:space="preserve">600325</x:t>
        </x:is>
      </x:c>
      <x:c r="C2456" s="3" t="inlineStr">
        <x:is>
          <x:t xml:space="preserve">华发股份</x:t>
        </x:is>
      </x:c>
      <x:c r="D2456" s="3" t="inlineStr">
        <x:is>
          <x:t xml:space="preserve">珠海华发实业股份有限公司</x:t>
        </x:is>
      </x:c>
      <x:c r="E2456" s="2" t="inlineStr">
        <x:is>
          <x:t xml:space="preserve">广东省</x:t>
        </x:is>
      </x:c>
      <x:c r="F2456" s="2" t="inlineStr">
        <x:is>
          <x:t xml:space="preserve">珠海市</x:t>
        </x:is>
      </x:c>
      <x:c r="G2456" s="3" t="inlineStr">
        <x:is>
          <x:t xml:space="preserve">广东省-珠海市</x:t>
        </x:is>
      </x:c>
      <x:c r="H2456" s="2" t="inlineStr">
        <x:is>
          <x:t xml:space="preserve">房地产</x:t>
        </x:is>
      </x:c>
      <x:c r="I2456" s="2" t="inlineStr">
        <x:is>
          <x:t xml:space="preserve">2004-02-25</x:t>
        </x:is>
      </x:c>
      <x:c r="J2456" s="3" t="inlineStr">
        <x:is>
          <x:t xml:space="preserve">珠海市昌盛路155号</x:t>
        </x:is>
      </x:c>
      <x:c r="K2456" s="12" t="str">
        <x:f>LEFT("9144040019256618XC",18)</x:f>
        <x:v>9144040019256618XC</x:v>
      </x:c>
    </x:row>
    <x:row r="2457">
      <x:c r="A2457" s="4" t="n">
        <x:v>2456</x:v>
      </x:c>
      <x:c r="B2457" s="4" t="inlineStr">
        <x:is>
          <x:t xml:space="preserve">600332</x:t>
        </x:is>
      </x:c>
      <x:c r="C2457" s="5" t="inlineStr">
        <x:is>
          <x:t xml:space="preserve">白云山</x:t>
        </x:is>
      </x:c>
      <x:c r="D2457" s="5" t="inlineStr">
        <x:is>
          <x:t xml:space="preserve">广州白云山医药集团股份有限公司</x:t>
        </x:is>
      </x:c>
      <x:c r="E2457" s="4" t="inlineStr">
        <x:is>
          <x:t xml:space="preserve">广东省</x:t>
        </x:is>
      </x:c>
      <x:c r="F2457" s="4" t="inlineStr">
        <x:is>
          <x:t xml:space="preserve">广州市</x:t>
        </x:is>
      </x:c>
      <x:c r="G2457" s="5" t="inlineStr">
        <x:is>
          <x:t xml:space="preserve">广东省-广州市</x:t>
        </x:is>
      </x:c>
      <x:c r="H2457" s="4" t="inlineStr">
        <x:is>
          <x:t xml:space="preserve">中药</x:t>
        </x:is>
      </x:c>
      <x:c r="I2457" s="4" t="inlineStr">
        <x:is>
          <x:t xml:space="preserve">2001-02-06</x:t>
        </x:is>
      </x:c>
      <x:c r="J2457" s="5" t="inlineStr">
        <x:is>
          <x:t xml:space="preserve">中国广东省广州市荔湾区沙面北街45号</x:t>
        </x:is>
      </x:c>
      <x:c r="K2457" s="12" t="str">
        <x:f>LEFT("9144010163320680X7",18)</x:f>
        <x:v>9144010163320680X7</x:v>
      </x:c>
    </x:row>
    <x:row r="2458">
      <x:c r="A2458" s="2" t="n">
        <x:v>2457</x:v>
      </x:c>
      <x:c r="B2458" s="2" t="inlineStr">
        <x:is>
          <x:t xml:space="preserve">600380</x:t>
        </x:is>
      </x:c>
      <x:c r="C2458" s="3" t="inlineStr">
        <x:is>
          <x:t xml:space="preserve">健康元</x:t>
        </x:is>
      </x:c>
      <x:c r="D2458" s="3" t="inlineStr">
        <x:is>
          <x:t xml:space="preserve">健康元药业集团股份有限公司</x:t>
        </x:is>
      </x:c>
      <x:c r="E2458" s="2" t="inlineStr">
        <x:is>
          <x:t xml:space="preserve">广东省</x:t>
        </x:is>
      </x:c>
      <x:c r="F2458" s="2" t="inlineStr">
        <x:is>
          <x:t xml:space="preserve">深圳市</x:t>
        </x:is>
      </x:c>
      <x:c r="G2458" s="3" t="inlineStr">
        <x:is>
          <x:t xml:space="preserve">广东省-深圳市</x:t>
        </x:is>
      </x:c>
      <x:c r="H2458" s="2" t="inlineStr">
        <x:is>
          <x:t xml:space="preserve">医药制造</x:t>
        </x:is>
      </x:c>
      <x:c r="I2458" s="2" t="inlineStr">
        <x:is>
          <x:t xml:space="preserve">2001-06-08</x:t>
        </x:is>
      </x:c>
      <x:c r="J2458" s="3" t="inlineStr">
        <x:is>
          <x:t xml:space="preserve">深圳市南山区高新区北区朗山路17号健康元药业集团大厦</x:t>
        </x:is>
      </x:c>
      <x:c r="K2458" s="12" t="str">
        <x:f>LEFT("91440300618874367T",18)</x:f>
        <x:v>91440300618874367T</x:v>
      </x:c>
    </x:row>
    <x:row r="2459">
      <x:c r="A2459" s="4" t="n">
        <x:v>2458</x:v>
      </x:c>
      <x:c r="B2459" s="4" t="inlineStr">
        <x:is>
          <x:t xml:space="preserve">600382</x:t>
        </x:is>
      </x:c>
      <x:c r="C2459" s="5" t="inlineStr">
        <x:is>
          <x:t xml:space="preserve">广东明珠</x:t>
        </x:is>
      </x:c>
      <x:c r="D2459" s="5" t="inlineStr">
        <x:is>
          <x:t xml:space="preserve">广东明珠集团股份有限公司</x:t>
        </x:is>
      </x:c>
      <x:c r="E2459" s="4" t="inlineStr">
        <x:is>
          <x:t xml:space="preserve">广东省</x:t>
        </x:is>
      </x:c>
      <x:c r="F2459" s="4" t="inlineStr">
        <x:is>
          <x:t xml:space="preserve">东省兴宁市</x:t>
        </x:is>
      </x:c>
      <x:c r="G2459" s="5" t="inlineStr">
        <x:is>
          <x:t xml:space="preserve">广东省-东省兴宁市</x:t>
        </x:is>
      </x:c>
      <x:c r="H2459" s="4" t="inlineStr">
        <x:is>
          <x:t xml:space="preserve">钢铁行业</x:t>
        </x:is>
      </x:c>
      <x:c r="I2459" s="4" t="inlineStr">
        <x:is>
          <x:t xml:space="preserve">2001-01-18</x:t>
        </x:is>
      </x:c>
      <x:c r="J2459" s="5" t="inlineStr">
        <x:is>
          <x:t xml:space="preserve">广东省兴宁市官汕路99号</x:t>
        </x:is>
      </x:c>
      <x:c r="K2459" s="12" t="str">
        <x:f>LEFT("914414002311104696",18)</x:f>
        <x:v>914414002311104600</x:v>
      </x:c>
    </x:row>
    <x:row r="2460">
      <x:c r="A2460" s="2" t="n">
        <x:v>2459</x:v>
      </x:c>
      <x:c r="B2460" s="2" t="inlineStr">
        <x:is>
          <x:t xml:space="preserve">600383</x:t>
        </x:is>
      </x:c>
      <x:c r="C2460" s="3" t="inlineStr">
        <x:is>
          <x:t xml:space="preserve">金地集团</x:t>
        </x:is>
      </x:c>
      <x:c r="D2460" s="3" t="inlineStr">
        <x:is>
          <x:t xml:space="preserve">金地(集团)股份有限公司</x:t>
        </x:is>
      </x:c>
      <x:c r="E2460" s="2" t="inlineStr">
        <x:is>
          <x:t xml:space="preserve">广东省</x:t>
        </x:is>
      </x:c>
      <x:c r="F2460" s="2" t="inlineStr">
        <x:is>
          <x:t xml:space="preserve">深圳市</x:t>
        </x:is>
      </x:c>
      <x:c r="G2460" s="3" t="inlineStr">
        <x:is>
          <x:t xml:space="preserve">广东省-深圳市</x:t>
        </x:is>
      </x:c>
      <x:c r="H2460" s="2" t="inlineStr">
        <x:is>
          <x:t xml:space="preserve">房地产</x:t>
        </x:is>
      </x:c>
      <x:c r="I2460" s="2" t="inlineStr">
        <x:is>
          <x:t xml:space="preserve">2001-04-12</x:t>
        </x:is>
      </x:c>
      <x:c r="J2460" s="3" t="inlineStr">
        <x:is>
          <x:t xml:space="preserve">深圳市福田区福田街道岗厦社区深南大道2007号金地中心32层</x:t>
        </x:is>
      </x:c>
      <x:c r="K2460" s="12" t="str">
        <x:f>LEFT("914403001921816342",18)</x:f>
        <x:v>914403001921816300</x:v>
      </x:c>
    </x:row>
    <x:row r="2461">
      <x:c r="A2461" s="4" t="n">
        <x:v>2460</x:v>
      </x:c>
      <x:c r="B2461" s="4" t="inlineStr">
        <x:is>
          <x:t xml:space="preserve">600428</x:t>
        </x:is>
      </x:c>
      <x:c r="C2461" s="5" t="inlineStr">
        <x:is>
          <x:t xml:space="preserve">中远海特</x:t>
        </x:is>
      </x:c>
      <x:c r="D2461" s="5" t="inlineStr">
        <x:is>
          <x:t xml:space="preserve">中远海运特种运输股份有限公司</x:t>
        </x:is>
      </x:c>
      <x:c r="E2461" s="4" t="inlineStr">
        <x:is>
          <x:t xml:space="preserve">广东省</x:t>
        </x:is>
      </x:c>
      <x:c r="F2461" s="4" t="inlineStr">
        <x:is>
          <x:t xml:space="preserve">广州市</x:t>
        </x:is>
      </x:c>
      <x:c r="G2461" s="5" t="inlineStr">
        <x:is>
          <x:t xml:space="preserve">广东省-广州市</x:t>
        </x:is>
      </x:c>
      <x:c r="H2461" s="4" t="inlineStr">
        <x:is>
          <x:t xml:space="preserve">港口水运</x:t>
        </x:is>
      </x:c>
      <x:c r="I2461" s="4" t="inlineStr">
        <x:is>
          <x:t xml:space="preserve">2002-04-18</x:t>
        </x:is>
      </x:c>
      <x:c r="J2461" s="5" t="inlineStr">
        <x:is>
          <x:t xml:space="preserve">广东省广州市天河区花城大道20号2302房</x:t>
        </x:is>
      </x:c>
      <x:c r="K2461" s="12" t="str">
        <x:f>LEFT("91440101718160724W",18)</x:f>
        <x:v>91440101718160724W</x:v>
      </x:c>
    </x:row>
    <x:row r="2462">
      <x:c r="A2462" s="2" t="n">
        <x:v>2461</x:v>
      </x:c>
      <x:c r="B2462" s="2" t="inlineStr">
        <x:is>
          <x:t xml:space="preserve">600433</x:t>
        </x:is>
      </x:c>
      <x:c r="C2462" s="3" t="inlineStr">
        <x:is>
          <x:t xml:space="preserve">冠豪高新</x:t>
        </x:is>
      </x:c>
      <x:c r="D2462" s="3" t="inlineStr">
        <x:is>
          <x:t xml:space="preserve">广东冠豪高新技术股份有限公司</x:t>
        </x:is>
      </x:c>
      <x:c r="E2462" s="2" t="inlineStr">
        <x:is>
          <x:t xml:space="preserve">广东省</x:t>
        </x:is>
      </x:c>
      <x:c r="F2462" s="2" t="inlineStr">
        <x:is>
          <x:t xml:space="preserve">湛江市</x:t>
        </x:is>
      </x:c>
      <x:c r="G2462" s="3" t="inlineStr">
        <x:is>
          <x:t xml:space="preserve">广东省-湛江市</x:t>
        </x:is>
      </x:c>
      <x:c r="H2462" s="2" t="inlineStr">
        <x:is>
          <x:t xml:space="preserve">造纸印刷</x:t>
        </x:is>
      </x:c>
      <x:c r="I2462" s="2" t="inlineStr">
        <x:is>
          <x:t xml:space="preserve">2003-06-19</x:t>
        </x:is>
      </x:c>
      <x:c r="J2462" s="3" t="inlineStr">
        <x:is>
          <x:t xml:space="preserve">广东省湛江市东海岛东海大道313号</x:t>
        </x:is>
      </x:c>
      <x:c r="K2462" s="12" t="str">
        <x:f>LEFT("91440800617803532R",18)</x:f>
        <x:v>91440800617803532R</x:v>
      </x:c>
    </x:row>
    <x:row r="2463">
      <x:c r="A2463" s="4" t="n">
        <x:v>2462</x:v>
      </x:c>
      <x:c r="B2463" s="4" t="inlineStr">
        <x:is>
          <x:t xml:space="preserve">600446</x:t>
        </x:is>
      </x:c>
      <x:c r="C2463" s="5" t="inlineStr">
        <x:is>
          <x:t xml:space="preserve">金证股份</x:t>
        </x:is>
      </x:c>
      <x:c r="D2463" s="5" t="inlineStr">
        <x:is>
          <x:t xml:space="preserve">深圳市金证科技股份有限公司</x:t>
        </x:is>
      </x:c>
      <x:c r="E2463" s="4" t="inlineStr">
        <x:is>
          <x:t xml:space="preserve">广东省</x:t>
        </x:is>
      </x:c>
      <x:c r="F2463" s="4" t="inlineStr">
        <x:is>
          <x:t xml:space="preserve">深圳市</x:t>
        </x:is>
      </x:c>
      <x:c r="G2463" s="5" t="inlineStr">
        <x:is>
          <x:t xml:space="preserve">广东省-深圳市</x:t>
        </x:is>
      </x:c>
      <x:c r="H2463" s="4" t="inlineStr">
        <x:is>
          <x:t xml:space="preserve">互联网服务</x:t>
        </x:is>
      </x:c>
      <x:c r="I2463" s="4" t="inlineStr">
        <x:is>
          <x:t xml:space="preserve">2003-12-24</x:t>
        </x:is>
      </x:c>
      <x:c r="J2463" s="5" t="inlineStr">
        <x:is>
          <x:t xml:space="preserve">深圳市南山区高新南五道金证科技大楼(8-9楼)</x:t>
        </x:is>
      </x:c>
      <x:c r="K2463" s="12" t="str">
        <x:f>LEFT("91440300708447860Y",18)</x:f>
        <x:v>91440300708447860Y</x:v>
      </x:c>
    </x:row>
    <x:row r="2464">
      <x:c r="A2464" s="2" t="n">
        <x:v>2463</x:v>
      </x:c>
      <x:c r="B2464" s="2" t="inlineStr">
        <x:is>
          <x:t xml:space="preserve">600499</x:t>
        </x:is>
      </x:c>
      <x:c r="C2464" s="3" t="inlineStr">
        <x:is>
          <x:t xml:space="preserve">科达制造</x:t>
        </x:is>
      </x:c>
      <x:c r="D2464" s="3" t="inlineStr">
        <x:is>
          <x:t xml:space="preserve">科达制造股份有限公司</x:t>
        </x:is>
      </x:c>
      <x:c r="E2464" s="2" t="inlineStr">
        <x:is>
          <x:t xml:space="preserve">广东省</x:t>
        </x:is>
      </x:c>
      <x:c r="F2464" s="2" t="inlineStr">
        <x:is>
          <x:t xml:space="preserve">佛山市</x:t>
        </x:is>
      </x:c>
      <x:c r="G2464" s="3" t="inlineStr">
        <x:is>
          <x:t xml:space="preserve">广东省-佛山市</x:t>
        </x:is>
      </x:c>
      <x:c r="H2464" s="2" t="inlineStr">
        <x:is>
          <x:t xml:space="preserve">专用设备</x:t>
        </x:is>
      </x:c>
      <x:c r="I2464" s="2" t="inlineStr">
        <x:is>
          <x:t xml:space="preserve">2002-10-10</x:t>
        </x:is>
      </x:c>
      <x:c r="J2464" s="3" t="inlineStr">
        <x:is>
          <x:t xml:space="preserve">广东省佛山市顺德区陈村镇广隆工业园环镇西路1号</x:t>
        </x:is>
      </x:c>
      <x:c r="K2464" s="12" t="str">
        <x:f>LEFT("91440606231923486M",18)</x:f>
        <x:v>91440606231923486M</x:v>
      </x:c>
    </x:row>
    <x:row r="2465">
      <x:c r="A2465" s="4" t="n">
        <x:v>2464</x:v>
      </x:c>
      <x:c r="B2465" s="4" t="inlineStr">
        <x:is>
          <x:t xml:space="preserve">600518</x:t>
        </x:is>
      </x:c>
      <x:c r="C2465" s="5" t="inlineStr">
        <x:is>
          <x:t xml:space="preserve">康美药业</x:t>
        </x:is>
      </x:c>
      <x:c r="D2465" s="5" t="inlineStr">
        <x:is>
          <x:t xml:space="preserve">康美药业股份有限公司</x:t>
        </x:is>
      </x:c>
      <x:c r="E2465" s="4" t="inlineStr">
        <x:is>
          <x:t xml:space="preserve">广东省</x:t>
        </x:is>
      </x:c>
      <x:c r="F2465" s="4" t="inlineStr">
        <x:is>
          <x:t xml:space="preserve">东省普宁市</x:t>
        </x:is>
      </x:c>
      <x:c r="G2465" s="5" t="inlineStr">
        <x:is>
          <x:t xml:space="preserve">广东省-东省普宁市</x:t>
        </x:is>
      </x:c>
      <x:c r="H2465" s="4" t="inlineStr">
        <x:is>
          <x:t xml:space="preserve">中药</x:t>
        </x:is>
      </x:c>
      <x:c r="I2465" s="4" t="inlineStr">
        <x:is>
          <x:t xml:space="preserve">2001-03-19</x:t>
        </x:is>
      </x:c>
      <x:c r="J2465" s="5" t="inlineStr">
        <x:is>
          <x:t xml:space="preserve">广东省普宁市揭神路东侧</x:t>
        </x:is>
      </x:c>
      <x:c r="K2465" s="12" t="str">
        <x:f>LEFT("91445200231131526C",18)</x:f>
        <x:v>91445200231131526C</x:v>
      </x:c>
    </x:row>
    <x:row r="2466">
      <x:c r="A2466" s="2" t="n">
        <x:v>2465</x:v>
      </x:c>
      <x:c r="B2466" s="2" t="inlineStr">
        <x:is>
          <x:t xml:space="preserve">600525</x:t>
        </x:is>
      </x:c>
      <x:c r="C2466" s="3" t="inlineStr">
        <x:is>
          <x:t xml:space="preserve">长园集团</x:t>
        </x:is>
      </x:c>
      <x:c r="D2466" s="3" t="inlineStr">
        <x:is>
          <x:t xml:space="preserve">长园科技集团股份有限公司</x:t>
        </x:is>
      </x:c>
      <x:c r="E2466" s="2" t="inlineStr">
        <x:is>
          <x:t xml:space="preserve">广东省</x:t>
        </x:is>
      </x:c>
      <x:c r="F2466" s="2" t="inlineStr">
        <x:is>
          <x:t xml:space="preserve">深圳市</x:t>
        </x:is>
      </x:c>
      <x:c r="G2466" s="3" t="inlineStr">
        <x:is>
          <x:t xml:space="preserve">广东省-深圳市</x:t>
        </x:is>
      </x:c>
      <x:c r="H2466" s="2" t="inlineStr">
        <x:is>
          <x:t xml:space="preserve">输配电气</x:t>
        </x:is>
      </x:c>
      <x:c r="I2466" s="2" t="inlineStr">
        <x:is>
          <x:t xml:space="preserve">2002-12-02</x:t>
        </x:is>
      </x:c>
      <x:c r="J2466" s="3" t="inlineStr">
        <x:is>
          <x:t xml:space="preserve">深圳市南山区高新区科苑中路长园新材料港1号高科技厂房</x:t>
        </x:is>
      </x:c>
      <x:c r="K2466" s="12" t="str">
        <x:f>LEFT("91440300192176077R",18)</x:f>
        <x:v>91440300192176077R</x:v>
      </x:c>
    </x:row>
    <x:row r="2467">
      <x:c r="A2467" s="4" t="n">
        <x:v>2466</x:v>
      </x:c>
      <x:c r="B2467" s="4" t="inlineStr">
        <x:is>
          <x:t xml:space="preserve">600548</x:t>
        </x:is>
      </x:c>
      <x:c r="C2467" s="5" t="inlineStr">
        <x:is>
          <x:t xml:space="preserve">深高速</x:t>
        </x:is>
      </x:c>
      <x:c r="D2467" s="5" t="inlineStr">
        <x:is>
          <x:t xml:space="preserve">深圳高速公路集团股份有限公司</x:t>
        </x:is>
      </x:c>
      <x:c r="E2467" s="4" t="inlineStr">
        <x:is>
          <x:t xml:space="preserve">广东省</x:t>
        </x:is>
      </x:c>
      <x:c r="F2467" s="4" t="inlineStr">
        <x:is>
          <x:t xml:space="preserve">深圳市</x:t>
        </x:is>
      </x:c>
      <x:c r="G2467" s="5" t="inlineStr">
        <x:is>
          <x:t xml:space="preserve">广东省-深圳市</x:t>
        </x:is>
      </x:c>
      <x:c r="H2467" s="4" t="inlineStr">
        <x:is>
          <x:t xml:space="preserve">高速公路</x:t>
        </x:is>
      </x:c>
      <x:c r="I2467" s="4" t="inlineStr">
        <x:is>
          <x:t xml:space="preserve">2001-12-25</x:t>
        </x:is>
      </x:c>
      <x:c r="J2467" s="5" t="inlineStr">
        <x:is>
          <x:t xml:space="preserve">深圳市龙华新区福城街道福民收费站</x:t>
        </x:is>
      </x:c>
      <x:c r="K2467" s="12" t="str">
        <x:f>LEFT("91440300279302515E",18)</x:f>
        <x:v>91440300279302515E</x:v>
      </x:c>
    </x:row>
    <x:row r="2468">
      <x:c r="A2468" s="2" t="n">
        <x:v>2467</x:v>
      </x:c>
      <x:c r="B2468" s="2" t="inlineStr">
        <x:is>
          <x:t xml:space="preserve">600589</x:t>
        </x:is>
      </x:c>
      <x:c r="C2468" s="3" t="inlineStr">
        <x:is>
          <x:t xml:space="preserve">大位科技</x:t>
        </x:is>
      </x:c>
      <x:c r="D2468" s="3" t="inlineStr">
        <x:is>
          <x:t xml:space="preserve">大位数据科技(广东)集团股份有限公司</x:t>
        </x:is>
      </x:c>
      <x:c r="E2468" s="2" t="inlineStr">
        <x:is>
          <x:t xml:space="preserve">广东省</x:t>
        </x:is>
      </x:c>
      <x:c r="F2468" s="2" t="inlineStr">
        <x:is>
          <x:t xml:space="preserve">揭阳市</x:t>
        </x:is>
      </x:c>
      <x:c r="G2468" s="3" t="inlineStr">
        <x:is>
          <x:t xml:space="preserve">广东省-揭阳市</x:t>
        </x:is>
      </x:c>
      <x:c r="H2468" s="2" t="inlineStr">
        <x:is>
          <x:t xml:space="preserve">互联网服务</x:t>
        </x:is>
      </x:c>
      <x:c r="I2468" s="2" t="inlineStr">
        <x:is>
          <x:t xml:space="preserve">2001-06-12</x:t>
        </x:is>
      </x:c>
      <x:c r="J2468" s="3" t="inlineStr">
        <x:is>
          <x:t xml:space="preserve">揭阳市榕江新城环岛路以东、南厝路以北汇金中心(C-01-05地块)写字楼801号</x:t>
        </x:is>
      </x:c>
      <x:c r="K2468" s="12" t="str">
        <x:f>LEFT("91445200617431652Y",18)</x:f>
        <x:v>91445200617431652Y</x:v>
      </x:c>
    </x:row>
    <x:row r="2469">
      <x:c r="A2469" s="4" t="n">
        <x:v>2468</x:v>
      </x:c>
      <x:c r="B2469" s="4" t="inlineStr">
        <x:is>
          <x:t xml:space="preserve">600673</x:t>
        </x:is>
      </x:c>
      <x:c r="C2469" s="5" t="inlineStr">
        <x:is>
          <x:t xml:space="preserve">东阳光</x:t>
        </x:is>
      </x:c>
      <x:c r="D2469" s="5" t="inlineStr">
        <x:is>
          <x:t xml:space="preserve">广东东阳光科技控股股份有限公司</x:t>
        </x:is>
      </x:c>
      <x:c r="E2469" s="4" t="inlineStr">
        <x:is>
          <x:t xml:space="preserve">广东省</x:t>
        </x:is>
      </x:c>
      <x:c r="F2469" s="4" t="inlineStr">
        <x:is>
          <x:t xml:space="preserve">韶关市</x:t>
        </x:is>
      </x:c>
      <x:c r="G2469" s="5" t="inlineStr">
        <x:is>
          <x:t xml:space="preserve">广东省-韶关市</x:t>
        </x:is>
      </x:c>
      <x:c r="H2469" s="4" t="inlineStr">
        <x:is>
          <x:t xml:space="preserve">综合行业</x:t>
        </x:is>
      </x:c>
      <x:c r="I2469" s="4" t="inlineStr">
        <x:is>
          <x:t xml:space="preserve">1993-09-17</x:t>
        </x:is>
      </x:c>
      <x:c r="J2469" s="5" t="inlineStr">
        <x:is>
          <x:t xml:space="preserve">广东省韶关市乳源县乳城镇侯公渡</x:t>
        </x:is>
      </x:c>
      <x:c r="K2469" s="12" t="str">
        <x:f>LEFT("91440200673131734N",18)</x:f>
        <x:v>91440200673131734N</x:v>
      </x:c>
    </x:row>
    <x:row r="2470">
      <x:c r="A2470" s="2" t="n">
        <x:v>2469</x:v>
      </x:c>
      <x:c r="B2470" s="2" t="inlineStr">
        <x:is>
          <x:t xml:space="preserve">600684</x:t>
        </x:is>
      </x:c>
      <x:c r="C2470" s="3" t="inlineStr">
        <x:is>
          <x:t xml:space="preserve">珠江股份</x:t>
        </x:is>
      </x:c>
      <x:c r="D2470" s="3" t="inlineStr">
        <x:is>
          <x:t xml:space="preserve">广州珠江发展集团股份有限公司</x:t>
        </x:is>
      </x:c>
      <x:c r="E2470" s="2" t="inlineStr">
        <x:is>
          <x:t xml:space="preserve">广东省</x:t>
        </x:is>
      </x:c>
      <x:c r="F2470" s="2" t="inlineStr">
        <x:is>
          <x:t xml:space="preserve">广州市</x:t>
        </x:is>
      </x:c>
      <x:c r="G2470" s="3" t="inlineStr">
        <x:is>
          <x:t xml:space="preserve">广东省-广州市</x:t>
        </x:is>
      </x:c>
      <x:c r="H2470" s="2" t="inlineStr">
        <x:is>
          <x:t xml:space="preserve">房地产服务</x:t>
        </x:is>
      </x:c>
      <x:c r="I2470" s="2" t="inlineStr">
        <x:is>
          <x:t xml:space="preserve">1993-10-28</x:t>
        </x:is>
      </x:c>
      <x:c r="J2470" s="3" t="inlineStr">
        <x:is>
          <x:t xml:space="preserve">广州市越秀区环市东路371-375号世界贸易中心大厦南塔11楼S1101-05、S1118-24房</x:t>
        </x:is>
      </x:c>
      <x:c r="K2470" s="12" t="str">
        <x:f>LEFT("9144010119048157XD",18)</x:f>
        <x:v>9144010119048157XD</x:v>
      </x:c>
    </x:row>
    <x:row r="2471">
      <x:c r="A2471" s="4" t="n">
        <x:v>2470</x:v>
      </x:c>
      <x:c r="B2471" s="4" t="inlineStr">
        <x:is>
          <x:t xml:space="preserve">600685</x:t>
        </x:is>
      </x:c>
      <x:c r="C2471" s="5" t="inlineStr">
        <x:is>
          <x:t xml:space="preserve">中船防务</x:t>
        </x:is>
      </x:c>
      <x:c r="D2471" s="5" t="inlineStr">
        <x:is>
          <x:t xml:space="preserve">中船海洋与防务装备股份有限公司</x:t>
        </x:is>
      </x:c>
      <x:c r="E2471" s="4" t="inlineStr">
        <x:is>
          <x:t xml:space="preserve">广东省</x:t>
        </x:is>
      </x:c>
      <x:c r="F2471" s="4" t="inlineStr">
        <x:is>
          <x:t xml:space="preserve">广州市</x:t>
        </x:is>
      </x:c>
      <x:c r="G2471" s="5" t="inlineStr">
        <x:is>
          <x:t xml:space="preserve">广东省-广州市</x:t>
        </x:is>
      </x:c>
      <x:c r="H2471" s="4" t="inlineStr">
        <x:is>
          <x:t xml:space="preserve">船舶制造</x:t>
        </x:is>
      </x:c>
      <x:c r="I2471" s="4" t="inlineStr">
        <x:is>
          <x:t xml:space="preserve">1993-10-28</x:t>
        </x:is>
      </x:c>
      <x:c r="J2471" s="5" t="inlineStr">
        <x:is>
          <x:t xml:space="preserve">中国广州市海珠区革新路137号船舶大厦15层</x:t>
        </x:is>
      </x:c>
      <x:c r="K2471" s="12" t="str">
        <x:f>LEFT("91440101190499390U",18)</x:f>
        <x:v>91440101190499390U</x:v>
      </x:c>
    </x:row>
    <x:row r="2472">
      <x:c r="A2472" s="2" t="n">
        <x:v>2471</x:v>
      </x:c>
      <x:c r="B2472" s="2" t="inlineStr">
        <x:is>
          <x:t xml:space="preserve">600728</x:t>
        </x:is>
      </x:c>
      <x:c r="C2472" s="3" t="inlineStr">
        <x:is>
          <x:t xml:space="preserve">佳都科技</x:t>
        </x:is>
      </x:c>
      <x:c r="D2472" s="3" t="inlineStr">
        <x:is>
          <x:t xml:space="preserve">佳都科技集团股份有限公司</x:t>
        </x:is>
      </x:c>
      <x:c r="E2472" s="2" t="inlineStr">
        <x:is>
          <x:t xml:space="preserve">广东省</x:t>
        </x:is>
      </x:c>
      <x:c r="F2472" s="2" t="inlineStr">
        <x:is>
          <x:t xml:space="preserve">广州市</x:t>
        </x:is>
      </x:c>
      <x:c r="G2472" s="3" t="inlineStr">
        <x:is>
          <x:t xml:space="preserve">广东省-广州市</x:t>
        </x:is>
      </x:c>
      <x:c r="H2472" s="2" t="inlineStr">
        <x:is>
          <x:t xml:space="preserve">软件开发</x:t>
        </x:is>
      </x:c>
      <x:c r="I2472" s="2" t="inlineStr">
        <x:is>
          <x:t xml:space="preserve">1996-07-16</x:t>
        </x:is>
      </x:c>
      <x:c r="J2472" s="3" t="inlineStr">
        <x:is>
          <x:t xml:space="preserve">广州市番禺区东环街迎宾路832号番禺节能科技园内番山创业中心1号楼2区306房</x:t>
        </x:is>
      </x:c>
      <x:c r="K2472" s="12" t="str">
        <x:f>LEFT("91440101731566630A",18)</x:f>
        <x:v>91440101731566630A</x:v>
      </x:c>
    </x:row>
    <x:row r="2473">
      <x:c r="A2473" s="4" t="n">
        <x:v>2472</x:v>
      </x:c>
      <x:c r="B2473" s="4" t="inlineStr">
        <x:is>
          <x:t xml:space="preserve">600866</x:t>
        </x:is>
      </x:c>
      <x:c r="C2473" s="5" t="inlineStr">
        <x:is>
          <x:t xml:space="preserve">星湖科技</x:t>
        </x:is>
      </x:c>
      <x:c r="D2473" s="5" t="inlineStr">
        <x:is>
          <x:t xml:space="preserve">广东肇庆星湖生物科技股份有限公司</x:t>
        </x:is>
      </x:c>
      <x:c r="E2473" s="4" t="inlineStr">
        <x:is>
          <x:t xml:space="preserve">广东省</x:t>
        </x:is>
      </x:c>
      <x:c r="F2473" s="4" t="inlineStr">
        <x:is>
          <x:t xml:space="preserve">肇庆市</x:t>
        </x:is>
      </x:c>
      <x:c r="G2473" s="5" t="inlineStr">
        <x:is>
          <x:t xml:space="preserve">广东省-肇庆市</x:t>
        </x:is>
      </x:c>
      <x:c r="H2473" s="4" t="inlineStr">
        <x:is>
          <x:t xml:space="preserve">食品饮料</x:t>
        </x:is>
      </x:c>
      <x:c r="I2473" s="4" t="inlineStr">
        <x:is>
          <x:t xml:space="preserve">1994-08-18</x:t>
        </x:is>
      </x:c>
      <x:c r="J2473" s="5" t="inlineStr">
        <x:is>
          <x:t xml:space="preserve">广东省肇庆市工农北路67号</x:t>
        </x:is>
      </x:c>
      <x:c r="K2473" s="12" t="str">
        <x:f>LEFT("914412001952767519",18)</x:f>
        <x:v>914412001952767500</x:v>
      </x:c>
    </x:row>
    <x:row r="2474">
      <x:c r="A2474" s="2" t="n">
        <x:v>2473</x:v>
      </x:c>
      <x:c r="B2474" s="2" t="inlineStr">
        <x:is>
          <x:t xml:space="preserve">600868</x:t>
        </x:is>
      </x:c>
      <x:c r="C2474" s="3" t="inlineStr">
        <x:is>
          <x:t xml:space="preserve">梅雁吉祥</x:t>
        </x:is>
      </x:c>
      <x:c r="D2474" s="3" t="inlineStr">
        <x:is>
          <x:t xml:space="preserve">广东梅雁吉祥水电股份有限公司</x:t>
        </x:is>
      </x:c>
      <x:c r="E2474" s="2" t="inlineStr">
        <x:is>
          <x:t xml:space="preserve">广东省</x:t>
        </x:is>
      </x:c>
      <x:c r="F2474" s="2" t="inlineStr">
        <x:is>
          <x:t xml:space="preserve">梅州市</x:t>
        </x:is>
      </x:c>
      <x:c r="G2474" s="3" t="inlineStr">
        <x:is>
          <x:t xml:space="preserve">广东省-梅州市</x:t>
        </x:is>
      </x:c>
      <x:c r="H2474" s="2" t="inlineStr">
        <x:is>
          <x:t xml:space="preserve">电力行业</x:t>
        </x:is>
      </x:c>
      <x:c r="I2474" s="2" t="inlineStr">
        <x:is>
          <x:t xml:space="preserve">1994-09-12</x:t>
        </x:is>
      </x:c>
      <x:c r="J2474" s="3" t="inlineStr">
        <x:is>
          <x:t xml:space="preserve">广东省梅州市梅县新县城沿江南路1号</x:t>
        </x:is>
      </x:c>
      <x:c r="K2474" s="12" t="str">
        <x:f>LEFT("91441400196375188U",18)</x:f>
        <x:v>91441400196375188U</x:v>
      </x:c>
    </x:row>
    <x:row r="2475">
      <x:c r="A2475" s="4" t="n">
        <x:v>2474</x:v>
      </x:c>
      <x:c r="B2475" s="4" t="inlineStr">
        <x:is>
          <x:t xml:space="preserve">600872</x:t>
        </x:is>
      </x:c>
      <x:c r="C2475" s="5" t="inlineStr">
        <x:is>
          <x:t xml:space="preserve">中炬高新</x:t>
        </x:is>
      </x:c>
      <x:c r="D2475" s="5" t="inlineStr">
        <x:is>
          <x:t xml:space="preserve">中炬高新技术实业(集团)股份有限公司</x:t>
        </x:is>
      </x:c>
      <x:c r="E2475" s="4" t="inlineStr">
        <x:is>
          <x:t xml:space="preserve">广东省</x:t>
        </x:is>
      </x:c>
      <x:c r="F2475" s="4" t="inlineStr">
        <x:is>
          <x:t xml:space="preserve">中山市</x:t>
        </x:is>
      </x:c>
      <x:c r="G2475" s="5" t="inlineStr">
        <x:is>
          <x:t xml:space="preserve">广东省-中山市</x:t>
        </x:is>
      </x:c>
      <x:c r="H2475" s="4" t="inlineStr">
        <x:is>
          <x:t xml:space="preserve">食品饮料</x:t>
        </x:is>
      </x:c>
      <x:c r="I2475" s="4" t="inlineStr">
        <x:is>
          <x:t xml:space="preserve">1995-01-24</x:t>
        </x:is>
      </x:c>
      <x:c r="J2475" s="5" t="inlineStr">
        <x:is>
          <x:t xml:space="preserve">广东省中山市中山火炬高技术产业开发区</x:t>
        </x:is>
      </x:c>
      <x:c r="K2475" s="12" t="str">
        <x:f>LEFT("91442000190357106Y",18)</x:f>
        <x:v>91442000190357106Y</x:v>
      </x:c>
    </x:row>
    <x:row r="2476">
      <x:c r="A2476" s="2" t="n">
        <x:v>2475</x:v>
      </x:c>
      <x:c r="B2476" s="2" t="inlineStr">
        <x:is>
          <x:t xml:space="preserve">600892</x:t>
        </x:is>
      </x:c>
      <x:c r="C2476" s="3" t="inlineStr">
        <x:is>
          <x:t xml:space="preserve">大晟文化</x:t>
        </x:is>
      </x:c>
      <x:c r="D2476" s="3" t="inlineStr">
        <x:is>
          <x:t xml:space="preserve">大晟时代文化投资股份有限公司</x:t>
        </x:is>
      </x:c>
      <x:c r="E2476" s="2" t="inlineStr">
        <x:is>
          <x:t xml:space="preserve">广东省</x:t>
        </x:is>
      </x:c>
      <x:c r="F2476" s="2" t="inlineStr">
        <x:is>
          <x:t xml:space="preserve">深圳市</x:t>
        </x:is>
      </x:c>
      <x:c r="G2476" s="3" t="inlineStr">
        <x:is>
          <x:t xml:space="preserve">广东省-深圳市</x:t>
        </x:is>
      </x:c>
      <x:c r="H2476" s="2" t="inlineStr">
        <x:is>
          <x:t xml:space="preserve">游戏</x:t>
        </x:is>
      </x:c>
      <x:c r="I2476" s="2" t="inlineStr">
        <x:is>
          <x:t xml:space="preserve">1996-03-15</x:t>
        </x:is>
      </x:c>
      <x:c r="J2476" s="3" t="inlineStr">
        <x:is>
          <x:t xml:space="preserve">深圳市罗湖区东门街道城东社区深南东路2028号罗湖商务中心213</x:t>
        </x:is>
      </x:c>
      <x:c r="K2476" s="12" t="str">
        <x:f>LEFT("9144030010447100X4",18)</x:f>
        <x:v>9144030010447100X4</x:v>
      </x:c>
    </x:row>
    <x:row r="2477">
      <x:c r="A2477" s="4" t="n">
        <x:v>2476</x:v>
      </x:c>
      <x:c r="B2477" s="4" t="inlineStr">
        <x:is>
          <x:t xml:space="preserve">600894</x:t>
        </x:is>
      </x:c>
      <x:c r="C2477" s="5" t="inlineStr">
        <x:is>
          <x:t xml:space="preserve">广日股份</x:t>
        </x:is>
      </x:c>
      <x:c r="D2477" s="5" t="inlineStr">
        <x:is>
          <x:t xml:space="preserve">广州广日股份有限公司</x:t>
        </x:is>
      </x:c>
      <x:c r="E2477" s="4" t="inlineStr">
        <x:is>
          <x:t xml:space="preserve">广东省</x:t>
        </x:is>
      </x:c>
      <x:c r="F2477" s="4" t="inlineStr">
        <x:is>
          <x:t xml:space="preserve">广州市</x:t>
        </x:is>
      </x:c>
      <x:c r="G2477" s="5" t="inlineStr">
        <x:is>
          <x:t xml:space="preserve">广东省-广州市</x:t>
        </x:is>
      </x:c>
      <x:c r="H2477" s="4" t="inlineStr">
        <x:is>
          <x:t xml:space="preserve">专用设备</x:t>
        </x:is>
      </x:c>
      <x:c r="I2477" s="4" t="inlineStr">
        <x:is>
          <x:t xml:space="preserve">1996-03-28</x:t>
        </x:is>
      </x:c>
      <x:c r="J2477" s="5" t="inlineStr">
        <x:is>
          <x:t xml:space="preserve">广州市番禺区石楼镇国贸大道南636号</x:t>
        </x:is>
      </x:c>
      <x:c r="K2477" s="12" t="str">
        <x:f>LEFT("914401016184022478",18)</x:f>
        <x:v>914401016184022500</x:v>
      </x:c>
    </x:row>
    <x:row r="2478">
      <x:c r="A2478" s="2" t="n">
        <x:v>2477</x:v>
      </x:c>
      <x:c r="B2478" s="2" t="inlineStr">
        <x:is>
          <x:t xml:space="preserve">600999</x:t>
        </x:is>
      </x:c>
      <x:c r="C2478" s="3" t="inlineStr">
        <x:is>
          <x:t xml:space="preserve">招商证券</x:t>
        </x:is>
      </x:c>
      <x:c r="D2478" s="3" t="inlineStr">
        <x:is>
          <x:t xml:space="preserve">招商证券股份有限公司</x:t>
        </x:is>
      </x:c>
      <x:c r="E2478" s="2" t="inlineStr">
        <x:is>
          <x:t xml:space="preserve">广东省</x:t>
        </x:is>
      </x:c>
      <x:c r="F2478" s="2" t="inlineStr">
        <x:is>
          <x:t xml:space="preserve">深圳市</x:t>
        </x:is>
      </x:c>
      <x:c r="G2478" s="3" t="inlineStr">
        <x:is>
          <x:t xml:space="preserve">广东省-深圳市</x:t>
        </x:is>
      </x:c>
      <x:c r="H2478" s="2" t="inlineStr">
        <x:is>
          <x:t xml:space="preserve">券商信托</x:t>
        </x:is>
      </x:c>
      <x:c r="I2478" s="2" t="inlineStr">
        <x:is>
          <x:t xml:space="preserve">2009-11-17</x:t>
        </x:is>
      </x:c>
      <x:c r="J2478" s="3" t="inlineStr">
        <x:is>
          <x:t xml:space="preserve">深圳市福田区福田街道福华一路111号</x:t>
        </x:is>
      </x:c>
      <x:c r="K2478" s="12" t="str">
        <x:f>LEFT("91440300192238549B",18)</x:f>
        <x:v>91440300192238549B</x:v>
      </x:c>
    </x:row>
    <x:row r="2479">
      <x:c r="A2479" s="4" t="n">
        <x:v>2478</x:v>
      </x:c>
      <x:c r="B2479" s="4" t="inlineStr">
        <x:is>
          <x:t xml:space="preserve">601033</x:t>
        </x:is>
      </x:c>
      <x:c r="C2479" s="5" t="inlineStr">
        <x:is>
          <x:t xml:space="preserve">永兴股份</x:t>
        </x:is>
      </x:c>
      <x:c r="D2479" s="5" t="inlineStr">
        <x:is>
          <x:t xml:space="preserve">广州环投永兴集团股份有限公司</x:t>
        </x:is>
      </x:c>
      <x:c r="E2479" s="4" t="inlineStr">
        <x:is>
          <x:t xml:space="preserve">广东省</x:t>
        </x:is>
      </x:c>
      <x:c r="F2479" s="4" t="inlineStr">
        <x:is>
          <x:t xml:space="preserve">广州市</x:t>
        </x:is>
      </x:c>
      <x:c r="G2479" s="5" t="inlineStr">
        <x:is>
          <x:t xml:space="preserve">广东省-广州市</x:t>
        </x:is>
      </x:c>
      <x:c r="H2479" s="4" t="inlineStr">
        <x:is>
          <x:t xml:space="preserve">环保行业</x:t>
        </x:is>
      </x:c>
      <x:c r="I2479" s="4" t="inlineStr">
        <x:is>
          <x:t xml:space="preserve">2024-01-18</x:t>
        </x:is>
      </x:c>
      <x:c r="J2479" s="5" t="inlineStr">
        <x:is>
          <x:t xml:space="preserve">广州市白云区广州民营科技园科泰二路13-19号高新区产业创新园1栋4层401-199房</x:t>
        </x:is>
      </x:c>
      <x:c r="K2479" s="12" t="str">
        <x:f>LEFT("914401016893140172",18)</x:f>
        <x:v>914401016893140200</x:v>
      </x:c>
    </x:row>
    <x:row r="2480">
      <x:c r="A2480" s="2" t="n">
        <x:v>2479</x:v>
      </x:c>
      <x:c r="B2480" s="2" t="inlineStr">
        <x:is>
          <x:t xml:space="preserve">601138</x:t>
        </x:is>
      </x:c>
      <x:c r="C2480" s="3" t="inlineStr">
        <x:is>
          <x:t xml:space="preserve">工业富联</x:t>
        </x:is>
      </x:c>
      <x:c r="D2480" s="3" t="inlineStr">
        <x:is>
          <x:t xml:space="preserve">富士康工业互联网股份有限公司</x:t>
        </x:is>
      </x:c>
      <x:c r="E2480" s="2" t="inlineStr">
        <x:is>
          <x:t xml:space="preserve">广东省</x:t>
        </x:is>
      </x:c>
      <x:c r="F2480" s="2" t="inlineStr">
        <x:is>
          <x:t xml:space="preserve">深圳市</x:t>
        </x:is>
      </x:c>
      <x:c r="G2480" s="3" t="inlineStr">
        <x:is>
          <x:t xml:space="preserve">广东省-深圳市</x:t>
        </x:is>
      </x:c>
      <x:c r="H2480" s="2" t="inlineStr">
        <x:is>
          <x:t xml:space="preserve">消费电子</x:t>
        </x:is>
      </x:c>
      <x:c r="I2480" s="2" t="inlineStr">
        <x:is>
          <x:t xml:space="preserve">2018-06-08</x:t>
        </x:is>
      </x:c>
      <x:c r="J2480" s="3" t="inlineStr">
        <x:is>
          <x:t xml:space="preserve">深圳市龙华区龙华街道东环二路二号富士康科技园C1栋二层</x:t>
        </x:is>
      </x:c>
      <x:c r="K2480" s="12" t="str">
        <x:f>LEFT("914403003296132911",18)</x:f>
        <x:v>914403003296132900</x:v>
      </x:c>
    </x:row>
    <x:row r="2481">
      <x:c r="A2481" s="4" t="n">
        <x:v>2480</x:v>
      </x:c>
      <x:c r="B2481" s="4" t="inlineStr">
        <x:is>
          <x:t xml:space="preserve">601139</x:t>
        </x:is>
      </x:c>
      <x:c r="C2481" s="5" t="inlineStr">
        <x:is>
          <x:t xml:space="preserve">深圳燃气</x:t>
        </x:is>
      </x:c>
      <x:c r="D2481" s="5" t="inlineStr">
        <x:is>
          <x:t xml:space="preserve">深圳市燃气集团股份有限公司</x:t>
        </x:is>
      </x:c>
      <x:c r="E2481" s="4" t="inlineStr">
        <x:is>
          <x:t xml:space="preserve">广东省</x:t>
        </x:is>
      </x:c>
      <x:c r="F2481" s="4" t="inlineStr">
        <x:is>
          <x:t xml:space="preserve">深圳市</x:t>
        </x:is>
      </x:c>
      <x:c r="G2481" s="5" t="inlineStr">
        <x:is>
          <x:t xml:space="preserve">广东省-深圳市</x:t>
        </x:is>
      </x:c>
      <x:c r="H2481" s="4" t="inlineStr">
        <x:is>
          <x:t xml:space="preserve">燃气</x:t>
        </x:is>
      </x:c>
      <x:c r="I2481" s="4" t="inlineStr">
        <x:is>
          <x:t xml:space="preserve">2009-12-25</x:t>
        </x:is>
      </x:c>
      <x:c r="J2481" s="5" t="inlineStr">
        <x:is>
          <x:t xml:space="preserve">深圳市福田区梅坳一路268号</x:t>
        </x:is>
      </x:c>
      <x:c r="K2481" s="12" t="str">
        <x:f>LEFT("91440300192408392D",18)</x:f>
        <x:v>91440300192408392D</x:v>
      </x:c>
    </x:row>
    <x:row r="2482">
      <x:c r="A2482" s="2" t="n">
        <x:v>2481</x:v>
      </x:c>
      <x:c r="B2482" s="2" t="inlineStr">
        <x:is>
          <x:t xml:space="preserve">601228</x:t>
        </x:is>
      </x:c>
      <x:c r="C2482" s="3" t="inlineStr">
        <x:is>
          <x:t xml:space="preserve">广州港</x:t>
        </x:is>
      </x:c>
      <x:c r="D2482" s="3" t="inlineStr">
        <x:is>
          <x:t xml:space="preserve">广州港股份有限公司</x:t>
        </x:is>
      </x:c>
      <x:c r="E2482" s="2" t="inlineStr">
        <x:is>
          <x:t xml:space="preserve">广东省</x:t>
        </x:is>
      </x:c>
      <x:c r="F2482" s="2" t="inlineStr">
        <x:is>
          <x:t xml:space="preserve">广州市</x:t>
        </x:is>
      </x:c>
      <x:c r="G2482" s="3" t="inlineStr">
        <x:is>
          <x:t xml:space="preserve">广东省-广州市</x:t>
        </x:is>
      </x:c>
      <x:c r="H2482" s="2" t="inlineStr">
        <x:is>
          <x:t xml:space="preserve">港口水运</x:t>
        </x:is>
      </x:c>
      <x:c r="I2482" s="2" t="inlineStr">
        <x:is>
          <x:t xml:space="preserve">2017-03-29</x:t>
        </x:is>
      </x:c>
      <x:c r="J2482" s="3" t="inlineStr">
        <x:is>
          <x:t xml:space="preserve">广州市南沙区南沙街港前大道南162号807单元</x:t>
        </x:is>
      </x:c>
      <x:c r="K2482" s="12" t="str">
        <x:f>LEFT("914401015659972745",18)</x:f>
        <x:v>914401015659972700</x:v>
      </x:c>
    </x:row>
    <x:row r="2483">
      <x:c r="A2483" s="4" t="n">
        <x:v>2482</x:v>
      </x:c>
      <x:c r="B2483" s="4" t="inlineStr">
        <x:is>
          <x:t xml:space="preserve">601238</x:t>
        </x:is>
      </x:c>
      <x:c r="C2483" s="5" t="inlineStr">
        <x:is>
          <x:t xml:space="preserve">广汽集团</x:t>
        </x:is>
      </x:c>
      <x:c r="D2483" s="5" t="inlineStr">
        <x:is>
          <x:t xml:space="preserve">广州汽车集团股份有限公司</x:t>
        </x:is>
      </x:c>
      <x:c r="E2483" s="4" t="inlineStr">
        <x:is>
          <x:t xml:space="preserve">广东省</x:t>
        </x:is>
      </x:c>
      <x:c r="F2483" s="4" t="inlineStr">
        <x:is>
          <x:t xml:space="preserve">广州市</x:t>
        </x:is>
      </x:c>
      <x:c r="G2483" s="5" t="inlineStr">
        <x:is>
          <x:t xml:space="preserve">广东省-广州市</x:t>
        </x:is>
      </x:c>
      <x:c r="H2483" s="4" t="inlineStr">
        <x:is>
          <x:t xml:space="preserve">汽车整车</x:t>
        </x:is>
      </x:c>
      <x:c r="I2483" s="4" t="inlineStr">
        <x:is>
          <x:t xml:space="preserve">2012-03-29</x:t>
        </x:is>
      </x:c>
      <x:c r="J2483" s="5" t="inlineStr">
        <x:is>
          <x:t xml:space="preserve">广州市越秀区东风中路448号-458号成悦大厦23楼</x:t>
        </x:is>
      </x:c>
      <x:c r="K2483" s="12" t="str">
        <x:f>LEFT("91440101633203772F",18)</x:f>
        <x:v>91440101633203772F</x:v>
      </x:c>
    </x:row>
    <x:row r="2484">
      <x:c r="A2484" s="2" t="n">
        <x:v>2483</x:v>
      </x:c>
      <x:c r="B2484" s="2" t="inlineStr">
        <x:is>
          <x:t xml:space="preserve">601318</x:t>
        </x:is>
      </x:c>
      <x:c r="C2484" s="3" t="inlineStr">
        <x:is>
          <x:t xml:space="preserve">中国平安</x:t>
        </x:is>
      </x:c>
      <x:c r="D2484" s="3" t="inlineStr">
        <x:is>
          <x:t xml:space="preserve">中国平安保险(集团)股份有限公司</x:t>
        </x:is>
      </x:c>
      <x:c r="E2484" s="2" t="inlineStr">
        <x:is>
          <x:t xml:space="preserve">广东省</x:t>
        </x:is>
      </x:c>
      <x:c r="F2484" s="2" t="inlineStr">
        <x:is>
          <x:t xml:space="preserve">深圳市</x:t>
        </x:is>
      </x:c>
      <x:c r="G2484" s="3" t="inlineStr">
        <x:is>
          <x:t xml:space="preserve">广东省-深圳市</x:t>
        </x:is>
      </x:c>
      <x:c r="H2484" s="2" t="inlineStr">
        <x:is>
          <x:t xml:space="preserve">保险</x:t>
        </x:is>
      </x:c>
      <x:c r="I2484" s="2" t="inlineStr">
        <x:is>
          <x:t xml:space="preserve">2007-03-01</x:t>
        </x:is>
      </x:c>
      <x:c r="J2484" s="3" t="inlineStr">
        <x:is>
          <x:t xml:space="preserve">深圳市福田区益田路5033号平安金融中心47、48、109、110、111、112层</x:t>
        </x:is>
      </x:c>
      <x:c r="K2484" s="12" t="str">
        <x:f>LEFT("91440300100012316L",18)</x:f>
        <x:v>91440300100012316L</x:v>
      </x:c>
    </x:row>
    <x:row r="2485">
      <x:c r="A2485" s="4" t="n">
        <x:v>2484</x:v>
      </x:c>
      <x:c r="B2485" s="4" t="inlineStr">
        <x:is>
          <x:t xml:space="preserve">601330</x:t>
        </x:is>
      </x:c>
      <x:c r="C2485" s="5" t="inlineStr">
        <x:is>
          <x:t xml:space="preserve">绿色动力</x:t>
        </x:is>
      </x:c>
      <x:c r="D2485" s="5" t="inlineStr">
        <x:is>
          <x:t xml:space="preserve">绿色动力环保集团股份有限公司</x:t>
        </x:is>
      </x:c>
      <x:c r="E2485" s="4" t="inlineStr">
        <x:is>
          <x:t xml:space="preserve">广东省</x:t>
        </x:is>
      </x:c>
      <x:c r="F2485" s="4" t="inlineStr">
        <x:is>
          <x:t xml:space="preserve">深圳市</x:t>
        </x:is>
      </x:c>
      <x:c r="G2485" s="5" t="inlineStr">
        <x:is>
          <x:t xml:space="preserve">广东省-深圳市</x:t>
        </x:is>
      </x:c>
      <x:c r="H2485" s="4" t="inlineStr">
        <x:is>
          <x:t xml:space="preserve">环保工程</x:t>
        </x:is>
      </x:c>
      <x:c r="I2485" s="4" t="inlineStr">
        <x:is>
          <x:t xml:space="preserve">2018-06-11</x:t>
        </x:is>
      </x:c>
      <x:c r="J2485" s="5" t="inlineStr">
        <x:is>
          <x:t xml:space="preserve">深圳市南山区科技南十二路007号九洲电器大厦二楼</x:t>
        </x:is>
      </x:c>
      <x:c r="K2485" s="12" t="str">
        <x:f>LEFT("914403007152708132",18)</x:f>
        <x:v>914403007152708100</x:v>
      </x:c>
    </x:row>
    <x:row r="2486">
      <x:c r="A2486" s="2" t="n">
        <x:v>2485</x:v>
      </x:c>
      <x:c r="B2486" s="2" t="inlineStr">
        <x:is>
          <x:t xml:space="preserve">601333</x:t>
        </x:is>
      </x:c>
      <x:c r="C2486" s="3" t="inlineStr">
        <x:is>
          <x:t xml:space="preserve">广深铁路</x:t>
        </x:is>
      </x:c>
      <x:c r="D2486" s="3" t="inlineStr">
        <x:is>
          <x:t xml:space="preserve">广深铁路股份有限公司</x:t>
        </x:is>
      </x:c>
      <x:c r="E2486" s="2" t="inlineStr">
        <x:is>
          <x:t xml:space="preserve">广东省</x:t>
        </x:is>
      </x:c>
      <x:c r="F2486" s="2" t="inlineStr">
        <x:is>
          <x:t xml:space="preserve">深圳市</x:t>
        </x:is>
      </x:c>
      <x:c r="G2486" s="3" t="inlineStr">
        <x:is>
          <x:t xml:space="preserve">广东省-深圳市</x:t>
        </x:is>
      </x:c>
      <x:c r="H2486" s="2" t="inlineStr">
        <x:is>
          <x:t xml:space="preserve">铁路公路</x:t>
        </x:is>
      </x:c>
      <x:c r="I2486" s="2" t="inlineStr">
        <x:is>
          <x:t xml:space="preserve">2006-12-22</x:t>
        </x:is>
      </x:c>
      <x:c r="J2486" s="3" t="inlineStr">
        <x:is>
          <x:t xml:space="preserve">广东省深圳市罗湖区和平路1052号</x:t>
        </x:is>
      </x:c>
      <x:c r="K2486" s="12" t="str">
        <x:f>LEFT("91440300192411663K",18)</x:f>
        <x:v>91440300192411663K</x:v>
      </x:c>
    </x:row>
    <x:row r="2487">
      <x:c r="A2487" s="4" t="n">
        <x:v>2486</x:v>
      </x:c>
      <x:c r="B2487" s="4" t="inlineStr">
        <x:is>
          <x:t xml:space="preserve">601615</x:t>
        </x:is>
      </x:c>
      <x:c r="C2487" s="5" t="inlineStr">
        <x:is>
          <x:t xml:space="preserve">明阳智能</x:t>
        </x:is>
      </x:c>
      <x:c r="D2487" s="5" t="inlineStr">
        <x:is>
          <x:t xml:space="preserve">明阳智慧能源集团股份公司</x:t>
        </x:is>
      </x:c>
      <x:c r="E2487" s="4" t="inlineStr">
        <x:is>
          <x:t xml:space="preserve">广东省</x:t>
        </x:is>
      </x:c>
      <x:c r="F2487" s="4" t="inlineStr">
        <x:is>
          <x:t xml:space="preserve">中山市</x:t>
        </x:is>
      </x:c>
      <x:c r="G2487" s="5" t="inlineStr">
        <x:is>
          <x:t xml:space="preserve">广东省-中山市</x:t>
        </x:is>
      </x:c>
      <x:c r="H2487" s="4" t="inlineStr">
        <x:is>
          <x:t xml:space="preserve">风电设备</x:t>
        </x:is>
      </x:c>
      <x:c r="I2487" s="4" t="inlineStr">
        <x:is>
          <x:t xml:space="preserve">2019-01-23</x:t>
        </x:is>
      </x:c>
      <x:c r="J2487" s="5" t="inlineStr">
        <x:is>
          <x:t xml:space="preserve">广东省中山市火炬开发区火炬路22号明阳工业园</x:t>
        </x:is>
      </x:c>
      <x:c r="K2487" s="12" t="str">
        <x:f>LEFT("91442000789438199M",18)</x:f>
        <x:v>91442000789438199M</x:v>
      </x:c>
    </x:row>
    <x:row r="2488">
      <x:c r="A2488" s="2" t="n">
        <x:v>2487</x:v>
      </x:c>
      <x:c r="B2488" s="2" t="inlineStr">
        <x:is>
          <x:t xml:space="preserve">601900</x:t>
        </x:is>
      </x:c>
      <x:c r="C2488" s="3" t="inlineStr">
        <x:is>
          <x:t xml:space="preserve">南方传媒</x:t>
        </x:is>
      </x:c>
      <x:c r="D2488" s="3" t="inlineStr">
        <x:is>
          <x:t xml:space="preserve">南方出版传媒股份有限公司</x:t>
        </x:is>
      </x:c>
      <x:c r="E2488" s="2" t="inlineStr">
        <x:is>
          <x:t xml:space="preserve">广东省</x:t>
        </x:is>
      </x:c>
      <x:c r="F2488" s="2" t="inlineStr">
        <x:is>
          <x:t xml:space="preserve">广州市</x:t>
        </x:is>
      </x:c>
      <x:c r="G2488" s="3" t="inlineStr">
        <x:is>
          <x:t xml:space="preserve">广东省-广州市</x:t>
        </x:is>
      </x:c>
      <x:c r="H2488" s="2" t="inlineStr">
        <x:is>
          <x:t xml:space="preserve">文化传媒</x:t>
        </x:is>
      </x:c>
      <x:c r="I2488" s="2" t="inlineStr">
        <x:is>
          <x:t xml:space="preserve">2016-02-15</x:t>
        </x:is>
      </x:c>
      <x:c r="J2488" s="3" t="inlineStr">
        <x:is>
          <x:t xml:space="preserve">广东省广州市越秀区环市东路472号11楼</x:t>
        </x:is>
      </x:c>
      <x:c r="K2488" s="12" t="str">
        <x:f>LEFT("91440000699718840J",18)</x:f>
        <x:v>91440000699718840J</x:v>
      </x:c>
    </x:row>
    <x:row r="2489">
      <x:c r="A2489" s="4" t="n">
        <x:v>2488</x:v>
      </x:c>
      <x:c r="B2489" s="4" t="inlineStr">
        <x:is>
          <x:t xml:space="preserve">603002</x:t>
        </x:is>
      </x:c>
      <x:c r="C2489" s="5" t="inlineStr">
        <x:is>
          <x:t xml:space="preserve">宏昌电子</x:t>
        </x:is>
      </x:c>
      <x:c r="D2489" s="5" t="inlineStr">
        <x:is>
          <x:t xml:space="preserve">宏昌电子材料股份有限公司</x:t>
        </x:is>
      </x:c>
      <x:c r="E2489" s="4" t="inlineStr">
        <x:is>
          <x:t xml:space="preserve">广东省</x:t>
        </x:is>
      </x:c>
      <x:c r="F2489" s="4" t="inlineStr">
        <x:is>
          <x:t xml:space="preserve">广州市</x:t>
        </x:is>
      </x:c>
      <x:c r="G2489" s="5" t="inlineStr">
        <x:is>
          <x:t xml:space="preserve">广东省-广州市</x:t>
        </x:is>
      </x:c>
      <x:c r="H2489" s="4" t="inlineStr">
        <x:is>
          <x:t xml:space="preserve">电子化学品</x:t>
        </x:is>
      </x:c>
      <x:c r="I2489" s="4" t="inlineStr">
        <x:is>
          <x:t xml:space="preserve">2012-05-18</x:t>
        </x:is>
      </x:c>
      <x:c r="J2489" s="5" t="inlineStr">
        <x:is>
          <x:t xml:space="preserve">广州市黄埔区开创大道728号3栋101房(部位:3栋212房)</x:t>
        </x:is>
      </x:c>
      <x:c r="K2489" s="12" t="str">
        <x:f>LEFT("91440101618481619Q",18)</x:f>
        <x:v>91440101618481619Q</x:v>
      </x:c>
    </x:row>
    <x:row r="2490">
      <x:c r="A2490" s="2" t="n">
        <x:v>2489</x:v>
      </x:c>
      <x:c r="B2490" s="2" t="inlineStr">
        <x:is>
          <x:t xml:space="preserve">603038</x:t>
        </x:is>
      </x:c>
      <x:c r="C2490" s="3" t="inlineStr">
        <x:is>
          <x:t xml:space="preserve">华立股份</x:t>
        </x:is>
      </x:c>
      <x:c r="D2490" s="3" t="inlineStr">
        <x:is>
          <x:t xml:space="preserve">东莞市华立实业股份有限公司</x:t>
        </x:is>
      </x:c>
      <x:c r="E2490" s="2" t="inlineStr">
        <x:is>
          <x:t xml:space="preserve">广东省</x:t>
        </x:is>
      </x:c>
      <x:c r="F2490" s="2" t="inlineStr">
        <x:is>
          <x:t xml:space="preserve">东莞市</x:t>
        </x:is>
      </x:c>
      <x:c r="G2490" s="3" t="inlineStr">
        <x:is>
          <x:t xml:space="preserve">广东省-东莞市</x:t>
        </x:is>
      </x:c>
      <x:c r="H2490" s="2" t="inlineStr">
        <x:is>
          <x:t xml:space="preserve">装修装饰</x:t>
        </x:is>
      </x:c>
      <x:c r="I2490" s="2" t="inlineStr">
        <x:is>
          <x:t xml:space="preserve">2017-01-16</x:t>
        </x:is>
      </x:c>
      <x:c r="J2490" s="3" t="inlineStr">
        <x:is>
          <x:t xml:space="preserve">东莞市常平镇松柏塘村</x:t>
        </x:is>
      </x:c>
      <x:c r="K2490" s="12" t="str">
        <x:f>LEFT("914419006183640849",18)</x:f>
        <x:v>914419006183640800</x:v>
      </x:c>
    </x:row>
    <x:row r="2491">
      <x:c r="A2491" s="4" t="n">
        <x:v>2490</x:v>
      </x:c>
      <x:c r="B2491" s="4" t="inlineStr">
        <x:is>
          <x:t xml:space="preserve">603043</x:t>
        </x:is>
      </x:c>
      <x:c r="C2491" s="5" t="inlineStr">
        <x:is>
          <x:t xml:space="preserve">广州酒家</x:t>
        </x:is>
      </x:c>
      <x:c r="D2491" s="5" t="inlineStr">
        <x:is>
          <x:t xml:space="preserve">广州酒家集团股份有限公司</x:t>
        </x:is>
      </x:c>
      <x:c r="E2491" s="4" t="inlineStr">
        <x:is>
          <x:t xml:space="preserve">广东省</x:t>
        </x:is>
      </x:c>
      <x:c r="F2491" s="4" t="inlineStr">
        <x:is>
          <x:t xml:space="preserve">广州市</x:t>
        </x:is>
      </x:c>
      <x:c r="G2491" s="5" t="inlineStr">
        <x:is>
          <x:t xml:space="preserve">广东省-广州市</x:t>
        </x:is>
      </x:c>
      <x:c r="H2491" s="4" t="inlineStr">
        <x:is>
          <x:t xml:space="preserve">食品饮料</x:t>
        </x:is>
      </x:c>
      <x:c r="I2491" s="4" t="inlineStr">
        <x:is>
          <x:t xml:space="preserve">2017-06-27</x:t>
        </x:is>
      </x:c>
      <x:c r="J2491" s="5" t="inlineStr">
        <x:is>
          <x:t xml:space="preserve">广州市荔湾区文昌南路2号A单元</x:t>
        </x:is>
      </x:c>
      <x:c r="K2491" s="12" t="str">
        <x:f>LEFT("91440101633208952W",18)</x:f>
        <x:v>91440101633208952W</x:v>
      </x:c>
    </x:row>
    <x:row r="2492">
      <x:c r="A2492" s="2" t="n">
        <x:v>2491</x:v>
      </x:c>
      <x:c r="B2492" s="2" t="inlineStr">
        <x:is>
          <x:t xml:space="preserve">603051</x:t>
        </x:is>
      </x:c>
      <x:c r="C2492" s="3" t="inlineStr">
        <x:is>
          <x:t xml:space="preserve">鹿山新材</x:t>
        </x:is>
      </x:c>
      <x:c r="D2492" s="3" t="inlineStr">
        <x:is>
          <x:t xml:space="preserve">广州鹿山新材料股份有限公司</x:t>
        </x:is>
      </x:c>
      <x:c r="E2492" s="2" t="inlineStr">
        <x:is>
          <x:t xml:space="preserve">广东省</x:t>
        </x:is>
      </x:c>
      <x:c r="F2492" s="2" t="inlineStr">
        <x:is>
          <x:t xml:space="preserve">广州市</x:t>
        </x:is>
      </x:c>
      <x:c r="G2492" s="3" t="inlineStr">
        <x:is>
          <x:t xml:space="preserve">广东省-广州市</x:t>
        </x:is>
      </x:c>
      <x:c r="H2492" s="2" t="inlineStr">
        <x:is>
          <x:t xml:space="preserve">塑料制品</x:t>
        </x:is>
      </x:c>
      <x:c r="I2492" s="2" t="inlineStr">
        <x:is>
          <x:t xml:space="preserve">2022-03-25</x:t>
        </x:is>
      </x:c>
      <x:c r="J2492" s="3" t="inlineStr">
        <x:is>
          <x:t xml:space="preserve">广州市黄埔区云埔工业区埔北路22号自编1栋、自编2栋、自编3栋、自编4栋</x:t>
        </x:is>
      </x:c>
      <x:c r="K2492" s="12" t="str">
        <x:f>LEFT("91440101712452646Q",18)</x:f>
        <x:v>91440101712452646Q</x:v>
      </x:c>
    </x:row>
    <x:row r="2493">
      <x:c r="A2493" s="4" t="n">
        <x:v>2492</x:v>
      </x:c>
      <x:c r="B2493" s="4" t="inlineStr">
        <x:is>
          <x:t xml:space="preserve">603063</x:t>
        </x:is>
      </x:c>
      <x:c r="C2493" s="5" t="inlineStr">
        <x:is>
          <x:t xml:space="preserve">禾望电气</x:t>
        </x:is>
      </x:c>
      <x:c r="D2493" s="5" t="inlineStr">
        <x:is>
          <x:t xml:space="preserve">深圳市禾望电气股份有限公司</x:t>
        </x:is>
      </x:c>
      <x:c r="E2493" s="4" t="inlineStr">
        <x:is>
          <x:t xml:space="preserve">广东省</x:t>
        </x:is>
      </x:c>
      <x:c r="F2493" s="4" t="inlineStr">
        <x:is>
          <x:t xml:space="preserve">深圳市</x:t>
        </x:is>
      </x:c>
      <x:c r="G2493" s="5" t="inlineStr">
        <x:is>
          <x:t xml:space="preserve">广东省-深圳市</x:t>
        </x:is>
      </x:c>
      <x:c r="H2493" s="4" t="inlineStr">
        <x:is>
          <x:t xml:space="preserve">风电设备</x:t>
        </x:is>
      </x:c>
      <x:c r="I2493" s="4" t="inlineStr">
        <x:is>
          <x:t xml:space="preserve">2017-07-28</x:t>
        </x:is>
      </x:c>
      <x:c r="J2493" s="5" t="inlineStr">
        <x:is>
          <x:t xml:space="preserve">广东省深圳市福田区沙头街道天安社区滨河路与香蜜湖路交汇处天安创新科技广场(二期)六层西座609室</x:t>
        </x:is>
      </x:c>
      <x:c r="K2493" s="12" t="str">
        <x:f>LEFT("91440300661011911B",18)</x:f>
        <x:v>91440300661011911B</x:v>
      </x:c>
    </x:row>
    <x:row r="2494">
      <x:c r="A2494" s="2" t="n">
        <x:v>2493</x:v>
      </x:c>
      <x:c r="B2494" s="2" t="inlineStr">
        <x:is>
          <x:t xml:space="preserve">603118</x:t>
        </x:is>
      </x:c>
      <x:c r="C2494" s="3" t="inlineStr">
        <x:is>
          <x:t xml:space="preserve">共进股份</x:t>
        </x:is>
      </x:c>
      <x:c r="D2494" s="3" t="inlineStr">
        <x:is>
          <x:t xml:space="preserve">深圳市共进电子股份有限公司</x:t>
        </x:is>
      </x:c>
      <x:c r="E2494" s="2" t="inlineStr">
        <x:is>
          <x:t xml:space="preserve">广东省</x:t>
        </x:is>
      </x:c>
      <x:c r="F2494" s="2" t="inlineStr">
        <x:is>
          <x:t xml:space="preserve">深圳市</x:t>
        </x:is>
      </x:c>
      <x:c r="G2494" s="3" t="inlineStr">
        <x:is>
          <x:t xml:space="preserve">广东省-深圳市</x:t>
        </x:is>
      </x:c>
      <x:c r="H2494" s="2" t="inlineStr">
        <x:is>
          <x:t xml:space="preserve">通信设备</x:t>
        </x:is>
      </x:c>
      <x:c r="I2494" s="2" t="inlineStr">
        <x:is>
          <x:t xml:space="preserve">2015-02-25</x:t>
        </x:is>
      </x:c>
      <x:c r="J2494" s="3" t="inlineStr">
        <x:is>
          <x:t xml:space="preserve">深圳市坪山区坑梓街道丹梓北路2号</x:t>
        </x:is>
      </x:c>
      <x:c r="K2494" s="12" t="str">
        <x:f>LEFT("91440300708463684L",18)</x:f>
        <x:v>91440300708463684L</x:v>
      </x:c>
    </x:row>
    <x:row r="2495">
      <x:c r="A2495" s="4" t="n">
        <x:v>2494</x:v>
      </x:c>
      <x:c r="B2495" s="4" t="inlineStr">
        <x:is>
          <x:t xml:space="preserve">603160</x:t>
        </x:is>
      </x:c>
      <x:c r="C2495" s="5" t="inlineStr">
        <x:is>
          <x:t xml:space="preserve">汇顶科技</x:t>
        </x:is>
      </x:c>
      <x:c r="D2495" s="5" t="inlineStr">
        <x:is>
          <x:t xml:space="preserve">深圳市汇顶科技股份有限公司</x:t>
        </x:is>
      </x:c>
      <x:c r="E2495" s="4" t="inlineStr">
        <x:is>
          <x:t xml:space="preserve">广东省</x:t>
        </x:is>
      </x:c>
      <x:c r="F2495" s="4" t="inlineStr">
        <x:is>
          <x:t xml:space="preserve">深圳市</x:t>
        </x:is>
      </x:c>
      <x:c r="G2495" s="5" t="inlineStr">
        <x:is>
          <x:t xml:space="preserve">广东省-深圳市</x:t>
        </x:is>
      </x:c>
      <x:c r="H2495" s="4" t="inlineStr">
        <x:is>
          <x:t xml:space="preserve">半导体</x:t>
        </x:is>
      </x:c>
      <x:c r="I2495" s="4" t="inlineStr">
        <x:is>
          <x:t xml:space="preserve">2016-10-17</x:t>
        </x:is>
      </x:c>
      <x:c r="J2495" s="5" t="inlineStr">
        <x:is>
          <x:t xml:space="preserve">深圳市福田保税区腾飞工业大厦B座13层</x:t>
        </x:is>
      </x:c>
      <x:c r="K2495" s="12" t="str">
        <x:f>LEFT("9144030073882572XH",18)</x:f>
        <x:v>9144030073882572XH</x:v>
      </x:c>
    </x:row>
    <x:row r="2496">
      <x:c r="A2496" s="2" t="n">
        <x:v>2495</x:v>
      </x:c>
      <x:c r="B2496" s="2" t="inlineStr">
        <x:is>
          <x:t xml:space="preserve">603193</x:t>
        </x:is>
      </x:c>
      <x:c r="C2496" s="3" t="inlineStr">
        <x:is>
          <x:t xml:space="preserve">润本股份</x:t>
        </x:is>
      </x:c>
      <x:c r="D2496" s="3" t="inlineStr">
        <x:is>
          <x:t xml:space="preserve">润本生物技术股份有限公司</x:t>
        </x:is>
      </x:c>
      <x:c r="E2496" s="2" t="inlineStr">
        <x:is>
          <x:t xml:space="preserve">广东省</x:t>
        </x:is>
      </x:c>
      <x:c r="F2496" s="2" t="inlineStr">
        <x:is>
          <x:t xml:space="preserve">广州市</x:t>
        </x:is>
      </x:c>
      <x:c r="G2496" s="3" t="inlineStr">
        <x:is>
          <x:t xml:space="preserve">广东省-广州市</x:t>
        </x:is>
      </x:c>
      <x:c r="H2496" s="2" t="inlineStr">
        <x:is>
          <x:t xml:space="preserve">美容护理</x:t>
        </x:is>
      </x:c>
      <x:c r="I2496" s="2" t="inlineStr">
        <x:is>
          <x:t xml:space="preserve">2023-10-17</x:t>
        </x:is>
      </x:c>
      <x:c r="J2496" s="3" t="inlineStr">
        <x:is>
          <x:t xml:space="preserve">广州经济技术开发区新庄五路3号</x:t>
        </x:is>
      </x:c>
      <x:c r="K2496" s="12" t="str">
        <x:f>LEFT("914401160877481258",18)</x:f>
        <x:v>914401160877481200</x:v>
      </x:c>
    </x:row>
    <x:row r="2497">
      <x:c r="A2497" s="4" t="n">
        <x:v>2496</x:v>
      </x:c>
      <x:c r="B2497" s="4" t="inlineStr">
        <x:is>
          <x:t xml:space="preserve">603228</x:t>
        </x:is>
      </x:c>
      <x:c r="C2497" s="5" t="inlineStr">
        <x:is>
          <x:t xml:space="preserve">景旺电子</x:t>
        </x:is>
      </x:c>
      <x:c r="D2497" s="5" t="inlineStr">
        <x:is>
          <x:t xml:space="preserve">深圳市景旺电子股份有限公司</x:t>
        </x:is>
      </x:c>
      <x:c r="E2497" s="4" t="inlineStr">
        <x:is>
          <x:t xml:space="preserve">广东省</x:t>
        </x:is>
      </x:c>
      <x:c r="F2497" s="4" t="inlineStr">
        <x:is>
          <x:t xml:space="preserve">深圳市</x:t>
        </x:is>
      </x:c>
      <x:c r="G2497" s="5" t="inlineStr">
        <x:is>
          <x:t xml:space="preserve">广东省-深圳市</x:t>
        </x:is>
      </x:c>
      <x:c r="H2497" s="4" t="inlineStr">
        <x:is>
          <x:t xml:space="preserve">电子元件</x:t>
        </x:is>
      </x:c>
      <x:c r="I2497" s="4" t="inlineStr">
        <x:is>
          <x:t xml:space="preserve">2017-01-06</x:t>
        </x:is>
      </x:c>
      <x:c r="J2497" s="5" t="inlineStr">
        <x:is>
          <x:t xml:space="preserve">深圳市宝安区西乡街道铁岗水库路166号</x:t>
        </x:is>
      </x:c>
      <x:c r="K2497" s="12" t="str">
        <x:f>LEFT("914403006188681436",18)</x:f>
        <x:v>914403006188681500</x:v>
      </x:c>
    </x:row>
    <x:row r="2498">
      <x:c r="A2498" s="2" t="n">
        <x:v>2497</x:v>
      </x:c>
      <x:c r="B2498" s="2" t="inlineStr">
        <x:is>
          <x:t xml:space="preserve">603233</x:t>
        </x:is>
      </x:c>
      <x:c r="C2498" s="3" t="inlineStr">
        <x:is>
          <x:t xml:space="preserve">大参林</x:t>
        </x:is>
      </x:c>
      <x:c r="D2498" s="3" t="inlineStr">
        <x:is>
          <x:t xml:space="preserve">大参林医药集团股份有限公司</x:t>
        </x:is>
      </x:c>
      <x:c r="E2498" s="2" t="inlineStr">
        <x:is>
          <x:t xml:space="preserve">广东省</x:t>
        </x:is>
      </x:c>
      <x:c r="F2498" s="2" t="inlineStr">
        <x:is>
          <x:t xml:space="preserve">广州市</x:t>
        </x:is>
      </x:c>
      <x:c r="G2498" s="3" t="inlineStr">
        <x:is>
          <x:t xml:space="preserve">广东省-广州市</x:t>
        </x:is>
      </x:c>
      <x:c r="H2498" s="2" t="inlineStr">
        <x:is>
          <x:t xml:space="preserve">医药商业</x:t>
        </x:is>
      </x:c>
      <x:c r="I2498" s="2" t="inlineStr">
        <x:is>
          <x:t xml:space="preserve">2017-07-31</x:t>
        </x:is>
      </x:c>
      <x:c r="J2498" s="3" t="inlineStr">
        <x:is>
          <x:t xml:space="preserve">广东省广州市荔湾区龙溪大道410号、410-1号</x:t>
        </x:is>
      </x:c>
      <x:c r="K2498" s="12" t="str">
        <x:f>LEFT("914400007265265110",18)</x:f>
        <x:v>914400007265265200</x:v>
      </x:c>
    </x:row>
    <x:row r="2499">
      <x:c r="A2499" s="4" t="n">
        <x:v>2498</x:v>
      </x:c>
      <x:c r="B2499" s="4" t="inlineStr">
        <x:is>
          <x:t xml:space="preserve">603268</x:t>
        </x:is>
      </x:c>
      <x:c r="C2499" s="5" t="inlineStr">
        <x:is>
          <x:t xml:space="preserve">*ST松发</x:t>
        </x:is>
      </x:c>
      <x:c r="D2499" s="5" t="inlineStr">
        <x:is>
          <x:t xml:space="preserve">广东松发陶瓷股份有限公司</x:t>
        </x:is>
      </x:c>
      <x:c r="E2499" s="4" t="inlineStr">
        <x:is>
          <x:t xml:space="preserve">广东省</x:t>
        </x:is>
      </x:c>
      <x:c r="F2499" s="4" t="inlineStr">
        <x:is>
          <x:t xml:space="preserve">潮州市</x:t>
        </x:is>
      </x:c>
      <x:c r="G2499" s="5" t="inlineStr">
        <x:is>
          <x:t xml:space="preserve">广东省-潮州市</x:t>
        </x:is>
      </x:c>
      <x:c r="H2499" s="4" t="inlineStr">
        <x:is>
          <x:t xml:space="preserve">船舶制造</x:t>
        </x:is>
      </x:c>
      <x:c r="I2499" s="4" t="inlineStr">
        <x:is>
          <x:t xml:space="preserve">2015-03-19</x:t>
        </x:is>
      </x:c>
      <x:c r="J2499" s="5" t="inlineStr">
        <x:is>
          <x:t xml:space="preserve">潮州市潮安区枫溪财富中心B区2008室</x:t>
        </x:is>
      </x:c>
      <x:c r="K2499" s="12" t="str">
        <x:f>LEFT("914451007408274093",18)</x:f>
        <x:v>914451007408274000</x:v>
      </x:c>
    </x:row>
    <x:row r="2500">
      <x:c r="A2500" s="2" t="n">
        <x:v>2499</x:v>
      </x:c>
      <x:c r="B2500" s="2" t="inlineStr">
        <x:is>
          <x:t xml:space="preserve">603288</x:t>
        </x:is>
      </x:c>
      <x:c r="C2500" s="3" t="inlineStr">
        <x:is>
          <x:t xml:space="preserve">海天味业</x:t>
        </x:is>
      </x:c>
      <x:c r="D2500" s="3" t="inlineStr">
        <x:is>
          <x:t xml:space="preserve">佛山市海天调味食品股份有限公司</x:t>
        </x:is>
      </x:c>
      <x:c r="E2500" s="2" t="inlineStr">
        <x:is>
          <x:t xml:space="preserve">广东省</x:t>
        </x:is>
      </x:c>
      <x:c r="F2500" s="2" t="inlineStr">
        <x:is>
          <x:t xml:space="preserve">佛山市</x:t>
        </x:is>
      </x:c>
      <x:c r="G2500" s="3" t="inlineStr">
        <x:is>
          <x:t xml:space="preserve">广东省-佛山市</x:t>
        </x:is>
      </x:c>
      <x:c r="H2500" s="2" t="inlineStr">
        <x:is>
          <x:t xml:space="preserve">食品饮料</x:t>
        </x:is>
      </x:c>
      <x:c r="I2500" s="2" t="inlineStr">
        <x:is>
          <x:t xml:space="preserve">2014-02-11</x:t>
        </x:is>
      </x:c>
      <x:c r="J2500" s="3" t="inlineStr">
        <x:is>
          <x:t xml:space="preserve">广东省佛山市文沙路16号</x:t>
        </x:is>
      </x:c>
      <x:c r="K2500" s="12" t="str">
        <x:f>LEFT("91440600722448755D",18)</x:f>
        <x:v>91440600722448755D</x:v>
      </x:c>
    </x:row>
    <x:row r="2501">
      <x:c r="A2501" s="4" t="n">
        <x:v>2500</x:v>
      </x:c>
      <x:c r="B2501" s="4" t="inlineStr">
        <x:is>
          <x:t xml:space="preserve">603309</x:t>
        </x:is>
      </x:c>
      <x:c r="C2501" s="5" t="inlineStr">
        <x:is>
          <x:t xml:space="preserve">维力医疗</x:t>
        </x:is>
      </x:c>
      <x:c r="D2501" s="5" t="inlineStr">
        <x:is>
          <x:t xml:space="preserve">广州维力医疗器械股份有限公司</x:t>
        </x:is>
      </x:c>
      <x:c r="E2501" s="4" t="inlineStr">
        <x:is>
          <x:t xml:space="preserve">广东省</x:t>
        </x:is>
      </x:c>
      <x:c r="F2501" s="4" t="inlineStr">
        <x:is>
          <x:t xml:space="preserve">广州市</x:t>
        </x:is>
      </x:c>
      <x:c r="G2501" s="5" t="inlineStr">
        <x:is>
          <x:t xml:space="preserve">广东省-广州市</x:t>
        </x:is>
      </x:c>
      <x:c r="H2501" s="4" t="inlineStr">
        <x:is>
          <x:t xml:space="preserve">医疗器械</x:t>
        </x:is>
      </x:c>
      <x:c r="I2501" s="4" t="inlineStr">
        <x:is>
          <x:t xml:space="preserve">2015-03-02</x:t>
        </x:is>
      </x:c>
      <x:c r="J2501" s="5" t="inlineStr">
        <x:is>
          <x:t xml:space="preserve">广州市番禺区化龙镇金湖工业城C区4号</x:t>
        </x:is>
      </x:c>
      <x:c r="K2501" s="12" t="str">
        <x:f>LEFT("91440101759431420M",18)</x:f>
        <x:v>91440101759431420M</x:v>
      </x:c>
    </x:row>
    <x:row r="2502">
      <x:c r="A2502" s="2" t="n">
        <x:v>2501</x:v>
      </x:c>
      <x:c r="B2502" s="2" t="inlineStr">
        <x:is>
          <x:t xml:space="preserve">603322</x:t>
        </x:is>
      </x:c>
      <x:c r="C2502" s="3" t="inlineStr">
        <x:is>
          <x:t xml:space="preserve">超讯通信</x:t>
        </x:is>
      </x:c>
      <x:c r="D2502" s="3" t="inlineStr">
        <x:is>
          <x:t xml:space="preserve">超讯通信股份有限公司</x:t>
        </x:is>
      </x:c>
      <x:c r="E2502" s="2" t="inlineStr">
        <x:is>
          <x:t xml:space="preserve">广东省</x:t>
        </x:is>
      </x:c>
      <x:c r="F2502" s="2" t="inlineStr">
        <x:is>
          <x:t xml:space="preserve">广州市</x:t>
        </x:is>
      </x:c>
      <x:c r="G2502" s="3" t="inlineStr">
        <x:is>
          <x:t xml:space="preserve">广东省-广州市</x:t>
        </x:is>
      </x:c>
      <x:c r="H2502" s="2" t="inlineStr">
        <x:is>
          <x:t xml:space="preserve">通信服务</x:t>
        </x:is>
      </x:c>
      <x:c r="I2502" s="2" t="inlineStr">
        <x:is>
          <x:t xml:space="preserve">2016-07-28</x:t>
        </x:is>
      </x:c>
      <x:c r="J2502" s="3" t="inlineStr">
        <x:is>
          <x:t xml:space="preserve">广州市天河区高普路1025号4楼401室</x:t>
        </x:is>
      </x:c>
      <x:c r="K2502" s="12" t="str">
        <x:f>LEFT("91440101708385815B",18)</x:f>
        <x:v>91440101708385815B</x:v>
      </x:c>
    </x:row>
    <x:row r="2503">
      <x:c r="A2503" s="4" t="n">
        <x:v>2502</x:v>
      </x:c>
      <x:c r="B2503" s="4" t="inlineStr">
        <x:is>
          <x:t xml:space="preserve">603328</x:t>
        </x:is>
      </x:c>
      <x:c r="C2503" s="5" t="inlineStr">
        <x:is>
          <x:t xml:space="preserve">依顿电子</x:t>
        </x:is>
      </x:c>
      <x:c r="D2503" s="5" t="inlineStr">
        <x:is>
          <x:t xml:space="preserve">广东依顿电子科技股份有限公司</x:t>
        </x:is>
      </x:c>
      <x:c r="E2503" s="4" t="inlineStr">
        <x:is>
          <x:t xml:space="preserve">广东省</x:t>
        </x:is>
      </x:c>
      <x:c r="F2503" s="4" t="inlineStr">
        <x:is>
          <x:t xml:space="preserve">中山市</x:t>
        </x:is>
      </x:c>
      <x:c r="G2503" s="5" t="inlineStr">
        <x:is>
          <x:t xml:space="preserve">广东省-中山市</x:t>
        </x:is>
      </x:c>
      <x:c r="H2503" s="4" t="inlineStr">
        <x:is>
          <x:t xml:space="preserve">电子元件</x:t>
        </x:is>
      </x:c>
      <x:c r="I2503" s="4" t="inlineStr">
        <x:is>
          <x:t xml:space="preserve">2014-07-01</x:t>
        </x:is>
      </x:c>
      <x:c r="J2503" s="5" t="inlineStr">
        <x:is>
          <x:t xml:space="preserve">广东省中山市三角镇高平化工区88号</x:t>
        </x:is>
      </x:c>
      <x:c r="K2503" s="12" t="str">
        <x:f>LEFT("91440000721185260Y",18)</x:f>
        <x:v>91440000721185260Y</x:v>
      </x:c>
    </x:row>
    <x:row r="2504">
      <x:c r="A2504" s="2" t="n">
        <x:v>2503</x:v>
      </x:c>
      <x:c r="B2504" s="2" t="inlineStr">
        <x:is>
          <x:t xml:space="preserve">603335</x:t>
        </x:is>
      </x:c>
      <x:c r="C2504" s="3" t="inlineStr">
        <x:is>
          <x:t xml:space="preserve">迪生力</x:t>
        </x:is>
      </x:c>
      <x:c r="D2504" s="3" t="inlineStr">
        <x:is>
          <x:t xml:space="preserve">广东迪生力汽配股份有限公司</x:t>
        </x:is>
      </x:c>
      <x:c r="E2504" s="2" t="inlineStr">
        <x:is>
          <x:t xml:space="preserve">广东省</x:t>
        </x:is>
      </x:c>
      <x:c r="F2504" s="2" t="inlineStr">
        <x:is>
          <x:t xml:space="preserve">台山市</x:t>
        </x:is>
      </x:c>
      <x:c r="G2504" s="3" t="inlineStr">
        <x:is>
          <x:t xml:space="preserve">广东省-台山市</x:t>
        </x:is>
      </x:c>
      <x:c r="H2504" s="2" t="inlineStr">
        <x:is>
          <x:t xml:space="preserve">汽车行业</x:t>
        </x:is>
      </x:c>
      <x:c r="I2504" s="2" t="inlineStr">
        <x:is>
          <x:t xml:space="preserve">2017-06-20</x:t>
        </x:is>
      </x:c>
      <x:c r="J2504" s="3" t="inlineStr">
        <x:is>
          <x:t xml:space="preserve">台山市大江镇福安西路2号之四1栋行政楼</x:t>
        </x:is>
      </x:c>
      <x:c r="K2504" s="12" t="str">
        <x:f>LEFT("914407007330904536",18)</x:f>
        <x:v>914407007330904600</x:v>
      </x:c>
    </x:row>
    <x:row r="2505">
      <x:c r="A2505" s="4" t="n">
        <x:v>2504</x:v>
      </x:c>
      <x:c r="B2505" s="4" t="inlineStr">
        <x:is>
          <x:t xml:space="preserve">603336</x:t>
        </x:is>
      </x:c>
      <x:c r="C2505" s="5" t="inlineStr">
        <x:is>
          <x:t xml:space="preserve">宏辉果蔬</x:t>
        </x:is>
      </x:c>
      <x:c r="D2505" s="5" t="inlineStr">
        <x:is>
          <x:t xml:space="preserve">宏辉果蔬股份有限公司</x:t>
        </x:is>
      </x:c>
      <x:c r="E2505" s="4" t="inlineStr">
        <x:is>
          <x:t xml:space="preserve">广东省</x:t>
        </x:is>
      </x:c>
      <x:c r="F2505" s="4" t="inlineStr">
        <x:is>
          <x:t xml:space="preserve">汕头市</x:t>
        </x:is>
      </x:c>
      <x:c r="G2505" s="5" t="inlineStr">
        <x:is>
          <x:t xml:space="preserve">广东省-汕头市</x:t>
        </x:is>
      </x:c>
      <x:c r="H2505" s="4" t="inlineStr">
        <x:is>
          <x:t xml:space="preserve">农牧饲渔</x:t>
        </x:is>
      </x:c>
      <x:c r="I2505" s="4" t="inlineStr">
        <x:is>
          <x:t xml:space="preserve">2016-11-24</x:t>
        </x:is>
      </x:c>
      <x:c r="J2505" s="5" t="inlineStr">
        <x:is>
          <x:t xml:space="preserve">汕头市龙湖区玉津中路13号</x:t>
        </x:is>
      </x:c>
      <x:c r="K2505" s="12" t="str">
        <x:f>LEFT("91440500617529481R",18)</x:f>
        <x:v>91440500617529481R</x:v>
      </x:c>
    </x:row>
    <x:row r="2506">
      <x:c r="A2506" s="2" t="n">
        <x:v>2505</x:v>
      </x:c>
      <x:c r="B2506" s="2" t="inlineStr">
        <x:is>
          <x:t xml:space="preserve">603348</x:t>
        </x:is>
      </x:c>
      <x:c r="C2506" s="3" t="inlineStr">
        <x:is>
          <x:t xml:space="preserve">文灿股份</x:t>
        </x:is>
      </x:c>
      <x:c r="D2506" s="3" t="inlineStr">
        <x:is>
          <x:t xml:space="preserve">文灿集团股份有限公司</x:t>
        </x:is>
      </x:c>
      <x:c r="E2506" s="2" t="inlineStr">
        <x:is>
          <x:t xml:space="preserve">广东省</x:t>
        </x:is>
      </x:c>
      <x:c r="F2506" s="2" t="inlineStr">
        <x:is>
          <x:t xml:space="preserve">佛山市</x:t>
        </x:is>
      </x:c>
      <x:c r="G2506" s="3" t="inlineStr">
        <x:is>
          <x:t xml:space="preserve">广东省-佛山市</x:t>
        </x:is>
      </x:c>
      <x:c r="H2506" s="2" t="inlineStr">
        <x:is>
          <x:t xml:space="preserve">汽车行业</x:t>
        </x:is>
      </x:c>
      <x:c r="I2506" s="2" t="inlineStr">
        <x:is>
          <x:t xml:space="preserve">2018-04-26</x:t>
        </x:is>
      </x:c>
      <x:c r="J2506" s="3" t="inlineStr">
        <x:is>
          <x:t xml:space="preserve">佛山市南海区里水镇和顺大道125号</x:t>
        </x:is>
      </x:c>
      <x:c r="K2506" s="12" t="str">
        <x:f>LEFT("91440600193813525E",18)</x:f>
        <x:v>91440600193813525E</x:v>
      </x:c>
    </x:row>
    <x:row r="2507">
      <x:c r="A2507" s="4" t="n">
        <x:v>2506</x:v>
      </x:c>
      <x:c r="B2507" s="4" t="inlineStr">
        <x:is>
          <x:t xml:space="preserve">603386</x:t>
        </x:is>
      </x:c>
      <x:c r="C2507" s="5" t="inlineStr">
        <x:is>
          <x:t xml:space="preserve">骏亚科技</x:t>
        </x:is>
      </x:c>
      <x:c r="D2507" s="5" t="inlineStr">
        <x:is>
          <x:t xml:space="preserve">广东骏亚电子科技股份有限公司</x:t>
        </x:is>
      </x:c>
      <x:c r="E2507" s="4" t="inlineStr">
        <x:is>
          <x:t xml:space="preserve">广东省</x:t>
        </x:is>
      </x:c>
      <x:c r="F2507" s="4" t="inlineStr">
        <x:is>
          <x:t xml:space="preserve">惠州市</x:t>
        </x:is>
      </x:c>
      <x:c r="G2507" s="5" t="inlineStr">
        <x:is>
          <x:t xml:space="preserve">广东省-惠州市</x:t>
        </x:is>
      </x:c>
      <x:c r="H2507" s="4" t="inlineStr">
        <x:is>
          <x:t xml:space="preserve">电子元件</x:t>
        </x:is>
      </x:c>
      <x:c r="I2507" s="4" t="inlineStr">
        <x:is>
          <x:t xml:space="preserve">2017-09-12</x:t>
        </x:is>
      </x:c>
      <x:c r="J2507" s="5" t="inlineStr">
        <x:is>
          <x:t xml:space="preserve">广东省惠州市惠城区(三栋)数码工业园25号区</x:t>
        </x:is>
      </x:c>
      <x:c r="K2507" s="12" t="str">
        <x:f>LEFT("914413007820108867",18)</x:f>
        <x:v>914413007820108900</x:v>
      </x:c>
    </x:row>
    <x:row r="2508">
      <x:c r="A2508" s="2" t="n">
        <x:v>2507</x:v>
      </x:c>
      <x:c r="B2508" s="2" t="inlineStr">
        <x:is>
          <x:t xml:space="preserve">603390</x:t>
        </x:is>
      </x:c>
      <x:c r="C2508" s="3" t="inlineStr">
        <x:is>
          <x:t xml:space="preserve">通达电气</x:t>
        </x:is>
      </x:c>
      <x:c r="D2508" s="3" t="inlineStr">
        <x:is>
          <x:t xml:space="preserve">广州通达汽车电气股份有限公司</x:t>
        </x:is>
      </x:c>
      <x:c r="E2508" s="2" t="inlineStr">
        <x:is>
          <x:t xml:space="preserve">广东省</x:t>
        </x:is>
      </x:c>
      <x:c r="F2508" s="2" t="inlineStr">
        <x:is>
          <x:t xml:space="preserve">广州市</x:t>
        </x:is>
      </x:c>
      <x:c r="G2508" s="3" t="inlineStr">
        <x:is>
          <x:t xml:space="preserve">广东省-广州市</x:t>
        </x:is>
      </x:c>
      <x:c r="H2508" s="2" t="inlineStr">
        <x:is>
          <x:t xml:space="preserve">汽车零部件</x:t>
        </x:is>
      </x:c>
      <x:c r="I2508" s="2" t="inlineStr">
        <x:is>
          <x:t xml:space="preserve">2019-11-25</x:t>
        </x:is>
      </x:c>
      <x:c r="J2508" s="3" t="inlineStr">
        <x:is>
          <x:t xml:space="preserve">广州市白云区云正大道1112号</x:t>
        </x:is>
      </x:c>
      <x:c r="K2508" s="12" t="str">
        <x:f>LEFT("9144010127852727XL",18)</x:f>
        <x:v>9144010127852727XL</x:v>
      </x:c>
    </x:row>
    <x:row r="2509">
      <x:c r="A2509" s="4" t="n">
        <x:v>2508</x:v>
      </x:c>
      <x:c r="B2509" s="4" t="inlineStr">
        <x:is>
          <x:t xml:space="preserve">603535</x:t>
        </x:is>
      </x:c>
      <x:c r="C2509" s="5" t="inlineStr">
        <x:is>
          <x:t xml:space="preserve">嘉诚国际</x:t>
        </x:is>
      </x:c>
      <x:c r="D2509" s="5" t="inlineStr">
        <x:is>
          <x:t xml:space="preserve">广州市嘉诚国际物流股份有限公司</x:t>
        </x:is>
      </x:c>
      <x:c r="E2509" s="4" t="inlineStr">
        <x:is>
          <x:t xml:space="preserve">广东省</x:t>
        </x:is>
      </x:c>
      <x:c r="F2509" s="4" t="inlineStr">
        <x:is>
          <x:t xml:space="preserve">广州市</x:t>
        </x:is>
      </x:c>
      <x:c r="G2509" s="5" t="inlineStr">
        <x:is>
          <x:t xml:space="preserve">广东省-广州市</x:t>
        </x:is>
      </x:c>
      <x:c r="H2509" s="4" t="inlineStr">
        <x:is>
          <x:t xml:space="preserve">交运物流</x:t>
        </x:is>
      </x:c>
      <x:c r="I2509" s="4" t="inlineStr">
        <x:is>
          <x:t xml:space="preserve">2017-08-08</x:t>
        </x:is>
      </x:c>
      <x:c r="J2509" s="5" t="inlineStr">
        <x:is>
          <x:t xml:space="preserve">广州市番禺区南村镇万博二路79号2202室</x:t>
        </x:is>
      </x:c>
      <x:c r="K2509" s="12" t="str">
        <x:f>LEFT("91440101725023584B",18)</x:f>
        <x:v>91440101725023584B</x:v>
      </x:c>
    </x:row>
    <x:row r="2510">
      <x:c r="A2510" s="2" t="n">
        <x:v>2509</x:v>
      </x:c>
      <x:c r="B2510" s="2" t="inlineStr">
        <x:is>
          <x:t xml:space="preserve">603608</x:t>
        </x:is>
      </x:c>
      <x:c r="C2510" s="3" t="inlineStr">
        <x:is>
          <x:t xml:space="preserve">*ST天创</x:t>
        </x:is>
      </x:c>
      <x:c r="D2510" s="3" t="inlineStr">
        <x:is>
          <x:t xml:space="preserve">天创时尚股份有限公司</x:t>
        </x:is>
      </x:c>
      <x:c r="E2510" s="2" t="inlineStr">
        <x:is>
          <x:t xml:space="preserve">广东省</x:t>
        </x:is>
      </x:c>
      <x:c r="F2510" s="2" t="inlineStr">
        <x:is>
          <x:t xml:space="preserve">广州市</x:t>
        </x:is>
      </x:c>
      <x:c r="G2510" s="3" t="inlineStr">
        <x:is>
          <x:t xml:space="preserve">广东省-广州市</x:t>
        </x:is>
      </x:c>
      <x:c r="H2510" s="2" t="inlineStr">
        <x:is>
          <x:t xml:space="preserve">纺织服装</x:t>
        </x:is>
      </x:c>
      <x:c r="I2510" s="2" t="inlineStr">
        <x:is>
          <x:t xml:space="preserve">2016-02-18</x:t>
        </x:is>
      </x:c>
      <x:c r="J2510" s="3" t="inlineStr">
        <x:is>
          <x:t xml:space="preserve">广东省广州市南沙区东涌镇银沙大街31号</x:t>
        </x:is>
      </x:c>
      <x:c r="K2510" s="12" t="str">
        <x:f>LEFT("914401017594326773",18)</x:f>
        <x:v>914401017594326800</x:v>
      </x:c>
    </x:row>
    <x:row r="2511">
      <x:c r="A2511" s="4" t="n">
        <x:v>2510</x:v>
      </x:c>
      <x:c r="B2511" s="4" t="inlineStr">
        <x:is>
          <x:t xml:space="preserve">603630</x:t>
        </x:is>
      </x:c>
      <x:c r="C2511" s="5" t="inlineStr">
        <x:is>
          <x:t xml:space="preserve">拉芳家化</x:t>
        </x:is>
      </x:c>
      <x:c r="D2511" s="5" t="inlineStr">
        <x:is>
          <x:t xml:space="preserve">拉芳家化股份有限公司</x:t>
        </x:is>
      </x:c>
      <x:c r="E2511" s="4" t="inlineStr">
        <x:is>
          <x:t xml:space="preserve">广东省</x:t>
        </x:is>
      </x:c>
      <x:c r="F2511" s="4" t="inlineStr">
        <x:is>
          <x:t xml:space="preserve">汕头市</x:t>
        </x:is>
      </x:c>
      <x:c r="G2511" s="5" t="inlineStr">
        <x:is>
          <x:t xml:space="preserve">广东省-汕头市</x:t>
        </x:is>
      </x:c>
      <x:c r="H2511" s="4" t="inlineStr">
        <x:is>
          <x:t xml:space="preserve">美容护理</x:t>
        </x:is>
      </x:c>
      <x:c r="I2511" s="4" t="inlineStr">
        <x:is>
          <x:t xml:space="preserve">2017-03-13</x:t>
        </x:is>
      </x:c>
      <x:c r="J2511" s="5" t="inlineStr">
        <x:is>
          <x:t xml:space="preserve">广东省汕头市潮南区国道324线新庆路段拉芳工业城</x:t>
        </x:is>
      </x:c>
      <x:c r="K2511" s="12" t="str">
        <x:f>LEFT("91440500734127713X",18)</x:f>
        <x:v>91440500734127713X</x:v>
      </x:c>
    </x:row>
    <x:row r="2512">
      <x:c r="A2512" s="2" t="n">
        <x:v>2511</x:v>
      </x:c>
      <x:c r="B2512" s="2" t="inlineStr">
        <x:is>
          <x:t xml:space="preserve">603725</x:t>
        </x:is>
      </x:c>
      <x:c r="C2512" s="3" t="inlineStr">
        <x:is>
          <x:t xml:space="preserve">天安新材</x:t>
        </x:is>
      </x:c>
      <x:c r="D2512" s="3" t="inlineStr">
        <x:is>
          <x:t xml:space="preserve">广东天安新材料股份有限公司</x:t>
        </x:is>
      </x:c>
      <x:c r="E2512" s="2" t="inlineStr">
        <x:is>
          <x:t xml:space="preserve">广东省</x:t>
        </x:is>
      </x:c>
      <x:c r="F2512" s="2" t="inlineStr">
        <x:is>
          <x:t xml:space="preserve">佛山市</x:t>
        </x:is>
      </x:c>
      <x:c r="G2512" s="3" t="inlineStr">
        <x:is>
          <x:t xml:space="preserve">广东省-佛山市</x:t>
        </x:is>
      </x:c>
      <x:c r="H2512" s="2" t="inlineStr">
        <x:is>
          <x:t xml:space="preserve">化学制品</x:t>
        </x:is>
      </x:c>
      <x:c r="I2512" s="2" t="inlineStr">
        <x:is>
          <x:t xml:space="preserve">2017-09-06</x:t>
        </x:is>
      </x:c>
      <x:c r="J2512" s="3" t="inlineStr">
        <x:is>
          <x:t xml:space="preserve">佛山市禅城区石湾小雾岗公园园林陶瓷厂内11号(自编4号楼203室)</x:t>
        </x:is>
      </x:c>
      <x:c r="K2512" s="12" t="str">
        <x:f>LEFT("914406007224411582",18)</x:f>
        <x:v>914406007224411500</x:v>
      </x:c>
    </x:row>
    <x:row r="2513">
      <x:c r="A2513" s="4" t="n">
        <x:v>2512</x:v>
      </x:c>
      <x:c r="B2513" s="4" t="inlineStr">
        <x:is>
          <x:t xml:space="preserve">603797</x:t>
        </x:is>
      </x:c>
      <x:c r="C2513" s="5" t="inlineStr">
        <x:is>
          <x:t xml:space="preserve">联泰环保</x:t>
        </x:is>
      </x:c>
      <x:c r="D2513" s="5" t="inlineStr">
        <x:is>
          <x:t xml:space="preserve">广东联泰环保股份有限公司</x:t>
        </x:is>
      </x:c>
      <x:c r="E2513" s="4" t="inlineStr">
        <x:is>
          <x:t xml:space="preserve">广东省</x:t>
        </x:is>
      </x:c>
      <x:c r="F2513" s="4" t="inlineStr">
        <x:is>
          <x:t xml:space="preserve">汕头市</x:t>
        </x:is>
      </x:c>
      <x:c r="G2513" s="5" t="inlineStr">
        <x:is>
          <x:t xml:space="preserve">广东省-汕头市</x:t>
        </x:is>
      </x:c>
      <x:c r="H2513" s="4" t="inlineStr">
        <x:is>
          <x:t xml:space="preserve">环保工程</x:t>
        </x:is>
      </x:c>
      <x:c r="I2513" s="4" t="inlineStr">
        <x:is>
          <x:t xml:space="preserve">2017-04-13</x:t>
        </x:is>
      </x:c>
      <x:c r="J2513" s="5" t="inlineStr">
        <x:is>
          <x:t xml:space="preserve">广东省汕头市中山东路黄厝围龙珠水质净化厂</x:t>
        </x:is>
      </x:c>
      <x:c r="K2513" s="12" t="str">
        <x:f>LEFT("91440500787917532B",18)</x:f>
        <x:v>91440500787917532B</x:v>
      </x:c>
    </x:row>
    <x:row r="2514">
      <x:c r="A2514" s="2" t="n">
        <x:v>2513</x:v>
      </x:c>
      <x:c r="B2514" s="2" t="inlineStr">
        <x:is>
          <x:t xml:space="preserve">603808</x:t>
        </x:is>
      </x:c>
      <x:c r="C2514" s="3" t="inlineStr">
        <x:is>
          <x:t xml:space="preserve">歌力思</x:t>
        </x:is>
      </x:c>
      <x:c r="D2514" s="3" t="inlineStr">
        <x:is>
          <x:t xml:space="preserve">深圳歌力思服饰股份有限公司</x:t>
        </x:is>
      </x:c>
      <x:c r="E2514" s="2" t="inlineStr">
        <x:is>
          <x:t xml:space="preserve">广东省</x:t>
        </x:is>
      </x:c>
      <x:c r="F2514" s="2" t="inlineStr">
        <x:is>
          <x:t xml:space="preserve">深圳市</x:t>
        </x:is>
      </x:c>
      <x:c r="G2514" s="3" t="inlineStr">
        <x:is>
          <x:t xml:space="preserve">广东省-深圳市</x:t>
        </x:is>
      </x:c>
      <x:c r="H2514" s="2" t="inlineStr">
        <x:is>
          <x:t xml:space="preserve">纺织服装</x:t>
        </x:is>
      </x:c>
      <x:c r="I2514" s="2" t="inlineStr">
        <x:is>
          <x:t xml:space="preserve">2015-04-22</x:t>
        </x:is>
      </x:c>
      <x:c r="J2514" s="3" t="inlineStr">
        <x:is>
          <x:t xml:space="preserve">深圳市福田区沙头街道天安社区泰然四路85号泰然立城B座1201</x:t>
        </x:is>
      </x:c>
      <x:c r="K2514" s="12" t="str">
        <x:f>LEFT("91440300708497366U",18)</x:f>
        <x:v>91440300708497366U</x:v>
      </x:c>
    </x:row>
    <x:row r="2515">
      <x:c r="A2515" s="4" t="n">
        <x:v>2514</x:v>
      </x:c>
      <x:c r="B2515" s="4" t="inlineStr">
        <x:is>
          <x:t xml:space="preserve">603813</x:t>
        </x:is>
      </x:c>
      <x:c r="C2515" s="5" t="inlineStr">
        <x:is>
          <x:t xml:space="preserve">原尚股份</x:t>
        </x:is>
      </x:c>
      <x:c r="D2515" s="5" t="inlineStr">
        <x:is>
          <x:t xml:space="preserve">广东原尚物流股份有限公司</x:t>
        </x:is>
      </x:c>
      <x:c r="E2515" s="4" t="inlineStr">
        <x:is>
          <x:t xml:space="preserve">广东省</x:t>
        </x:is>
      </x:c>
      <x:c r="F2515" s="4" t="inlineStr">
        <x:is>
          <x:t xml:space="preserve">广州市</x:t>
        </x:is>
      </x:c>
      <x:c r="G2515" s="5" t="inlineStr">
        <x:is>
          <x:t xml:space="preserve">广东省-广州市</x:t>
        </x:is>
      </x:c>
      <x:c r="H2515" s="4" t="inlineStr">
        <x:is>
          <x:t xml:space="preserve">交运物流</x:t>
        </x:is>
      </x:c>
      <x:c r="I2515" s="4" t="inlineStr">
        <x:is>
          <x:t xml:space="preserve">2017-09-18</x:t>
        </x:is>
      </x:c>
      <x:c r="J2515" s="5" t="inlineStr">
        <x:is>
          <x:t xml:space="preserve">广州经济技术开发区东区东众路25号</x:t>
        </x:is>
      </x:c>
      <x:c r="K2515" s="12" t="str">
        <x:f>LEFT("91440101717857431A",18)</x:f>
        <x:v>91440101717857431A</x:v>
      </x:c>
    </x:row>
    <x:row r="2516">
      <x:c r="A2516" s="2" t="n">
        <x:v>2515</x:v>
      </x:c>
      <x:c r="B2516" s="2" t="inlineStr">
        <x:is>
          <x:t xml:space="preserve">603833</x:t>
        </x:is>
      </x:c>
      <x:c r="C2516" s="3" t="inlineStr">
        <x:is>
          <x:t xml:space="preserve">欧派家居</x:t>
        </x:is>
      </x:c>
      <x:c r="D2516" s="3" t="inlineStr">
        <x:is>
          <x:t xml:space="preserve">欧派家居集团股份有限公司</x:t>
        </x:is>
      </x:c>
      <x:c r="E2516" s="2" t="inlineStr">
        <x:is>
          <x:t xml:space="preserve">广东省</x:t>
        </x:is>
      </x:c>
      <x:c r="F2516" s="2" t="inlineStr">
        <x:is>
          <x:t xml:space="preserve">广州市</x:t>
        </x:is>
      </x:c>
      <x:c r="G2516" s="3" t="inlineStr">
        <x:is>
          <x:t xml:space="preserve">广东省-广州市</x:t>
        </x:is>
      </x:c>
      <x:c r="H2516" s="2" t="inlineStr">
        <x:is>
          <x:t xml:space="preserve">木业家具</x:t>
        </x:is>
      </x:c>
      <x:c r="I2516" s="2" t="inlineStr">
        <x:is>
          <x:t xml:space="preserve">2017-03-28</x:t>
        </x:is>
      </x:c>
      <x:c r="J2516" s="3" t="inlineStr">
        <x:is>
          <x:t xml:space="preserve">广州市白云区广花三路366号</x:t>
        </x:is>
      </x:c>
      <x:c r="K2516" s="12" t="str">
        <x:f>LEFT("91440101617404697C",18)</x:f>
        <x:v>91440101617404697C</x:v>
      </x:c>
    </x:row>
    <x:row r="2517">
      <x:c r="A2517" s="4" t="n">
        <x:v>2516</x:v>
      </x:c>
      <x:c r="B2517" s="4" t="inlineStr">
        <x:is>
          <x:t xml:space="preserve">603838</x:t>
        </x:is>
      </x:c>
      <x:c r="C2517" s="5" t="inlineStr">
        <x:is>
          <x:t xml:space="preserve">四通股份</x:t>
        </x:is>
      </x:c>
      <x:c r="D2517" s="5" t="inlineStr">
        <x:is>
          <x:t xml:space="preserve">广东四通集团股份有限公司</x:t>
        </x:is>
      </x:c>
      <x:c r="E2517" s="4" t="inlineStr">
        <x:is>
          <x:t xml:space="preserve">广东省</x:t>
        </x:is>
      </x:c>
      <x:c r="F2517" s="4" t="inlineStr">
        <x:is>
          <x:t xml:space="preserve">潮州市</x:t>
        </x:is>
      </x:c>
      <x:c r="G2517" s="5" t="inlineStr">
        <x:is>
          <x:t xml:space="preserve">广东省-潮州市</x:t>
        </x:is>
      </x:c>
      <x:c r="H2517" s="4" t="inlineStr">
        <x:is>
          <x:t xml:space="preserve">装修建材</x:t>
        </x:is>
      </x:c>
      <x:c r="I2517" s="4" t="inlineStr">
        <x:is>
          <x:t xml:space="preserve">2015-07-01</x:t>
        </x:is>
      </x:c>
      <x:c r="J2517" s="5" t="inlineStr">
        <x:is>
          <x:t xml:space="preserve">潮州市潮州火车站区南片B11-4-1地块</x:t>
        </x:is>
      </x:c>
      <x:c r="K2517" s="12" t="str">
        <x:f>LEFT("914451002822856807",18)</x:f>
        <x:v>914451002822856800</x:v>
      </x:c>
    </x:row>
    <x:row r="2518">
      <x:c r="A2518" s="2" t="n">
        <x:v>2517</x:v>
      </x:c>
      <x:c r="B2518" s="2" t="inlineStr">
        <x:is>
          <x:t xml:space="preserve">603848</x:t>
        </x:is>
      </x:c>
      <x:c r="C2518" s="3" t="inlineStr">
        <x:is>
          <x:t xml:space="preserve">好太太</x:t>
        </x:is>
      </x:c>
      <x:c r="D2518" s="3" t="inlineStr">
        <x:is>
          <x:t xml:space="preserve">广东好太太科技集团股份有限公司</x:t>
        </x:is>
      </x:c>
      <x:c r="E2518" s="2" t="inlineStr">
        <x:is>
          <x:t xml:space="preserve">广东省</x:t>
        </x:is>
      </x:c>
      <x:c r="F2518" s="2" t="inlineStr">
        <x:is>
          <x:t xml:space="preserve">广州市</x:t>
        </x:is>
      </x:c>
      <x:c r="G2518" s="3" t="inlineStr">
        <x:is>
          <x:t xml:space="preserve">广东省-广州市</x:t>
        </x:is>
      </x:c>
      <x:c r="H2518" s="2" t="inlineStr">
        <x:is>
          <x:t xml:space="preserve">家用轻工</x:t>
        </x:is>
      </x:c>
      <x:c r="I2518" s="2" t="inlineStr">
        <x:is>
          <x:t xml:space="preserve">2017-12-01</x:t>
        </x:is>
      </x:c>
      <x:c r="J2518" s="3" t="inlineStr">
        <x:is>
          <x:t xml:space="preserve">广州市番禺区化龙镇石化路21号之一、之二</x:t>
        </x:is>
      </x:c>
      <x:c r="K2518" s="12" t="str">
        <x:f>LEFT("91440101770197284B",18)</x:f>
        <x:v>91440101770197284B</x:v>
      </x:c>
    </x:row>
    <x:row r="2519">
      <x:c r="A2519" s="4" t="n">
        <x:v>2518</x:v>
      </x:c>
      <x:c r="B2519" s="4" t="inlineStr">
        <x:is>
          <x:t xml:space="preserve">603861</x:t>
        </x:is>
      </x:c>
      <x:c r="C2519" s="5" t="inlineStr">
        <x:is>
          <x:t xml:space="preserve">白云电器</x:t>
        </x:is>
      </x:c>
      <x:c r="D2519" s="5" t="inlineStr">
        <x:is>
          <x:t xml:space="preserve">广州白云电器设备股份有限公司</x:t>
        </x:is>
      </x:c>
      <x:c r="E2519" s="4" t="inlineStr">
        <x:is>
          <x:t xml:space="preserve">广东省</x:t>
        </x:is>
      </x:c>
      <x:c r="F2519" s="4" t="inlineStr">
        <x:is>
          <x:t xml:space="preserve">广州市</x:t>
        </x:is>
      </x:c>
      <x:c r="G2519" s="5" t="inlineStr">
        <x:is>
          <x:t xml:space="preserve">广东省-广州市</x:t>
        </x:is>
      </x:c>
      <x:c r="H2519" s="4" t="inlineStr">
        <x:is>
          <x:t xml:space="preserve">输配电气</x:t>
        </x:is>
      </x:c>
      <x:c r="I2519" s="4" t="inlineStr">
        <x:is>
          <x:t xml:space="preserve">2016-03-22</x:t>
        </x:is>
      </x:c>
      <x:c r="J2519" s="5" t="inlineStr">
        <x:is>
          <x:t xml:space="preserve">广州市白云区大岭南路18号</x:t>
        </x:is>
      </x:c>
      <x:c r="K2519" s="12" t="str">
        <x:f>LEFT("914401011910641611",18)</x:f>
        <x:v>914401011910641700</x:v>
      </x:c>
    </x:row>
    <x:row r="2520">
      <x:c r="A2520" s="2" t="n">
        <x:v>2519</x:v>
      </x:c>
      <x:c r="B2520" s="2" t="inlineStr">
        <x:is>
          <x:t xml:space="preserve">603863</x:t>
        </x:is>
      </x:c>
      <x:c r="C2520" s="3" t="inlineStr">
        <x:is>
          <x:t xml:space="preserve">松炀资源</x:t>
        </x:is>
      </x:c>
      <x:c r="D2520" s="3" t="inlineStr">
        <x:is>
          <x:t xml:space="preserve">广东松炀再生资源股份有限公司</x:t>
        </x:is>
      </x:c>
      <x:c r="E2520" s="2" t="inlineStr">
        <x:is>
          <x:t xml:space="preserve">广东省</x:t>
        </x:is>
      </x:c>
      <x:c r="F2520" s="2" t="inlineStr">
        <x:is>
          <x:t xml:space="preserve">汕头市</x:t>
        </x:is>
      </x:c>
      <x:c r="G2520" s="3" t="inlineStr">
        <x:is>
          <x:t xml:space="preserve">广东省-汕头市</x:t>
        </x:is>
      </x:c>
      <x:c r="H2520" s="2" t="inlineStr">
        <x:is>
          <x:t xml:space="preserve">造纸印刷</x:t>
        </x:is>
      </x:c>
      <x:c r="I2520" s="2" t="inlineStr">
        <x:is>
          <x:t xml:space="preserve">2019-06-21</x:t>
        </x:is>
      </x:c>
      <x:c r="J2520" s="3" t="inlineStr">
        <x:is>
          <x:t xml:space="preserve">广东省汕头市澄海区莲下镇鸿利工业区办公楼西侧</x:t>
        </x:is>
      </x:c>
      <x:c r="K2520" s="12" t="str">
        <x:f>LEFT("91440500680570620L",18)</x:f>
        <x:v>91440500680570620L</x:v>
      </x:c>
    </x:row>
    <x:row r="2521">
      <x:c r="A2521" s="4" t="n">
        <x:v>2520</x:v>
      </x:c>
      <x:c r="B2521" s="4" t="inlineStr">
        <x:is>
          <x:t xml:space="preserve">603882</x:t>
        </x:is>
      </x:c>
      <x:c r="C2521" s="5" t="inlineStr">
        <x:is>
          <x:t xml:space="preserve">金域医学</x:t>
        </x:is>
      </x:c>
      <x:c r="D2521" s="5" t="inlineStr">
        <x:is>
          <x:t xml:space="preserve">广州金域医学检验集团股份有限公司</x:t>
        </x:is>
      </x:c>
      <x:c r="E2521" s="4" t="inlineStr">
        <x:is>
          <x:t xml:space="preserve">广东省</x:t>
        </x:is>
      </x:c>
      <x:c r="F2521" s="4" t="inlineStr">
        <x:is>
          <x:t xml:space="preserve">广州市</x:t>
        </x:is>
      </x:c>
      <x:c r="G2521" s="5" t="inlineStr">
        <x:is>
          <x:t xml:space="preserve">广东省-广州市</x:t>
        </x:is>
      </x:c>
      <x:c r="H2521" s="4" t="inlineStr">
        <x:is>
          <x:t xml:space="preserve">医疗行业</x:t>
        </x:is>
      </x:c>
      <x:c r="I2521" s="4" t="inlineStr">
        <x:is>
          <x:t xml:space="preserve">2017-09-08</x:t>
        </x:is>
      </x:c>
      <x:c r="J2521" s="5" t="inlineStr">
        <x:is>
          <x:t xml:space="preserve">广州市国际生物岛螺旋三路10号</x:t>
        </x:is>
      </x:c>
      <x:c r="K2521" s="12" t="str">
        <x:f>LEFT("9144010178891443XK",18)</x:f>
        <x:v>9144010178891443XK</x:v>
      </x:c>
    </x:row>
    <x:row r="2522">
      <x:c r="A2522" s="2" t="n">
        <x:v>2521</x:v>
      </x:c>
      <x:c r="B2522" s="2" t="inlineStr">
        <x:is>
          <x:t xml:space="preserve">603898</x:t>
        </x:is>
      </x:c>
      <x:c r="C2522" s="3" t="inlineStr">
        <x:is>
          <x:t xml:space="preserve">好莱客</x:t>
        </x:is>
      </x:c>
      <x:c r="D2522" s="3" t="inlineStr">
        <x:is>
          <x:t xml:space="preserve">广州好莱客创意家居股份有限公司</x:t>
        </x:is>
      </x:c>
      <x:c r="E2522" s="2" t="inlineStr">
        <x:is>
          <x:t xml:space="preserve">广东省</x:t>
        </x:is>
      </x:c>
      <x:c r="F2522" s="2" t="inlineStr">
        <x:is>
          <x:t xml:space="preserve">广州市</x:t>
        </x:is>
      </x:c>
      <x:c r="G2522" s="3" t="inlineStr">
        <x:is>
          <x:t xml:space="preserve">广东省-广州市</x:t>
        </x:is>
      </x:c>
      <x:c r="H2522" s="2" t="inlineStr">
        <x:is>
          <x:t xml:space="preserve">木业家具</x:t>
        </x:is>
      </x:c>
      <x:c r="I2522" s="2" t="inlineStr">
        <x:is>
          <x:t xml:space="preserve">2015-02-17</x:t>
        </x:is>
      </x:c>
      <x:c r="J2522" s="3" t="inlineStr">
        <x:is>
          <x:t xml:space="preserve">广州经济技术开发区东区连云路8号</x:t>
        </x:is>
      </x:c>
      <x:c r="K2522" s="12" t="str">
        <x:f>LEFT("914401017994381174",18)</x:f>
        <x:v>914401017994381200</x:v>
      </x:c>
    </x:row>
    <x:row r="2523">
      <x:c r="A2523" s="4" t="n">
        <x:v>2522</x:v>
      </x:c>
      <x:c r="B2523" s="4" t="inlineStr">
        <x:is>
          <x:t xml:space="preserve">603920</x:t>
        </x:is>
      </x:c>
      <x:c r="C2523" s="5" t="inlineStr">
        <x:is>
          <x:t xml:space="preserve">世运电路</x:t>
        </x:is>
      </x:c>
      <x:c r="D2523" s="5" t="inlineStr">
        <x:is>
          <x:t xml:space="preserve">广东世运电路科技股份有限公司</x:t>
        </x:is>
      </x:c>
      <x:c r="E2523" s="4" t="inlineStr">
        <x:is>
          <x:t xml:space="preserve">广东省</x:t>
        </x:is>
      </x:c>
      <x:c r="F2523" s="4" t="inlineStr">
        <x:is>
          <x:t xml:space="preserve">江门市</x:t>
        </x:is>
      </x:c>
      <x:c r="G2523" s="5" t="inlineStr">
        <x:is>
          <x:t xml:space="preserve">广东省-江门市</x:t>
        </x:is>
      </x:c>
      <x:c r="H2523" s="4" t="inlineStr">
        <x:is>
          <x:t xml:space="preserve">电子元件</x:t>
        </x:is>
      </x:c>
      <x:c r="I2523" s="4" t="inlineStr">
        <x:is>
          <x:t xml:space="preserve">2017-04-26</x:t>
        </x:is>
      </x:c>
      <x:c r="J2523" s="5" t="inlineStr">
        <x:is>
          <x:t xml:space="preserve">广东省江门鹤山市共和镇世运路8号</x:t>
        </x:is>
      </x:c>
      <x:c r="K2523" s="12" t="str">
        <x:f>LEFT("914407007740391448",18)</x:f>
        <x:v>914407007740391400</x:v>
      </x:c>
    </x:row>
    <x:row r="2524">
      <x:c r="A2524" s="2" t="n">
        <x:v>2523</x:v>
      </x:c>
      <x:c r="B2524" s="2" t="inlineStr">
        <x:is>
          <x:t xml:space="preserve">603936</x:t>
        </x:is>
      </x:c>
      <x:c r="C2524" s="3" t="inlineStr">
        <x:is>
          <x:t xml:space="preserve">博敏电子</x:t>
        </x:is>
      </x:c>
      <x:c r="D2524" s="3" t="inlineStr">
        <x:is>
          <x:t xml:space="preserve">博敏电子股份有限公司</x:t>
        </x:is>
      </x:c>
      <x:c r="E2524" s="2" t="inlineStr">
        <x:is>
          <x:t xml:space="preserve">广东省</x:t>
        </x:is>
      </x:c>
      <x:c r="F2524" s="2" t="inlineStr">
        <x:is>
          <x:t xml:space="preserve">梅州市</x:t>
        </x:is>
      </x:c>
      <x:c r="G2524" s="3" t="inlineStr">
        <x:is>
          <x:t xml:space="preserve">广东省-梅州市</x:t>
        </x:is>
      </x:c>
      <x:c r="H2524" s="2" t="inlineStr">
        <x:is>
          <x:t xml:space="preserve">电子元件</x:t>
        </x:is>
      </x:c>
      <x:c r="I2524" s="2" t="inlineStr">
        <x:is>
          <x:t xml:space="preserve">2015-12-09</x:t>
        </x:is>
      </x:c>
      <x:c r="J2524" s="3" t="inlineStr">
        <x:is>
          <x:t xml:space="preserve">梅州市经济开发试验区东升工业园</x:t>
        </x:is>
      </x:c>
      <x:c r="K2524" s="12" t="str">
        <x:f>LEFT("914414007730567940",18)</x:f>
        <x:v>914414007730568000</x:v>
      </x:c>
    </x:row>
    <x:row r="2525">
      <x:c r="A2525" s="4" t="n">
        <x:v>2524</x:v>
      </x:c>
      <x:c r="B2525" s="4" t="inlineStr">
        <x:is>
          <x:t xml:space="preserve">603978</x:t>
        </x:is>
      </x:c>
      <x:c r="C2525" s="5" t="inlineStr">
        <x:is>
          <x:t xml:space="preserve">深圳新星</x:t>
        </x:is>
      </x:c>
      <x:c r="D2525" s="5" t="inlineStr">
        <x:is>
          <x:t xml:space="preserve">深圳市新星轻合金材料股份有限公司</x:t>
        </x:is>
      </x:c>
      <x:c r="E2525" s="4" t="inlineStr">
        <x:is>
          <x:t xml:space="preserve">广东省</x:t>
        </x:is>
      </x:c>
      <x:c r="F2525" s="4" t="inlineStr">
        <x:is>
          <x:t xml:space="preserve">深圳市</x:t>
        </x:is>
      </x:c>
      <x:c r="G2525" s="5" t="inlineStr">
        <x:is>
          <x:t xml:space="preserve">广东省-深圳市</x:t>
        </x:is>
      </x:c>
      <x:c r="H2525" s="4" t="inlineStr">
        <x:is>
          <x:t xml:space="preserve">有色金属</x:t>
        </x:is>
      </x:c>
      <x:c r="I2525" s="4" t="inlineStr">
        <x:is>
          <x:t xml:space="preserve">2017-08-07</x:t>
        </x:is>
      </x:c>
      <x:c r="J2525" s="5" t="inlineStr">
        <x:is>
          <x:t xml:space="preserve">深圳市宝安区观光路公明镇高新技术产业园新星厂区A栋</x:t>
        </x:is>
      </x:c>
      <x:c r="K2525" s="12" t="str">
        <x:f>LEFT("91440300618888515F",18)</x:f>
        <x:v>91440300618888515F</x:v>
      </x:c>
    </x:row>
    <x:row r="2526">
      <x:c r="A2526" s="2" t="n">
        <x:v>2525</x:v>
      </x:c>
      <x:c r="B2526" s="2" t="inlineStr">
        <x:is>
          <x:t xml:space="preserve">603983</x:t>
        </x:is>
      </x:c>
      <x:c r="C2526" s="3" t="inlineStr">
        <x:is>
          <x:t xml:space="preserve">丸美生物</x:t>
        </x:is>
      </x:c>
      <x:c r="D2526" s="3" t="inlineStr">
        <x:is>
          <x:t xml:space="preserve">广东丸美生物技术股份有限公司</x:t>
        </x:is>
      </x:c>
      <x:c r="E2526" s="2" t="inlineStr">
        <x:is>
          <x:t xml:space="preserve">广东省</x:t>
        </x:is>
      </x:c>
      <x:c r="F2526" s="2" t="inlineStr">
        <x:is>
          <x:t xml:space="preserve">广州市</x:t>
        </x:is>
      </x:c>
      <x:c r="G2526" s="3" t="inlineStr">
        <x:is>
          <x:t xml:space="preserve">广东省-广州市</x:t>
        </x:is>
      </x:c>
      <x:c r="H2526" s="2" t="inlineStr">
        <x:is>
          <x:t xml:space="preserve">美容护理</x:t>
        </x:is>
      </x:c>
      <x:c r="I2526" s="2" t="inlineStr">
        <x:is>
          <x:t xml:space="preserve">2019-07-25</x:t>
        </x:is>
      </x:c>
      <x:c r="J2526" s="3" t="inlineStr">
        <x:is>
          <x:t xml:space="preserve">广州高新技术产业开发区科学城伴河路92号2号楼</x:t>
        </x:is>
      </x:c>
      <x:c r="K2526" s="12" t="str">
        <x:f>LEFT("9144011673492646XH",18)</x:f>
        <x:v>9144011673492646XH</x:v>
      </x:c>
    </x:row>
    <x:row r="2527">
      <x:c r="A2527" s="4" t="n">
        <x:v>2526</x:v>
      </x:c>
      <x:c r="B2527" s="4" t="inlineStr">
        <x:is>
          <x:t xml:space="preserve">603991</x:t>
        </x:is>
      </x:c>
      <x:c r="C2527" s="5" t="inlineStr">
        <x:is>
          <x:t xml:space="preserve">至正股份</x:t>
        </x:is>
      </x:c>
      <x:c r="D2527" s="5" t="inlineStr">
        <x:is>
          <x:t xml:space="preserve">深圳市领先半导体科技产业股份有限公司</x:t>
        </x:is>
      </x:c>
      <x:c r="E2527" s="4" t="inlineStr">
        <x:is>
          <x:t xml:space="preserve">广东省</x:t>
        </x:is>
      </x:c>
      <x:c r="F2527" s="4" t="inlineStr">
        <x:is>
          <x:t xml:space="preserve">深圳市</x:t>
        </x:is>
      </x:c>
      <x:c r="G2527" s="5" t="inlineStr">
        <x:is>
          <x:t xml:space="preserve">广东省-深圳市</x:t>
        </x:is>
      </x:c>
      <x:c r="H2527" s="4" t="inlineStr">
        <x:is>
          <x:t xml:space="preserve">塑胶制品</x:t>
        </x:is>
      </x:c>
      <x:c r="I2527" s="4" t="inlineStr">
        <x:is>
          <x:t xml:space="preserve">2017-03-08</x:t>
        </x:is>
      </x:c>
      <x:c r="J2527" s="5" t="inlineStr">
        <x:is>
          <x:t xml:space="preserve">深圳市南山区沙河街道光华街社区恩平街1号东部工业区E4栋304</x:t>
        </x:is>
      </x:c>
      <x:c r="K2527" s="12" t="str">
        <x:f>LEFT("91310000770201458T",18)</x:f>
        <x:v>91310000770201458T</x:v>
      </x:c>
    </x:row>
    <x:row r="2528">
      <x:c r="A2528" s="2" t="n">
        <x:v>2527</x:v>
      </x:c>
      <x:c r="B2528" s="2" t="inlineStr">
        <x:is>
          <x:t xml:space="preserve">605499</x:t>
        </x:is>
      </x:c>
      <x:c r="C2528" s="3" t="inlineStr">
        <x:is>
          <x:t xml:space="preserve">东鹏饮料</x:t>
        </x:is>
      </x:c>
      <x:c r="D2528" s="3" t="inlineStr">
        <x:is>
          <x:t xml:space="preserve">东鹏饮料(集团)股份有限公司</x:t>
        </x:is>
      </x:c>
      <x:c r="E2528" s="2" t="inlineStr">
        <x:is>
          <x:t xml:space="preserve">广东省</x:t>
        </x:is>
      </x:c>
      <x:c r="F2528" s="2" t="inlineStr">
        <x:is>
          <x:t xml:space="preserve">深圳市</x:t>
        </x:is>
      </x:c>
      <x:c r="G2528" s="3" t="inlineStr">
        <x:is>
          <x:t xml:space="preserve">广东省-深圳市</x:t>
        </x:is>
      </x:c>
      <x:c r="H2528" s="2" t="inlineStr">
        <x:is>
          <x:t xml:space="preserve">食品饮料</x:t>
        </x:is>
      </x:c>
      <x:c r="I2528" s="2" t="inlineStr">
        <x:is>
          <x:t xml:space="preserve">2021-05-27</x:t>
        </x:is>
      </x:c>
      <x:c r="J2528" s="3" t="inlineStr">
        <x:is>
          <x:t xml:space="preserve">深圳市南山区桃源街道珠光北路142号众冠红花岭工业西区3栋1楼</x:t>
        </x:is>
      </x:c>
      <x:c r="K2528" s="12" t="str">
        <x:f>LEFT("91440300192277214F",18)</x:f>
        <x:v>91440300192277214F</x:v>
      </x:c>
    </x:row>
    <x:row r="2529">
      <x:c r="A2529" s="4" t="n">
        <x:v>2528</x:v>
      </x:c>
      <x:c r="B2529" s="4" t="inlineStr">
        <x:is>
          <x:t xml:space="preserve">688007</x:t>
        </x:is>
      </x:c>
      <x:c r="C2529" s="5" t="inlineStr">
        <x:is>
          <x:t xml:space="preserve">光峰科技</x:t>
        </x:is>
      </x:c>
      <x:c r="D2529" s="5" t="inlineStr">
        <x:is>
          <x:t xml:space="preserve">深圳光峰科技股份有限公司</x:t>
        </x:is>
      </x:c>
      <x:c r="E2529" s="4" t="inlineStr">
        <x:is>
          <x:t xml:space="preserve">广东省</x:t>
        </x:is>
      </x:c>
      <x:c r="F2529" s="4" t="inlineStr">
        <x:is>
          <x:t xml:space="preserve">深圳市</x:t>
        </x:is>
      </x:c>
      <x:c r="G2529" s="5" t="inlineStr">
        <x:is>
          <x:t xml:space="preserve">广东省-深圳市</x:t>
        </x:is>
      </x:c>
      <x:c r="H2529" s="4" t="inlineStr">
        <x:is>
          <x:t xml:space="preserve">消费电子</x:t>
        </x:is>
      </x:c>
      <x:c r="I2529" s="4" t="inlineStr">
        <x:is>
          <x:t xml:space="preserve">2019-07-22</x:t>
        </x:is>
      </x:c>
      <x:c r="J2529" s="5" t="inlineStr">
        <x:is>
          <x:t xml:space="preserve">深圳市南山区西丽街道西丽社区仙洞路8号光峰科技总部大厦4层-7层、2905-2907、31层-32层</x:t>
        </x:is>
      </x:c>
      <x:c r="K2529" s="12" t="str">
        <x:f>LEFT("91440300795413991N",18)</x:f>
        <x:v>91440300795413991N</x:v>
      </x:c>
    </x:row>
    <x:row r="2530">
      <x:c r="A2530" s="2" t="n">
        <x:v>2529</x:v>
      </x:c>
      <x:c r="B2530" s="2" t="inlineStr">
        <x:is>
          <x:t xml:space="preserve">688020</x:t>
        </x:is>
      </x:c>
      <x:c r="C2530" s="3" t="inlineStr">
        <x:is>
          <x:t xml:space="preserve">方邦股份</x:t>
        </x:is>
      </x:c>
      <x:c r="D2530" s="3" t="inlineStr">
        <x:is>
          <x:t xml:space="preserve">广州方邦电子股份有限公司</x:t>
        </x:is>
      </x:c>
      <x:c r="E2530" s="2" t="inlineStr">
        <x:is>
          <x:t xml:space="preserve">广东省</x:t>
        </x:is>
      </x:c>
      <x:c r="F2530" s="2" t="inlineStr">
        <x:is>
          <x:t xml:space="preserve">广州市</x:t>
        </x:is>
      </x:c>
      <x:c r="G2530" s="3" t="inlineStr">
        <x:is>
          <x:t xml:space="preserve">广东省-广州市</x:t>
        </x:is>
      </x:c>
      <x:c r="H2530" s="2" t="inlineStr">
        <x:is>
          <x:t xml:space="preserve">电子元件</x:t>
        </x:is>
      </x:c>
      <x:c r="I2530" s="2" t="inlineStr">
        <x:is>
          <x:t xml:space="preserve">2019-07-22</x:t>
        </x:is>
      </x:c>
      <x:c r="J2530" s="3" t="inlineStr">
        <x:is>
          <x:t xml:space="preserve">广州市黄埔区东枝路28号</x:t>
        </x:is>
      </x:c>
      <x:c r="K2530" s="12" t="str">
        <x:f>LEFT("9144010156598377XA",18)</x:f>
        <x:v>9144010156598377XA</x:v>
      </x:c>
    </x:row>
    <x:row r="2531">
      <x:c r="A2531" s="4" t="n">
        <x:v>2530</x:v>
      </x:c>
      <x:c r="B2531" s="4" t="inlineStr">
        <x:is>
          <x:t xml:space="preserve">688025</x:t>
        </x:is>
      </x:c>
      <x:c r="C2531" s="5" t="inlineStr">
        <x:is>
          <x:t xml:space="preserve">杰普特</x:t>
        </x:is>
      </x:c>
      <x:c r="D2531" s="5" t="inlineStr">
        <x:is>
          <x:t xml:space="preserve">深圳市杰普特光电股份有限公司</x:t>
        </x:is>
      </x:c>
      <x:c r="E2531" s="4" t="inlineStr">
        <x:is>
          <x:t xml:space="preserve">广东省</x:t>
        </x:is>
      </x:c>
      <x:c r="F2531" s="4" t="inlineStr">
        <x:is>
          <x:t xml:space="preserve">深圳市</x:t>
        </x:is>
      </x:c>
      <x:c r="G2531" s="5" t="inlineStr">
        <x:is>
          <x:t xml:space="preserve">广东省-深圳市</x:t>
        </x:is>
      </x:c>
      <x:c r="H2531" s="4" t="inlineStr">
        <x:is>
          <x:t xml:space="preserve">电子元件</x:t>
        </x:is>
      </x:c>
      <x:c r="I2531" s="4" t="inlineStr">
        <x:is>
          <x:t xml:space="preserve">2019-10-31</x:t>
        </x:is>
      </x:c>
      <x:c r="J2531" s="5" t="inlineStr">
        <x:is>
          <x:t xml:space="preserve">深圳市龙华区观湖街道鹭湖社区观盛五路8-1号科姆龙科技园A栋1201</x:t>
        </x:is>
      </x:c>
      <x:c r="K2531" s="12" t="str">
        <x:f>LEFT("9144030078830456X1",18)</x:f>
        <x:v>9144030078830456X1</x:v>
      </x:c>
    </x:row>
    <x:row r="2532">
      <x:c r="A2532" s="2" t="n">
        <x:v>2531</x:v>
      </x:c>
      <x:c r="B2532" s="2" t="inlineStr">
        <x:is>
          <x:t xml:space="preserve">688026</x:t>
        </x:is>
      </x:c>
      <x:c r="C2532" s="3" t="inlineStr">
        <x:is>
          <x:t xml:space="preserve">洁特生物</x:t>
        </x:is>
      </x:c>
      <x:c r="D2532" s="3" t="inlineStr">
        <x:is>
          <x:t xml:space="preserve">广州洁特生物过滤股份有限公司</x:t>
        </x:is>
      </x:c>
      <x:c r="E2532" s="2" t="inlineStr">
        <x:is>
          <x:t xml:space="preserve">广东省</x:t>
        </x:is>
      </x:c>
      <x:c r="F2532" s="2" t="inlineStr">
        <x:is>
          <x:t xml:space="preserve">广州市</x:t>
        </x:is>
      </x:c>
      <x:c r="G2532" s="3" t="inlineStr">
        <x:is>
          <x:t xml:space="preserve">广东省-广州市</x:t>
        </x:is>
      </x:c>
      <x:c r="H2532" s="2" t="inlineStr">
        <x:is>
          <x:t xml:space="preserve">塑胶制品</x:t>
        </x:is>
      </x:c>
      <x:c r="I2532" s="2" t="inlineStr">
        <x:is>
          <x:t xml:space="preserve">2020-01-22</x:t>
        </x:is>
      </x:c>
      <x:c r="J2532" s="3" t="inlineStr">
        <x:is>
          <x:t xml:space="preserve">广州经济技术开发区永和经济区斗塘路1号</x:t>
        </x:is>
      </x:c>
      <x:c r="K2532" s="12" t="str">
        <x:f>LEFT("91440116728198443M",18)</x:f>
        <x:v>91440116728198443M</x:v>
      </x:c>
    </x:row>
    <x:row r="2533">
      <x:c r="A2533" s="4" t="n">
        <x:v>2532</x:v>
      </x:c>
      <x:c r="B2533" s="4" t="inlineStr">
        <x:is>
          <x:t xml:space="preserve">688036</x:t>
        </x:is>
      </x:c>
      <x:c r="C2533" s="5" t="inlineStr">
        <x:is>
          <x:t xml:space="preserve">传音控股</x:t>
        </x:is>
      </x:c>
      <x:c r="D2533" s="5" t="inlineStr">
        <x:is>
          <x:t xml:space="preserve">深圳传音控股股份有限公司</x:t>
        </x:is>
      </x:c>
      <x:c r="E2533" s="4" t="inlineStr">
        <x:is>
          <x:t xml:space="preserve">广东省</x:t>
        </x:is>
      </x:c>
      <x:c r="F2533" s="4" t="inlineStr">
        <x:is>
          <x:t xml:space="preserve">深圳市</x:t>
        </x:is>
      </x:c>
      <x:c r="G2533" s="5" t="inlineStr">
        <x:is>
          <x:t xml:space="preserve">广东省-深圳市</x:t>
        </x:is>
      </x:c>
      <x:c r="H2533" s="4" t="inlineStr">
        <x:is>
          <x:t xml:space="preserve">消费电子</x:t>
        </x:is>
      </x:c>
      <x:c r="I2533" s="4" t="inlineStr">
        <x:is>
          <x:t xml:space="preserve">2019-09-30</x:t>
        </x:is>
      </x:c>
      <x:c r="J2533" s="5" t="inlineStr">
        <x:is>
          <x:t xml:space="preserve">深圳市南山区西丽街道西丽社区仙元路8号传音大厦24楼一单元</x:t>
        </x:is>
      </x:c>
      <x:c r="K2533" s="12" t="str">
        <x:f>LEFT("9144030007692463XL",18)</x:f>
        <x:v>9144030007692463XL</x:v>
      </x:c>
    </x:row>
    <x:row r="2534">
      <x:c r="A2534" s="2" t="n">
        <x:v>2533</x:v>
      </x:c>
      <x:c r="B2534" s="2" t="inlineStr">
        <x:is>
          <x:t xml:space="preserve">688045</x:t>
        </x:is>
      </x:c>
      <x:c r="C2534" s="3" t="inlineStr">
        <x:is>
          <x:t xml:space="preserve">必易微</x:t>
        </x:is>
      </x:c>
      <x:c r="D2534" s="3" t="inlineStr">
        <x:is>
          <x:t xml:space="preserve">深圳市必易微电子股份有限公司</x:t>
        </x:is>
      </x:c>
      <x:c r="E2534" s="2" t="inlineStr">
        <x:is>
          <x:t xml:space="preserve">广东省</x:t>
        </x:is>
      </x:c>
      <x:c r="F2534" s="2" t="inlineStr">
        <x:is>
          <x:t xml:space="preserve">深圳市</x:t>
        </x:is>
      </x:c>
      <x:c r="G2534" s="3" t="inlineStr">
        <x:is>
          <x:t xml:space="preserve">广东省-深圳市</x:t>
        </x:is>
      </x:c>
      <x:c r="H2534" s="2" t="inlineStr">
        <x:is>
          <x:t xml:space="preserve">半导体</x:t>
        </x:is>
      </x:c>
      <x:c r="I2534" s="2" t="inlineStr">
        <x:is>
          <x:t xml:space="preserve">2022-05-26</x:t>
        </x:is>
      </x:c>
      <x:c r="J2534" s="3" t="inlineStr">
        <x:is>
          <x:t xml:space="preserve">深圳市南山区西丽街道西丽社区打石二路万科云城六期一栋云中城B3303</x:t>
        </x:is>
      </x:c>
      <x:c r="K2534" s="12" t="str">
        <x:f>LEFT("91440300306137800F",18)</x:f>
        <x:v>91440300306137800F</x:v>
      </x:c>
    </x:row>
    <x:row r="2535">
      <x:c r="A2535" s="4" t="n">
        <x:v>2534</x:v>
      </x:c>
      <x:c r="B2535" s="4" t="inlineStr">
        <x:is>
          <x:t xml:space="preserve">688049</x:t>
        </x:is>
      </x:c>
      <x:c r="C2535" s="5" t="inlineStr">
        <x:is>
          <x:t xml:space="preserve">炬芯科技</x:t>
        </x:is>
      </x:c>
      <x:c r="D2535" s="5" t="inlineStr">
        <x:is>
          <x:t xml:space="preserve">炬芯科技股份有限公司</x:t>
        </x:is>
      </x:c>
      <x:c r="E2535" s="4" t="inlineStr">
        <x:is>
          <x:t xml:space="preserve">广东省</x:t>
        </x:is>
      </x:c>
      <x:c r="F2535" s="4" t="inlineStr">
        <x:is>
          <x:t xml:space="preserve">珠海市</x:t>
        </x:is>
      </x:c>
      <x:c r="G2535" s="5" t="inlineStr">
        <x:is>
          <x:t xml:space="preserve">广东省-珠海市</x:t>
        </x:is>
      </x:c>
      <x:c r="H2535" s="4" t="inlineStr">
        <x:is>
          <x:t xml:space="preserve">半导体</x:t>
        </x:is>
      </x:c>
      <x:c r="I2535" s="4" t="inlineStr">
        <x:is>
          <x:t xml:space="preserve">2021-11-29</x:t>
        </x:is>
      </x:c>
      <x:c r="J2535" s="5" t="inlineStr">
        <x:is>
          <x:t xml:space="preserve">珠海市高新区唐家湾镇科技四路1号1#厂房一层C区</x:t>
        </x:is>
      </x:c>
      <x:c r="K2535" s="12" t="str">
        <x:f>LEFT("914404003040136529",18)</x:f>
        <x:v>914404003040136600</x:v>
      </x:c>
    </x:row>
    <x:row r="2536">
      <x:c r="A2536" s="2" t="n">
        <x:v>2535</x:v>
      </x:c>
      <x:c r="B2536" s="2" t="inlineStr">
        <x:is>
          <x:t xml:space="preserve">688083</x:t>
        </x:is>
      </x:c>
      <x:c r="C2536" s="3" t="inlineStr">
        <x:is>
          <x:t xml:space="preserve">中望软件</x:t>
        </x:is>
      </x:c>
      <x:c r="D2536" s="3" t="inlineStr">
        <x:is>
          <x:t xml:space="preserve">广州中望龙腾软件股份有限公司</x:t>
        </x:is>
      </x:c>
      <x:c r="E2536" s="2" t="inlineStr">
        <x:is>
          <x:t xml:space="preserve">广东省</x:t>
        </x:is>
      </x:c>
      <x:c r="F2536" s="2" t="inlineStr">
        <x:is>
          <x:t xml:space="preserve">广州市</x:t>
        </x:is>
      </x:c>
      <x:c r="G2536" s="3" t="inlineStr">
        <x:is>
          <x:t xml:space="preserve">广东省-广州市</x:t>
        </x:is>
      </x:c>
      <x:c r="H2536" s="2" t="inlineStr">
        <x:is>
          <x:t xml:space="preserve">软件服务</x:t>
        </x:is>
      </x:c>
      <x:c r="I2536" s="2" t="inlineStr">
        <x:is>
          <x:t xml:space="preserve">2021-03-11</x:t>
        </x:is>
      </x:c>
      <x:c r="J2536" s="3" t="inlineStr">
        <x:is>
          <x:t xml:space="preserve">广州市天河区天坤四路118号</x:t>
        </x:is>
      </x:c>
      <x:c r="K2536" s="12" t="str">
        <x:f>LEFT("91440101712408557U",18)</x:f>
        <x:v>91440101712408557U</x:v>
      </x:c>
    </x:row>
    <x:row r="2537">
      <x:c r="A2537" s="4" t="n">
        <x:v>2536</x:v>
      </x:c>
      <x:c r="B2537" s="4" t="inlineStr">
        <x:is>
          <x:t xml:space="preserve">688090</x:t>
        </x:is>
      </x:c>
      <x:c r="C2537" s="5" t="inlineStr">
        <x:is>
          <x:t xml:space="preserve">瑞松科技</x:t>
        </x:is>
      </x:c>
      <x:c r="D2537" s="5" t="inlineStr">
        <x:is>
          <x:t xml:space="preserve">广州瑞松智能科技股份有限公司</x:t>
        </x:is>
      </x:c>
      <x:c r="E2537" s="4" t="inlineStr">
        <x:is>
          <x:t xml:space="preserve">广东省</x:t>
        </x:is>
      </x:c>
      <x:c r="F2537" s="4" t="inlineStr">
        <x:is>
          <x:t xml:space="preserve">广州市</x:t>
        </x:is>
      </x:c>
      <x:c r="G2537" s="5" t="inlineStr">
        <x:is>
          <x:t xml:space="preserve">广东省-广州市</x:t>
        </x:is>
      </x:c>
      <x:c r="H2537" s="4" t="inlineStr">
        <x:is>
          <x:t xml:space="preserve">专用设备</x:t>
        </x:is>
      </x:c>
      <x:c r="I2537" s="4" t="inlineStr">
        <x:is>
          <x:t xml:space="preserve">2020-02-17</x:t>
        </x:is>
      </x:c>
      <x:c r="J2537" s="5" t="inlineStr">
        <x:is>
          <x:t xml:space="preserve">广州市黄埔区瑞祥路188号</x:t>
        </x:is>
      </x:c>
      <x:c r="K2537" s="12" t="str">
        <x:f>LEFT("914401010525516483",18)</x:f>
        <x:v>914401010525516500</x:v>
      </x:c>
    </x:row>
    <x:row r="2538">
      <x:c r="A2538" s="2" t="n">
        <x:v>2537</x:v>
      </x:c>
      <x:c r="B2538" s="2" t="inlineStr">
        <x:is>
          <x:t xml:space="preserve">688112</x:t>
        </x:is>
      </x:c>
      <x:c r="C2538" s="3" t="inlineStr">
        <x:is>
          <x:t xml:space="preserve">鼎阳科技</x:t>
        </x:is>
      </x:c>
      <x:c r="D2538" s="3" t="inlineStr">
        <x:is>
          <x:t xml:space="preserve">深圳市鼎阳科技股份有限公司</x:t>
        </x:is>
      </x:c>
      <x:c r="E2538" s="2" t="inlineStr">
        <x:is>
          <x:t xml:space="preserve">广东省</x:t>
        </x:is>
      </x:c>
      <x:c r="F2538" s="2" t="inlineStr">
        <x:is>
          <x:t xml:space="preserve">深圳市</x:t>
        </x:is>
      </x:c>
      <x:c r="G2538" s="3" t="inlineStr">
        <x:is>
          <x:t xml:space="preserve">广东省-深圳市</x:t>
        </x:is>
      </x:c>
      <x:c r="H2538" s="2" t="inlineStr">
        <x:is>
          <x:t xml:space="preserve">仪器仪表</x:t>
        </x:is>
      </x:c>
      <x:c r="I2538" s="2" t="inlineStr">
        <x:is>
          <x:t xml:space="preserve">2021-12-01</x:t>
        </x:is>
      </x:c>
      <x:c r="J2538" s="3" t="inlineStr">
        <x:is>
          <x:t xml:space="preserve">深圳市宝安区新安街道兴东社区68区安通达工业厂区5栋办公楼1层-4层、4栋厂房3层-4层(一照多址企业)</x:t>
        </x:is>
      </x:c>
      <x:c r="K2538" s="12" t="str">
        <x:f>LEFT("91440300662687585F",18)</x:f>
        <x:v>91440300662687585F</x:v>
      </x:c>
    </x:row>
    <x:row r="2539">
      <x:c r="A2539" s="4" t="n">
        <x:v>2538</x:v>
      </x:c>
      <x:c r="B2539" s="4" t="inlineStr">
        <x:is>
          <x:t xml:space="preserve">688114</x:t>
        </x:is>
      </x:c>
      <x:c r="C2539" s="5" t="inlineStr">
        <x:is>
          <x:t xml:space="preserve">华大智造</x:t>
        </x:is>
      </x:c>
      <x:c r="D2539" s="5" t="inlineStr">
        <x:is>
          <x:t xml:space="preserve">深圳华大智造科技股份有限公司</x:t>
        </x:is>
      </x:c>
      <x:c r="E2539" s="4" t="inlineStr">
        <x:is>
          <x:t xml:space="preserve">广东省</x:t>
        </x:is>
      </x:c>
      <x:c r="F2539" s="4" t="inlineStr">
        <x:is>
          <x:t xml:space="preserve">深圳市</x:t>
        </x:is>
      </x:c>
      <x:c r="G2539" s="5" t="inlineStr">
        <x:is>
          <x:t xml:space="preserve">广东省-深圳市</x:t>
        </x:is>
      </x:c>
      <x:c r="H2539" s="4" t="inlineStr">
        <x:is>
          <x:t xml:space="preserve">医疗器械</x:t>
        </x:is>
      </x:c>
      <x:c r="I2539" s="4" t="inlineStr">
        <x:is>
          <x:t xml:space="preserve">2022-09-09</x:t>
        </x:is>
      </x:c>
      <x:c r="J2539" s="5" t="inlineStr">
        <x:is>
          <x:t xml:space="preserve">深圳市盐田区北山工业区综合楼及11栋2楼</x:t>
        </x:is>
      </x:c>
      <x:c r="K2539" s="12" t="str">
        <x:f>LEFT("91440300341500994L",18)</x:f>
        <x:v>91440300341500994L</x:v>
      </x:c>
    </x:row>
    <x:row r="2540">
      <x:c r="A2540" s="2" t="n">
        <x:v>2539</x:v>
      </x:c>
      <x:c r="B2540" s="2" t="inlineStr">
        <x:is>
          <x:t xml:space="preserve">688115</x:t>
        </x:is>
      </x:c>
      <x:c r="C2540" s="3" t="inlineStr">
        <x:is>
          <x:t xml:space="preserve">思林杰</x:t>
        </x:is>
      </x:c>
      <x:c r="D2540" s="3" t="inlineStr">
        <x:is>
          <x:t xml:space="preserve">广州思林杰科技股份有限公司</x:t>
        </x:is>
      </x:c>
      <x:c r="E2540" s="2" t="inlineStr">
        <x:is>
          <x:t xml:space="preserve">广东省</x:t>
        </x:is>
      </x:c>
      <x:c r="F2540" s="2" t="inlineStr">
        <x:is>
          <x:t xml:space="preserve">广州市</x:t>
        </x:is>
      </x:c>
      <x:c r="G2540" s="3" t="inlineStr">
        <x:is>
          <x:t xml:space="preserve">广东省-广州市</x:t>
        </x:is>
      </x:c>
      <x:c r="H2540" s="2" t="inlineStr">
        <x:is>
          <x:t xml:space="preserve">仪器仪表</x:t>
        </x:is>
      </x:c>
      <x:c r="I2540" s="2" t="inlineStr">
        <x:is>
          <x:t xml:space="preserve">2022-03-14</x:t>
        </x:is>
      </x:c>
      <x:c r="J2540" s="3" t="inlineStr">
        <x:is>
          <x:t xml:space="preserve">广州市番禺区石碁镇创运路6号(自编号1栋厂房)</x:t>
        </x:is>
      </x:c>
      <x:c r="K2540" s="12" t="str">
        <x:f>LEFT("914401137733230476",18)</x:f>
        <x:v>914401137733230500</x:v>
      </x:c>
    </x:row>
    <x:row r="2541">
      <x:c r="A2541" s="4" t="n">
        <x:v>2540</x:v>
      </x:c>
      <x:c r="B2541" s="4" t="inlineStr">
        <x:is>
          <x:t xml:space="preserve">688125</x:t>
        </x:is>
      </x:c>
      <x:c r="C2541" s="5" t="inlineStr">
        <x:is>
          <x:t xml:space="preserve">安达智能</x:t>
        </x:is>
      </x:c>
      <x:c r="D2541" s="5" t="inlineStr">
        <x:is>
          <x:t xml:space="preserve">广东安达智能装备股份有限公司</x:t>
        </x:is>
      </x:c>
      <x:c r="E2541" s="4" t="inlineStr">
        <x:is>
          <x:t xml:space="preserve">广东省</x:t>
        </x:is>
      </x:c>
      <x:c r="F2541" s="4" t="inlineStr">
        <x:is>
          <x:t xml:space="preserve">东莞市</x:t>
        </x:is>
      </x:c>
      <x:c r="G2541" s="5" t="inlineStr">
        <x:is>
          <x:t xml:space="preserve">广东省-东莞市</x:t>
        </x:is>
      </x:c>
      <x:c r="H2541" s="4" t="inlineStr">
        <x:is>
          <x:t xml:space="preserve">专用设备</x:t>
        </x:is>
      </x:c>
      <x:c r="I2541" s="4" t="inlineStr">
        <x:is>
          <x:t xml:space="preserve">2022-04-15</x:t>
        </x:is>
      </x:c>
      <x:c r="J2541" s="5" t="inlineStr">
        <x:is>
          <x:t xml:space="preserve">广东省东莞市寮步镇向西东区路17号</x:t>
        </x:is>
      </x:c>
      <x:c r="K2541" s="12" t="str">
        <x:f>LEFT("91441900673133772K",18)</x:f>
        <x:v>91441900673133772K</x:v>
      </x:c>
    </x:row>
    <x:row r="2542">
      <x:c r="A2542" s="2" t="n">
        <x:v>2541</x:v>
      </x:c>
      <x:c r="B2542" s="2" t="inlineStr">
        <x:is>
          <x:t xml:space="preserve">688128</x:t>
        </x:is>
      </x:c>
      <x:c r="C2542" s="3" t="inlineStr">
        <x:is>
          <x:t xml:space="preserve">中国电研</x:t>
        </x:is>
      </x:c>
      <x:c r="D2542" s="3" t="inlineStr">
        <x:is>
          <x:t xml:space="preserve">中国电器科学研究院股份有限公司</x:t>
        </x:is>
      </x:c>
      <x:c r="E2542" s="2" t="inlineStr">
        <x:is>
          <x:t xml:space="preserve">广东省</x:t>
        </x:is>
      </x:c>
      <x:c r="F2542" s="2" t="inlineStr">
        <x:is>
          <x:t xml:space="preserve">广州市</x:t>
        </x:is>
      </x:c>
      <x:c r="G2542" s="3" t="inlineStr">
        <x:is>
          <x:t xml:space="preserve">广东省-广州市</x:t>
        </x:is>
      </x:c>
      <x:c r="H2542" s="2" t="inlineStr">
        <x:is>
          <x:t xml:space="preserve">专用设备</x:t>
        </x:is>
      </x:c>
      <x:c r="I2542" s="2" t="inlineStr">
        <x:is>
          <x:t xml:space="preserve">2019-11-05</x:t>
        </x:is>
      </x:c>
      <x:c r="J2542" s="3" t="inlineStr">
        <x:is>
          <x:t xml:space="preserve">广州市海珠区新港西路204号第1栋</x:t>
        </x:is>
      </x:c>
      <x:c r="K2542" s="12" t="str">
        <x:f>LEFT("91440101100006899U",18)</x:f>
        <x:v>91440101100006899U</x:v>
      </x:c>
    </x:row>
    <x:row r="2543">
      <x:c r="A2543" s="4" t="n">
        <x:v>2542</x:v>
      </x:c>
      <x:c r="B2543" s="4" t="inlineStr">
        <x:is>
          <x:t xml:space="preserve">688132</x:t>
        </x:is>
      </x:c>
      <x:c r="C2543" s="5" t="inlineStr">
        <x:is>
          <x:t xml:space="preserve">邦彦技术</x:t>
        </x:is>
      </x:c>
      <x:c r="D2543" s="5" t="inlineStr">
        <x:is>
          <x:t xml:space="preserve">邦彦技术股份有限公司</x:t>
        </x:is>
      </x:c>
      <x:c r="E2543" s="4" t="inlineStr">
        <x:is>
          <x:t xml:space="preserve">广东省</x:t>
        </x:is>
      </x:c>
      <x:c r="F2543" s="4" t="inlineStr">
        <x:is>
          <x:t xml:space="preserve">深圳市</x:t>
        </x:is>
      </x:c>
      <x:c r="G2543" s="5" t="inlineStr">
        <x:is>
          <x:t xml:space="preserve">广东省-深圳市</x:t>
        </x:is>
      </x:c>
      <x:c r="H2543" s="4" t="inlineStr">
        <x:is>
          <x:t xml:space="preserve">通信设备</x:t>
        </x:is>
      </x:c>
      <x:c r="I2543" s="4" t="inlineStr">
        <x:is>
          <x:t xml:space="preserve">2022-09-23</x:t>
        </x:is>
      </x:c>
      <x:c r="J2543" s="5" t="inlineStr">
        <x:is>
          <x:t xml:space="preserve">深圳市龙岗区园山街道大康社区志鹤路100号2101(一照多址企业)</x:t>
        </x:is>
      </x:c>
      <x:c r="K2543" s="12" t="str">
        <x:f>LEFT("91440300715288431Q",18)</x:f>
        <x:v>91440300715288431Q</x:v>
      </x:c>
    </x:row>
    <x:row r="2544">
      <x:c r="A2544" s="2" t="n">
        <x:v>2543</x:v>
      </x:c>
      <x:c r="B2544" s="2" t="inlineStr">
        <x:is>
          <x:t xml:space="preserve">688135</x:t>
        </x:is>
      </x:c>
      <x:c r="C2544" s="3" t="inlineStr">
        <x:is>
          <x:t xml:space="preserve">利扬芯片</x:t>
        </x:is>
      </x:c>
      <x:c r="D2544" s="3" t="inlineStr">
        <x:is>
          <x:t xml:space="preserve">广东利扬芯片测试股份有限公司</x:t>
        </x:is>
      </x:c>
      <x:c r="E2544" s="2" t="inlineStr">
        <x:is>
          <x:t xml:space="preserve">广东省</x:t>
        </x:is>
      </x:c>
      <x:c r="F2544" s="2" t="inlineStr">
        <x:is>
          <x:t xml:space="preserve">东莞市</x:t>
        </x:is>
      </x:c>
      <x:c r="G2544" s="3" t="inlineStr">
        <x:is>
          <x:t xml:space="preserve">广东省-东莞市</x:t>
        </x:is>
      </x:c>
      <x:c r="H2544" s="2" t="inlineStr">
        <x:is>
          <x:t xml:space="preserve">半导体</x:t>
        </x:is>
      </x:c>
      <x:c r="I2544" s="2" t="inlineStr">
        <x:is>
          <x:t xml:space="preserve">2020-11-11</x:t>
        </x:is>
      </x:c>
      <x:c r="J2544" s="3" t="inlineStr">
        <x:is>
          <x:t xml:space="preserve">广东省东莞市万江街道莫屋新丰东二路2号</x:t>
        </x:is>
      </x:c>
      <x:c r="K2544" s="12" t="str">
        <x:f>LEFT("91441900551652806P",18)</x:f>
        <x:v>91441900551652806P</x:v>
      </x:c>
    </x:row>
    <x:row r="2545">
      <x:c r="A2545" s="4" t="n">
        <x:v>2544</x:v>
      </x:c>
      <x:c r="B2545" s="4" t="inlineStr">
        <x:is>
          <x:t xml:space="preserve">688138</x:t>
        </x:is>
      </x:c>
      <x:c r="C2545" s="5" t="inlineStr">
        <x:is>
          <x:t xml:space="preserve">清溢光电</x:t>
        </x:is>
      </x:c>
      <x:c r="D2545" s="5" t="inlineStr">
        <x:is>
          <x:t xml:space="preserve">深圳清溢光电股份有限公司</x:t>
        </x:is>
      </x:c>
      <x:c r="E2545" s="4" t="inlineStr">
        <x:is>
          <x:t xml:space="preserve">广东省</x:t>
        </x:is>
      </x:c>
      <x:c r="F2545" s="4" t="inlineStr">
        <x:is>
          <x:t xml:space="preserve">深圳市</x:t>
        </x:is>
      </x:c>
      <x:c r="G2545" s="5" t="inlineStr">
        <x:is>
          <x:t xml:space="preserve">广东省-深圳市</x:t>
        </x:is>
      </x:c>
      <x:c r="H2545" s="4" t="inlineStr">
        <x:is>
          <x:t xml:space="preserve">半导体</x:t>
        </x:is>
      </x:c>
      <x:c r="I2545" s="4" t="inlineStr">
        <x:is>
          <x:t xml:space="preserve">2019-11-20</x:t>
        </x:is>
      </x:c>
      <x:c r="J2545" s="5" t="inlineStr">
        <x:is>
          <x:t xml:space="preserve">深圳市南山区朗山二路北清溢光电大楼</x:t>
        </x:is>
      </x:c>
      <x:c r="K2545" s="12" t="str">
        <x:f>LEFT("91440300618928804G",18)</x:f>
        <x:v>91440300618928804G</x:v>
      </x:c>
    </x:row>
    <x:row r="2546">
      <x:c r="A2546" s="2" t="n">
        <x:v>2545</x:v>
      </x:c>
      <x:c r="B2546" s="2" t="inlineStr">
        <x:is>
          <x:t xml:space="preserve">688148</x:t>
        </x:is>
      </x:c>
      <x:c r="C2546" s="3" t="inlineStr">
        <x:is>
          <x:t xml:space="preserve">芳源股份</x:t>
        </x:is>
      </x:c>
      <x:c r="D2546" s="3" t="inlineStr">
        <x:is>
          <x:t xml:space="preserve">广东芳源新材料集团股份有限公司</x:t>
        </x:is>
      </x:c>
      <x:c r="E2546" s="2" t="inlineStr">
        <x:is>
          <x:t xml:space="preserve">广东省</x:t>
        </x:is>
      </x:c>
      <x:c r="F2546" s="2" t="inlineStr">
        <x:is>
          <x:t xml:space="preserve">江门市</x:t>
        </x:is>
      </x:c>
      <x:c r="G2546" s="3" t="inlineStr">
        <x:is>
          <x:t xml:space="preserve">广东省-江门市</x:t>
        </x:is>
      </x:c>
      <x:c r="H2546" s="2" t="inlineStr">
        <x:is>
          <x:t xml:space="preserve">电池</x:t>
        </x:is>
      </x:c>
      <x:c r="I2546" s="2" t="inlineStr">
        <x:is>
          <x:t xml:space="preserve">2021-08-06</x:t>
        </x:is>
      </x:c>
      <x:c r="J2546" s="3" t="inlineStr">
        <x:is>
          <x:t xml:space="preserve">江门市新会区古井镇万兴路75号(一址多照)</x:t>
        </x:is>
      </x:c>
      <x:c r="K2546" s="12" t="str">
        <x:f>LEFT("91440705739866136J",18)</x:f>
        <x:v>91440705739866136J</x:v>
      </x:c>
    </x:row>
    <x:row r="2547">
      <x:c r="A2547" s="4" t="n">
        <x:v>2546</x:v>
      </x:c>
      <x:c r="B2547" s="4" t="inlineStr">
        <x:is>
          <x:t xml:space="preserve">688159</x:t>
        </x:is>
      </x:c>
      <x:c r="C2547" s="5" t="inlineStr">
        <x:is>
          <x:t xml:space="preserve">有方科技</x:t>
        </x:is>
      </x:c>
      <x:c r="D2547" s="5" t="inlineStr">
        <x:is>
          <x:t xml:space="preserve">深圳市有方科技股份有限公司</x:t>
        </x:is>
      </x:c>
      <x:c r="E2547" s="4" t="inlineStr">
        <x:is>
          <x:t xml:space="preserve">广东省</x:t>
        </x:is>
      </x:c>
      <x:c r="F2547" s="4" t="inlineStr">
        <x:is>
          <x:t xml:space="preserve">深圳市</x:t>
        </x:is>
      </x:c>
      <x:c r="G2547" s="5" t="inlineStr">
        <x:is>
          <x:t xml:space="preserve">广东省-深圳市</x:t>
        </x:is>
      </x:c>
      <x:c r="H2547" s="4" t="inlineStr">
        <x:is>
          <x:t xml:space="preserve">通讯行业</x:t>
        </x:is>
      </x:c>
      <x:c r="I2547" s="4" t="inlineStr">
        <x:is>
          <x:t xml:space="preserve">2020-01-23</x:t>
        </x:is>
      </x:c>
      <x:c r="J2547" s="5" t="inlineStr">
        <x:is>
          <x:t xml:space="preserve">深圳市龙华区民治街道北站社区汇德大厦1号楼4401室</x:t>
        </x:is>
      </x:c>
      <x:c r="K2547" s="12" t="str">
        <x:f>LEFT("91440300793892618P",18)</x:f>
        <x:v>91440300793892618P</x:v>
      </x:c>
    </x:row>
    <x:row r="2548">
      <x:c r="A2548" s="2" t="n">
        <x:v>2547</x:v>
      </x:c>
      <x:c r="B2548" s="2" t="inlineStr">
        <x:is>
          <x:t xml:space="preserve">688171</x:t>
        </x:is>
      </x:c>
      <x:c r="C2548" s="3" t="inlineStr">
        <x:is>
          <x:t xml:space="preserve">纬德信息</x:t>
        </x:is>
      </x:c>
      <x:c r="D2548" s="3" t="inlineStr">
        <x:is>
          <x:t xml:space="preserve">广东纬德信息科技股份有限公司</x:t>
        </x:is>
      </x:c>
      <x:c r="E2548" s="2" t="inlineStr">
        <x:is>
          <x:t xml:space="preserve">广东省</x:t>
        </x:is>
      </x:c>
      <x:c r="F2548" s="2" t="inlineStr">
        <x:is>
          <x:t xml:space="preserve">广州市</x:t>
        </x:is>
      </x:c>
      <x:c r="G2548" s="3" t="inlineStr">
        <x:is>
          <x:t xml:space="preserve">广东省-广州市</x:t>
        </x:is>
      </x:c>
      <x:c r="H2548" s="2" t="inlineStr">
        <x:is>
          <x:t xml:space="preserve">软件开发</x:t>
        </x:is>
      </x:c>
      <x:c r="I2548" s="2" t="inlineStr">
        <x:is>
          <x:t xml:space="preserve">2022-01-27</x:t>
        </x:is>
      </x:c>
      <x:c r="J2548" s="3" t="inlineStr">
        <x:is>
          <x:t xml:space="preserve">广州市黄埔区科学大道182号C1栋401房</x:t>
        </x:is>
      </x:c>
      <x:c r="K2548" s="12" t="str">
        <x:f>LEFT("914401015937304542",18)</x:f>
        <x:v>914401015937304600</x:v>
      </x:c>
    </x:row>
    <x:row r="2549">
      <x:c r="A2549" s="4" t="n">
        <x:v>2548</x:v>
      </x:c>
      <x:c r="B2549" s="4" t="inlineStr">
        <x:is>
          <x:t xml:space="preserve">688173</x:t>
        </x:is>
      </x:c>
      <x:c r="C2549" s="5" t="inlineStr">
        <x:is>
          <x:t xml:space="preserve">希荻微</x:t>
        </x:is>
      </x:c>
      <x:c r="D2549" s="5" t="inlineStr">
        <x:is>
          <x:t xml:space="preserve">希荻微电子集团股份有限公司</x:t>
        </x:is>
      </x:c>
      <x:c r="E2549" s="4" t="inlineStr">
        <x:is>
          <x:t xml:space="preserve">广东省</x:t>
        </x:is>
      </x:c>
      <x:c r="F2549" s="4" t="inlineStr">
        <x:is>
          <x:t xml:space="preserve">佛山市</x:t>
        </x:is>
      </x:c>
      <x:c r="G2549" s="5" t="inlineStr">
        <x:is>
          <x:t xml:space="preserve">广东省-佛山市</x:t>
        </x:is>
      </x:c>
      <x:c r="H2549" s="4" t="inlineStr">
        <x:is>
          <x:t xml:space="preserve">半导体</x:t>
        </x:is>
      </x:c>
      <x:c r="I2549" s="4" t="inlineStr">
        <x:is>
          <x:t xml:space="preserve">2022-01-21</x:t>
        </x:is>
      </x:c>
      <x:c r="J2549" s="5" t="inlineStr">
        <x:is>
          <x:t xml:space="preserve">佛山市南海区桂城街道桂澜北路6号千灯湖创投小镇核心区自编号八座(A8)305-308单元(住所申报)</x:t>
        </x:is>
      </x:c>
      <x:c r="K2549" s="12" t="str">
        <x:f>LEFT("91440605053745575B",18)</x:f>
        <x:v>91440605053745575B</x:v>
      </x:c>
    </x:row>
    <x:row r="2550">
      <x:c r="A2550" s="2" t="n">
        <x:v>2549</x:v>
      </x:c>
      <x:c r="B2550" s="2" t="inlineStr">
        <x:is>
          <x:t xml:space="preserve">688175</x:t>
        </x:is>
      </x:c>
      <x:c r="C2550" s="3" t="inlineStr">
        <x:is>
          <x:t xml:space="preserve">高凌信息</x:t>
        </x:is>
      </x:c>
      <x:c r="D2550" s="3" t="inlineStr">
        <x:is>
          <x:t xml:space="preserve">珠海高凌信息科技股份有限公司</x:t>
        </x:is>
      </x:c>
      <x:c r="E2550" s="2" t="inlineStr">
        <x:is>
          <x:t xml:space="preserve">广东省</x:t>
        </x:is>
      </x:c>
      <x:c r="F2550" s="2" t="inlineStr">
        <x:is>
          <x:t xml:space="preserve">珠海市</x:t>
        </x:is>
      </x:c>
      <x:c r="G2550" s="3" t="inlineStr">
        <x:is>
          <x:t xml:space="preserve">广东省-珠海市</x:t>
        </x:is>
      </x:c>
      <x:c r="H2550" s="2" t="inlineStr">
        <x:is>
          <x:t xml:space="preserve">通信设备</x:t>
        </x:is>
      </x:c>
      <x:c r="I2550" s="2" t="inlineStr">
        <x:is>
          <x:t xml:space="preserve">2022-03-15</x:t>
        </x:is>
      </x:c>
      <x:c r="J2550" s="3" t="inlineStr">
        <x:is>
          <x:t xml:space="preserve">珠海市南屏科技工业园屏东一路一号</x:t>
        </x:is>
      </x:c>
      <x:c r="K2550" s="12" t="str">
        <x:f>LEFT("914404007211055669",18)</x:f>
        <x:v>914404007211055600</x:v>
      </x:c>
    </x:row>
    <x:row r="2551">
      <x:c r="A2551" s="4" t="n">
        <x:v>2550</x:v>
      </x:c>
      <x:c r="B2551" s="4" t="inlineStr">
        <x:is>
          <x:t xml:space="preserve">688177</x:t>
        </x:is>
      </x:c>
      <x:c r="C2551" s="5" t="inlineStr">
        <x:is>
          <x:t xml:space="preserve">百奥泰</x:t>
        </x:is>
      </x:c>
      <x:c r="D2551" s="5" t="inlineStr">
        <x:is>
          <x:t xml:space="preserve">百奥泰生物制药股份有限公司</x:t>
        </x:is>
      </x:c>
      <x:c r="E2551" s="4" t="inlineStr">
        <x:is>
          <x:t xml:space="preserve">广东省</x:t>
        </x:is>
      </x:c>
      <x:c r="F2551" s="4" t="inlineStr">
        <x:is>
          <x:t xml:space="preserve">广州市</x:t>
        </x:is>
      </x:c>
      <x:c r="G2551" s="5" t="inlineStr">
        <x:is>
          <x:t xml:space="preserve">广东省-广州市</x:t>
        </x:is>
      </x:c>
      <x:c r="H2551" s="4" t="inlineStr">
        <x:is>
          <x:t xml:space="preserve">生物制品</x:t>
        </x:is>
      </x:c>
      <x:c r="I2551" s="4" t="inlineStr">
        <x:is>
          <x:t xml:space="preserve">2020-02-21</x:t>
        </x:is>
      </x:c>
      <x:c r="J2551" s="5" t="inlineStr">
        <x:is>
          <x:t xml:space="preserve">广州市黄埔区国际生物岛螺旋二路18号</x:t>
        </x:is>
      </x:c>
      <x:c r="K2551" s="12" t="str">
        <x:f>LEFT("91440116751954446J",18)</x:f>
        <x:v>91440116751954446J</x:v>
      </x:c>
    </x:row>
    <x:row r="2552">
      <x:c r="A2552" s="2" t="n">
        <x:v>2551</x:v>
      </x:c>
      <x:c r="B2552" s="2" t="inlineStr">
        <x:is>
          <x:t xml:space="preserve">688183</x:t>
        </x:is>
      </x:c>
      <x:c r="C2552" s="3" t="inlineStr">
        <x:is>
          <x:t xml:space="preserve">生益电子</x:t>
        </x:is>
      </x:c>
      <x:c r="D2552" s="3" t="inlineStr">
        <x:is>
          <x:t xml:space="preserve">生益电子股份有限公司</x:t>
        </x:is>
      </x:c>
      <x:c r="E2552" s="2" t="inlineStr">
        <x:is>
          <x:t xml:space="preserve">广东省</x:t>
        </x:is>
      </x:c>
      <x:c r="F2552" s="2" t="inlineStr">
        <x:is>
          <x:t xml:space="preserve">东莞市</x:t>
        </x:is>
      </x:c>
      <x:c r="G2552" s="3" t="inlineStr">
        <x:is>
          <x:t xml:space="preserve">广东省-东莞市</x:t>
        </x:is>
      </x:c>
      <x:c r="H2552" s="2" t="inlineStr">
        <x:is>
          <x:t xml:space="preserve">电子元件</x:t>
        </x:is>
      </x:c>
      <x:c r="I2552" s="2" t="inlineStr">
        <x:is>
          <x:t xml:space="preserve">2021-02-25</x:t>
        </x:is>
      </x:c>
      <x:c r="J2552" s="3" t="inlineStr">
        <x:is>
          <x:t xml:space="preserve">东莞市东城区(同沙)科技工业园同振路33号</x:t>
        </x:is>
      </x:c>
      <x:c r="K2552" s="12" t="str">
        <x:f>LEFT("91441900618113146X",18)</x:f>
        <x:v>91441900618113146X</x:v>
      </x:c>
    </x:row>
    <x:row r="2553">
      <x:c r="A2553" s="4" t="n">
        <x:v>2552</x:v>
      </x:c>
      <x:c r="B2553" s="4" t="inlineStr">
        <x:is>
          <x:t xml:space="preserve">688208</x:t>
        </x:is>
      </x:c>
      <x:c r="C2553" s="5" t="inlineStr">
        <x:is>
          <x:t xml:space="preserve">道通科技</x:t>
        </x:is>
      </x:c>
      <x:c r="D2553" s="5" t="inlineStr">
        <x:is>
          <x:t xml:space="preserve">深圳市道通科技股份有限公司</x:t>
        </x:is>
      </x:c>
      <x:c r="E2553" s="4" t="inlineStr">
        <x:is>
          <x:t xml:space="preserve">广东省</x:t>
        </x:is>
      </x:c>
      <x:c r="F2553" s="4" t="inlineStr">
        <x:is>
          <x:t xml:space="preserve">深圳市</x:t>
        </x:is>
      </x:c>
      <x:c r="G2553" s="5" t="inlineStr">
        <x:is>
          <x:t xml:space="preserve">广东省-深圳市</x:t>
        </x:is>
      </x:c>
      <x:c r="H2553" s="4" t="inlineStr">
        <x:is>
          <x:t xml:space="preserve">计算机设备</x:t>
        </x:is>
      </x:c>
      <x:c r="I2553" s="4" t="inlineStr">
        <x:is>
          <x:t xml:space="preserve">2020-02-13</x:t>
        </x:is>
      </x:c>
      <x:c r="J2553" s="5" t="inlineStr">
        <x:is>
          <x:t xml:space="preserve">深圳市南山区西丽街道松坪山社区高新北六道36号彩虹科技大楼二层</x:t>
        </x:is>
      </x:c>
      <x:c r="K2553" s="12" t="str">
        <x:f>LEFT("91440300767550462C",18)</x:f>
        <x:v>91440300767550462C</x:v>
      </x:c>
    </x:row>
    <x:row r="2554">
      <x:c r="A2554" s="2" t="n">
        <x:v>2553</x:v>
      </x:c>
      <x:c r="B2554" s="2" t="inlineStr">
        <x:is>
          <x:t xml:space="preserve">688209</x:t>
        </x:is>
      </x:c>
      <x:c r="C2554" s="3" t="inlineStr">
        <x:is>
          <x:t xml:space="preserve">英集芯</x:t>
        </x:is>
      </x:c>
      <x:c r="D2554" s="3" t="inlineStr">
        <x:is>
          <x:t xml:space="preserve">深圳英集芯科技股份有限公司</x:t>
        </x:is>
      </x:c>
      <x:c r="E2554" s="2" t="inlineStr">
        <x:is>
          <x:t xml:space="preserve">广东省</x:t>
        </x:is>
      </x:c>
      <x:c r="F2554" s="2" t="inlineStr">
        <x:is>
          <x:t xml:space="preserve">深圳市</x:t>
        </x:is>
      </x:c>
      <x:c r="G2554" s="3" t="inlineStr">
        <x:is>
          <x:t xml:space="preserve">广东省-深圳市</x:t>
        </x:is>
      </x:c>
      <x:c r="H2554" s="2" t="inlineStr">
        <x:is>
          <x:t xml:space="preserve">半导体</x:t>
        </x:is>
      </x:c>
      <x:c r="I2554" s="2" t="inlineStr">
        <x:is>
          <x:t xml:space="preserve">2022-04-19</x:t>
        </x:is>
      </x:c>
      <x:c r="J2554" s="3" t="inlineStr">
        <x:is>
          <x:t xml:space="preserve">深圳市南山区西丽街道西丽社区打石一路深圳国际创新谷八栋A座4301</x:t>
        </x:is>
      </x:c>
      <x:c r="K2554" s="12" t="str">
        <x:f>LEFT("914403003196534414",18)</x:f>
        <x:v>914403003196534400</x:v>
      </x:c>
    </x:row>
    <x:row r="2555">
      <x:c r="A2555" s="4" t="n">
        <x:v>2554</x:v>
      </x:c>
      <x:c r="B2555" s="4" t="inlineStr">
        <x:is>
          <x:t xml:space="preserve">688210</x:t>
        </x:is>
      </x:c>
      <x:c r="C2555" s="5" t="inlineStr">
        <x:is>
          <x:t xml:space="preserve">统联精密</x:t>
        </x:is>
      </x:c>
      <x:c r="D2555" s="5" t="inlineStr">
        <x:is>
          <x:t xml:space="preserve">深圳市泛海统联精密制造股份有限公司</x:t>
        </x:is>
      </x:c>
      <x:c r="E2555" s="4" t="inlineStr">
        <x:is>
          <x:t xml:space="preserve">广东省</x:t>
        </x:is>
      </x:c>
      <x:c r="F2555" s="4" t="inlineStr">
        <x:is>
          <x:t xml:space="preserve">深圳市</x:t>
        </x:is>
      </x:c>
      <x:c r="G2555" s="5" t="inlineStr">
        <x:is>
          <x:t xml:space="preserve">广东省-深圳市</x:t>
        </x:is>
      </x:c>
      <x:c r="H2555" s="4" t="inlineStr">
        <x:is>
          <x:t xml:space="preserve">电子元件</x:t>
        </x:is>
      </x:c>
      <x:c r="I2555" s="4" t="inlineStr">
        <x:is>
          <x:t xml:space="preserve">2021-12-27</x:t>
        </x:is>
      </x:c>
      <x:c r="J2555" s="5" t="inlineStr">
        <x:is>
          <x:t xml:space="preserve">深圳市龙华区观湖街道松轩社区环观中路282号厂房四101、B栋一楼、D栋(整栋)</x:t>
        </x:is>
      </x:c>
      <x:c r="K2555" s="12" t="str">
        <x:f>LEFT("91440300MA5DECWG1P",18)</x:f>
        <x:v>91440300MA5DECWG1P</x:v>
      </x:c>
    </x:row>
    <x:row r="2556">
      <x:c r="A2556" s="2" t="n">
        <x:v>2555</x:v>
      </x:c>
      <x:c r="B2556" s="2" t="inlineStr">
        <x:is>
          <x:t xml:space="preserve">688216</x:t>
        </x:is>
      </x:c>
      <x:c r="C2556" s="3" t="inlineStr">
        <x:is>
          <x:t xml:space="preserve">气派科技</x:t>
        </x:is>
      </x:c>
      <x:c r="D2556" s="3" t="inlineStr">
        <x:is>
          <x:t xml:space="preserve">气派科技股份有限公司</x:t>
        </x:is>
      </x:c>
      <x:c r="E2556" s="2" t="inlineStr">
        <x:is>
          <x:t xml:space="preserve">广东省</x:t>
        </x:is>
      </x:c>
      <x:c r="F2556" s="2" t="inlineStr">
        <x:is>
          <x:t xml:space="preserve">深圳市</x:t>
        </x:is>
      </x:c>
      <x:c r="G2556" s="3" t="inlineStr">
        <x:is>
          <x:t xml:space="preserve">广东省-深圳市</x:t>
        </x:is>
      </x:c>
      <x:c r="H2556" s="2" t="inlineStr">
        <x:is>
          <x:t xml:space="preserve">半导体</x:t>
        </x:is>
      </x:c>
      <x:c r="I2556" s="2" t="inlineStr">
        <x:is>
          <x:t xml:space="preserve">2021-06-23</x:t>
        </x:is>
      </x:c>
      <x:c r="J2556" s="3" t="inlineStr">
        <x:is>
          <x:t xml:space="preserve">深圳市龙岗区平湖街道辅城坳社区平龙西路250号1#厂房301-2</x:t>
        </x:is>
      </x:c>
      <x:c r="K2556" s="12" t="str">
        <x:f>LEFT("914403007954196722",18)</x:f>
        <x:v>914403007954196700</x:v>
      </x:c>
    </x:row>
    <x:row r="2557">
      <x:c r="A2557" s="4" t="n">
        <x:v>2556</x:v>
      </x:c>
      <x:c r="B2557" s="4" t="inlineStr">
        <x:is>
          <x:t xml:space="preserve">688227</x:t>
        </x:is>
      </x:c>
      <x:c r="C2557" s="5" t="inlineStr">
        <x:is>
          <x:t xml:space="preserve">品高股份</x:t>
        </x:is>
      </x:c>
      <x:c r="D2557" s="5" t="inlineStr">
        <x:is>
          <x:t xml:space="preserve">广州市品高软件股份有限公司</x:t>
        </x:is>
      </x:c>
      <x:c r="E2557" s="4" t="inlineStr">
        <x:is>
          <x:t xml:space="preserve">广东省</x:t>
        </x:is>
      </x:c>
      <x:c r="F2557" s="4" t="inlineStr">
        <x:is>
          <x:t xml:space="preserve">广州市</x:t>
        </x:is>
      </x:c>
      <x:c r="G2557" s="5" t="inlineStr">
        <x:is>
          <x:t xml:space="preserve">广东省-广州市</x:t>
        </x:is>
      </x:c>
      <x:c r="H2557" s="4" t="inlineStr">
        <x:is>
          <x:t xml:space="preserve">软件开发</x:t>
        </x:is>
      </x:c>
      <x:c r="I2557" s="4" t="inlineStr">
        <x:is>
          <x:t xml:space="preserve">2021-12-30</x:t>
        </x:is>
      </x:c>
      <x:c r="J2557" s="5" t="inlineStr">
        <x:is>
          <x:t xml:space="preserve">广州市天河区思成路45号</x:t>
        </x:is>
      </x:c>
      <x:c r="K2557" s="12" t="str">
        <x:f>LEFT("91440101745973157W",18)</x:f>
        <x:v>91440101745973157W</x:v>
      </x:c>
    </x:row>
    <x:row r="2558">
      <x:c r="A2558" s="2" t="n">
        <x:v>2557</x:v>
      </x:c>
      <x:c r="B2558" s="2" t="inlineStr">
        <x:is>
          <x:t xml:space="preserve">688228</x:t>
        </x:is>
      </x:c>
      <x:c r="C2558" s="3" t="inlineStr">
        <x:is>
          <x:t xml:space="preserve">开普云</x:t>
        </x:is>
      </x:c>
      <x:c r="D2558" s="3" t="inlineStr">
        <x:is>
          <x:t xml:space="preserve">开普云信息科技股份有限公司</x:t>
        </x:is>
      </x:c>
      <x:c r="E2558" s="2" t="inlineStr">
        <x:is>
          <x:t xml:space="preserve">广东省</x:t>
        </x:is>
      </x:c>
      <x:c r="F2558" s="2" t="inlineStr">
        <x:is>
          <x:t xml:space="preserve">东莞市</x:t>
        </x:is>
      </x:c>
      <x:c r="G2558" s="3" t="inlineStr">
        <x:is>
          <x:t xml:space="preserve">广东省-东莞市</x:t>
        </x:is>
      </x:c>
      <x:c r="H2558" s="2" t="inlineStr">
        <x:is>
          <x:t xml:space="preserve">互联网服务</x:t>
        </x:is>
      </x:c>
      <x:c r="I2558" s="2" t="inlineStr">
        <x:is>
          <x:t xml:space="preserve">2020-03-27</x:t>
        </x:is>
      </x:c>
      <x:c r="J2558" s="3" t="inlineStr">
        <x:is>
          <x:t xml:space="preserve">广东省东莞市石龙镇石龙方正中路16号101室</x:t>
        </x:is>
      </x:c>
      <x:c r="K2558" s="12" t="str">
        <x:f>LEFT("91441900725969484E",18)</x:f>
        <x:v>91441900725969484E</x:v>
      </x:c>
    </x:row>
    <x:row r="2559">
      <x:c r="A2559" s="4" t="n">
        <x:v>2558</x:v>
      </x:c>
      <x:c r="B2559" s="4" t="inlineStr">
        <x:is>
          <x:t xml:space="preserve">688248</x:t>
        </x:is>
      </x:c>
      <x:c r="C2559" s="5" t="inlineStr">
        <x:is>
          <x:t xml:space="preserve">南网科技</x:t>
        </x:is>
      </x:c>
      <x:c r="D2559" s="5" t="inlineStr">
        <x:is>
          <x:t xml:space="preserve">南方电网电力科技股份有限公司</x:t>
        </x:is>
      </x:c>
      <x:c r="E2559" s="4" t="inlineStr">
        <x:is>
          <x:t xml:space="preserve">广东省</x:t>
        </x:is>
      </x:c>
      <x:c r="F2559" s="4" t="inlineStr">
        <x:is>
          <x:t xml:space="preserve">广州市</x:t>
        </x:is>
      </x:c>
      <x:c r="G2559" s="5" t="inlineStr">
        <x:is>
          <x:t xml:space="preserve">广东省-广州市</x:t>
        </x:is>
      </x:c>
      <x:c r="H2559" s="4" t="inlineStr">
        <x:is>
          <x:t xml:space="preserve">电网设备</x:t>
        </x:is>
      </x:c>
      <x:c r="I2559" s="4" t="inlineStr">
        <x:is>
          <x:t xml:space="preserve">2021-12-22</x:t>
        </x:is>
      </x:c>
      <x:c r="J2559" s="5" t="inlineStr">
        <x:is>
          <x:t xml:space="preserve">广州市越秀区西华路捶帽新街1-3号华业大厦附楼501-503室</x:t>
        </x:is>
      </x:c>
      <x:c r="K2559" s="12" t="str">
        <x:f>LEFT("91440000190345797E",18)</x:f>
        <x:v>91440000190345797E</x:v>
      </x:c>
    </x:row>
    <x:row r="2560">
      <x:c r="A2560" s="2" t="n">
        <x:v>2559</x:v>
      </x:c>
      <x:c r="B2560" s="2" t="inlineStr">
        <x:is>
          <x:t xml:space="preserve">688252</x:t>
        </x:is>
      </x:c>
      <x:c r="C2560" s="3" t="inlineStr">
        <x:is>
          <x:t xml:space="preserve">天德钰</x:t>
        </x:is>
      </x:c>
      <x:c r="D2560" s="3" t="inlineStr">
        <x:is>
          <x:t xml:space="preserve">深圳天德钰科技股份有限公司</x:t>
        </x:is>
      </x:c>
      <x:c r="E2560" s="2" t="inlineStr">
        <x:is>
          <x:t xml:space="preserve">广东省</x:t>
        </x:is>
      </x:c>
      <x:c r="F2560" s="2" t="inlineStr">
        <x:is>
          <x:t xml:space="preserve">深圳市</x:t>
        </x:is>
      </x:c>
      <x:c r="G2560" s="3" t="inlineStr">
        <x:is>
          <x:t xml:space="preserve">广东省-深圳市</x:t>
        </x:is>
      </x:c>
      <x:c r="H2560" s="2" t="inlineStr">
        <x:is>
          <x:t xml:space="preserve">半导体</x:t>
        </x:is>
      </x:c>
      <x:c r="I2560" s="2" t="inlineStr">
        <x:is>
          <x:t xml:space="preserve">2022-09-27</x:t>
        </x:is>
      </x:c>
      <x:c r="J2560" s="3" t="inlineStr">
        <x:is>
          <x:t xml:space="preserve">深圳市南山区粤海街道高新区社区高新南一道002号飞亚达科技大厦9楼901</x:t>
        </x:is>
      </x:c>
      <x:c r="K2560" s="12" t="str">
        <x:f>LEFT("91440300559896936P",18)</x:f>
        <x:v>91440300559896936P</x:v>
      </x:c>
    </x:row>
    <x:row r="2561">
      <x:c r="A2561" s="4" t="n">
        <x:v>2560</x:v>
      </x:c>
      <x:c r="B2561" s="4" t="inlineStr">
        <x:is>
          <x:t xml:space="preserve">688268</x:t>
        </x:is>
      </x:c>
      <x:c r="C2561" s="5" t="inlineStr">
        <x:is>
          <x:t xml:space="preserve">华特气体</x:t>
        </x:is>
      </x:c>
      <x:c r="D2561" s="5" t="inlineStr">
        <x:is>
          <x:t xml:space="preserve">广东华特气体股份有限公司</x:t>
        </x:is>
      </x:c>
      <x:c r="E2561" s="4" t="inlineStr">
        <x:is>
          <x:t xml:space="preserve">广东省</x:t>
        </x:is>
      </x:c>
      <x:c r="F2561" s="4" t="inlineStr">
        <x:is>
          <x:t xml:space="preserve">佛山市</x:t>
        </x:is>
      </x:c>
      <x:c r="G2561" s="5" t="inlineStr">
        <x:is>
          <x:t xml:space="preserve">广东省-佛山市</x:t>
        </x:is>
      </x:c>
      <x:c r="H2561" s="4" t="inlineStr">
        <x:is>
          <x:t xml:space="preserve">电子化学品</x:t>
        </x:is>
      </x:c>
      <x:c r="I2561" s="4" t="inlineStr">
        <x:is>
          <x:t xml:space="preserve">2019-12-26</x:t>
        </x:is>
      </x:c>
      <x:c r="J2561" s="5" t="inlineStr">
        <x:is>
          <x:t xml:space="preserve">佛山市南海区里水镇和顺逢西村文头岭脚东侧</x:t>
        </x:is>
      </x:c>
      <x:c r="K2561" s="12" t="str">
        <x:f>LEFT("914406007081188568",18)</x:f>
        <x:v>914406007081188600</x:v>
      </x:c>
    </x:row>
    <x:row r="2562">
      <x:c r="A2562" s="2" t="n">
        <x:v>2561</x:v>
      </x:c>
      <x:c r="B2562" s="2" t="inlineStr">
        <x:is>
          <x:t xml:space="preserve">688279</x:t>
        </x:is>
      </x:c>
      <x:c r="C2562" s="3" t="inlineStr">
        <x:is>
          <x:t xml:space="preserve">峰岹科技</x:t>
        </x:is>
      </x:c>
      <x:c r="D2562" s="3" t="inlineStr">
        <x:is>
          <x:t xml:space="preserve">峰岹科技(深圳)股份有限公司</x:t>
        </x:is>
      </x:c>
      <x:c r="E2562" s="2" t="inlineStr">
        <x:is>
          <x:t xml:space="preserve">广东省</x:t>
        </x:is>
      </x:c>
      <x:c r="F2562" s="2" t="inlineStr">
        <x:is>
          <x:t xml:space="preserve">深圳市</x:t>
        </x:is>
      </x:c>
      <x:c r="G2562" s="3" t="inlineStr">
        <x:is>
          <x:t xml:space="preserve">广东省-深圳市</x:t>
        </x:is>
      </x:c>
      <x:c r="H2562" s="2" t="inlineStr">
        <x:is>
          <x:t xml:space="preserve">半导体</x:t>
        </x:is>
      </x:c>
      <x:c r="I2562" s="2" t="inlineStr">
        <x:is>
          <x:t xml:space="preserve">2022-04-20</x:t>
        </x:is>
      </x:c>
      <x:c r="J2562" s="3" t="inlineStr">
        <x:is>
          <x:t xml:space="preserve">深圳市南山区高新中区科技中2路1号深圳软件园(2期)11栋203室</x:t>
        </x:is>
      </x:c>
      <x:c r="K2562" s="12" t="str">
        <x:f>LEFT("91440300553888564F",18)</x:f>
        <x:v>91440300553888564F</x:v>
      </x:c>
    </x:row>
    <x:row r="2563">
      <x:c r="A2563" s="4" t="n">
        <x:v>2562</x:v>
      </x:c>
      <x:c r="B2563" s="4" t="inlineStr">
        <x:is>
          <x:t xml:space="preserve">688312</x:t>
        </x:is>
      </x:c>
      <x:c r="C2563" s="5" t="inlineStr">
        <x:is>
          <x:t xml:space="preserve">燕麦科技</x:t>
        </x:is>
      </x:c>
      <x:c r="D2563" s="5" t="inlineStr">
        <x:is>
          <x:t xml:space="preserve">深圳市燕麦科技股份有限公司</x:t>
        </x:is>
      </x:c>
      <x:c r="E2563" s="4" t="inlineStr">
        <x:is>
          <x:t xml:space="preserve">广东省</x:t>
        </x:is>
      </x:c>
      <x:c r="F2563" s="4" t="inlineStr">
        <x:is>
          <x:t xml:space="preserve">深圳市</x:t>
        </x:is>
      </x:c>
      <x:c r="G2563" s="5" t="inlineStr">
        <x:is>
          <x:t xml:space="preserve">广东省-深圳市</x:t>
        </x:is>
      </x:c>
      <x:c r="H2563" s="4" t="inlineStr">
        <x:is>
          <x:t xml:space="preserve">专用设备</x:t>
        </x:is>
      </x:c>
      <x:c r="I2563" s="4" t="inlineStr">
        <x:is>
          <x:t xml:space="preserve">2020-06-08</x:t>
        </x:is>
      </x:c>
      <x:c r="J2563" s="5" t="inlineStr">
        <x:is>
          <x:t xml:space="preserve">深圳市光明区凤凰街道凤凰社区观光路招商局光明科技园A1A2栋A2栋308</x:t>
        </x:is>
      </x:c>
      <x:c r="K2563" s="12" t="str">
        <x:f>LEFT("914403005918717714",18)</x:f>
        <x:v>914403005918717700</x:v>
      </x:c>
    </x:row>
    <x:row r="2564">
      <x:c r="A2564" s="2" t="n">
        <x:v>2563</x:v>
      </x:c>
      <x:c r="B2564" s="2" t="inlineStr">
        <x:is>
          <x:t xml:space="preserve">688318</x:t>
        </x:is>
      </x:c>
      <x:c r="C2564" s="3" t="inlineStr">
        <x:is>
          <x:t xml:space="preserve">财富趋势</x:t>
        </x:is>
      </x:c>
      <x:c r="D2564" s="3" t="inlineStr">
        <x:is>
          <x:t xml:space="preserve">深圳市财富趋势科技股份有限公司</x:t>
        </x:is>
      </x:c>
      <x:c r="E2564" s="2" t="inlineStr">
        <x:is>
          <x:t xml:space="preserve">广东省</x:t>
        </x:is>
      </x:c>
      <x:c r="F2564" s="2" t="inlineStr">
        <x:is>
          <x:t xml:space="preserve">深圳市</x:t>
        </x:is>
      </x:c>
      <x:c r="G2564" s="3" t="inlineStr">
        <x:is>
          <x:t xml:space="preserve">广东省-深圳市</x:t>
        </x:is>
      </x:c>
      <x:c r="H2564" s="2" t="inlineStr">
        <x:is>
          <x:t xml:space="preserve">软件服务</x:t>
        </x:is>
      </x:c>
      <x:c r="I2564" s="2" t="inlineStr">
        <x:is>
          <x:t xml:space="preserve">2020-04-27</x:t>
        </x:is>
      </x:c>
      <x:c r="J2564" s="3" t="inlineStr">
        <x:is>
          <x:t xml:space="preserve">深圳市福田区梅林街道梅都社区中康路136号深圳新一代产业园5栋1801</x:t>
        </x:is>
      </x:c>
      <x:c r="K2564" s="12" t="str">
        <x:f>LEFT("91440300797975760B",18)</x:f>
        <x:v>91440300797975760B</x:v>
      </x:c>
    </x:row>
    <x:row r="2565">
      <x:c r="A2565" s="4" t="n">
        <x:v>2564</x:v>
      </x:c>
      <x:c r="B2565" s="4" t="inlineStr">
        <x:is>
          <x:t xml:space="preserve">688321</x:t>
        </x:is>
      </x:c>
      <x:c r="C2565" s="5" t="inlineStr">
        <x:is>
          <x:t xml:space="preserve">微芯生物</x:t>
        </x:is>
      </x:c>
      <x:c r="D2565" s="5" t="inlineStr">
        <x:is>
          <x:t xml:space="preserve">深圳微芯生物科技股份有限公司</x:t>
        </x:is>
      </x:c>
      <x:c r="E2565" s="4" t="inlineStr">
        <x:is>
          <x:t xml:space="preserve">广东省</x:t>
        </x:is>
      </x:c>
      <x:c r="F2565" s="4" t="inlineStr">
        <x:is>
          <x:t xml:space="preserve">深圳市</x:t>
        </x:is>
      </x:c>
      <x:c r="G2565" s="5" t="inlineStr">
        <x:is>
          <x:t xml:space="preserve">广东省-深圳市</x:t>
        </x:is>
      </x:c>
      <x:c r="H2565" s="4" t="inlineStr">
        <x:is>
          <x:t xml:space="preserve">医药制造</x:t>
        </x:is>
      </x:c>
      <x:c r="I2565" s="4" t="inlineStr">
        <x:is>
          <x:t xml:space="preserve">2019-08-12</x:t>
        </x:is>
      </x:c>
      <x:c r="J2565" s="5" t="inlineStr">
        <x:is>
          <x:t xml:space="preserve">深圳市南山区西丽街道曙光社区智谷产业园B栋21F-24F</x:t>
        </x:is>
      </x:c>
      <x:c r="K2565" s="12" t="str">
        <x:f>LEFT("914403007261803032",18)</x:f>
        <x:v>914403007261803000</x:v>
      </x:c>
    </x:row>
    <x:row r="2566">
      <x:c r="A2566" s="2" t="n">
        <x:v>2565</x:v>
      </x:c>
      <x:c r="B2566" s="2" t="inlineStr">
        <x:is>
          <x:t xml:space="preserve">688322</x:t>
        </x:is>
      </x:c>
      <x:c r="C2566" s="3" t="inlineStr">
        <x:is>
          <x:t xml:space="preserve">奥比中光</x:t>
        </x:is>
      </x:c>
      <x:c r="D2566" s="3" t="inlineStr">
        <x:is>
          <x:t xml:space="preserve">奥比中光科技集团股份有限公司</x:t>
        </x:is>
      </x:c>
      <x:c r="E2566" s="2" t="inlineStr">
        <x:is>
          <x:t xml:space="preserve">广东省</x:t>
        </x:is>
      </x:c>
      <x:c r="F2566" s="2" t="inlineStr">
        <x:is>
          <x:t xml:space="preserve">深圳市</x:t>
        </x:is>
      </x:c>
      <x:c r="G2566" s="3" t="inlineStr">
        <x:is>
          <x:t xml:space="preserve">广东省-深圳市</x:t>
        </x:is>
      </x:c>
      <x:c r="H2566" s="2" t="inlineStr">
        <x:is>
          <x:t xml:space="preserve">电子元件</x:t>
        </x:is>
      </x:c>
      <x:c r="I2566" s="2" t="inlineStr">
        <x:is>
          <x:t xml:space="preserve">2022-07-07</x:t>
        </x:is>
      </x:c>
      <x:c r="J2566" s="3" t="inlineStr">
        <x:is>
          <x:t xml:space="preserve">深圳市南山区西丽街道松坪山社区高新北一道88号奥比科技大厦2001</x:t>
        </x:is>
      </x:c>
      <x:c r="K2566" s="12" t="str">
        <x:f>LEFT("91440300061436270G",18)</x:f>
        <x:v>91440300061436270G</x:v>
      </x:c>
    </x:row>
    <x:row r="2567">
      <x:c r="A2567" s="4" t="n">
        <x:v>2566</x:v>
      </x:c>
      <x:c r="B2567" s="4" t="inlineStr">
        <x:is>
          <x:t xml:space="preserve">688323</x:t>
        </x:is>
      </x:c>
      <x:c r="C2567" s="5" t="inlineStr">
        <x:is>
          <x:t xml:space="preserve">瑞华泰</x:t>
        </x:is>
      </x:c>
      <x:c r="D2567" s="5" t="inlineStr">
        <x:is>
          <x:t xml:space="preserve">深圳瑞华泰薄膜科技股份有限公司</x:t>
        </x:is>
      </x:c>
      <x:c r="E2567" s="4" t="inlineStr">
        <x:is>
          <x:t xml:space="preserve">广东省</x:t>
        </x:is>
      </x:c>
      <x:c r="F2567" s="4" t="inlineStr">
        <x:is>
          <x:t xml:space="preserve">深圳市</x:t>
        </x:is>
      </x:c>
      <x:c r="G2567" s="5" t="inlineStr">
        <x:is>
          <x:t xml:space="preserve">广东省-深圳市</x:t>
        </x:is>
      </x:c>
      <x:c r="H2567" s="4" t="inlineStr">
        <x:is>
          <x:t xml:space="preserve">塑胶制品</x:t>
        </x:is>
      </x:c>
      <x:c r="I2567" s="4" t="inlineStr">
        <x:is>
          <x:t xml:space="preserve">2021-04-28</x:t>
        </x:is>
      </x:c>
      <x:c r="J2567" s="5" t="inlineStr">
        <x:is>
          <x:t xml:space="preserve">深圳市宝安区松岗街道办华美工业园</x:t>
        </x:is>
      </x:c>
      <x:c r="K2567" s="12" t="str">
        <x:f>LEFT("9144030076757494XN",18)</x:f>
        <x:v>9144030076757494XN</x:v>
      </x:c>
    </x:row>
    <x:row r="2568">
      <x:c r="A2568" s="2" t="n">
        <x:v>2567</x:v>
      </x:c>
      <x:c r="B2568" s="2" t="inlineStr">
        <x:is>
          <x:t xml:space="preserve">688325</x:t>
        </x:is>
      </x:c>
      <x:c r="C2568" s="3" t="inlineStr">
        <x:is>
          <x:t xml:space="preserve">赛微微电</x:t>
        </x:is>
      </x:c>
      <x:c r="D2568" s="3" t="inlineStr">
        <x:is>
          <x:t xml:space="preserve">广东赛微微电子股份有限公司</x:t>
        </x:is>
      </x:c>
      <x:c r="E2568" s="2" t="inlineStr">
        <x:is>
          <x:t xml:space="preserve">广东省</x:t>
        </x:is>
      </x:c>
      <x:c r="F2568" s="2" t="inlineStr">
        <x:is>
          <x:t xml:space="preserve">东莞市</x:t>
        </x:is>
      </x:c>
      <x:c r="G2568" s="3" t="inlineStr">
        <x:is>
          <x:t xml:space="preserve">广东省-东莞市</x:t>
        </x:is>
      </x:c>
      <x:c r="H2568" s="2" t="inlineStr">
        <x:is>
          <x:t xml:space="preserve">半导体</x:t>
        </x:is>
      </x:c>
      <x:c r="I2568" s="2" t="inlineStr">
        <x:is>
          <x:t xml:space="preserve">2022-04-22</x:t>
        </x:is>
      </x:c>
      <x:c r="J2568" s="3" t="inlineStr">
        <x:is>
          <x:t xml:space="preserve">广东省东莞市松山湖园区科技十路2号56栋</x:t>
        </x:is>
      </x:c>
      <x:c r="K2568" s="12" t="str">
        <x:f>LEFT("91441900696449139L",18)</x:f>
        <x:v>91441900696449139L</x:v>
      </x:c>
    </x:row>
    <x:row r="2569">
      <x:c r="A2569" s="4" t="n">
        <x:v>2568</x:v>
      </x:c>
      <x:c r="B2569" s="4" t="inlineStr">
        <x:is>
          <x:t xml:space="preserve">688327</x:t>
        </x:is>
      </x:c>
      <x:c r="C2569" s="5" t="inlineStr">
        <x:is>
          <x:t xml:space="preserve">云从科技</x:t>
        </x:is>
      </x:c>
      <x:c r="D2569" s="5" t="inlineStr">
        <x:is>
          <x:t xml:space="preserve">云从科技集团股份有限公司</x:t>
        </x:is>
      </x:c>
      <x:c r="E2569" s="4" t="inlineStr">
        <x:is>
          <x:t xml:space="preserve">广东省</x:t>
        </x:is>
      </x:c>
      <x:c r="F2569" s="4" t="inlineStr">
        <x:is>
          <x:t xml:space="preserve">广州市</x:t>
        </x:is>
      </x:c>
      <x:c r="G2569" s="5" t="inlineStr">
        <x:is>
          <x:t xml:space="preserve">广东省-广州市</x:t>
        </x:is>
      </x:c>
      <x:c r="H2569" s="4" t="inlineStr">
        <x:is>
          <x:t xml:space="preserve">软件开发</x:t>
        </x:is>
      </x:c>
      <x:c r="I2569" s="4" t="inlineStr">
        <x:is>
          <x:t xml:space="preserve">2022-05-27</x:t>
        </x:is>
      </x:c>
      <x:c r="J2569" s="5" t="inlineStr">
        <x:is>
          <x:t xml:space="preserve">广州市南沙区南沙街金隆路37号501房</x:t>
        </x:is>
      </x:c>
      <x:c r="K2569" s="12" t="str">
        <x:f>LEFT("914401153314442716",18)</x:f>
        <x:v>914401153314442800</x:v>
      </x:c>
    </x:row>
    <x:row r="2570">
      <x:c r="A2570" s="2" t="n">
        <x:v>2569</x:v>
      </x:c>
      <x:c r="B2570" s="2" t="inlineStr">
        <x:is>
          <x:t xml:space="preserve">688328</x:t>
        </x:is>
      </x:c>
      <x:c r="C2570" s="3" t="inlineStr">
        <x:is>
          <x:t xml:space="preserve">深科达</x:t>
        </x:is>
      </x:c>
      <x:c r="D2570" s="3" t="inlineStr">
        <x:is>
          <x:t xml:space="preserve">深圳市深科达智能装备股份有限公司</x:t>
        </x:is>
      </x:c>
      <x:c r="E2570" s="2" t="inlineStr">
        <x:is>
          <x:t xml:space="preserve">广东省</x:t>
        </x:is>
      </x:c>
      <x:c r="F2570" s="2" t="inlineStr">
        <x:is>
          <x:t xml:space="preserve">深圳市</x:t>
        </x:is>
      </x:c>
      <x:c r="G2570" s="3" t="inlineStr">
        <x:is>
          <x:t xml:space="preserve">广东省-深圳市</x:t>
        </x:is>
      </x:c>
      <x:c r="H2570" s="2" t="inlineStr">
        <x:is>
          <x:t xml:space="preserve">专用设备</x:t>
        </x:is>
      </x:c>
      <x:c r="I2570" s="2" t="inlineStr">
        <x:is>
          <x:t xml:space="preserve">2021-03-09</x:t>
        </x:is>
      </x:c>
      <x:c r="J2570" s="3" t="inlineStr">
        <x:is>
          <x:t xml:space="preserve">深圳市宝安区西乡街道龙腾社区汇智研发中心BC座B1001</x:t>
        </x:is>
      </x:c>
      <x:c r="K2570" s="12" t="str">
        <x:f>LEFT("91440300763466749Q",18)</x:f>
        <x:v>91440300763466749Q</x:v>
      </x:c>
    </x:row>
    <x:row r="2571">
      <x:c r="A2571" s="4" t="n">
        <x:v>2570</x:v>
      </x:c>
      <x:c r="B2571" s="4" t="inlineStr">
        <x:is>
          <x:t xml:space="preserve">688332</x:t>
        </x:is>
      </x:c>
      <x:c r="C2571" s="5" t="inlineStr">
        <x:is>
          <x:t xml:space="preserve">中科蓝讯</x:t>
        </x:is>
      </x:c>
      <x:c r="D2571" s="5" t="inlineStr">
        <x:is>
          <x:t xml:space="preserve">深圳市中科蓝讯科技股份有限公司</x:t>
        </x:is>
      </x:c>
      <x:c r="E2571" s="4" t="inlineStr">
        <x:is>
          <x:t xml:space="preserve">广东省</x:t>
        </x:is>
      </x:c>
      <x:c r="F2571" s="4" t="inlineStr">
        <x:is>
          <x:t xml:space="preserve">深圳市</x:t>
        </x:is>
      </x:c>
      <x:c r="G2571" s="5" t="inlineStr">
        <x:is>
          <x:t xml:space="preserve">广东省-深圳市</x:t>
        </x:is>
      </x:c>
      <x:c r="H2571" s="4" t="inlineStr">
        <x:is>
          <x:t xml:space="preserve">半导体</x:t>
        </x:is>
      </x:c>
      <x:c r="I2571" s="4" t="inlineStr">
        <x:is>
          <x:t xml:space="preserve">2022-07-15</x:t>
        </x:is>
      </x:c>
      <x:c r="J2571" s="5" t="inlineStr">
        <x:is>
          <x:t xml:space="preserve">深圳市南山区沙河街道高发社区侨香路4068号智慧广场A栋1301-1</x:t>
        </x:is>
      </x:c>
      <x:c r="K2571" s="12" t="str">
        <x:f>LEFT("91440300MA5DQWK984",18)</x:f>
        <x:v>91440300MA5DQWK984</x:v>
      </x:c>
    </x:row>
    <x:row r="2572">
      <x:c r="A2572" s="2" t="n">
        <x:v>2571</x:v>
      </x:c>
      <x:c r="B2572" s="2" t="inlineStr">
        <x:is>
          <x:t xml:space="preserve">688343</x:t>
        </x:is>
      </x:c>
      <x:c r="C2572" s="3" t="inlineStr">
        <x:is>
          <x:t xml:space="preserve">云天励飞</x:t>
        </x:is>
      </x:c>
      <x:c r="D2572" s="3" t="inlineStr">
        <x:is>
          <x:t xml:space="preserve">深圳云天励飞技术股份有限公司</x:t>
        </x:is>
      </x:c>
      <x:c r="E2572" s="2" t="inlineStr">
        <x:is>
          <x:t xml:space="preserve">广东省</x:t>
        </x:is>
      </x:c>
      <x:c r="F2572" s="2" t="inlineStr">
        <x:is>
          <x:t xml:space="preserve">深圳市</x:t>
        </x:is>
      </x:c>
      <x:c r="G2572" s="3" t="inlineStr">
        <x:is>
          <x:t xml:space="preserve">广东省-深圳市</x:t>
        </x:is>
      </x:c>
      <x:c r="H2572" s="2" t="inlineStr">
        <x:is>
          <x:t xml:space="preserve">软件开发</x:t>
        </x:is>
      </x:c>
      <x:c r="I2572" s="2" t="inlineStr">
        <x:is>
          <x:t xml:space="preserve">2023-04-04</x:t>
        </x:is>
      </x:c>
      <x:c r="J2572" s="3" t="inlineStr">
        <x:is>
          <x:t xml:space="preserve">深圳市龙岗区园山街道荷坳社区龙岗大道8288号大运软件小镇36栋4F05(在深圳市龙岗区龙岗街道龙城大道29号龙年大厦1701处设有经营场所从事经营活动)</x:t>
        </x:is>
      </x:c>
      <x:c r="K2572" s="12" t="str">
        <x:f>LEFT("9144030031203308XX",18)</x:f>
        <x:v>9144030031203308XX</x:v>
      </x:c>
    </x:row>
    <x:row r="2573">
      <x:c r="A2573" s="4" t="n">
        <x:v>2572</x:v>
      </x:c>
      <x:c r="B2573" s="4" t="inlineStr">
        <x:is>
          <x:t xml:space="preserve">688345</x:t>
        </x:is>
      </x:c>
      <x:c r="C2573" s="5" t="inlineStr">
        <x:is>
          <x:t xml:space="preserve">博力威</x:t>
        </x:is>
      </x:c>
      <x:c r="D2573" s="5" t="inlineStr">
        <x:is>
          <x:t xml:space="preserve">广东博力威科技股份有限公司</x:t>
        </x:is>
      </x:c>
      <x:c r="E2573" s="4" t="inlineStr">
        <x:is>
          <x:t xml:space="preserve">广东省</x:t>
        </x:is>
      </x:c>
      <x:c r="F2573" s="4" t="inlineStr">
        <x:is>
          <x:t xml:space="preserve">东莞市</x:t>
        </x:is>
      </x:c>
      <x:c r="G2573" s="5" t="inlineStr">
        <x:is>
          <x:t xml:space="preserve">广东省-东莞市</x:t>
        </x:is>
      </x:c>
      <x:c r="H2573" s="4" t="inlineStr">
        <x:is>
          <x:t xml:space="preserve">电池</x:t>
        </x:is>
      </x:c>
      <x:c r="I2573" s="4" t="inlineStr">
        <x:is>
          <x:t xml:space="preserve">2021-06-11</x:t>
        </x:is>
      </x:c>
      <x:c r="J2573" s="5" t="inlineStr">
        <x:is>
          <x:t xml:space="preserve">广东省东莞市东城街道同沙同欢路6号</x:t>
        </x:is>
      </x:c>
      <x:c r="K2573" s="12" t="str">
        <x:f>LEFT("91441900553613624W",18)</x:f>
        <x:v>91441900553613624W</x:v>
      </x:c>
    </x:row>
    <x:row r="2574">
      <x:c r="A2574" s="2" t="n">
        <x:v>2573</x:v>
      </x:c>
      <x:c r="B2574" s="2" t="inlineStr">
        <x:is>
          <x:t xml:space="preserve">688359</x:t>
        </x:is>
      </x:c>
      <x:c r="C2574" s="3" t="inlineStr">
        <x:is>
          <x:t xml:space="preserve">三孚新科</x:t>
        </x:is>
      </x:c>
      <x:c r="D2574" s="3" t="inlineStr">
        <x:is>
          <x:t xml:space="preserve">广州三孚新材料科技股份有限公司</x:t>
        </x:is>
      </x:c>
      <x:c r="E2574" s="2" t="inlineStr">
        <x:is>
          <x:t xml:space="preserve">广东省</x:t>
        </x:is>
      </x:c>
      <x:c r="F2574" s="2" t="inlineStr">
        <x:is>
          <x:t xml:space="preserve">广州市</x:t>
        </x:is>
      </x:c>
      <x:c r="G2574" s="3" t="inlineStr">
        <x:is>
          <x:t xml:space="preserve">广东省-广州市</x:t>
        </x:is>
      </x:c>
      <x:c r="H2574" s="2" t="inlineStr">
        <x:is>
          <x:t xml:space="preserve">电子化学品</x:t>
        </x:is>
      </x:c>
      <x:c r="I2574" s="2" t="inlineStr">
        <x:is>
          <x:t xml:space="preserve">2021-05-21</x:t>
        </x:is>
      </x:c>
      <x:c r="J2574" s="3" t="inlineStr">
        <x:is>
          <x:t xml:space="preserve">广州市中新广州知识城凤凰三横路57号</x:t>
        </x:is>
      </x:c>
      <x:c r="K2574" s="12" t="str">
        <x:f>LEFT("91440101687668153E",18)</x:f>
        <x:v>91440101687668153E</x:v>
      </x:c>
    </x:row>
    <x:row r="2575">
      <x:c r="A2575" s="4" t="n">
        <x:v>2574</x:v>
      </x:c>
      <x:c r="B2575" s="4" t="inlineStr">
        <x:is>
          <x:t xml:space="preserve">688361</x:t>
        </x:is>
      </x:c>
      <x:c r="C2575" s="5" t="inlineStr">
        <x:is>
          <x:t xml:space="preserve">中科飞测</x:t>
        </x:is>
      </x:c>
      <x:c r="D2575" s="5" t="inlineStr">
        <x:is>
          <x:t xml:space="preserve">深圳中科飞测科技股份有限公司</x:t>
        </x:is>
      </x:c>
      <x:c r="E2575" s="4" t="inlineStr">
        <x:is>
          <x:t xml:space="preserve">广东省</x:t>
        </x:is>
      </x:c>
      <x:c r="F2575" s="4" t="inlineStr">
        <x:is>
          <x:t xml:space="preserve">深圳市</x:t>
        </x:is>
      </x:c>
      <x:c r="G2575" s="5" t="inlineStr">
        <x:is>
          <x:t xml:space="preserve">广东省-深圳市</x:t>
        </x:is>
      </x:c>
      <x:c r="H2575" s="4" t="inlineStr">
        <x:is>
          <x:t xml:space="preserve">半导体</x:t>
        </x:is>
      </x:c>
      <x:c r="I2575" s="4" t="inlineStr">
        <x:is>
          <x:t xml:space="preserve">2023-05-19</x:t>
        </x:is>
      </x:c>
      <x:c r="J2575" s="5" t="inlineStr">
        <x:is>
          <x:t xml:space="preserve">深圳市龙华区观澜街道新澜社区观光路1301-14号101、102</x:t>
        </x:is>
      </x:c>
      <x:c r="K2575" s="12" t="str">
        <x:f>LEFT("91440300326333171E",18)</x:f>
        <x:v>91440300326333171E</x:v>
      </x:c>
    </x:row>
    <x:row r="2576">
      <x:c r="A2576" s="2" t="n">
        <x:v>2575</x:v>
      </x:c>
      <x:c r="B2576" s="2" t="inlineStr">
        <x:is>
          <x:t xml:space="preserve">688380</x:t>
        </x:is>
      </x:c>
      <x:c r="C2576" s="3" t="inlineStr">
        <x:is>
          <x:t xml:space="preserve">中微半导</x:t>
        </x:is>
      </x:c>
      <x:c r="D2576" s="3" t="inlineStr">
        <x:is>
          <x:t xml:space="preserve">中微半导体(深圳)股份有限公司</x:t>
        </x:is>
      </x:c>
      <x:c r="E2576" s="2" t="inlineStr">
        <x:is>
          <x:t xml:space="preserve">广东省</x:t>
        </x:is>
      </x:c>
      <x:c r="F2576" s="2" t="inlineStr">
        <x:is>
          <x:t xml:space="preserve">深圳市</x:t>
        </x:is>
      </x:c>
      <x:c r="G2576" s="3" t="inlineStr">
        <x:is>
          <x:t xml:space="preserve">广东省-深圳市</x:t>
        </x:is>
      </x:c>
      <x:c r="H2576" s="2" t="inlineStr">
        <x:is>
          <x:t xml:space="preserve">半导体</x:t>
        </x:is>
      </x:c>
      <x:c r="I2576" s="2" t="inlineStr">
        <x:is>
          <x:t xml:space="preserve">2022-08-05</x:t>
        </x:is>
      </x:c>
      <x:c r="J2576" s="3" t="inlineStr">
        <x:is>
          <x:t xml:space="preserve">深圳市前海深港合作区南山街道桂湾三路91号景兴海上大厦2101</x:t>
        </x:is>
      </x:c>
      <x:c r="K2576" s="12" t="str">
        <x:f>LEFT("914403007298568314",18)</x:f>
        <x:v>914403007298568300</x:v>
      </x:c>
    </x:row>
    <x:row r="2577">
      <x:c r="A2577" s="4" t="n">
        <x:v>2576</x:v>
      </x:c>
      <x:c r="B2577" s="4" t="inlineStr">
        <x:is>
          <x:t xml:space="preserve">688383</x:t>
        </x:is>
      </x:c>
      <x:c r="C2577" s="5" t="inlineStr">
        <x:is>
          <x:t xml:space="preserve">新益昌</x:t>
        </x:is>
      </x:c>
      <x:c r="D2577" s="5" t="inlineStr">
        <x:is>
          <x:t xml:space="preserve">深圳新益昌科技股份有限公司</x:t>
        </x:is>
      </x:c>
      <x:c r="E2577" s="4" t="inlineStr">
        <x:is>
          <x:t xml:space="preserve">广东省</x:t>
        </x:is>
      </x:c>
      <x:c r="F2577" s="4" t="inlineStr">
        <x:is>
          <x:t xml:space="preserve">深圳市</x:t>
        </x:is>
      </x:c>
      <x:c r="G2577" s="5" t="inlineStr">
        <x:is>
          <x:t xml:space="preserve">广东省-深圳市</x:t>
        </x:is>
      </x:c>
      <x:c r="H2577" s="4" t="inlineStr">
        <x:is>
          <x:t xml:space="preserve">专用设备</x:t>
        </x:is>
      </x:c>
      <x:c r="I2577" s="4" t="inlineStr">
        <x:is>
          <x:t xml:space="preserve">2021-04-28</x:t>
        </x:is>
      </x:c>
      <x:c r="J2577" s="5" t="inlineStr">
        <x:is>
          <x:t xml:space="preserve">深圳市宝安区福永街道和平路锐明工业园C8栋(在深圳市宝安区福永街道和平社区荣天盛工业区厂房A栋第一、二层设有经营场所从事经营活动)</x:t>
        </x:is>
      </x:c>
      <x:c r="K2577" s="12" t="str">
        <x:f>LEFT("91440300790475587F",18)</x:f>
        <x:v>91440300790475587F</x:v>
      </x:c>
    </x:row>
    <x:row r="2578">
      <x:c r="A2578" s="2" t="n">
        <x:v>2577</x:v>
      </x:c>
      <x:c r="B2578" s="2" t="inlineStr">
        <x:is>
          <x:t xml:space="preserve">688388</x:t>
        </x:is>
      </x:c>
      <x:c r="C2578" s="3" t="inlineStr">
        <x:is>
          <x:t xml:space="preserve">嘉元科技</x:t>
        </x:is>
      </x:c>
      <x:c r="D2578" s="3" t="inlineStr">
        <x:is>
          <x:t xml:space="preserve">广东嘉元科技股份有限公司</x:t>
        </x:is>
      </x:c>
      <x:c r="E2578" s="2" t="inlineStr">
        <x:is>
          <x:t xml:space="preserve">广东省</x:t>
        </x:is>
      </x:c>
      <x:c r="F2578" s="2" t="inlineStr">
        <x:is>
          <x:t xml:space="preserve">梅州市</x:t>
        </x:is>
      </x:c>
      <x:c r="G2578" s="3" t="inlineStr">
        <x:is>
          <x:t xml:space="preserve">广东省-梅州市</x:t>
        </x:is>
      </x:c>
      <x:c r="H2578" s="2" t="inlineStr">
        <x:is>
          <x:t xml:space="preserve">电池</x:t>
        </x:is>
      </x:c>
      <x:c r="I2578" s="2" t="inlineStr">
        <x:is>
          <x:t xml:space="preserve">2019-07-22</x:t>
        </x:is>
      </x:c>
      <x:c r="J2578" s="3" t="inlineStr">
        <x:is>
          <x:t xml:space="preserve">梅州市梅县区雁洋镇文社村</x:t>
        </x:is>
      </x:c>
      <x:c r="K2578" s="12" t="str">
        <x:f>LEFT("914414007321639136",18)</x:f>
        <x:v>914414007321639200</x:v>
      </x:c>
    </x:row>
    <x:row r="2579">
      <x:c r="A2579" s="4" t="n">
        <x:v>2578</x:v>
      </x:c>
      <x:c r="B2579" s="4" t="inlineStr">
        <x:is>
          <x:t xml:space="preserve">688389</x:t>
        </x:is>
      </x:c>
      <x:c r="C2579" s="5" t="inlineStr">
        <x:is>
          <x:t xml:space="preserve">普门科技</x:t>
        </x:is>
      </x:c>
      <x:c r="D2579" s="5" t="inlineStr">
        <x:is>
          <x:t xml:space="preserve">深圳普门科技股份有限公司</x:t>
        </x:is>
      </x:c>
      <x:c r="E2579" s="4" t="inlineStr">
        <x:is>
          <x:t xml:space="preserve">广东省</x:t>
        </x:is>
      </x:c>
      <x:c r="F2579" s="4" t="inlineStr">
        <x:is>
          <x:t xml:space="preserve">深圳市</x:t>
        </x:is>
      </x:c>
      <x:c r="G2579" s="5" t="inlineStr">
        <x:is>
          <x:t xml:space="preserve">广东省-深圳市</x:t>
        </x:is>
      </x:c>
      <x:c r="H2579" s="4" t="inlineStr">
        <x:is>
          <x:t xml:space="preserve">医疗器械</x:t>
        </x:is>
      </x:c>
      <x:c r="I2579" s="4" t="inlineStr">
        <x:is>
          <x:t xml:space="preserve">2019-11-05</x:t>
        </x:is>
      </x:c>
      <x:c r="J2579" s="5" t="inlineStr">
        <x:is>
          <x:t xml:space="preserve">广东省深圳市龙华区观湖街道观城社区求知东路8号普门科技总部大厦</x:t>
        </x:is>
      </x:c>
      <x:c r="K2579" s="12" t="str">
        <x:f>LEFT("91440300671851383C",18)</x:f>
        <x:v>91440300671851383C</x:v>
      </x:c>
    </x:row>
    <x:row r="2580">
      <x:c r="A2580" s="2" t="n">
        <x:v>2579</x:v>
      </x:c>
      <x:c r="B2580" s="2" t="inlineStr">
        <x:is>
          <x:t xml:space="preserve">688393</x:t>
        </x:is>
      </x:c>
      <x:c r="C2580" s="3" t="inlineStr">
        <x:is>
          <x:t xml:space="preserve">安必平</x:t>
        </x:is>
      </x:c>
      <x:c r="D2580" s="3" t="inlineStr">
        <x:is>
          <x:t xml:space="preserve">广州安必平医药科技股份有限公司</x:t>
        </x:is>
      </x:c>
      <x:c r="E2580" s="2" t="inlineStr">
        <x:is>
          <x:t xml:space="preserve">广东省</x:t>
        </x:is>
      </x:c>
      <x:c r="F2580" s="2" t="inlineStr">
        <x:is>
          <x:t xml:space="preserve">广州市</x:t>
        </x:is>
      </x:c>
      <x:c r="G2580" s="3" t="inlineStr">
        <x:is>
          <x:t xml:space="preserve">广东省-广州市</x:t>
        </x:is>
      </x:c>
      <x:c r="H2580" s="2" t="inlineStr">
        <x:is>
          <x:t xml:space="preserve">医疗器械</x:t>
        </x:is>
      </x:c>
      <x:c r="I2580" s="2" t="inlineStr">
        <x:is>
          <x:t xml:space="preserve">2020-08-20</x:t>
        </x:is>
      </x:c>
      <x:c r="J2580" s="3" t="inlineStr">
        <x:is>
          <x:t xml:space="preserve">广州市黄埔区科学城风信路科信街2号</x:t>
        </x:is>
      </x:c>
      <x:c r="K2580" s="12" t="str">
        <x:f>LEFT("914401017756768239",18)</x:f>
        <x:v>914401017756768300</x:v>
      </x:c>
    </x:row>
    <x:row r="2581">
      <x:c r="A2581" s="4" t="n">
        <x:v>2580</x:v>
      </x:c>
      <x:c r="B2581" s="4" t="inlineStr">
        <x:is>
          <x:t xml:space="preserve">688395</x:t>
        </x:is>
      </x:c>
      <x:c r="C2581" s="5" t="inlineStr">
        <x:is>
          <x:t xml:space="preserve">正弦电气</x:t>
        </x:is>
      </x:c>
      <x:c r="D2581" s="5" t="inlineStr">
        <x:is>
          <x:t xml:space="preserve">深圳市正弦电气股份有限公司</x:t>
        </x:is>
      </x:c>
      <x:c r="E2581" s="4" t="inlineStr">
        <x:is>
          <x:t xml:space="preserve">广东省</x:t>
        </x:is>
      </x:c>
      <x:c r="F2581" s="4" t="inlineStr">
        <x:is>
          <x:t xml:space="preserve">深圳市</x:t>
        </x:is>
      </x:c>
      <x:c r="G2581" s="5" t="inlineStr">
        <x:is>
          <x:t xml:space="preserve">广东省-深圳市</x:t>
        </x:is>
      </x:c>
      <x:c r="H2581" s="4" t="inlineStr">
        <x:is>
          <x:t xml:space="preserve">电机</x:t>
        </x:is>
      </x:c>
      <x:c r="I2581" s="4" t="inlineStr">
        <x:is>
          <x:t xml:space="preserve">2021-04-29</x:t>
        </x:is>
      </x:c>
      <x:c r="J2581" s="5" t="inlineStr">
        <x:is>
          <x:t xml:space="preserve">深圳市宝安区新安街道兴东社区70区润坊路5号润智研发中心1栋8F803</x:t>
        </x:is>
      </x:c>
      <x:c r="K2581" s="12" t="str">
        <x:f>LEFT("91440300748857223C",18)</x:f>
        <x:v>91440300748857223C</x:v>
      </x:c>
    </x:row>
    <x:row r="2582">
      <x:c r="A2582" s="2" t="n">
        <x:v>2581</x:v>
      </x:c>
      <x:c r="B2582" s="2" t="inlineStr">
        <x:is>
          <x:t xml:space="preserve">688401</x:t>
        </x:is>
      </x:c>
      <x:c r="C2582" s="3" t="inlineStr">
        <x:is>
          <x:t xml:space="preserve">路维光电</x:t>
        </x:is>
      </x:c>
      <x:c r="D2582" s="3" t="inlineStr">
        <x:is>
          <x:t xml:space="preserve">深圳市路维光电股份有限公司</x:t>
        </x:is>
      </x:c>
      <x:c r="E2582" s="2" t="inlineStr">
        <x:is>
          <x:t xml:space="preserve">广东省</x:t>
        </x:is>
      </x:c>
      <x:c r="F2582" s="2" t="inlineStr">
        <x:is>
          <x:t xml:space="preserve">深圳市</x:t>
        </x:is>
      </x:c>
      <x:c r="G2582" s="3" t="inlineStr">
        <x:is>
          <x:t xml:space="preserve">广东省-深圳市</x:t>
        </x:is>
      </x:c>
      <x:c r="H2582" s="2" t="inlineStr">
        <x:is>
          <x:t xml:space="preserve">半导体</x:t>
        </x:is>
      </x:c>
      <x:c r="I2582" s="2" t="inlineStr">
        <x:is>
          <x:t xml:space="preserve">2022-08-17</x:t>
        </x:is>
      </x:c>
      <x:c r="J2582" s="3" t="inlineStr">
        <x:is>
          <x:t xml:space="preserve">深圳市南山区南山街道桂湾社区梦海大道5035号前海华润金融中心T5写字楼801</x:t>
        </x:is>
      </x:c>
      <x:c r="K2582" s="12" t="str">
        <x:f>LEFT("91440300593030087H",18)</x:f>
        <x:v>91440300593030087H</x:v>
      </x:c>
    </x:row>
    <x:row r="2583">
      <x:c r="A2583" s="4" t="n">
        <x:v>2582</x:v>
      </x:c>
      <x:c r="B2583" s="4" t="inlineStr">
        <x:is>
          <x:t xml:space="preserve">688418</x:t>
        </x:is>
      </x:c>
      <x:c r="C2583" s="5" t="inlineStr">
        <x:is>
          <x:t xml:space="preserve">震有科技</x:t>
        </x:is>
      </x:c>
      <x:c r="D2583" s="5" t="inlineStr">
        <x:is>
          <x:t xml:space="preserve">深圳震有科技股份有限公司</x:t>
        </x:is>
      </x:c>
      <x:c r="E2583" s="4" t="inlineStr">
        <x:is>
          <x:t xml:space="preserve">广东省</x:t>
        </x:is>
      </x:c>
      <x:c r="F2583" s="4" t="inlineStr">
        <x:is>
          <x:t xml:space="preserve">深圳市</x:t>
        </x:is>
      </x:c>
      <x:c r="G2583" s="5" t="inlineStr">
        <x:is>
          <x:t xml:space="preserve">广东省-深圳市</x:t>
        </x:is>
      </x:c>
      <x:c r="H2583" s="4" t="inlineStr">
        <x:is>
          <x:t xml:space="preserve">通讯行业</x:t>
        </x:is>
      </x:c>
      <x:c r="I2583" s="4" t="inlineStr">
        <x:is>
          <x:t xml:space="preserve">2020-07-22</x:t>
        </x:is>
      </x:c>
      <x:c r="J2583" s="5" t="inlineStr">
        <x:is>
          <x:t xml:space="preserve">深圳市光明区凤凰街道东坑社区光明凤凰广场2栋2801</x:t>
        </x:is>
      </x:c>
      <x:c r="K2583" s="12" t="str">
        <x:f>LEFT("91440300772729061L",18)</x:f>
        <x:v>91440300772729061L</x:v>
      </x:c>
    </x:row>
    <x:row r="2584">
      <x:c r="A2584" s="2" t="n">
        <x:v>2583</x:v>
      </x:c>
      <x:c r="B2584" s="2" t="inlineStr">
        <x:is>
          <x:t xml:space="preserve">688499</x:t>
        </x:is>
      </x:c>
      <x:c r="C2584" s="3" t="inlineStr">
        <x:is>
          <x:t xml:space="preserve">利元亨</x:t>
        </x:is>
      </x:c>
      <x:c r="D2584" s="3" t="inlineStr">
        <x:is>
          <x:t xml:space="preserve">广东利元亨智能装备股份有限公司</x:t>
        </x:is>
      </x:c>
      <x:c r="E2584" s="2" t="inlineStr">
        <x:is>
          <x:t xml:space="preserve">广东省</x:t>
        </x:is>
      </x:c>
      <x:c r="F2584" s="2" t="inlineStr">
        <x:is>
          <x:t xml:space="preserve">惠州市</x:t>
        </x:is>
      </x:c>
      <x:c r="G2584" s="3" t="inlineStr">
        <x:is>
          <x:t xml:space="preserve">广东省-惠州市</x:t>
        </x:is>
      </x:c>
      <x:c r="H2584" s="2" t="inlineStr">
        <x:is>
          <x:t xml:space="preserve">电池</x:t>
        </x:is>
      </x:c>
      <x:c r="I2584" s="2" t="inlineStr">
        <x:is>
          <x:t xml:space="preserve">2021-07-01</x:t>
        </x:is>
      </x:c>
      <x:c r="J2584" s="3" t="inlineStr">
        <x:is>
          <x:t xml:space="preserve">惠州市惠城区马安镇新鹏路4号</x:t>
        </x:is>
      </x:c>
      <x:c r="K2584" s="12" t="str">
        <x:f>LEFT("914413023152526673",18)</x:f>
        <x:v>914413023152526700</x:v>
      </x:c>
    </x:row>
    <x:row r="2585">
      <x:c r="A2585" s="4" t="n">
        <x:v>2584</x:v>
      </x:c>
      <x:c r="B2585" s="4" t="inlineStr">
        <x:is>
          <x:t xml:space="preserve">688512</x:t>
        </x:is>
      </x:c>
      <x:c r="C2585" s="5" t="inlineStr">
        <x:is>
          <x:t xml:space="preserve">慧智微</x:t>
        </x:is>
      </x:c>
      <x:c r="D2585" s="5" t="inlineStr">
        <x:is>
          <x:t xml:space="preserve">广州慧智微电子股份有限公司</x:t>
        </x:is>
      </x:c>
      <x:c r="E2585" s="4" t="inlineStr">
        <x:is>
          <x:t xml:space="preserve">广东省</x:t>
        </x:is>
      </x:c>
      <x:c r="F2585" s="4" t="inlineStr">
        <x:is>
          <x:t xml:space="preserve">广州市</x:t>
        </x:is>
      </x:c>
      <x:c r="G2585" s="5" t="inlineStr">
        <x:is>
          <x:t xml:space="preserve">广东省-广州市</x:t>
        </x:is>
      </x:c>
      <x:c r="H2585" s="4" t="inlineStr">
        <x:is>
          <x:t xml:space="preserve">半导体</x:t>
        </x:is>
      </x:c>
      <x:c r="I2585" s="4" t="inlineStr">
        <x:is>
          <x:t xml:space="preserve">2023-05-16</x:t>
        </x:is>
      </x:c>
      <x:c r="J2585" s="5" t="inlineStr">
        <x:is>
          <x:t xml:space="preserve">广州市高新技术产业开发区科学城科学大道182号创新大厦C2第三层307单元</x:t>
        </x:is>
      </x:c>
      <x:c r="K2585" s="12" t="str">
        <x:f>LEFT("914401165856775774",18)</x:f>
        <x:v>914401165856775800</x:v>
      </x:c>
    </x:row>
    <x:row r="2586">
      <x:c r="A2586" s="2" t="n">
        <x:v>2585</x:v>
      </x:c>
      <x:c r="B2586" s="2" t="inlineStr">
        <x:is>
          <x:t xml:space="preserve">688518</x:t>
        </x:is>
      </x:c>
      <x:c r="C2586" s="3" t="inlineStr">
        <x:is>
          <x:t xml:space="preserve">联赢激光</x:t>
        </x:is>
      </x:c>
      <x:c r="D2586" s="3" t="inlineStr">
        <x:is>
          <x:t xml:space="preserve">深圳市联赢激光股份有限公司</x:t>
        </x:is>
      </x:c>
      <x:c r="E2586" s="2" t="inlineStr">
        <x:is>
          <x:t xml:space="preserve">广东省</x:t>
        </x:is>
      </x:c>
      <x:c r="F2586" s="2" t="inlineStr">
        <x:is>
          <x:t xml:space="preserve">深圳市</x:t>
        </x:is>
      </x:c>
      <x:c r="G2586" s="3" t="inlineStr">
        <x:is>
          <x:t xml:space="preserve">广东省-深圳市</x:t>
        </x:is>
      </x:c>
      <x:c r="H2586" s="2" t="inlineStr">
        <x:is>
          <x:t xml:space="preserve">专用设备</x:t>
        </x:is>
      </x:c>
      <x:c r="I2586" s="2" t="inlineStr">
        <x:is>
          <x:t xml:space="preserve">2020-06-22</x:t>
        </x:is>
      </x:c>
      <x:c r="J2586" s="3" t="inlineStr">
        <x:is>
          <x:t xml:space="preserve">深圳市坪山区坑梓街道沙田社区荣沙路18号A栋联赢大厦101</x:t>
        </x:is>
      </x:c>
      <x:c r="K2586" s="12" t="str">
        <x:f>LEFT("91440300779880020Q",18)</x:f>
        <x:v>91440300779880020Q</x:v>
      </x:c>
    </x:row>
    <x:row r="2587">
      <x:c r="A2587" s="4" t="n">
        <x:v>2586</x:v>
      </x:c>
      <x:c r="B2587" s="4" t="inlineStr">
        <x:is>
          <x:t xml:space="preserve">688522</x:t>
        </x:is>
      </x:c>
      <x:c r="C2587" s="5" t="inlineStr">
        <x:is>
          <x:t xml:space="preserve">纳睿雷达</x:t>
        </x:is>
      </x:c>
      <x:c r="D2587" s="5" t="inlineStr">
        <x:is>
          <x:t xml:space="preserve">广东纳睿雷达科技股份有限公司</x:t>
        </x:is>
      </x:c>
      <x:c r="E2587" s="4" t="inlineStr">
        <x:is>
          <x:t xml:space="preserve">广东省</x:t>
        </x:is>
      </x:c>
      <x:c r="F2587" s="4" t="inlineStr">
        <x:is>
          <x:t xml:space="preserve">珠海市</x:t>
        </x:is>
      </x:c>
      <x:c r="G2587" s="5" t="inlineStr">
        <x:is>
          <x:t xml:space="preserve">广东省-珠海市</x:t>
        </x:is>
      </x:c>
      <x:c r="H2587" s="4" t="inlineStr">
        <x:is>
          <x:t xml:space="preserve">计算机设备</x:t>
        </x:is>
      </x:c>
      <x:c r="I2587" s="4" t="inlineStr">
        <x:is>
          <x:t xml:space="preserve">2023-03-01</x:t>
        </x:is>
      </x:c>
      <x:c r="J2587" s="5" t="inlineStr">
        <x:is>
          <x:t xml:space="preserve">珠海市唐家湾镇港乐路2号</x:t>
        </x:is>
      </x:c>
      <x:c r="K2587" s="12" t="str">
        <x:f>LEFT("91440400304080484P",18)</x:f>
        <x:v>91440400304080484P</x:v>
      </x:c>
    </x:row>
    <x:row r="2588">
      <x:c r="A2588" s="2" t="n">
        <x:v>2587</x:v>
      </x:c>
      <x:c r="B2588" s="2" t="inlineStr">
        <x:is>
          <x:t xml:space="preserve">688525</x:t>
        </x:is>
      </x:c>
      <x:c r="C2588" s="3" t="inlineStr">
        <x:is>
          <x:t xml:space="preserve">佰维存储</x:t>
        </x:is>
      </x:c>
      <x:c r="D2588" s="3" t="inlineStr">
        <x:is>
          <x:t xml:space="preserve">深圳佰维存储科技股份有限公司</x:t>
        </x:is>
      </x:c>
      <x:c r="E2588" s="2" t="inlineStr">
        <x:is>
          <x:t xml:space="preserve">广东省</x:t>
        </x:is>
      </x:c>
      <x:c r="F2588" s="2" t="inlineStr">
        <x:is>
          <x:t xml:space="preserve">深圳市</x:t>
        </x:is>
      </x:c>
      <x:c r="G2588" s="3" t="inlineStr">
        <x:is>
          <x:t xml:space="preserve">广东省-深圳市</x:t>
        </x:is>
      </x:c>
      <x:c r="H2588" s="2" t="inlineStr">
        <x:is>
          <x:t xml:space="preserve">半导体</x:t>
        </x:is>
      </x:c>
      <x:c r="I2588" s="2" t="inlineStr">
        <x:is>
          <x:t xml:space="preserve">2022-12-30</x:t>
        </x:is>
      </x:c>
      <x:c r="J2588" s="3" t="inlineStr">
        <x:is>
          <x:t xml:space="preserve">深圳市南山区桃源街道平山社区留仙大道1213号众冠红花岭工业南区2区4、8栋1层-3层及4栋4层</x:t>
        </x:is>
      </x:c>
      <x:c r="K2588" s="12" t="str">
        <x:f>LEFT("91440300561500443T",18)</x:f>
        <x:v>91440300561500443T</x:v>
      </x:c>
    </x:row>
    <x:row r="2589">
      <x:c r="A2589" s="4" t="n">
        <x:v>2588</x:v>
      </x:c>
      <x:c r="B2589" s="4" t="inlineStr">
        <x:is>
          <x:t xml:space="preserve">688530</x:t>
        </x:is>
      </x:c>
      <x:c r="C2589" s="5" t="inlineStr">
        <x:is>
          <x:t xml:space="preserve">欧莱新材</x:t>
        </x:is>
      </x:c>
      <x:c r="D2589" s="5" t="inlineStr">
        <x:is>
          <x:t xml:space="preserve">广东欧莱高新材料股份有限公司</x:t>
        </x:is>
      </x:c>
      <x:c r="E2589" s="4" t="inlineStr">
        <x:is>
          <x:t xml:space="preserve">广东省</x:t>
        </x:is>
      </x:c>
      <x:c r="F2589" s="4" t="inlineStr">
        <x:is>
          <x:t xml:space="preserve">韶关市</x:t>
        </x:is>
      </x:c>
      <x:c r="G2589" s="5" t="inlineStr">
        <x:is>
          <x:t xml:space="preserve">广东省-韶关市</x:t>
        </x:is>
      </x:c>
      <x:c r="H2589" s="4" t="inlineStr">
        <x:is>
          <x:t xml:space="preserve">半导体</x:t>
        </x:is>
      </x:c>
      <x:c r="I2589" s="4" t="inlineStr">
        <x:is>
          <x:t xml:space="preserve">2024-05-09</x:t>
        </x:is>
      </x:c>
      <x:c r="J2589" s="5" t="inlineStr">
        <x:is>
          <x:t xml:space="preserve">韶关市武江区创业路5号C幢厂房</x:t>
        </x:is>
      </x:c>
      <x:c r="K2589" s="12" t="str">
        <x:f>LEFT("91440200555570170B",18)</x:f>
        <x:v>91440200555570170B</x:v>
      </x:c>
    </x:row>
    <x:row r="2590">
      <x:c r="A2590" s="2" t="n">
        <x:v>2589</x:v>
      </x:c>
      <x:c r="B2590" s="2" t="inlineStr">
        <x:is>
          <x:t xml:space="preserve">688548</x:t>
        </x:is>
      </x:c>
      <x:c r="C2590" s="3" t="inlineStr">
        <x:is>
          <x:t xml:space="preserve">广钢气体</x:t>
        </x:is>
      </x:c>
      <x:c r="D2590" s="3" t="inlineStr">
        <x:is>
          <x:t xml:space="preserve">广州广钢气体能源股份有限公司</x:t>
        </x:is>
      </x:c>
      <x:c r="E2590" s="2" t="inlineStr">
        <x:is>
          <x:t xml:space="preserve">广东省</x:t>
        </x:is>
      </x:c>
      <x:c r="F2590" s="2" t="inlineStr">
        <x:is>
          <x:t xml:space="preserve">广州市</x:t>
        </x:is>
      </x:c>
      <x:c r="G2590" s="3" t="inlineStr">
        <x:is>
          <x:t xml:space="preserve">广东省-广州市</x:t>
        </x:is>
      </x:c>
      <x:c r="H2590" s="2" t="inlineStr">
        <x:is>
          <x:t xml:space="preserve">电子化学品</x:t>
        </x:is>
      </x:c>
      <x:c r="I2590" s="2" t="inlineStr">
        <x:is>
          <x:t xml:space="preserve">2023-08-15</x:t>
        </x:is>
      </x:c>
      <x:c r="J2590" s="3" t="inlineStr">
        <x:is>
          <x:t xml:space="preserve">广州市南沙区万顷沙镇红钢路5号(钢铁基地内)</x:t>
        </x:is>
      </x:c>
      <x:c r="K2590" s="12" t="str">
        <x:f>LEFT("91440101304702693J",18)</x:f>
        <x:v>91440101304702693J</x:v>
      </x:c>
    </x:row>
    <x:row r="2591">
      <x:c r="A2591" s="4" t="n">
        <x:v>2590</x:v>
      </x:c>
      <x:c r="B2591" s="4" t="inlineStr">
        <x:is>
          <x:t xml:space="preserve">688559</x:t>
        </x:is>
      </x:c>
      <x:c r="C2591" s="5" t="inlineStr">
        <x:is>
          <x:t xml:space="preserve">海目星</x:t>
        </x:is>
      </x:c>
      <x:c r="D2591" s="5" t="inlineStr">
        <x:is>
          <x:t xml:space="preserve">海目星激光科技集团股份有限公司</x:t>
        </x:is>
      </x:c>
      <x:c r="E2591" s="4" t="inlineStr">
        <x:is>
          <x:t xml:space="preserve">广东省</x:t>
        </x:is>
      </x:c>
      <x:c r="F2591" s="4" t="inlineStr">
        <x:is>
          <x:t xml:space="preserve">深圳市</x:t>
        </x:is>
      </x:c>
      <x:c r="G2591" s="5" t="inlineStr">
        <x:is>
          <x:t xml:space="preserve">广东省-深圳市</x:t>
        </x:is>
      </x:c>
      <x:c r="H2591" s="4" t="inlineStr">
        <x:is>
          <x:t xml:space="preserve">专用设备</x:t>
        </x:is>
      </x:c>
      <x:c r="I2591" s="4" t="inlineStr">
        <x:is>
          <x:t xml:space="preserve">2020-09-09</x:t>
        </x:is>
      </x:c>
      <x:c r="J2591" s="5" t="inlineStr">
        <x:is>
          <x:t xml:space="preserve">深圳市龙华区观湖街道鹭湖社区观盛五路科姆龙科技园B栋301</x:t>
        </x:is>
      </x:c>
      <x:c r="K2591" s="12" t="str">
        <x:f>LEFT("914403006729969713",18)</x:f>
        <x:v>914403006729969700</x:v>
      </x:c>
    </x:row>
    <x:row r="2592">
      <x:c r="A2592" s="2" t="n">
        <x:v>2591</x:v>
      </x:c>
      <x:c r="B2592" s="2" t="inlineStr">
        <x:is>
          <x:t xml:space="preserve">688573</x:t>
        </x:is>
      </x:c>
      <x:c r="C2592" s="3" t="inlineStr">
        <x:is>
          <x:t xml:space="preserve">信宇人</x:t>
        </x:is>
      </x:c>
      <x:c r="D2592" s="3" t="inlineStr">
        <x:is>
          <x:t xml:space="preserve">深圳市信宇人科技股份有限公司</x:t>
        </x:is>
      </x:c>
      <x:c r="E2592" s="2" t="inlineStr">
        <x:is>
          <x:t xml:space="preserve">广东省</x:t>
        </x:is>
      </x:c>
      <x:c r="F2592" s="2" t="inlineStr">
        <x:is>
          <x:t xml:space="preserve">深圳市</x:t>
        </x:is>
      </x:c>
      <x:c r="G2592" s="3" t="inlineStr">
        <x:is>
          <x:t xml:space="preserve">广东省-深圳市</x:t>
        </x:is>
      </x:c>
      <x:c r="H2592" s="2" t="inlineStr">
        <x:is>
          <x:t xml:space="preserve">电池</x:t>
        </x:is>
      </x:c>
      <x:c r="I2592" s="2" t="inlineStr">
        <x:is>
          <x:t xml:space="preserve">2023-08-17</x:t>
        </x:is>
      </x:c>
      <x:c r="J2592" s="3" t="inlineStr">
        <x:is>
          <x:t xml:space="preserve">深圳市龙岗区龙城街道回龙埔社区鸿峰(龙岗)工业厂区2号厂房一楼、二楼、三楼、四楼</x:t>
        </x:is>
      </x:c>
      <x:c r="K2592" s="12" t="str">
        <x:f>LEFT("914403007412233839",18)</x:f>
        <x:v>914403007412233900</x:v>
      </x:c>
    </x:row>
    <x:row r="2593">
      <x:c r="A2593" s="4" t="n">
        <x:v>2592</x:v>
      </x:c>
      <x:c r="B2593" s="4" t="inlineStr">
        <x:is>
          <x:t xml:space="preserve">688575</x:t>
        </x:is>
      </x:c>
      <x:c r="C2593" s="5" t="inlineStr">
        <x:is>
          <x:t xml:space="preserve">亚辉龙</x:t>
        </x:is>
      </x:c>
      <x:c r="D2593" s="5" t="inlineStr">
        <x:is>
          <x:t xml:space="preserve">深圳市亚辉龙生物科技股份有限公司</x:t>
        </x:is>
      </x:c>
      <x:c r="E2593" s="4" t="inlineStr">
        <x:is>
          <x:t xml:space="preserve">广东省</x:t>
        </x:is>
      </x:c>
      <x:c r="F2593" s="4" t="inlineStr">
        <x:is>
          <x:t xml:space="preserve">深圳市</x:t>
        </x:is>
      </x:c>
      <x:c r="G2593" s="5" t="inlineStr">
        <x:is>
          <x:t xml:space="preserve">广东省-深圳市</x:t>
        </x:is>
      </x:c>
      <x:c r="H2593" s="4" t="inlineStr">
        <x:is>
          <x:t xml:space="preserve">医疗器械</x:t>
        </x:is>
      </x:c>
      <x:c r="I2593" s="4" t="inlineStr">
        <x:is>
          <x:t xml:space="preserve">2021-05-17</x:t>
        </x:is>
      </x:c>
      <x:c r="J2593" s="5" t="inlineStr">
        <x:is>
          <x:t xml:space="preserve">深圳市龙岗区宝龙街道宝龙二路亚辉龙生物科技厂区1栋</x:t>
        </x:is>
      </x:c>
      <x:c r="K2593" s="12" t="str">
        <x:f>LEFT("91440300680376756U",18)</x:f>
        <x:v>91440300680376756U</x:v>
      </x:c>
    </x:row>
    <x:row r="2594">
      <x:c r="A2594" s="2" t="n">
        <x:v>2593</x:v>
      </x:c>
      <x:c r="B2594" s="2" t="inlineStr">
        <x:is>
          <x:t xml:space="preserve">688589</x:t>
        </x:is>
      </x:c>
      <x:c r="C2594" s="3" t="inlineStr">
        <x:is>
          <x:t xml:space="preserve">力合微</x:t>
        </x:is>
      </x:c>
      <x:c r="D2594" s="3" t="inlineStr">
        <x:is>
          <x:t xml:space="preserve">深圳市力合微电子股份有限公司</x:t>
        </x:is>
      </x:c>
      <x:c r="E2594" s="2" t="inlineStr">
        <x:is>
          <x:t xml:space="preserve">广东省</x:t>
        </x:is>
      </x:c>
      <x:c r="F2594" s="2" t="inlineStr">
        <x:is>
          <x:t xml:space="preserve">深圳市</x:t>
        </x:is>
      </x:c>
      <x:c r="G2594" s="3" t="inlineStr">
        <x:is>
          <x:t xml:space="preserve">广东省-深圳市</x:t>
        </x:is>
      </x:c>
      <x:c r="H2594" s="2" t="inlineStr">
        <x:is>
          <x:t xml:space="preserve">半导体</x:t>
        </x:is>
      </x:c>
      <x:c r="I2594" s="2" t="inlineStr">
        <x:is>
          <x:t xml:space="preserve">2020-07-22</x:t>
        </x:is>
      </x:c>
      <x:c r="J2594" s="3" t="inlineStr">
        <x:is>
          <x:t xml:space="preserve">深圳市南山区西丽街道高新技术产业园清华信息港科研楼11楼1101</x:t>
        </x:is>
      </x:c>
      <x:c r="K2594" s="12" t="str">
        <x:f>LEFT("9144030074123041XA",18)</x:f>
        <x:v>9144030074123041XA</x:v>
      </x:c>
    </x:row>
    <x:row r="2595">
      <x:c r="A2595" s="4" t="n">
        <x:v>2594</x:v>
      </x:c>
      <x:c r="B2595" s="4" t="inlineStr">
        <x:is>
          <x:t xml:space="preserve">688595</x:t>
        </x:is>
      </x:c>
      <x:c r="C2595" s="5" t="inlineStr">
        <x:is>
          <x:t xml:space="preserve">芯海科技</x:t>
        </x:is>
      </x:c>
      <x:c r="D2595" s="5" t="inlineStr">
        <x:is>
          <x:t xml:space="preserve">芯海科技(深圳)股份有限公司</x:t>
        </x:is>
      </x:c>
      <x:c r="E2595" s="4" t="inlineStr">
        <x:is>
          <x:t xml:space="preserve">广东省</x:t>
        </x:is>
      </x:c>
      <x:c r="F2595" s="4" t="inlineStr">
        <x:is>
          <x:t xml:space="preserve">深圳市</x:t>
        </x:is>
      </x:c>
      <x:c r="G2595" s="5" t="inlineStr">
        <x:is>
          <x:t xml:space="preserve">广东省-深圳市</x:t>
        </x:is>
      </x:c>
      <x:c r="H2595" s="4" t="inlineStr">
        <x:is>
          <x:t xml:space="preserve">半导体</x:t>
        </x:is>
      </x:c>
      <x:c r="I2595" s="4" t="inlineStr">
        <x:is>
          <x:t xml:space="preserve">2020-09-28</x:t>
        </x:is>
      </x:c>
      <x:c r="J2595" s="5" t="inlineStr">
        <x:is>
          <x:t xml:space="preserve">深圳市南山区粤海街道高新区社区科苑大道深圳湾创新科技中心1栋301</x:t>
        </x:is>
      </x:c>
      <x:c r="K2595" s="12" t="str">
        <x:f>LEFT("91440300754288784A",18)</x:f>
        <x:v>91440300754288784A</x:v>
      </x:c>
    </x:row>
    <x:row r="2596">
      <x:c r="A2596" s="2" t="n">
        <x:v>2595</x:v>
      </x:c>
      <x:c r="B2596" s="2" t="inlineStr">
        <x:is>
          <x:t xml:space="preserve">688609</x:t>
        </x:is>
      </x:c>
      <x:c r="C2596" s="3" t="inlineStr">
        <x:is>
          <x:t xml:space="preserve">九联科技</x:t>
        </x:is>
      </x:c>
      <x:c r="D2596" s="3" t="inlineStr">
        <x:is>
          <x:t xml:space="preserve">广东九联科技股份有限公司</x:t>
        </x:is>
      </x:c>
      <x:c r="E2596" s="2" t="inlineStr">
        <x:is>
          <x:t xml:space="preserve">广东省</x:t>
        </x:is>
      </x:c>
      <x:c r="F2596" s="2" t="inlineStr">
        <x:is>
          <x:t xml:space="preserve">惠州市</x:t>
        </x:is>
      </x:c>
      <x:c r="G2596" s="3" t="inlineStr">
        <x:is>
          <x:t xml:space="preserve">广东省-惠州市</x:t>
        </x:is>
      </x:c>
      <x:c r="H2596" s="2" t="inlineStr">
        <x:is>
          <x:t xml:space="preserve">通信设备</x:t>
        </x:is>
      </x:c>
      <x:c r="I2596" s="2" t="inlineStr">
        <x:is>
          <x:t xml:space="preserve">2021-03-23</x:t>
        </x:is>
      </x:c>
      <x:c r="J2596" s="3" t="inlineStr">
        <x:is>
          <x:t xml:space="preserve">惠州市惠澳大道惠南高新科技产业园惠泰路5号</x:t>
        </x:is>
      </x:c>
      <x:c r="K2596" s="12" t="str">
        <x:f>LEFT("91441300733110602M",18)</x:f>
        <x:v>91441300733110602M</x:v>
      </x:c>
    </x:row>
    <x:row r="2597">
      <x:c r="A2597" s="4" t="n">
        <x:v>2596</x:v>
      </x:c>
      <x:c r="B2597" s="4" t="inlineStr">
        <x:is>
          <x:t xml:space="preserve">688612</x:t>
        </x:is>
      </x:c>
      <x:c r="C2597" s="5" t="inlineStr">
        <x:is>
          <x:t xml:space="preserve">威迈斯</x:t>
        </x:is>
      </x:c>
      <x:c r="D2597" s="5" t="inlineStr">
        <x:is>
          <x:t xml:space="preserve">深圳威迈斯新能源(集团)股份有限公司</x:t>
        </x:is>
      </x:c>
      <x:c r="E2597" s="4" t="inlineStr">
        <x:is>
          <x:t xml:space="preserve">广东省</x:t>
        </x:is>
      </x:c>
      <x:c r="F2597" s="4" t="inlineStr">
        <x:is>
          <x:t xml:space="preserve">深圳市</x:t>
        </x:is>
      </x:c>
      <x:c r="G2597" s="5" t="inlineStr">
        <x:is>
          <x:t xml:space="preserve">广东省-深圳市</x:t>
        </x:is>
      </x:c>
      <x:c r="H2597" s="4" t="inlineStr">
        <x:is>
          <x:t xml:space="preserve">汽车零部件</x:t>
        </x:is>
      </x:c>
      <x:c r="I2597" s="4" t="inlineStr">
        <x:is>
          <x:t xml:space="preserve">2023-07-26</x:t>
        </x:is>
      </x:c>
      <x:c r="J2597" s="5" t="inlineStr">
        <x:is>
          <x:t xml:space="preserve">深圳市南山区北环路第五工业区风云科技大楼501之一</x:t>
        </x:is>
      </x:c>
      <x:c r="K2597" s="12" t="str">
        <x:f>LEFT("91440300775566106A",18)</x:f>
        <x:v>91440300775566106A</x:v>
      </x:c>
    </x:row>
    <x:row r="2598">
      <x:c r="A2598" s="2" t="n">
        <x:v>2597</x:v>
      </x:c>
      <x:c r="B2598" s="2" t="inlineStr">
        <x:is>
          <x:t xml:space="preserve">688617</x:t>
        </x:is>
      </x:c>
      <x:c r="C2598" s="3" t="inlineStr">
        <x:is>
          <x:t xml:space="preserve">惠泰医疗</x:t>
        </x:is>
      </x:c>
      <x:c r="D2598" s="3" t="inlineStr">
        <x:is>
          <x:t xml:space="preserve">深圳惠泰医疗器械股份有限公司</x:t>
        </x:is>
      </x:c>
      <x:c r="E2598" s="2" t="inlineStr">
        <x:is>
          <x:t xml:space="preserve">广东省</x:t>
        </x:is>
      </x:c>
      <x:c r="F2598" s="2" t="inlineStr">
        <x:is>
          <x:t xml:space="preserve">深圳市</x:t>
        </x:is>
      </x:c>
      <x:c r="G2598" s="3" t="inlineStr">
        <x:is>
          <x:t xml:space="preserve">广东省-深圳市</x:t>
        </x:is>
      </x:c>
      <x:c r="H2598" s="2" t="inlineStr">
        <x:is>
          <x:t xml:space="preserve">医疗器械</x:t>
        </x:is>
      </x:c>
      <x:c r="I2598" s="2" t="inlineStr">
        <x:is>
          <x:t xml:space="preserve">2021-01-07</x:t>
        </x:is>
      </x:c>
      <x:c r="J2598" s="3" t="inlineStr">
        <x:is>
          <x:t xml:space="preserve">深圳市南山区西丽街道松坪山社区松坪山朗山路11号同方信息港B栋601</x:t>
        </x:is>
      </x:c>
      <x:c r="K2598" s="12" t="str">
        <x:f>LEFT("914403007388070891",18)</x:f>
        <x:v>914403007388070900</x:v>
      </x:c>
    </x:row>
    <x:row r="2599">
      <x:c r="A2599" s="4" t="n">
        <x:v>2598</x:v>
      </x:c>
      <x:c r="B2599" s="4" t="inlineStr">
        <x:is>
          <x:t xml:space="preserve">688618</x:t>
        </x:is>
      </x:c>
      <x:c r="C2599" s="5" t="inlineStr">
        <x:is>
          <x:t xml:space="preserve">三旺通信</x:t>
        </x:is>
      </x:c>
      <x:c r="D2599" s="5" t="inlineStr">
        <x:is>
          <x:t xml:space="preserve">深圳市三旺通信股份有限公司</x:t>
        </x:is>
      </x:c>
      <x:c r="E2599" s="4" t="inlineStr">
        <x:is>
          <x:t xml:space="preserve">广东省</x:t>
        </x:is>
      </x:c>
      <x:c r="F2599" s="4" t="inlineStr">
        <x:is>
          <x:t xml:space="preserve">深圳市</x:t>
        </x:is>
      </x:c>
      <x:c r="G2599" s="5" t="inlineStr">
        <x:is>
          <x:t xml:space="preserve">广东省-深圳市</x:t>
        </x:is>
      </x:c>
      <x:c r="H2599" s="4" t="inlineStr">
        <x:is>
          <x:t xml:space="preserve">通讯行业</x:t>
        </x:is>
      </x:c>
      <x:c r="I2599" s="4" t="inlineStr">
        <x:is>
          <x:t xml:space="preserve">2020-12-30</x:t>
        </x:is>
      </x:c>
      <x:c r="J2599" s="5" t="inlineStr">
        <x:is>
          <x:t xml:space="preserve">深圳市南山区西丽街道百旺信高科技工业园1区3栋</x:t>
        </x:is>
      </x:c>
      <x:c r="K2599" s="12" t="str">
        <x:f>LEFT("91440300732050644R",18)</x:f>
        <x:v>91440300732050644R</x:v>
      </x:c>
    </x:row>
    <x:row r="2600">
      <x:c r="A2600" s="2" t="n">
        <x:v>2599</x:v>
      </x:c>
      <x:c r="B2600" s="2" t="inlineStr">
        <x:is>
          <x:t xml:space="preserve">688620</x:t>
        </x:is>
      </x:c>
      <x:c r="C2600" s="3" t="inlineStr">
        <x:is>
          <x:t xml:space="preserve">安凯微</x:t>
        </x:is>
      </x:c>
      <x:c r="D2600" s="3" t="inlineStr">
        <x:is>
          <x:t xml:space="preserve">广州安凯微电子股份有限公司</x:t>
        </x:is>
      </x:c>
      <x:c r="E2600" s="2" t="inlineStr">
        <x:is>
          <x:t xml:space="preserve">广东省</x:t>
        </x:is>
      </x:c>
      <x:c r="F2600" s="2" t="inlineStr">
        <x:is>
          <x:t xml:space="preserve">广州市</x:t>
        </x:is>
      </x:c>
      <x:c r="G2600" s="3" t="inlineStr">
        <x:is>
          <x:t xml:space="preserve">广东省-广州市</x:t>
        </x:is>
      </x:c>
      <x:c r="H2600" s="2" t="inlineStr">
        <x:is>
          <x:t xml:space="preserve">半导体</x:t>
        </x:is>
      </x:c>
      <x:c r="I2600" s="2" t="inlineStr">
        <x:is>
          <x:t xml:space="preserve">2023-06-27</x:t>
        </x:is>
      </x:c>
      <x:c r="J2600" s="3" t="inlineStr">
        <x:is>
          <x:t xml:space="preserve">广州市黄埔区博文路107号</x:t>
        </x:is>
      </x:c>
      <x:c r="K2600" s="12" t="str">
        <x:f>LEFT("91440116726819189A",18)</x:f>
        <x:v>91440116726819189A</x:v>
      </x:c>
    </x:row>
    <x:row r="2601">
      <x:c r="A2601" s="4" t="n">
        <x:v>2600</x:v>
      </x:c>
      <x:c r="B2601" s="4" t="inlineStr">
        <x:is>
          <x:t xml:space="preserve">688622</x:t>
        </x:is>
      </x:c>
      <x:c r="C2601" s="5" t="inlineStr">
        <x:is>
          <x:t xml:space="preserve">禾信仪器</x:t>
        </x:is>
      </x:c>
      <x:c r="D2601" s="5" t="inlineStr">
        <x:is>
          <x:t xml:space="preserve">广州禾信仪器股份有限公司</x:t>
        </x:is>
      </x:c>
      <x:c r="E2601" s="4" t="inlineStr">
        <x:is>
          <x:t xml:space="preserve">广东省</x:t>
        </x:is>
      </x:c>
      <x:c r="F2601" s="4" t="inlineStr">
        <x:is>
          <x:t xml:space="preserve">广州市</x:t>
        </x:is>
      </x:c>
      <x:c r="G2601" s="5" t="inlineStr">
        <x:is>
          <x:t xml:space="preserve">广东省-广州市</x:t>
        </x:is>
      </x:c>
      <x:c r="H2601" s="4" t="inlineStr">
        <x:is>
          <x:t xml:space="preserve">仪器仪表</x:t>
        </x:is>
      </x:c>
      <x:c r="I2601" s="4" t="inlineStr">
        <x:is>
          <x:t xml:space="preserve">2021-09-13</x:t>
        </x:is>
      </x:c>
      <x:c r="J2601" s="5" t="inlineStr">
        <x:is>
          <x:t xml:space="preserve">广州市黄埔区新瑞路16号</x:t>
        </x:is>
      </x:c>
      <x:c r="K2601" s="12" t="str">
        <x:f>LEFT("914401167640027192",18)</x:f>
        <x:v>914401167640027100</x:v>
      </x:c>
    </x:row>
    <x:row r="2602">
      <x:c r="A2602" s="2" t="n">
        <x:v>2601</x:v>
      </x:c>
      <x:c r="B2602" s="2" t="inlineStr">
        <x:is>
          <x:t xml:space="preserve">688625</x:t>
        </x:is>
      </x:c>
      <x:c r="C2602" s="3" t="inlineStr">
        <x:is>
          <x:t xml:space="preserve">呈和科技</x:t>
        </x:is>
      </x:c>
      <x:c r="D2602" s="3" t="inlineStr">
        <x:is>
          <x:t xml:space="preserve">呈和科技股份有限公司</x:t>
        </x:is>
      </x:c>
      <x:c r="E2602" s="2" t="inlineStr">
        <x:is>
          <x:t xml:space="preserve">广东省</x:t>
        </x:is>
      </x:c>
      <x:c r="F2602" s="2" t="inlineStr">
        <x:is>
          <x:t xml:space="preserve">广州市</x:t>
        </x:is>
      </x:c>
      <x:c r="G2602" s="3" t="inlineStr">
        <x:is>
          <x:t xml:space="preserve">广东省-广州市</x:t>
        </x:is>
      </x:c>
      <x:c r="H2602" s="2" t="inlineStr">
        <x:is>
          <x:t xml:space="preserve">化工行业</x:t>
        </x:is>
      </x:c>
      <x:c r="I2602" s="2" t="inlineStr">
        <x:is>
          <x:t xml:space="preserve">2021-06-07</x:t>
        </x:is>
      </x:c>
      <x:c r="J2602" s="3" t="inlineStr">
        <x:is>
          <x:t xml:space="preserve">广州市白云区北太路1633号广州民营科技园科强路2号</x:t>
        </x:is>
      </x:c>
      <x:c r="K2602" s="12" t="str">
        <x:f>LEFT("91440111734903428Y",18)</x:f>
        <x:v>91440111734903428Y</x:v>
      </x:c>
    </x:row>
    <x:row r="2603">
      <x:c r="A2603" s="4" t="n">
        <x:v>2602</x:v>
      </x:c>
      <x:c r="B2603" s="4" t="inlineStr">
        <x:is>
          <x:t xml:space="preserve">688627</x:t>
        </x:is>
      </x:c>
      <x:c r="C2603" s="5" t="inlineStr">
        <x:is>
          <x:t xml:space="preserve">精智达</x:t>
        </x:is>
      </x:c>
      <x:c r="D2603" s="5" t="inlineStr">
        <x:is>
          <x:t xml:space="preserve">深圳精智达技术股份有限公司</x:t>
        </x:is>
      </x:c>
      <x:c r="E2603" s="4" t="inlineStr">
        <x:is>
          <x:t xml:space="preserve">广东省</x:t>
        </x:is>
      </x:c>
      <x:c r="F2603" s="4" t="inlineStr">
        <x:is>
          <x:t xml:space="preserve">深圳市</x:t>
        </x:is>
      </x:c>
      <x:c r="G2603" s="5" t="inlineStr">
        <x:is>
          <x:t xml:space="preserve">广东省-深圳市</x:t>
        </x:is>
      </x:c>
      <x:c r="H2603" s="4" t="inlineStr">
        <x:is>
          <x:t xml:space="preserve">专用设备</x:t>
        </x:is>
      </x:c>
      <x:c r="I2603" s="4" t="inlineStr">
        <x:is>
          <x:t xml:space="preserve">2023-07-18</x:t>
        </x:is>
      </x:c>
      <x:c r="J2603" s="5" t="inlineStr">
        <x:is>
          <x:t xml:space="preserve">深圳市龙华区龙华街道清湖社区清湖村富安娜公司1号101工业园D栋1楼东</x:t>
        </x:is>
      </x:c>
      <x:c r="K2603" s="12" t="str">
        <x:f>LEFT("91440300576369572U",18)</x:f>
        <x:v>91440300576369572U</x:v>
      </x:c>
    </x:row>
    <x:row r="2604">
      <x:c r="A2604" s="2" t="n">
        <x:v>2603</x:v>
      </x:c>
      <x:c r="B2604" s="2" t="inlineStr">
        <x:is>
          <x:t xml:space="preserve">688628</x:t>
        </x:is>
      </x:c>
      <x:c r="C2604" s="3" t="inlineStr">
        <x:is>
          <x:t xml:space="preserve">优利德</x:t>
        </x:is>
      </x:c>
      <x:c r="D2604" s="3" t="inlineStr">
        <x:is>
          <x:t xml:space="preserve">优利德科技(中国)股份有限公司</x:t>
        </x:is>
      </x:c>
      <x:c r="E2604" s="2" t="inlineStr">
        <x:is>
          <x:t xml:space="preserve">广东省</x:t>
        </x:is>
      </x:c>
      <x:c r="F2604" s="2" t="inlineStr">
        <x:is>
          <x:t xml:space="preserve">东莞市</x:t>
        </x:is>
      </x:c>
      <x:c r="G2604" s="3" t="inlineStr">
        <x:is>
          <x:t xml:space="preserve">广东省-东莞市</x:t>
        </x:is>
      </x:c>
      <x:c r="H2604" s="2" t="inlineStr">
        <x:is>
          <x:t xml:space="preserve">仪器仪表</x:t>
        </x:is>
      </x:c>
      <x:c r="I2604" s="2" t="inlineStr">
        <x:is>
          <x:t xml:space="preserve">2021-02-01</x:t>
        </x:is>
      </x:c>
      <x:c r="J2604" s="3" t="inlineStr">
        <x:is>
          <x:t xml:space="preserve">广东省东莞市松山湖园区工业北一路6号</x:t>
        </x:is>
      </x:c>
      <x:c r="K2604" s="12" t="str">
        <x:f>LEFT("914419007564666605",18)</x:f>
        <x:v>914419007564666600</x:v>
      </x:c>
    </x:row>
    <x:row r="2605">
      <x:c r="A2605" s="4" t="n">
        <x:v>2604</x:v>
      </x:c>
      <x:c r="B2605" s="4" t="inlineStr">
        <x:is>
          <x:t xml:space="preserve">688638</x:t>
        </x:is>
      </x:c>
      <x:c r="C2605" s="5" t="inlineStr">
        <x:is>
          <x:t xml:space="preserve">誉辰智能</x:t>
        </x:is>
      </x:c>
      <x:c r="D2605" s="5" t="inlineStr">
        <x:is>
          <x:t xml:space="preserve">深圳市誉辰智能装备股份有限公司</x:t>
        </x:is>
      </x:c>
      <x:c r="E2605" s="4" t="inlineStr">
        <x:is>
          <x:t xml:space="preserve">广东省</x:t>
        </x:is>
      </x:c>
      <x:c r="F2605" s="4" t="inlineStr">
        <x:is>
          <x:t xml:space="preserve">深圳市</x:t>
        </x:is>
      </x:c>
      <x:c r="G2605" s="5" t="inlineStr">
        <x:is>
          <x:t xml:space="preserve">广东省-深圳市</x:t>
        </x:is>
      </x:c>
      <x:c r="H2605" s="4" t="inlineStr">
        <x:is>
          <x:t xml:space="preserve">电池</x:t>
        </x:is>
      </x:c>
      <x:c r="I2605" s="4" t="inlineStr">
        <x:is>
          <x:t xml:space="preserve">2023-07-12</x:t>
        </x:is>
      </x:c>
      <x:c r="J2605" s="5" t="inlineStr">
        <x:is>
          <x:t xml:space="preserve">深圳市宝安区沙井街道共和社区新和大道丽城科技工业园M栋一层至六层</x:t>
        </x:is>
      </x:c>
      <x:c r="K2605" s="12" t="str">
        <x:f>LEFT("914403000589868964",18)</x:f>
        <x:v>914403000589868900</x:v>
      </x:c>
    </x:row>
    <x:row r="2606">
      <x:c r="A2606" s="2" t="n">
        <x:v>2605</x:v>
      </x:c>
      <x:c r="B2606" s="2" t="inlineStr">
        <x:is>
          <x:t xml:space="preserve">688655</x:t>
        </x:is>
      </x:c>
      <x:c r="C2606" s="3" t="inlineStr">
        <x:is>
          <x:t xml:space="preserve">迅捷兴</x:t>
        </x:is>
      </x:c>
      <x:c r="D2606" s="3" t="inlineStr">
        <x:is>
          <x:t xml:space="preserve">深圳市迅捷兴科技股份有限公司</x:t>
        </x:is>
      </x:c>
      <x:c r="E2606" s="2" t="inlineStr">
        <x:is>
          <x:t xml:space="preserve">广东省</x:t>
        </x:is>
      </x:c>
      <x:c r="F2606" s="2" t="inlineStr">
        <x:is>
          <x:t xml:space="preserve">深圳市</x:t>
        </x:is>
      </x:c>
      <x:c r="G2606" s="3" t="inlineStr">
        <x:is>
          <x:t xml:space="preserve">广东省-深圳市</x:t>
        </x:is>
      </x:c>
      <x:c r="H2606" s="2" t="inlineStr">
        <x:is>
          <x:t xml:space="preserve">电子元件</x:t>
        </x:is>
      </x:c>
      <x:c r="I2606" s="2" t="inlineStr">
        <x:is>
          <x:t xml:space="preserve">2021-05-11</x:t>
        </x:is>
      </x:c>
      <x:c r="J2606" s="3" t="inlineStr">
        <x:is>
          <x:t xml:space="preserve">深圳市宝安区沙井街道沙头社区沙井南环路446号星展广场1栋A座24楼</x:t>
        </x:is>
      </x:c>
      <x:c r="K2606" s="12" t="str">
        <x:f>LEFT("91440300778785072F",18)</x:f>
        <x:v>91440300778785072F</x:v>
      </x:c>
    </x:row>
    <x:row r="2607">
      <x:c r="A2607" s="4" t="n">
        <x:v>2606</x:v>
      </x:c>
      <x:c r="B2607" s="4" t="inlineStr">
        <x:is>
          <x:t xml:space="preserve">688662</x:t>
        </x:is>
      </x:c>
      <x:c r="C2607" s="5" t="inlineStr">
        <x:is>
          <x:t xml:space="preserve">富信科技</x:t>
        </x:is>
      </x:c>
      <x:c r="D2607" s="5" t="inlineStr">
        <x:is>
          <x:t xml:space="preserve">广东富信科技股份有限公司</x:t>
        </x:is>
      </x:c>
      <x:c r="E2607" s="4" t="inlineStr">
        <x:is>
          <x:t xml:space="preserve">广东省</x:t>
        </x:is>
      </x:c>
      <x:c r="F2607" s="4" t="inlineStr">
        <x:is>
          <x:t xml:space="preserve">佛山市</x:t>
        </x:is>
      </x:c>
      <x:c r="G2607" s="5" t="inlineStr">
        <x:is>
          <x:t xml:space="preserve">广东省-佛山市</x:t>
        </x:is>
      </x:c>
      <x:c r="H2607" s="4" t="inlineStr">
        <x:is>
          <x:t xml:space="preserve">电子元件</x:t>
        </x:is>
      </x:c>
      <x:c r="I2607" s="4" t="inlineStr">
        <x:is>
          <x:t xml:space="preserve">2021-04-01</x:t>
        </x:is>
      </x:c>
      <x:c r="J2607" s="5" t="inlineStr">
        <x:is>
          <x:t xml:space="preserve">佛山市顺德高新区(容桂)科苑三路20号</x:t>
        </x:is>
      </x:c>
      <x:c r="K2607" s="12" t="str">
        <x:f>LEFT("9144060675109268XW",18)</x:f>
        <x:v>9144060675109268XW</x:v>
      </x:c>
    </x:row>
    <x:row r="2608">
      <x:c r="A2608" s="2" t="n">
        <x:v>2607</x:v>
      </x:c>
      <x:c r="B2608" s="2" t="inlineStr">
        <x:is>
          <x:t xml:space="preserve">688668</x:t>
        </x:is>
      </x:c>
      <x:c r="C2608" s="3" t="inlineStr">
        <x:is>
          <x:t xml:space="preserve">鼎通科技</x:t>
        </x:is>
      </x:c>
      <x:c r="D2608" s="3" t="inlineStr">
        <x:is>
          <x:t xml:space="preserve">东莞市鼎通精密科技股份有限公司</x:t>
        </x:is>
      </x:c>
      <x:c r="E2608" s="2" t="inlineStr">
        <x:is>
          <x:t xml:space="preserve">广东省</x:t>
        </x:is>
      </x:c>
      <x:c r="F2608" s="2" t="inlineStr">
        <x:is>
          <x:t xml:space="preserve">东莞市</x:t>
        </x:is>
      </x:c>
      <x:c r="G2608" s="3" t="inlineStr">
        <x:is>
          <x:t xml:space="preserve">广东省-东莞市</x:t>
        </x:is>
      </x:c>
      <x:c r="H2608" s="2" t="inlineStr">
        <x:is>
          <x:t xml:space="preserve">通信设备</x:t>
        </x:is>
      </x:c>
      <x:c r="I2608" s="2" t="inlineStr">
        <x:is>
          <x:t xml:space="preserve">2020-12-21</x:t>
        </x:is>
      </x:c>
      <x:c r="J2608" s="3" t="inlineStr">
        <x:is>
          <x:t xml:space="preserve">广东省东莞市东城街道周屋社区银珠路七号</x:t>
        </x:is>
      </x:c>
      <x:c r="K2608" s="12" t="str">
        <x:f>LEFT("914419007510880152",18)</x:f>
        <x:v>914419007510880100</x:v>
      </x:c>
    </x:row>
    <x:row r="2609">
      <x:c r="A2609" s="4" t="n">
        <x:v>2608</x:v>
      </x:c>
      <x:c r="B2609" s="4" t="inlineStr">
        <x:is>
          <x:t xml:space="preserve">688669</x:t>
        </x:is>
      </x:c>
      <x:c r="C2609" s="5" t="inlineStr">
        <x:is>
          <x:t xml:space="preserve">聚石化学</x:t>
        </x:is>
      </x:c>
      <x:c r="D2609" s="5" t="inlineStr">
        <x:is>
          <x:t xml:space="preserve">广东聚石化学股份有限公司</x:t>
        </x:is>
      </x:c>
      <x:c r="E2609" s="4" t="inlineStr">
        <x:is>
          <x:t xml:space="preserve">广东省</x:t>
        </x:is>
      </x:c>
      <x:c r="F2609" s="4" t="inlineStr">
        <x:is>
          <x:t xml:space="preserve">清远市</x:t>
        </x:is>
      </x:c>
      <x:c r="G2609" s="5" t="inlineStr">
        <x:is>
          <x:t xml:space="preserve">广东省-清远市</x:t>
        </x:is>
      </x:c>
      <x:c r="H2609" s="4" t="inlineStr">
        <x:is>
          <x:t xml:space="preserve">塑料制品</x:t>
        </x:is>
      </x:c>
      <x:c r="I2609" s="4" t="inlineStr">
        <x:is>
          <x:t xml:space="preserve">2021-01-25</x:t>
        </x:is>
      </x:c>
      <x:c r="J2609" s="5" t="inlineStr">
        <x:is>
          <x:t xml:space="preserve">广东省清远市高新技术产业开发区雄兴工业城B6</x:t>
        </x:is>
      </x:c>
      <x:c r="K2609" s="12" t="str">
        <x:f>LEFT("91441800663323038G",18)</x:f>
        <x:v>91441800663323038G</x:v>
      </x:c>
    </x:row>
    <x:row r="2610">
      <x:c r="A2610" s="2" t="n">
        <x:v>2609</x:v>
      </x:c>
      <x:c r="B2610" s="2" t="inlineStr">
        <x:is>
          <x:t xml:space="preserve">688671</x:t>
        </x:is>
      </x:c>
      <x:c r="C2610" s="3" t="inlineStr">
        <x:is>
          <x:t xml:space="preserve">碧兴物联</x:t>
        </x:is>
      </x:c>
      <x:c r="D2610" s="3" t="inlineStr">
        <x:is>
          <x:t xml:space="preserve">碧兴物联科技(深圳)股份有限公司</x:t>
        </x:is>
      </x:c>
      <x:c r="E2610" s="2" t="inlineStr">
        <x:is>
          <x:t xml:space="preserve">广东省</x:t>
        </x:is>
      </x:c>
      <x:c r="F2610" s="2" t="inlineStr">
        <x:is>
          <x:t xml:space="preserve">深圳市</x:t>
        </x:is>
      </x:c>
      <x:c r="G2610" s="3" t="inlineStr">
        <x:is>
          <x:t xml:space="preserve">广东省-深圳市</x:t>
        </x:is>
      </x:c>
      <x:c r="H2610" s="2" t="inlineStr">
        <x:is>
          <x:t xml:space="preserve">仪器仪表</x:t>
        </x:is>
      </x:c>
      <x:c r="I2610" s="2" t="inlineStr">
        <x:is>
          <x:t xml:space="preserve">2023-08-09</x:t>
        </x:is>
      </x:c>
      <x:c r="J2610" s="3" t="inlineStr">
        <x:is>
          <x:t xml:space="preserve">深圳市宝安区新安街道兴东社区67区留仙三路1号润恒工业区厂房2栋301</x:t>
        </x:is>
      </x:c>
      <x:c r="K2610" s="12" t="str">
        <x:f>LEFT("914403005891936251",18)</x:f>
        <x:v>914403005891936300</x:v>
      </x:c>
    </x:row>
    <x:row r="2611">
      <x:c r="A2611" s="4" t="n">
        <x:v>2610</x:v>
      </x:c>
      <x:c r="B2611" s="4" t="inlineStr">
        <x:is>
          <x:t xml:space="preserve">688683</x:t>
        </x:is>
      </x:c>
      <x:c r="C2611" s="5" t="inlineStr">
        <x:is>
          <x:t xml:space="preserve">莱尔科技</x:t>
        </x:is>
      </x:c>
      <x:c r="D2611" s="5" t="inlineStr">
        <x:is>
          <x:t xml:space="preserve">广东莱尔新材料科技股份有限公司</x:t>
        </x:is>
      </x:c>
      <x:c r="E2611" s="4" t="inlineStr">
        <x:is>
          <x:t xml:space="preserve">广东省</x:t>
        </x:is>
      </x:c>
      <x:c r="F2611" s="4" t="inlineStr">
        <x:is>
          <x:t xml:space="preserve">佛山市</x:t>
        </x:is>
      </x:c>
      <x:c r="G2611" s="5" t="inlineStr">
        <x:is>
          <x:t xml:space="preserve">广东省-佛山市</x:t>
        </x:is>
      </x:c>
      <x:c r="H2611" s="4" t="inlineStr">
        <x:is>
          <x:t xml:space="preserve">消费电子</x:t>
        </x:is>
      </x:c>
      <x:c r="I2611" s="4" t="inlineStr">
        <x:is>
          <x:t xml:space="preserve">2021-04-12</x:t>
        </x:is>
      </x:c>
      <x:c r="J2611" s="5" t="inlineStr">
        <x:is>
          <x:t xml:space="preserve">广东省佛山市顺德区大良街道五沙社区顺宏路1号之1</x:t>
        </x:is>
      </x:c>
      <x:c r="K2611" s="12" t="str">
        <x:f>LEFT("914406067592234963",18)</x:f>
        <x:v>914406067592235000</x:v>
      </x:c>
    </x:row>
    <x:row r="2612">
      <x:c r="A2612" s="2" t="n">
        <x:v>2611</x:v>
      </x:c>
      <x:c r="B2612" s="2" t="inlineStr">
        <x:is>
          <x:t xml:space="preserve">688686</x:t>
        </x:is>
      </x:c>
      <x:c r="C2612" s="3" t="inlineStr">
        <x:is>
          <x:t xml:space="preserve">奥普特</x:t>
        </x:is>
      </x:c>
      <x:c r="D2612" s="3" t="inlineStr">
        <x:is>
          <x:t xml:space="preserve">广东奥普特科技股份有限公司</x:t>
        </x:is>
      </x:c>
      <x:c r="E2612" s="2" t="inlineStr">
        <x:is>
          <x:t xml:space="preserve">广东省</x:t>
        </x:is>
      </x:c>
      <x:c r="F2612" s="2" t="inlineStr">
        <x:is>
          <x:t xml:space="preserve">东莞市</x:t>
        </x:is>
      </x:c>
      <x:c r="G2612" s="3" t="inlineStr">
        <x:is>
          <x:t xml:space="preserve">广东省-东莞市</x:t>
        </x:is>
      </x:c>
      <x:c r="H2612" s="2" t="inlineStr">
        <x:is>
          <x:t xml:space="preserve">仪器仪表</x:t>
        </x:is>
      </x:c>
      <x:c r="I2612" s="2" t="inlineStr">
        <x:is>
          <x:t xml:space="preserve">2020-12-31</x:t>
        </x:is>
      </x:c>
      <x:c r="J2612" s="3" t="inlineStr">
        <x:is>
          <x:t xml:space="preserve">东莞市长安镇兴发南路66号之一</x:t>
        </x:is>
      </x:c>
      <x:c r="K2612" s="12" t="str">
        <x:f>LEFT("91441900786473896E",18)</x:f>
        <x:v>91441900786473896E</x:v>
      </x:c>
    </x:row>
    <x:row r="2613">
      <x:c r="A2613" s="4" t="n">
        <x:v>2612</x:v>
      </x:c>
      <x:c r="B2613" s="4" t="inlineStr">
        <x:is>
          <x:t xml:space="preserve">688699</x:t>
        </x:is>
      </x:c>
      <x:c r="C2613" s="5" t="inlineStr">
        <x:is>
          <x:t xml:space="preserve">明微电子</x:t>
        </x:is>
      </x:c>
      <x:c r="D2613" s="5" t="inlineStr">
        <x:is>
          <x:t xml:space="preserve">深圳市明微电子股份有限公司</x:t>
        </x:is>
      </x:c>
      <x:c r="E2613" s="4" t="inlineStr">
        <x:is>
          <x:t xml:space="preserve">广东省</x:t>
        </x:is>
      </x:c>
      <x:c r="F2613" s="4" t="inlineStr">
        <x:is>
          <x:t xml:space="preserve">深圳市</x:t>
        </x:is>
      </x:c>
      <x:c r="G2613" s="5" t="inlineStr">
        <x:is>
          <x:t xml:space="preserve">广东省-深圳市</x:t>
        </x:is>
      </x:c>
      <x:c r="H2613" s="4" t="inlineStr">
        <x:is>
          <x:t xml:space="preserve">半导体</x:t>
        </x:is>
      </x:c>
      <x:c r="I2613" s="4" t="inlineStr">
        <x:is>
          <x:t xml:space="preserve">2020-12-18</x:t>
        </x:is>
      </x:c>
      <x:c r="J2613" s="5" t="inlineStr">
        <x:is>
          <x:t xml:space="preserve">深圳市南山区粤海街道高新区社区沙河西路1801号国实大厦11A</x:t>
        </x:is>
      </x:c>
      <x:c r="K2613" s="12" t="str">
        <x:f>LEFT("91440300755659399L",18)</x:f>
        <x:v>91440300755659399L</x:v>
      </x:c>
    </x:row>
    <x:row r="2614">
      <x:c r="A2614" s="2" t="n">
        <x:v>2613</x:v>
      </x:c>
      <x:c r="B2614" s="2" t="inlineStr">
        <x:is>
          <x:t xml:space="preserve">688721</x:t>
        </x:is>
      </x:c>
      <x:c r="C2614" s="3" t="inlineStr">
        <x:is>
          <x:t xml:space="preserve">龙图光罩</x:t>
        </x:is>
      </x:c>
      <x:c r="D2614" s="3" t="inlineStr">
        <x:is>
          <x:t xml:space="preserve">深圳市龙图光罩股份有限公司</x:t>
        </x:is>
      </x:c>
      <x:c r="E2614" s="2" t="inlineStr">
        <x:is>
          <x:t xml:space="preserve">广东省</x:t>
        </x:is>
      </x:c>
      <x:c r="F2614" s="2" t="inlineStr">
        <x:is>
          <x:t xml:space="preserve">深圳市</x:t>
        </x:is>
      </x:c>
      <x:c r="G2614" s="3" t="inlineStr">
        <x:is>
          <x:t xml:space="preserve">广东省-深圳市</x:t>
        </x:is>
      </x:c>
      <x:c r="H2614" s="2" t="inlineStr">
        <x:is>
          <x:t xml:space="preserve">半导体</x:t>
        </x:is>
      </x:c>
      <x:c r="I2614" s="2" t="inlineStr">
        <x:is>
          <x:t xml:space="preserve">2024-08-06</x:t>
        </x:is>
      </x:c>
      <x:c r="J2614" s="3" t="inlineStr">
        <x:is>
          <x:t xml:space="preserve">深圳市宝安区新桥街道象山社区新玉路北侧圣佐治科技工业园4#厂房101</x:t>
        </x:is>
      </x:c>
      <x:c r="K2614" s="12" t="str">
        <x:f>LEFT("91440300553875325M",18)</x:f>
        <x:v>91440300553875325M</x:v>
      </x:c>
    </x:row>
    <x:row r="2615">
      <x:c r="A2615" s="4" t="n">
        <x:v>2614</x:v>
      </x:c>
      <x:c r="B2615" s="4" t="inlineStr">
        <x:is>
          <x:t xml:space="preserve">688726</x:t>
        </x:is>
      </x:c>
      <x:c r="C2615" s="5" t="inlineStr">
        <x:is>
          <x:t xml:space="preserve">拉普拉斯</x:t>
        </x:is>
      </x:c>
      <x:c r="D2615" s="5" t="inlineStr">
        <x:is>
          <x:t xml:space="preserve">拉普拉斯新能源科技股份有限公司</x:t>
        </x:is>
      </x:c>
      <x:c r="E2615" s="4" t="inlineStr">
        <x:is>
          <x:t xml:space="preserve">广东省</x:t>
        </x:is>
      </x:c>
      <x:c r="F2615" s="4" t="inlineStr">
        <x:is>
          <x:t xml:space="preserve">深圳市</x:t>
        </x:is>
      </x:c>
      <x:c r="G2615" s="5" t="inlineStr">
        <x:is>
          <x:t xml:space="preserve">广东省-深圳市</x:t>
        </x:is>
      </x:c>
      <x:c r="H2615" s="4" t="inlineStr">
        <x:is>
          <x:t xml:space="preserve">光伏设备</x:t>
        </x:is>
      </x:c>
      <x:c r="I2615" s="4" t="inlineStr">
        <x:is>
          <x:t xml:space="preserve">2024-10-29</x:t>
        </x:is>
      </x:c>
      <x:c r="J2615" s="5" t="inlineStr">
        <x:is>
          <x:t xml:space="preserve">深圳市坪山区坑梓街道吉康路1号</x:t>
        </x:is>
      </x:c>
      <x:c r="K2615" s="12" t="str">
        <x:f>LEFT("91440300MA5DC95K39",18)</x:f>
        <x:v>91440300MA5DC95K39</x:v>
      </x:c>
    </x:row>
    <x:row r="2616">
      <x:c r="A2616" s="2" t="n">
        <x:v>2615</x:v>
      </x:c>
      <x:c r="B2616" s="2" t="inlineStr">
        <x:is>
          <x:t xml:space="preserve">688759</x:t>
        </x:is>
      </x:c>
      <x:c r="C2616" s="3" t="inlineStr">
        <x:is>
          <x:t xml:space="preserve">必贝特</x:t>
        </x:is>
      </x:c>
      <x:c r="D2616" s="3" t="inlineStr">
        <x:is>
          <x:t xml:space="preserve">广州必贝特医药股份有限公司</x:t>
        </x:is>
      </x:c>
      <x:c r="E2616" s="2" t="inlineStr">
        <x:is>
          <x:t xml:space="preserve">广东省</x:t>
        </x:is>
      </x:c>
      <x:c r="F2616" s="2" t="inlineStr">
        <x:is>
          <x:t xml:space="preserve">广州市</x:t>
        </x:is>
      </x:c>
      <x:c r="G2616" s="3" t="inlineStr">
        <x:is>
          <x:t xml:space="preserve">广东省-广州市</x:t>
        </x:is>
      </x:c>
      <x:c r="H2616" s="2" t="inlineStr">
        <x:is>
          <x:t xml:space="preserve">生物制品</x:t>
        </x:is>
      </x:c>
      <x:c r="I2616" s="2" t="inlineStr">
        <x:is>
          <x:t xml:space="preserve">2025-10-28</x:t>
        </x:is>
      </x:c>
      <x:c r="J2616" s="3" t="inlineStr">
        <x:is>
          <x:t xml:space="preserve">广州市高新技术产业开发区科学城崖鹰石路25号A-3栋第八层802房</x:t>
        </x:is>
      </x:c>
      <x:c r="K2616" s="12" t="str">
        <x:f>LEFT("91440101589519277H",18)</x:f>
        <x:v>91440101589519277H</x:v>
      </x:c>
    </x:row>
    <x:row r="2617">
      <x:c r="A2617" s="4" t="n">
        <x:v>2616</x:v>
      </x:c>
      <x:c r="B2617" s="4" t="inlineStr">
        <x:is>
          <x:t xml:space="preserve">688772</x:t>
        </x:is>
      </x:c>
      <x:c r="C2617" s="5" t="inlineStr">
        <x:is>
          <x:t xml:space="preserve">珠海冠宇</x:t>
        </x:is>
      </x:c>
      <x:c r="D2617" s="5" t="inlineStr">
        <x:is>
          <x:t xml:space="preserve">珠海冠宇电池股份有限公司</x:t>
        </x:is>
      </x:c>
      <x:c r="E2617" s="4" t="inlineStr">
        <x:is>
          <x:t xml:space="preserve">广东省</x:t>
        </x:is>
      </x:c>
      <x:c r="F2617" s="4" t="inlineStr">
        <x:is>
          <x:t xml:space="preserve">珠海市</x:t>
        </x:is>
      </x:c>
      <x:c r="G2617" s="5" t="inlineStr">
        <x:is>
          <x:t xml:space="preserve">广东省-珠海市</x:t>
        </x:is>
      </x:c>
      <x:c r="H2617" s="4" t="inlineStr">
        <x:is>
          <x:t xml:space="preserve">电池</x:t>
        </x:is>
      </x:c>
      <x:c r="I2617" s="4" t="inlineStr">
        <x:is>
          <x:t xml:space="preserve">2021-10-15</x:t>
        </x:is>
      </x:c>
      <x:c r="J2617" s="5" t="inlineStr">
        <x:is>
          <x:t xml:space="preserve">珠海市斗门区井岸镇珠峰大道209号(A厂房首层南区)</x:t>
        </x:is>
      </x:c>
      <x:c r="K2617" s="12" t="str">
        <x:f>LEFT("91440400799386302M",18)</x:f>
        <x:v>91440400799386302M</x:v>
      </x:c>
    </x:row>
    <x:row r="2618">
      <x:c r="A2618" s="2" t="n">
        <x:v>2617</x:v>
      </x:c>
      <x:c r="B2618" s="2" t="inlineStr">
        <x:is>
          <x:t xml:space="preserve">688775</x:t>
        </x:is>
      </x:c>
      <x:c r="C2618" s="3" t="inlineStr">
        <x:is>
          <x:t xml:space="preserve">影石创新</x:t>
        </x:is>
      </x:c>
      <x:c r="D2618" s="3" t="inlineStr">
        <x:is>
          <x:t xml:space="preserve">影石创新科技股份有限公司</x:t>
        </x:is>
      </x:c>
      <x:c r="E2618" s="2" t="inlineStr">
        <x:is>
          <x:t xml:space="preserve">广东省</x:t>
        </x:is>
      </x:c>
      <x:c r="F2618" s="2" t="inlineStr">
        <x:is>
          <x:t xml:space="preserve">深圳市</x:t>
        </x:is>
      </x:c>
      <x:c r="G2618" s="3" t="inlineStr">
        <x:is>
          <x:t xml:space="preserve">广东省-深圳市</x:t>
        </x:is>
      </x:c>
      <x:c r="H2618" s="2" t="inlineStr">
        <x:is>
          <x:t xml:space="preserve">消费电子</x:t>
        </x:is>
      </x:c>
      <x:c r="I2618" s="2" t="inlineStr">
        <x:is>
          <x:t xml:space="preserve">2025-06-11</x:t>
        </x:is>
      </x:c>
      <x:c r="J2618" s="3" t="inlineStr">
        <x:is>
          <x:t xml:space="preserve">深圳市宝安区新安街道海旺社区兴业路1100号金利通金融中心大厦2栋1101,1102,1103</x:t>
        </x:is>
      </x:c>
      <x:c r="K2618" s="12" t="str">
        <x:f>LEFT("91440300342470600P",18)</x:f>
        <x:v>91440300342470600P</x:v>
      </x:c>
    </x:row>
    <x:row r="2619">
      <x:c r="A2619" s="4" t="n">
        <x:v>2618</x:v>
      </x:c>
      <x:c r="B2619" s="4" t="inlineStr">
        <x:is>
          <x:t xml:space="preserve">688785</x:t>
        </x:is>
      </x:c>
      <x:c r="C2619" s="5" t="inlineStr">
        <x:is>
          <x:t xml:space="preserve">恒运昌</x:t>
        </x:is>
      </x:c>
      <x:c r="D2619" s="5" t="inlineStr">
        <x:is>
          <x:t xml:space="preserve">深圳市恒运昌真空技术股份有限公司</x:t>
        </x:is>
      </x:c>
      <x:c r="E2619" s="4" t="inlineStr">
        <x:is>
          <x:t xml:space="preserve">广东省</x:t>
        </x:is>
      </x:c>
      <x:c r="F2619" s="4" t="inlineStr">
        <x:is>
          <x:t xml:space="preserve">深圳市</x:t>
        </x:is>
      </x:c>
      <x:c r="G2619" s="5" t="inlineStr">
        <x:is>
          <x:t xml:space="preserve">广东省-深圳市</x:t>
        </x:is>
      </x:c>
      <x:c r="H2619" s="4" t="inlineStr">
        <x:is>
          <x:t xml:space="preserve">电源设备</x:t>
        </x:is>
      </x:c>
      <x:c r="I2619" s="4" t="inlineStr">
        <x:is>
          <x:t xml:space="preserve">2026-01-28</x:t>
        </x:is>
      </x:c>
      <x:c r="J2619" s="5" t="inlineStr">
        <x:is>
          <x:t xml:space="preserve">深圳市宝安区西乡街道铁岗社区桃花源智创小镇功能配套区B栋101,201,301</x:t>
        </x:is>
      </x:c>
      <x:c r="K2619" s="12" t="str">
        <x:f>LEFT("91440300064958517E",18)</x:f>
        <x:v>91440300064958517E</x:v>
      </x:c>
    </x:row>
    <x:row r="2620">
      <x:c r="A2620" s="2" t="n">
        <x:v>2619</x:v>
      </x:c>
      <x:c r="B2620" s="2" t="inlineStr">
        <x:is>
          <x:t xml:space="preserve">688788</x:t>
        </x:is>
      </x:c>
      <x:c r="C2620" s="3" t="inlineStr">
        <x:is>
          <x:t xml:space="preserve">科思科技</x:t>
        </x:is>
      </x:c>
      <x:c r="D2620" s="3" t="inlineStr">
        <x:is>
          <x:t xml:space="preserve">深圳市科思科技股份有限公司</x:t>
        </x:is>
      </x:c>
      <x:c r="E2620" s="2" t="inlineStr">
        <x:is>
          <x:t xml:space="preserve">广东省</x:t>
        </x:is>
      </x:c>
      <x:c r="F2620" s="2" t="inlineStr">
        <x:is>
          <x:t xml:space="preserve">深圳市</x:t>
        </x:is>
      </x:c>
      <x:c r="G2620" s="3" t="inlineStr">
        <x:is>
          <x:t xml:space="preserve">广东省-深圳市</x:t>
        </x:is>
      </x:c>
      <x:c r="H2620" s="2" t="inlineStr">
        <x:is>
          <x:t xml:space="preserve">通信设备</x:t>
        </x:is>
      </x:c>
      <x:c r="I2620" s="2" t="inlineStr">
        <x:is>
          <x:t xml:space="preserve">2020-10-22</x:t>
        </x:is>
      </x:c>
      <x:c r="J2620" s="3" t="inlineStr">
        <x:is>
          <x:t xml:space="preserve">深圳市南山区粤海街道高新区社区科苑南路3156号深圳湾创新科技中心2栋A座2301、2302、2303、2304</x:t>
        </x:is>
      </x:c>
      <x:c r="K2620" s="12" t="str">
        <x:f>LEFT("91440300758626314J",18)</x:f>
        <x:v>91440300758626314J</x:v>
      </x:c>
    </x:row>
    <x:row r="2621">
      <x:c r="A2621" s="4" t="n">
        <x:v>2620</x:v>
      </x:c>
      <x:c r="B2621" s="4" t="inlineStr">
        <x:is>
          <x:t xml:space="preserve">688793</x:t>
        </x:is>
      </x:c>
      <x:c r="C2621" s="5" t="inlineStr">
        <x:is>
          <x:t xml:space="preserve">倍轻松</x:t>
        </x:is>
      </x:c>
      <x:c r="D2621" s="5" t="inlineStr">
        <x:is>
          <x:t xml:space="preserve">深圳市倍轻松科技股份有限公司</x:t>
        </x:is>
      </x:c>
      <x:c r="E2621" s="4" t="inlineStr">
        <x:is>
          <x:t xml:space="preserve">广东省</x:t>
        </x:is>
      </x:c>
      <x:c r="F2621" s="4" t="inlineStr">
        <x:is>
          <x:t xml:space="preserve">深圳市</x:t>
        </x:is>
      </x:c>
      <x:c r="G2621" s="5" t="inlineStr">
        <x:is>
          <x:t xml:space="preserve">广东省-深圳市</x:t>
        </x:is>
      </x:c>
      <x:c r="H2621" s="4" t="inlineStr">
        <x:is>
          <x:t xml:space="preserve">家电行业</x:t>
        </x:is>
      </x:c>
      <x:c r="I2621" s="4" t="inlineStr">
        <x:is>
          <x:t xml:space="preserve">2021-07-15</x:t>
        </x:is>
      </x:c>
      <x:c r="J2621" s="5" t="inlineStr">
        <x:is>
          <x:t xml:space="preserve">深圳市福田区华强北街道深南中路2018号兴华大厦东栋十层整层1071室</x:t>
        </x:is>
      </x:c>
      <x:c r="K2621" s="12" t="str">
        <x:f>LEFT("9144030072302468X5",18)</x:f>
        <x:v>9144030072302468X5</x:v>
      </x:c>
    </x:row>
    <x:row r="2622">
      <x:c r="A2622" s="2" t="n">
        <x:v>2621</x:v>
      </x:c>
      <x:c r="B2622" s="2" t="inlineStr">
        <x:is>
          <x:t xml:space="preserve">000528</x:t>
        </x:is>
      </x:c>
      <x:c r="C2622" s="3" t="inlineStr">
        <x:is>
          <x:t xml:space="preserve">柳工</x:t>
        </x:is>
      </x:c>
      <x:c r="D2622" s="3" t="inlineStr">
        <x:is>
          <x:t xml:space="preserve">广西柳工机械股份有限公司</x:t>
        </x:is>
      </x:c>
      <x:c r="E2622" s="2" t="inlineStr">
        <x:is>
          <x:t xml:space="preserve">广西壮族自治区</x:t>
        </x:is>
      </x:c>
      <x:c r="F2622" s="2" t="inlineStr">
        <x:is>
          <x:t xml:space="preserve">柳州市</x:t>
        </x:is>
      </x:c>
      <x:c r="G2622" s="3" t="inlineStr">
        <x:is>
          <x:t xml:space="preserve">广西壮族自治区-柳州市</x:t>
        </x:is>
      </x:c>
      <x:c r="H2622" s="2" t="inlineStr">
        <x:is>
          <x:t xml:space="preserve">工程机械</x:t>
        </x:is>
      </x:c>
      <x:c r="I2622" s="2" t="inlineStr">
        <x:is>
          <x:t xml:space="preserve">1993-11-18</x:t>
        </x:is>
      </x:c>
      <x:c r="J2622" s="3" t="inlineStr">
        <x:is>
          <x:t xml:space="preserve">广西壮族自治区柳州市柳太路1号</x:t>
        </x:is>
      </x:c>
      <x:c r="K2622" s="12" t="str">
        <x:f>LEFT("91450200198229141F",18)</x:f>
        <x:v>91450200198229141F</x:v>
      </x:c>
    </x:row>
    <x:row r="2623">
      <x:c r="A2623" s="4" t="n">
        <x:v>2622</x:v>
      </x:c>
      <x:c r="B2623" s="4" t="inlineStr">
        <x:is>
          <x:t xml:space="preserve">000582</x:t>
        </x:is>
      </x:c>
      <x:c r="C2623" s="5" t="inlineStr">
        <x:is>
          <x:t xml:space="preserve">北部湾港</x:t>
        </x:is>
      </x:c>
      <x:c r="D2623" s="5" t="inlineStr">
        <x:is>
          <x:t xml:space="preserve">北部湾港股份有限公司</x:t>
        </x:is>
      </x:c>
      <x:c r="E2623" s="4" t="inlineStr">
        <x:is>
          <x:t xml:space="preserve">广西壮族自治区</x:t>
        </x:is>
      </x:c>
      <x:c r="F2623" s="4" t="inlineStr">
        <x:is>
          <x:t xml:space="preserve">北海市</x:t>
        </x:is>
      </x:c>
      <x:c r="G2623" s="5" t="inlineStr">
        <x:is>
          <x:t xml:space="preserve">广西壮族自治区-北海市</x:t>
        </x:is>
      </x:c>
      <x:c r="H2623" s="4" t="inlineStr">
        <x:is>
          <x:t xml:space="preserve">港口水运</x:t>
        </x:is>
      </x:c>
      <x:c r="I2623" s="4" t="inlineStr">
        <x:is>
          <x:t xml:space="preserve">1995-11-02</x:t>
        </x:is>
      </x:c>
      <x:c r="J2623" s="5" t="inlineStr">
        <x:is>
          <x:t xml:space="preserve">北海市铁山港区兴港镇金港大道1号综合办公楼8层</x:t>
        </x:is>
      </x:c>
      <x:c r="K2623" s="12" t="str">
        <x:f>LEFT("914505001993009073",18)</x:f>
        <x:v>914505001993009000</x:v>
      </x:c>
    </x:row>
    <x:row r="2624">
      <x:c r="A2624" s="2" t="n">
        <x:v>2623</x:v>
      </x:c>
      <x:c r="B2624" s="2" t="inlineStr">
        <x:is>
          <x:t xml:space="preserve">000608</x:t>
        </x:is>
      </x:c>
      <x:c r="C2624" s="3" t="inlineStr">
        <x:is>
          <x:t xml:space="preserve">*ST阳光</x:t>
        </x:is>
      </x:c>
      <x:c r="D2624" s="3" t="inlineStr">
        <x:is>
          <x:t xml:space="preserve">阳光新业地产股份有限公司</x:t>
        </x:is>
      </x:c>
      <x:c r="E2624" s="2" t="inlineStr">
        <x:is>
          <x:t xml:space="preserve">广西壮族自治区</x:t>
        </x:is>
      </x:c>
      <x:c r="F2624" s="2" t="inlineStr">
        <x:is>
          <x:t xml:space="preserve">南宁市</x:t>
        </x:is>
      </x:c>
      <x:c r="G2624" s="3" t="inlineStr">
        <x:is>
          <x:t xml:space="preserve">广西壮族自治区-南宁市</x:t>
        </x:is>
      </x:c>
      <x:c r="H2624" s="2" t="inlineStr">
        <x:is>
          <x:t xml:space="preserve">房地产服务</x:t>
        </x:is>
      </x:c>
      <x:c r="I2624" s="2" t="inlineStr">
        <x:is>
          <x:t xml:space="preserve">1996-09-19</x:t>
        </x:is>
      </x:c>
      <x:c r="J2624" s="3" t="inlineStr">
        <x:is>
          <x:t xml:space="preserve">广西壮族自治区南宁市江南路230号南宁经济技术开发区</x:t>
        </x:is>
      </x:c>
      <x:c r="K2624" s="12" t="str">
        <x:f>LEFT("91450000200538358N",18)</x:f>
        <x:v>91450000200538358N</x:v>
      </x:c>
    </x:row>
    <x:row r="2625">
      <x:c r="A2625" s="4" t="n">
        <x:v>2624</x:v>
      </x:c>
      <x:c r="B2625" s="4" t="inlineStr">
        <x:is>
          <x:t xml:space="preserve">000703</x:t>
        </x:is>
      </x:c>
      <x:c r="C2625" s="5" t="inlineStr">
        <x:is>
          <x:t xml:space="preserve">恒逸石化</x:t>
        </x:is>
      </x:c>
      <x:c r="D2625" s="5" t="inlineStr">
        <x:is>
          <x:t xml:space="preserve">恒逸石化股份有限公司</x:t>
        </x:is>
      </x:c>
      <x:c r="E2625" s="4" t="inlineStr">
        <x:is>
          <x:t xml:space="preserve">广西壮族自治区</x:t>
        </x:is>
      </x:c>
      <x:c r="F2625" s="4" t="inlineStr">
        <x:is>
          <x:t xml:space="preserve">钦州市</x:t>
        </x:is>
      </x:c>
      <x:c r="G2625" s="5" t="inlineStr">
        <x:is>
          <x:t xml:space="preserve">广西壮族自治区-钦州市</x:t>
        </x:is>
      </x:c>
      <x:c r="H2625" s="4" t="inlineStr">
        <x:is>
          <x:t xml:space="preserve">化纤行业</x:t>
        </x:is>
      </x:c>
      <x:c r="I2625" s="4" t="inlineStr">
        <x:is>
          <x:t xml:space="preserve">1997-03-28</x:t>
        </x:is>
      </x:c>
      <x:c r="J2625" s="5" t="inlineStr">
        <x:is>
          <x:t xml:space="preserve">钦州市钦州港临海大道68号</x:t>
        </x:is>
      </x:c>
      <x:c r="K2625" s="12" t="str">
        <x:f>LEFT("9145050019822966X4",18)</x:f>
        <x:v>9145050019822966X4</x:v>
      </x:c>
    </x:row>
    <x:row r="2626">
      <x:c r="A2626" s="2" t="n">
        <x:v>2625</x:v>
      </x:c>
      <x:c r="B2626" s="2" t="inlineStr">
        <x:is>
          <x:t xml:space="preserve">000716</x:t>
        </x:is>
      </x:c>
      <x:c r="C2626" s="3" t="inlineStr">
        <x:is>
          <x:t xml:space="preserve">黑芝麻</x:t>
        </x:is>
      </x:c>
      <x:c r="D2626" s="3" t="inlineStr">
        <x:is>
          <x:t xml:space="preserve">南方黑芝麻集团股份有限公司</x:t>
        </x:is>
      </x:c>
      <x:c r="E2626" s="2" t="inlineStr">
        <x:is>
          <x:t xml:space="preserve">广西壮族自治区</x:t>
        </x:is>
      </x:c>
      <x:c r="F2626" s="2" t="inlineStr">
        <x:is>
          <x:t xml:space="preserve">玉林市</x:t>
        </x:is>
      </x:c>
      <x:c r="G2626" s="3" t="inlineStr">
        <x:is>
          <x:t xml:space="preserve">广西壮族自治区-玉林市</x:t>
        </x:is>
      </x:c>
      <x:c r="H2626" s="2" t="inlineStr">
        <x:is>
          <x:t xml:space="preserve">食品饮料</x:t>
        </x:is>
      </x:c>
      <x:c r="I2626" s="2" t="inlineStr">
        <x:is>
          <x:t xml:space="preserve">1997-04-18</x:t>
        </x:is>
      </x:c>
      <x:c r="J2626" s="3" t="inlineStr">
        <x:is>
          <x:t xml:space="preserve">广西容县容城南工业集中区黑五类产业园</x:t>
        </x:is>
      </x:c>
      <x:c r="K2626" s="12" t="str">
        <x:f>LEFT("91450900198225511A",18)</x:f>
        <x:v>91450900198225511A</x:v>
      </x:c>
    </x:row>
    <x:row r="2627">
      <x:c r="A2627" s="4" t="n">
        <x:v>2626</x:v>
      </x:c>
      <x:c r="B2627" s="4" t="inlineStr">
        <x:is>
          <x:t xml:space="preserve">000750</x:t>
        </x:is>
      </x:c>
      <x:c r="C2627" s="5" t="inlineStr">
        <x:is>
          <x:t xml:space="preserve">国海证券</x:t>
        </x:is>
      </x:c>
      <x:c r="D2627" s="5" t="inlineStr">
        <x:is>
          <x:t xml:space="preserve">国海证券股份有限公司</x:t>
        </x:is>
      </x:c>
      <x:c r="E2627" s="4" t="inlineStr">
        <x:is>
          <x:t xml:space="preserve">广西壮族自治区</x:t>
        </x:is>
      </x:c>
      <x:c r="F2627" s="4" t="inlineStr">
        <x:is>
          <x:t xml:space="preserve">桂林市</x:t>
        </x:is>
      </x:c>
      <x:c r="G2627" s="5" t="inlineStr">
        <x:is>
          <x:t xml:space="preserve">广西壮族自治区-桂林市</x:t>
        </x:is>
      </x:c>
      <x:c r="H2627" s="4" t="inlineStr">
        <x:is>
          <x:t xml:space="preserve">券商信托</x:t>
        </x:is>
      </x:c>
      <x:c r="I2627" s="4" t="inlineStr">
        <x:is>
          <x:t xml:space="preserve">1997-07-09</x:t>
        </x:is>
      </x:c>
      <x:c r="J2627" s="5" t="inlineStr">
        <x:is>
          <x:t xml:space="preserve">广西桂林市辅星路13号</x:t>
        </x:is>
      </x:c>
      <x:c r="K2627" s="12" t="str">
        <x:f>LEFT("91450300198230687E",18)</x:f>
        <x:v>91450300198230687E</x:v>
      </x:c>
    </x:row>
    <x:row r="2628">
      <x:c r="A2628" s="2" t="n">
        <x:v>2627</x:v>
      </x:c>
      <x:c r="B2628" s="2" t="inlineStr">
        <x:is>
          <x:t xml:space="preserve">000833</x:t>
        </x:is>
      </x:c>
      <x:c r="C2628" s="3" t="inlineStr">
        <x:is>
          <x:t xml:space="preserve">粤桂股份</x:t>
        </x:is>
      </x:c>
      <x:c r="D2628" s="3" t="inlineStr">
        <x:is>
          <x:t xml:space="preserve">广西粤桂广业控股股份有限公司</x:t>
        </x:is>
      </x:c>
      <x:c r="E2628" s="2" t="inlineStr">
        <x:is>
          <x:t xml:space="preserve">广西壮族自治区</x:t>
        </x:is>
      </x:c>
      <x:c r="F2628" s="2" t="inlineStr">
        <x:is>
          <x:t xml:space="preserve">贵港市</x:t>
        </x:is>
      </x:c>
      <x:c r="G2628" s="3" t="inlineStr">
        <x:is>
          <x:t xml:space="preserve">广西壮族自治区-贵港市</x:t>
        </x:is>
      </x:c>
      <x:c r="H2628" s="2" t="inlineStr">
        <x:is>
          <x:t xml:space="preserve">综合行业</x:t>
        </x:is>
      </x:c>
      <x:c r="I2628" s="2" t="inlineStr">
        <x:is>
          <x:t xml:space="preserve">1998-11-11</x:t>
        </x:is>
      </x:c>
      <x:c r="J2628" s="3" t="inlineStr">
        <x:is>
          <x:t xml:space="preserve">广西壮族自治区贵港市贵港高新区粤桂产业园幸福路1号</x:t>
        </x:is>
      </x:c>
      <x:c r="K2628" s="12" t="str">
        <x:f>LEFT("91450800198227509B",18)</x:f>
        <x:v>91450800198227509B</x:v>
      </x:c>
    </x:row>
    <x:row r="2629">
      <x:c r="A2629" s="4" t="n">
        <x:v>2628</x:v>
      </x:c>
      <x:c r="B2629" s="4" t="inlineStr">
        <x:is>
          <x:t xml:space="preserve">000911</x:t>
        </x:is>
      </x:c>
      <x:c r="C2629" s="5" t="inlineStr">
        <x:is>
          <x:t xml:space="preserve">广农糖业</x:t>
        </x:is>
      </x:c>
      <x:c r="D2629" s="5" t="inlineStr">
        <x:is>
          <x:t xml:space="preserve">广西农投糖业集团股份有限公司</x:t>
        </x:is>
      </x:c>
      <x:c r="E2629" s="4" t="inlineStr">
        <x:is>
          <x:t xml:space="preserve">广西壮族自治区</x:t>
        </x:is>
      </x:c>
      <x:c r="F2629" s="4" t="inlineStr">
        <x:is>
          <x:t xml:space="preserve">南宁市</x:t>
        </x:is>
      </x:c>
      <x:c r="G2629" s="5" t="inlineStr">
        <x:is>
          <x:t xml:space="preserve">广西壮族自治区-南宁市</x:t>
        </x:is>
      </x:c>
      <x:c r="H2629" s="4" t="inlineStr">
        <x:is>
          <x:t xml:space="preserve">食品饮料</x:t>
        </x:is>
      </x:c>
      <x:c r="I2629" s="4" t="inlineStr">
        <x:is>
          <x:t xml:space="preserve">1999-05-27</x:t>
        </x:is>
      </x:c>
      <x:c r="J2629" s="5" t="inlineStr">
        <x:is>
          <x:t xml:space="preserve">南宁市武鸣区广西-东盟经济技术开发区安平路27号1号科技研发办公楼</x:t>
        </x:is>
      </x:c>
      <x:c r="K2629" s="12" t="str">
        <x:f>LEFT("914500001983203917",18)</x:f>
        <x:v>914500001983204000</x:v>
      </x:c>
    </x:row>
    <x:row r="2630">
      <x:c r="A2630" s="2" t="n">
        <x:v>2629</x:v>
      </x:c>
      <x:c r="B2630" s="2" t="inlineStr">
        <x:is>
          <x:t xml:space="preserve">000953</x:t>
        </x:is>
      </x:c>
      <x:c r="C2630" s="3" t="inlineStr">
        <x:is>
          <x:t xml:space="preserve">河化股份</x:t>
        </x:is>
      </x:c>
      <x:c r="D2630" s="3" t="inlineStr">
        <x:is>
          <x:t xml:space="preserve">广西河池化工股份有限公司</x:t>
        </x:is>
      </x:c>
      <x:c r="E2630" s="2" t="inlineStr">
        <x:is>
          <x:t xml:space="preserve">广西壮族自治区</x:t>
        </x:is>
      </x:c>
      <x:c r="F2630" s="2" t="inlineStr">
        <x:is>
          <x:t xml:space="preserve">河池市</x:t>
        </x:is>
      </x:c>
      <x:c r="G2630" s="3" t="inlineStr">
        <x:is>
          <x:t xml:space="preserve">广西壮族自治区-河池市</x:t>
        </x:is>
      </x:c>
      <x:c r="H2630" s="2" t="inlineStr">
        <x:is>
          <x:t xml:space="preserve">医药制造</x:t>
        </x:is>
      </x:c>
      <x:c r="I2630" s="2" t="inlineStr">
        <x:is>
          <x:t xml:space="preserve">1999-12-02</x:t>
        </x:is>
      </x:c>
      <x:c r="J2630" s="3" t="inlineStr">
        <x:is>
          <x:t xml:space="preserve">广西壮族自治区河池市金城江区六甲镇</x:t>
        </x:is>
      </x:c>
      <x:c r="K2630" s="12" t="str">
        <x:f>LEFT("914512002008875580",18)</x:f>
        <x:v>914512002008875500</x:v>
      </x:c>
    </x:row>
    <x:row r="2631">
      <x:c r="A2631" s="4" t="n">
        <x:v>2630</x:v>
      </x:c>
      <x:c r="B2631" s="4" t="inlineStr">
        <x:is>
          <x:t xml:space="preserve">000978</x:t>
        </x:is>
      </x:c>
      <x:c r="C2631" s="5" t="inlineStr">
        <x:is>
          <x:t xml:space="preserve">桂林旅游</x:t>
        </x:is>
      </x:c>
      <x:c r="D2631" s="5" t="inlineStr">
        <x:is>
          <x:t xml:space="preserve">桂林旅游股份有限公司</x:t>
        </x:is>
      </x:c>
      <x:c r="E2631" s="4" t="inlineStr">
        <x:is>
          <x:t xml:space="preserve">广西壮族自治区</x:t>
        </x:is>
      </x:c>
      <x:c r="F2631" s="4" t="inlineStr">
        <x:is>
          <x:t xml:space="preserve">桂林市</x:t>
        </x:is>
      </x:c>
      <x:c r="G2631" s="5" t="inlineStr">
        <x:is>
          <x:t xml:space="preserve">广西壮族自治区-桂林市</x:t>
        </x:is>
      </x:c>
      <x:c r="H2631" s="4" t="inlineStr">
        <x:is>
          <x:t xml:space="preserve">旅游酒店</x:t>
        </x:is>
      </x:c>
      <x:c r="I2631" s="4" t="inlineStr">
        <x:is>
          <x:t xml:space="preserve">2000-05-18</x:t>
        </x:is>
      </x:c>
      <x:c r="J2631" s="5" t="inlineStr">
        <x:is>
          <x:t xml:space="preserve">广西桂林市翠竹路27-2号</x:t>
        </x:is>
      </x:c>
      <x:c r="K2631" s="12" t="str">
        <x:f>LEFT("91450300708618439A",18)</x:f>
        <x:v>91450300708618439A</x:v>
      </x:c>
    </x:row>
    <x:row r="2632">
      <x:c r="A2632" s="2" t="n">
        <x:v>2631</x:v>
      </x:c>
      <x:c r="B2632" s="2" t="inlineStr">
        <x:is>
          <x:t xml:space="preserve">002166</x:t>
        </x:is>
      </x:c>
      <x:c r="C2632" s="3" t="inlineStr">
        <x:is>
          <x:t xml:space="preserve">莱茵生物</x:t>
        </x:is>
      </x:c>
      <x:c r="D2632" s="3" t="inlineStr">
        <x:is>
          <x:t xml:space="preserve">桂林莱茵生物科技股份有限公司</x:t>
        </x:is>
      </x:c>
      <x:c r="E2632" s="2" t="inlineStr">
        <x:is>
          <x:t xml:space="preserve">广西壮族自治区</x:t>
        </x:is>
      </x:c>
      <x:c r="F2632" s="2" t="inlineStr">
        <x:is>
          <x:t xml:space="preserve">桂林市</x:t>
        </x:is>
      </x:c>
      <x:c r="G2632" s="3" t="inlineStr">
        <x:is>
          <x:t xml:space="preserve">广西壮族自治区-桂林市</x:t>
        </x:is>
      </x:c>
      <x:c r="H2632" s="2" t="inlineStr">
        <x:is>
          <x:t xml:space="preserve">中药</x:t>
        </x:is>
      </x:c>
      <x:c r="I2632" s="2" t="inlineStr">
        <x:is>
          <x:t xml:space="preserve">2007-09-13</x:t>
        </x:is>
      </x:c>
      <x:c r="J2632" s="3" t="inlineStr">
        <x:is>
          <x:t xml:space="preserve">桂林市临桂区人民南路19号</x:t>
        </x:is>
      </x:c>
      <x:c r="K2632" s="12" t="str">
        <x:f>LEFT("91450300723095584K",18)</x:f>
        <x:v>91450300723095584K</x:v>
      </x:c>
    </x:row>
    <x:row r="2633">
      <x:c r="A2633" s="4" t="n">
        <x:v>2632</x:v>
      </x:c>
      <x:c r="B2633" s="4" t="inlineStr">
        <x:is>
          <x:t xml:space="preserve">002175</x:t>
        </x:is>
      </x:c>
      <x:c r="C2633" s="5" t="inlineStr">
        <x:is>
          <x:t xml:space="preserve">东方智造</x:t>
        </x:is>
      </x:c>
      <x:c r="D2633" s="5" t="inlineStr">
        <x:is>
          <x:t xml:space="preserve">广西东方智造科技股份有限公司</x:t>
        </x:is>
      </x:c>
      <x:c r="E2633" s="4" t="inlineStr">
        <x:is>
          <x:t xml:space="preserve">广西壮族自治区</x:t>
        </x:is>
      </x:c>
      <x:c r="F2633" s="4" t="inlineStr">
        <x:is>
          <x:t xml:space="preserve">桂林市</x:t>
        </x:is>
      </x:c>
      <x:c r="G2633" s="5" t="inlineStr">
        <x:is>
          <x:t xml:space="preserve">广西壮族自治区-桂林市</x:t>
        </x:is>
      </x:c>
      <x:c r="H2633" s="4" t="inlineStr">
        <x:is>
          <x:t xml:space="preserve">仪器仪表</x:t>
        </x:is>
      </x:c>
      <x:c r="I2633" s="4" t="inlineStr">
        <x:is>
          <x:t xml:space="preserve">2007-10-12</x:t>
        </x:is>
      </x:c>
      <x:c r="J2633" s="5" t="inlineStr">
        <x:is>
          <x:t xml:space="preserve">桂林市七星区临江路234号</x:t>
        </x:is>
      </x:c>
      <x:c r="K2633" s="12" t="str">
        <x:f>LEFT("914503001988728234",18)</x:f>
        <x:v>914503001988728200</x:v>
      </x:c>
    </x:row>
    <x:row r="2634">
      <x:c r="A2634" s="2" t="n">
        <x:v>2633</x:v>
      </x:c>
      <x:c r="B2634" s="2" t="inlineStr">
        <x:is>
          <x:t xml:space="preserve">002275</x:t>
        </x:is>
      </x:c>
      <x:c r="C2634" s="3" t="inlineStr">
        <x:is>
          <x:t xml:space="preserve">桂林三金</x:t>
        </x:is>
      </x:c>
      <x:c r="D2634" s="3" t="inlineStr">
        <x:is>
          <x:t xml:space="preserve">桂林三金药业股份有限公司</x:t>
        </x:is>
      </x:c>
      <x:c r="E2634" s="2" t="inlineStr">
        <x:is>
          <x:t xml:space="preserve">广西壮族自治区</x:t>
        </x:is>
      </x:c>
      <x:c r="F2634" s="2" t="inlineStr">
        <x:is>
          <x:t xml:space="preserve">桂林市</x:t>
        </x:is>
      </x:c>
      <x:c r="G2634" s="3" t="inlineStr">
        <x:is>
          <x:t xml:space="preserve">广西壮族自治区-桂林市</x:t>
        </x:is>
      </x:c>
      <x:c r="H2634" s="2" t="inlineStr">
        <x:is>
          <x:t xml:space="preserve">中药</x:t>
        </x:is>
      </x:c>
      <x:c r="I2634" s="2" t="inlineStr">
        <x:is>
          <x:t xml:space="preserve">2009-07-10</x:t>
        </x:is>
      </x:c>
      <x:c r="J2634" s="3" t="inlineStr">
        <x:is>
          <x:t xml:space="preserve">广西壮族自治区桂林市临桂区人民南路9号</x:t>
        </x:is>
      </x:c>
      <x:c r="K2634" s="12" t="str">
        <x:f>LEFT("91450300198888809P",18)</x:f>
        <x:v>91450300198888809P</x:v>
      </x:c>
    </x:row>
    <x:row r="2635">
      <x:c r="A2635" s="4" t="n">
        <x:v>2634</x:v>
      </x:c>
      <x:c r="B2635" s="4" t="inlineStr">
        <x:is>
          <x:t xml:space="preserve">002329</x:t>
        </x:is>
      </x:c>
      <x:c r="C2635" s="5" t="inlineStr">
        <x:is>
          <x:t xml:space="preserve">皇氏集团</x:t>
        </x:is>
      </x:c>
      <x:c r="D2635" s="5" t="inlineStr">
        <x:is>
          <x:t xml:space="preserve">皇氏集团股份有限公司</x:t>
        </x:is>
      </x:c>
      <x:c r="E2635" s="4" t="inlineStr">
        <x:is>
          <x:t xml:space="preserve">广西壮族自治区</x:t>
        </x:is>
      </x:c>
      <x:c r="F2635" s="4" t="inlineStr">
        <x:is>
          <x:t xml:space="preserve">南宁市</x:t>
        </x:is>
      </x:c>
      <x:c r="G2635" s="5" t="inlineStr">
        <x:is>
          <x:t xml:space="preserve">广西壮族自治区-南宁市</x:t>
        </x:is>
      </x:c>
      <x:c r="H2635" s="4" t="inlineStr">
        <x:is>
          <x:t xml:space="preserve">食品饮料</x:t>
        </x:is>
      </x:c>
      <x:c r="I2635" s="4" t="inlineStr">
        <x:is>
          <x:t xml:space="preserve">2010-01-06</x:t>
        </x:is>
      </x:c>
      <x:c r="J2635" s="5" t="inlineStr">
        <x:is>
          <x:t xml:space="preserve">南宁市高新区丰达路65号</x:t>
        </x:is>
      </x:c>
      <x:c r="K2635" s="12" t="str">
        <x:f>LEFT("91450000727678680U",18)</x:f>
        <x:v>91450000727678680U</x:v>
      </x:c>
    </x:row>
    <x:row r="2636">
      <x:c r="A2636" s="2" t="n">
        <x:v>2635</x:v>
      </x:c>
      <x:c r="B2636" s="2" t="inlineStr">
        <x:is>
          <x:t xml:space="preserve">002592</x:t>
        </x:is>
      </x:c>
      <x:c r="C2636" s="3" t="inlineStr">
        <x:is>
          <x:t xml:space="preserve">ST八菱</x:t>
        </x:is>
      </x:c>
      <x:c r="D2636" s="3" t="inlineStr">
        <x:is>
          <x:t xml:space="preserve">南宁八菱科技股份有限公司</x:t>
        </x:is>
      </x:c>
      <x:c r="E2636" s="2" t="inlineStr">
        <x:is>
          <x:t xml:space="preserve">广西壮族自治区</x:t>
        </x:is>
      </x:c>
      <x:c r="F2636" s="2" t="inlineStr">
        <x:is>
          <x:t xml:space="preserve">南宁市</x:t>
        </x:is>
      </x:c>
      <x:c r="G2636" s="3" t="inlineStr">
        <x:is>
          <x:t xml:space="preserve">广西壮族自治区-南宁市</x:t>
        </x:is>
      </x:c>
      <x:c r="H2636" s="2" t="inlineStr">
        <x:is>
          <x:t xml:space="preserve">汽车行业</x:t>
        </x:is>
      </x:c>
      <x:c r="I2636" s="2" t="inlineStr">
        <x:is>
          <x:t xml:space="preserve">2011-11-11</x:t>
        </x:is>
      </x:c>
      <x:c r="J2636" s="3" t="inlineStr">
        <x:is>
          <x:t xml:space="preserve">南宁市高新区高新大道东段21号</x:t>
        </x:is>
      </x:c>
      <x:c r="K2636" s="12" t="str">
        <x:f>LEFT("91450000729752557W",18)</x:f>
        <x:v>91450000729752557W</x:v>
      </x:c>
    </x:row>
    <x:row r="2637">
      <x:c r="A2637" s="4" t="n">
        <x:v>2636</x:v>
      </x:c>
      <x:c r="B2637" s="4" t="inlineStr">
        <x:is>
          <x:t xml:space="preserve">002696</x:t>
        </x:is>
      </x:c>
      <x:c r="C2637" s="5" t="inlineStr">
        <x:is>
          <x:t xml:space="preserve">百洋股份</x:t>
        </x:is>
      </x:c>
      <x:c r="D2637" s="5" t="inlineStr">
        <x:is>
          <x:t xml:space="preserve">百洋产业投资集团股份有限公司</x:t>
        </x:is>
      </x:c>
      <x:c r="E2637" s="4" t="inlineStr">
        <x:is>
          <x:t xml:space="preserve">广西壮族自治区</x:t>
        </x:is>
      </x:c>
      <x:c r="F2637" s="4" t="inlineStr">
        <x:is>
          <x:t xml:space="preserve">南宁市</x:t>
        </x:is>
      </x:c>
      <x:c r="G2637" s="5" t="inlineStr">
        <x:is>
          <x:t xml:space="preserve">广西壮族自治区-南宁市</x:t>
        </x:is>
      </x:c>
      <x:c r="H2637" s="4" t="inlineStr">
        <x:is>
          <x:t xml:space="preserve">农牧饲渔</x:t>
        </x:is>
      </x:c>
      <x:c r="I2637" s="4" t="inlineStr">
        <x:is>
          <x:t xml:space="preserve">2012-09-05</x:t>
        </x:is>
      </x:c>
      <x:c r="J2637" s="5" t="inlineStr">
        <x:is>
          <x:t xml:space="preserve">广西南宁市高新技术开发区高新四路9号</x:t>
        </x:is>
      </x:c>
      <x:c r="K2637" s="12" t="str">
        <x:f>LEFT("914501007188633583",18)</x:f>
        <x:v>914501007188633600</x:v>
      </x:c>
    </x:row>
    <x:row r="2638">
      <x:c r="A2638" s="2" t="n">
        <x:v>2637</x:v>
      </x:c>
      <x:c r="B2638" s="2" t="inlineStr">
        <x:is>
          <x:t xml:space="preserve">002929</x:t>
        </x:is>
      </x:c>
      <x:c r="C2638" s="3" t="inlineStr">
        <x:is>
          <x:t xml:space="preserve">润建股份</x:t>
        </x:is>
      </x:c>
      <x:c r="D2638" s="3" t="inlineStr">
        <x:is>
          <x:t xml:space="preserve">润建股份有限公司</x:t>
        </x:is>
      </x:c>
      <x:c r="E2638" s="2" t="inlineStr">
        <x:is>
          <x:t xml:space="preserve">广西壮族自治区</x:t>
        </x:is>
      </x:c>
      <x:c r="F2638" s="2" t="inlineStr">
        <x:is>
          <x:t xml:space="preserve">南宁市</x:t>
        </x:is>
      </x:c>
      <x:c r="G2638" s="3" t="inlineStr">
        <x:is>
          <x:t xml:space="preserve">广西壮族自治区-南宁市</x:t>
        </x:is>
      </x:c>
      <x:c r="H2638" s="2" t="inlineStr">
        <x:is>
          <x:t xml:space="preserve">通信服务</x:t>
        </x:is>
      </x:c>
      <x:c r="I2638" s="2" t="inlineStr">
        <x:is>
          <x:t xml:space="preserve">2018-03-01</x:t>
        </x:is>
      </x:c>
      <x:c r="J2638" s="3" t="inlineStr">
        <x:is>
          <x:t xml:space="preserve">南宁市西乡塘区总部路1号中国东盟科技企业孵化基地一期D7栋501室</x:t>
        </x:is>
      </x:c>
      <x:c r="K2638" s="12" t="str">
        <x:f>LEFT("9145000074512688XN",18)</x:f>
        <x:v>9145000074512688XN</x:v>
      </x:c>
    </x:row>
    <x:row r="2639">
      <x:c r="A2639" s="4" t="n">
        <x:v>2638</x:v>
      </x:c>
      <x:c r="B2639" s="4" t="inlineStr">
        <x:is>
          <x:t xml:space="preserve">002956</x:t>
        </x:is>
      </x:c>
      <x:c r="C2639" s="5" t="inlineStr">
        <x:is>
          <x:t xml:space="preserve">西麦食品</x:t>
        </x:is>
      </x:c>
      <x:c r="D2639" s="5" t="inlineStr">
        <x:is>
          <x:t xml:space="preserve">桂林西麦食品股份有限公司</x:t>
        </x:is>
      </x:c>
      <x:c r="E2639" s="4" t="inlineStr">
        <x:is>
          <x:t xml:space="preserve">广西壮族自治区</x:t>
        </x:is>
      </x:c>
      <x:c r="F2639" s="4" t="inlineStr">
        <x:is>
          <x:t xml:space="preserve">桂林市</x:t>
        </x:is>
      </x:c>
      <x:c r="G2639" s="5" t="inlineStr">
        <x:is>
          <x:t xml:space="preserve">广西壮族自治区-桂林市</x:t>
        </x:is>
      </x:c>
      <x:c r="H2639" s="4" t="inlineStr">
        <x:is>
          <x:t xml:space="preserve">食品饮料</x:t>
        </x:is>
      </x:c>
      <x:c r="I2639" s="4" t="inlineStr">
        <x:is>
          <x:t xml:space="preserve">2019-06-19</x:t>
        </x:is>
      </x:c>
      <x:c r="J2639" s="5" t="inlineStr">
        <x:is>
          <x:t xml:space="preserve">桂林市高新技术开发区九号小区</x:t>
        </x:is>
      </x:c>
      <x:c r="K2639" s="12" t="str">
        <x:f>LEFT("914503007276711206",18)</x:f>
        <x:v>914503007276711200</x:v>
      </x:c>
    </x:row>
    <x:row r="2640">
      <x:c r="A2640" s="2" t="n">
        <x:v>2639</x:v>
      </x:c>
      <x:c r="B2640" s="2" t="inlineStr">
        <x:is>
          <x:t xml:space="preserve">300422</x:t>
        </x:is>
      </x:c>
      <x:c r="C2640" s="3" t="inlineStr">
        <x:is>
          <x:t xml:space="preserve">博世科</x:t>
        </x:is>
      </x:c>
      <x:c r="D2640" s="3" t="inlineStr">
        <x:is>
          <x:t xml:space="preserve">广西博世科环保科技股份有限公司</x:t>
        </x:is>
      </x:c>
      <x:c r="E2640" s="2" t="inlineStr">
        <x:is>
          <x:t xml:space="preserve">广西壮族自治区</x:t>
        </x:is>
      </x:c>
      <x:c r="F2640" s="2" t="inlineStr">
        <x:is>
          <x:t xml:space="preserve">南宁市</x:t>
        </x:is>
      </x:c>
      <x:c r="G2640" s="3" t="inlineStr">
        <x:is>
          <x:t xml:space="preserve">广西壮族自治区-南宁市</x:t>
        </x:is>
      </x:c>
      <x:c r="H2640" s="2" t="inlineStr">
        <x:is>
          <x:t xml:space="preserve">环保工程</x:t>
        </x:is>
      </x:c>
      <x:c r="I2640" s="2" t="inlineStr">
        <x:is>
          <x:t xml:space="preserve">2015-02-17</x:t>
        </x:is>
      </x:c>
      <x:c r="J2640" s="3" t="inlineStr">
        <x:is>
          <x:t xml:space="preserve">南宁高新区高安路101号</x:t>
        </x:is>
      </x:c>
      <x:c r="K2640" s="12" t="str">
        <x:f>LEFT("91450100711480258H",18)</x:f>
        <x:v>91450100711480258H</x:v>
      </x:c>
    </x:row>
    <x:row r="2641">
      <x:c r="A2641" s="4" t="n">
        <x:v>2640</x:v>
      </x:c>
      <x:c r="B2641" s="4" t="inlineStr">
        <x:is>
          <x:t xml:space="preserve">300518</x:t>
        </x:is>
      </x:c>
      <x:c r="C2641" s="5" t="inlineStr">
        <x:is>
          <x:t xml:space="preserve">新迅达</x:t>
        </x:is>
      </x:c>
      <x:c r="D2641" s="5" t="inlineStr">
        <x:is>
          <x:t xml:space="preserve">广西新迅达科技集团股份公司</x:t>
        </x:is>
      </x:c>
      <x:c r="E2641" s="4" t="inlineStr">
        <x:is>
          <x:t xml:space="preserve">广西壮族自治区</x:t>
        </x:is>
      </x:c>
      <x:c r="F2641" s="4" t="inlineStr">
        <x:is>
          <x:t xml:space="preserve">南宁市</x:t>
        </x:is>
      </x:c>
      <x:c r="G2641" s="5" t="inlineStr">
        <x:is>
          <x:t xml:space="preserve">广西壮族自治区-南宁市</x:t>
        </x:is>
      </x:c>
      <x:c r="H2641" s="4" t="inlineStr">
        <x:is>
          <x:t xml:space="preserve">互联网服务</x:t>
        </x:is>
      </x:c>
      <x:c r="I2641" s="4" t="inlineStr">
        <x:is>
          <x:t xml:space="preserve">2016-06-24</x:t>
        </x:is>
      </x:c>
      <x:c r="J2641" s="5" t="inlineStr">
        <x:is>
          <x:t xml:space="preserve">中国(广西)自由贸易试验区南宁片区宋厢路15号兴业银行大厦二十一层</x:t>
        </x:is>
      </x:c>
      <x:c r="K2641" s="12" t="str">
        <x:f>LEFT("91440300796617371T",18)</x:f>
        <x:v>91440300796617371T</x:v>
      </x:c>
    </x:row>
    <x:row r="2642">
      <x:c r="A2642" s="2" t="n">
        <x:v>2641</x:v>
      </x:c>
      <x:c r="B2642" s="2" t="inlineStr">
        <x:is>
          <x:t xml:space="preserve">301027</x:t>
        </x:is>
      </x:c>
      <x:c r="C2642" s="3" t="inlineStr">
        <x:is>
          <x:t xml:space="preserve">华蓝集团</x:t>
        </x:is>
      </x:c>
      <x:c r="D2642" s="3" t="inlineStr">
        <x:is>
          <x:t xml:space="preserve">华蓝集团股份公司</x:t>
        </x:is>
      </x:c>
      <x:c r="E2642" s="2" t="inlineStr">
        <x:is>
          <x:t xml:space="preserve">广西壮族自治区</x:t>
        </x:is>
      </x:c>
      <x:c r="F2642" s="2" t="inlineStr">
        <x:is>
          <x:t xml:space="preserve">南宁市</x:t>
        </x:is>
      </x:c>
      <x:c r="G2642" s="3" t="inlineStr">
        <x:is>
          <x:t xml:space="preserve">广西壮族自治区-南宁市</x:t>
        </x:is>
      </x:c>
      <x:c r="H2642" s="2" t="inlineStr">
        <x:is>
          <x:t xml:space="preserve">工程咨询服务</x:t>
        </x:is>
      </x:c>
      <x:c r="I2642" s="2" t="inlineStr">
        <x:is>
          <x:t xml:space="preserve">2021-07-15</x:t>
        </x:is>
      </x:c>
      <x:c r="J2642" s="3" t="inlineStr">
        <x:is>
          <x:t xml:space="preserve">南宁市青秀区月湾路1号华蓝弈园</x:t>
        </x:is>
      </x:c>
      <x:c r="K2642" s="12" t="str">
        <x:f>LEFT("9145000059686217XU",18)</x:f>
        <x:v>9145000059686217XU</x:v>
      </x:c>
    </x:row>
    <x:row r="2643">
      <x:c r="A2643" s="4" t="n">
        <x:v>2642</x:v>
      </x:c>
      <x:c r="B2643" s="4" t="inlineStr">
        <x:is>
          <x:t xml:space="preserve">301379</x:t>
        </x:is>
      </x:c>
      <x:c r="C2643" s="5" t="inlineStr">
        <x:is>
          <x:t xml:space="preserve">天山电子</x:t>
        </x:is>
      </x:c>
      <x:c r="D2643" s="5" t="inlineStr">
        <x:is>
          <x:t xml:space="preserve">广西天山电子股份有限公司</x:t>
        </x:is>
      </x:c>
      <x:c r="E2643" s="4" t="inlineStr">
        <x:is>
          <x:t xml:space="preserve">广西壮族自治区</x:t>
        </x:is>
      </x:c>
      <x:c r="F2643" s="4" t="inlineStr">
        <x:is>
          <x:t xml:space="preserve">钦州市</x:t>
        </x:is>
      </x:c>
      <x:c r="G2643" s="5" t="inlineStr">
        <x:is>
          <x:t xml:space="preserve">广西壮族自治区-钦州市</x:t>
        </x:is>
      </x:c>
      <x:c r="H2643" s="4" t="inlineStr">
        <x:is>
          <x:t xml:space="preserve">光学光电子</x:t>
        </x:is>
      </x:c>
      <x:c r="I2643" s="4" t="inlineStr">
        <x:is>
          <x:t xml:space="preserve">2022-11-01</x:t>
        </x:is>
      </x:c>
      <x:c r="J2643" s="5" t="inlineStr">
        <x:is>
          <x:t xml:space="preserve">广西钦州市灵山县檀圩镇灵北路东街335号</x:t>
        </x:is>
      </x:c>
      <x:c r="K2643" s="12" t="str">
        <x:f>LEFT("91450721775999876N",18)</x:f>
        <x:v>91450721775999876N</x:v>
      </x:c>
    </x:row>
    <x:row r="2644">
      <x:c r="A2644" s="2" t="n">
        <x:v>2643</x:v>
      </x:c>
      <x:c r="B2644" s="2" t="inlineStr">
        <x:is>
          <x:t xml:space="preserve">600236</x:t>
        </x:is>
      </x:c>
      <x:c r="C2644" s="3" t="inlineStr">
        <x:is>
          <x:t xml:space="preserve">桂冠电力</x:t>
        </x:is>
      </x:c>
      <x:c r="D2644" s="3" t="inlineStr">
        <x:is>
          <x:t xml:space="preserve">广西桂冠电力股份有限公司</x:t>
        </x:is>
      </x:c>
      <x:c r="E2644" s="2" t="inlineStr">
        <x:is>
          <x:t xml:space="preserve">广西壮族自治区</x:t>
        </x:is>
      </x:c>
      <x:c r="F2644" s="2" t="inlineStr">
        <x:is>
          <x:t xml:space="preserve">南宁市</x:t>
        </x:is>
      </x:c>
      <x:c r="G2644" s="3" t="inlineStr">
        <x:is>
          <x:t xml:space="preserve">广西壮族自治区-南宁市</x:t>
        </x:is>
      </x:c>
      <x:c r="H2644" s="2" t="inlineStr">
        <x:is>
          <x:t xml:space="preserve">电力行业</x:t>
        </x:is>
      </x:c>
      <x:c r="I2644" s="2" t="inlineStr">
        <x:is>
          <x:t xml:space="preserve">2000-03-23</x:t>
        </x:is>
      </x:c>
      <x:c r="J2644" s="3" t="inlineStr">
        <x:is>
          <x:t xml:space="preserve">南宁市青秀区民族大道126号</x:t>
        </x:is>
      </x:c>
      <x:c r="K2644" s="12" t="str">
        <x:f>LEFT("914500001982242365",18)</x:f>
        <x:v>914500001982242300</x:v>
      </x:c>
    </x:row>
    <x:row r="2645">
      <x:c r="A2645" s="4" t="n">
        <x:v>2644</x:v>
      </x:c>
      <x:c r="B2645" s="4" t="inlineStr">
        <x:is>
          <x:t xml:space="preserve">600249</x:t>
        </x:is>
      </x:c>
      <x:c r="C2645" s="5" t="inlineStr">
        <x:is>
          <x:t xml:space="preserve">两面针</x:t>
        </x:is>
      </x:c>
      <x:c r="D2645" s="5" t="inlineStr">
        <x:is>
          <x:t xml:space="preserve">柳州两面针股份有限公司</x:t>
        </x:is>
      </x:c>
      <x:c r="E2645" s="4" t="inlineStr">
        <x:is>
          <x:t xml:space="preserve">广西壮族自治区</x:t>
        </x:is>
      </x:c>
      <x:c r="F2645" s="4" t="inlineStr">
        <x:is>
          <x:t xml:space="preserve">柳州市</x:t>
        </x:is>
      </x:c>
      <x:c r="G2645" s="5" t="inlineStr">
        <x:is>
          <x:t xml:space="preserve">广西壮族自治区-柳州市</x:t>
        </x:is>
      </x:c>
      <x:c r="H2645" s="4" t="inlineStr">
        <x:is>
          <x:t xml:space="preserve">美容护理</x:t>
        </x:is>
      </x:c>
      <x:c r="I2645" s="4" t="inlineStr">
        <x:is>
          <x:t xml:space="preserve">2004-01-30</x:t>
        </x:is>
      </x:c>
      <x:c r="J2645" s="5" t="inlineStr">
        <x:is>
          <x:t xml:space="preserve">广西柳州市东环大道282号</x:t>
        </x:is>
      </x:c>
      <x:c r="K2645" s="12" t="str">
        <x:f>LEFT("914502001982303373",18)</x:f>
        <x:v>914502001982303400</x:v>
      </x:c>
    </x:row>
    <x:row r="2646">
      <x:c r="A2646" s="2" t="n">
        <x:v>2645</x:v>
      </x:c>
      <x:c r="B2646" s="2" t="inlineStr">
        <x:is>
          <x:t xml:space="preserve">600252</x:t>
        </x:is>
      </x:c>
      <x:c r="C2646" s="3" t="inlineStr">
        <x:is>
          <x:t xml:space="preserve">中恒集团</x:t>
        </x:is>
      </x:c>
      <x:c r="D2646" s="3" t="inlineStr">
        <x:is>
          <x:t xml:space="preserve">广西梧州中恒集团股份有限公司</x:t>
        </x:is>
      </x:c>
      <x:c r="E2646" s="2" t="inlineStr">
        <x:is>
          <x:t xml:space="preserve">广西壮族自治区</x:t>
        </x:is>
      </x:c>
      <x:c r="F2646" s="2" t="inlineStr">
        <x:is>
          <x:t xml:space="preserve">梧州市</x:t>
        </x:is>
      </x:c>
      <x:c r="G2646" s="3" t="inlineStr">
        <x:is>
          <x:t xml:space="preserve">广西壮族自治区-梧州市</x:t>
        </x:is>
      </x:c>
      <x:c r="H2646" s="2" t="inlineStr">
        <x:is>
          <x:t xml:space="preserve">中药</x:t>
        </x:is>
      </x:c>
      <x:c r="I2646" s="2" t="inlineStr">
        <x:is>
          <x:t xml:space="preserve">2000-11-30</x:t>
        </x:is>
      </x:c>
      <x:c r="J2646" s="3" t="inlineStr">
        <x:is>
          <x:t xml:space="preserve">广西梧州市工业园区工业大道1号第1幢</x:t>
        </x:is>
      </x:c>
      <x:c r="K2646" s="12" t="str">
        <x:f>LEFT("914504001982304689",18)</x:f>
        <x:v>914504001982304600</x:v>
      </x:c>
    </x:row>
    <x:row r="2647">
      <x:c r="A2647" s="4" t="n">
        <x:v>2646</x:v>
      </x:c>
      <x:c r="B2647" s="4" t="inlineStr">
        <x:is>
          <x:t xml:space="preserve">600301</x:t>
        </x:is>
      </x:c>
      <x:c r="C2647" s="5" t="inlineStr">
        <x:is>
          <x:t xml:space="preserve">华锡有色</x:t>
        </x:is>
      </x:c>
      <x:c r="D2647" s="5" t="inlineStr">
        <x:is>
          <x:t xml:space="preserve">广西华锡有色金属股份有限公司</x:t>
        </x:is>
      </x:c>
      <x:c r="E2647" s="4" t="inlineStr">
        <x:is>
          <x:t xml:space="preserve">广西壮族自治区</x:t>
        </x:is>
      </x:c>
      <x:c r="F2647" s="4" t="inlineStr">
        <x:is>
          <x:t xml:space="preserve">南宁市</x:t>
        </x:is>
      </x:c>
      <x:c r="G2647" s="5" t="inlineStr">
        <x:is>
          <x:t xml:space="preserve">广西壮族自治区-南宁市</x:t>
        </x:is>
      </x:c>
      <x:c r="H2647" s="4" t="inlineStr">
        <x:is>
          <x:t xml:space="preserve">小金属</x:t>
        </x:is>
      </x:c>
      <x:c r="I2647" s="4" t="inlineStr">
        <x:is>
          <x:t xml:space="preserve">2000-07-12</x:t>
        </x:is>
      </x:c>
      <x:c r="J2647" s="5" t="inlineStr">
        <x:is>
          <x:t xml:space="preserve">广西壮族自治区南宁市良庆区体强路12号北部湾航运中心B座9层</x:t>
        </x:is>
      </x:c>
      <x:c r="K2647" s="12" t="str">
        <x:f>LEFT("914500007087313433",18)</x:f>
        <x:v>914500007087313400</x:v>
      </x:c>
    </x:row>
    <x:row r="2648">
      <x:c r="A2648" s="2" t="n">
        <x:v>2647</x:v>
      </x:c>
      <x:c r="B2648" s="2" t="inlineStr">
        <x:is>
          <x:t xml:space="preserve">600310</x:t>
        </x:is>
      </x:c>
      <x:c r="C2648" s="3" t="inlineStr">
        <x:is>
          <x:t xml:space="preserve">广西能源</x:t>
        </x:is>
      </x:c>
      <x:c r="D2648" s="3" t="inlineStr">
        <x:is>
          <x:t xml:space="preserve">广西能源股份有限公司</x:t>
        </x:is>
      </x:c>
      <x:c r="E2648" s="2" t="inlineStr">
        <x:is>
          <x:t xml:space="preserve">广西壮族自治区</x:t>
        </x:is>
      </x:c>
      <x:c r="F2648" s="2" t="inlineStr">
        <x:is>
          <x:t xml:space="preserve">贺州市</x:t>
        </x:is>
      </x:c>
      <x:c r="G2648" s="3" t="inlineStr">
        <x:is>
          <x:t xml:space="preserve">广西壮族自治区-贺州市</x:t>
        </x:is>
      </x:c>
      <x:c r="H2648" s="2" t="inlineStr">
        <x:is>
          <x:t xml:space="preserve">电力行业</x:t>
        </x:is>
      </x:c>
      <x:c r="I2648" s="2" t="inlineStr">
        <x:is>
          <x:t xml:space="preserve">2001-02-28</x:t>
        </x:is>
      </x:c>
      <x:c r="J2648" s="3" t="inlineStr">
        <x:is>
          <x:t xml:space="preserve">广西贺州市八步区松木岭路122号</x:t>
        </x:is>
      </x:c>
      <x:c r="K2648" s="12" t="str">
        <x:f>LEFT("91451100711427393C",18)</x:f>
        <x:v>91451100711427393C</x:v>
      </x:c>
    </x:row>
    <x:row r="2649">
      <x:c r="A2649" s="4" t="n">
        <x:v>2648</x:v>
      </x:c>
      <x:c r="B2649" s="4" t="inlineStr">
        <x:is>
          <x:t xml:space="preserve">600368</x:t>
        </x:is>
      </x:c>
      <x:c r="C2649" s="5" t="inlineStr">
        <x:is>
          <x:t xml:space="preserve">五洲交通</x:t>
        </x:is>
      </x:c>
      <x:c r="D2649" s="5" t="inlineStr">
        <x:is>
          <x:t xml:space="preserve">广西五洲交通股份有限公司</x:t>
        </x:is>
      </x:c>
      <x:c r="E2649" s="4" t="inlineStr">
        <x:is>
          <x:t xml:space="preserve">广西壮族自治区</x:t>
        </x:is>
      </x:c>
      <x:c r="F2649" s="4" t="inlineStr">
        <x:is>
          <x:t xml:space="preserve">南宁市</x:t>
        </x:is>
      </x:c>
      <x:c r="G2649" s="5" t="inlineStr">
        <x:is>
          <x:t xml:space="preserve">广西壮族自治区-南宁市</x:t>
        </x:is>
      </x:c>
      <x:c r="H2649" s="4" t="inlineStr">
        <x:is>
          <x:t xml:space="preserve">高速公路</x:t>
        </x:is>
      </x:c>
      <x:c r="I2649" s="4" t="inlineStr">
        <x:is>
          <x:t xml:space="preserve">2000-12-21</x:t>
        </x:is>
      </x:c>
      <x:c r="J2649" s="5" t="inlineStr">
        <x:is>
          <x:t xml:space="preserve">广西南宁市良庆区庆歌路20号富雅国际商务大厦A座43层</x:t>
        </x:is>
      </x:c>
      <x:c r="K2649" s="12" t="str">
        <x:f>LEFT("914500001982250954",18)</x:f>
        <x:v>914500001982251000</x:v>
      </x:c>
    </x:row>
    <x:row r="2650">
      <x:c r="A2650" s="2" t="n">
        <x:v>2649</x:v>
      </x:c>
      <x:c r="B2650" s="2" t="inlineStr">
        <x:is>
          <x:t xml:space="preserve">600423</x:t>
        </x:is>
      </x:c>
      <x:c r="C2650" s="3" t="inlineStr">
        <x:is>
          <x:t xml:space="preserve">柳化股份</x:t>
        </x:is>
      </x:c>
      <x:c r="D2650" s="3" t="inlineStr">
        <x:is>
          <x:t xml:space="preserve">柳州化工股份有限公司</x:t>
        </x:is>
      </x:c>
      <x:c r="E2650" s="2" t="inlineStr">
        <x:is>
          <x:t xml:space="preserve">广西壮族自治区</x:t>
        </x:is>
      </x:c>
      <x:c r="F2650" s="2" t="inlineStr">
        <x:is>
          <x:t xml:space="preserve">柳州市</x:t>
        </x:is>
      </x:c>
      <x:c r="G2650" s="3" t="inlineStr">
        <x:is>
          <x:t xml:space="preserve">广西壮族自治区-柳州市</x:t>
        </x:is>
      </x:c>
      <x:c r="H2650" s="2" t="inlineStr">
        <x:is>
          <x:t xml:space="preserve">化学原料</x:t>
        </x:is>
      </x:c>
      <x:c r="I2650" s="2" t="inlineStr">
        <x:is>
          <x:t xml:space="preserve">2003-07-17</x:t>
        </x:is>
      </x:c>
      <x:c r="J2650" s="3" t="inlineStr">
        <x:is>
          <x:t xml:space="preserve">广西壮族自治区柳州市柳北区跃进路106号之八汇金国际26层</x:t>
        </x:is>
      </x:c>
      <x:c r="K2650" s="12" t="str">
        <x:f>LEFT("91450200723064200A",18)</x:f>
        <x:v>91450200723064200A</x:v>
      </x:c>
    </x:row>
    <x:row r="2651">
      <x:c r="A2651" s="4" t="n">
        <x:v>2650</x:v>
      </x:c>
      <x:c r="B2651" s="4" t="inlineStr">
        <x:is>
          <x:t xml:space="preserve">600538</x:t>
        </x:is>
      </x:c>
      <x:c r="C2651" s="5" t="inlineStr">
        <x:is>
          <x:t xml:space="preserve">国发股份</x:t>
        </x:is>
      </x:c>
      <x:c r="D2651" s="5" t="inlineStr">
        <x:is>
          <x:t xml:space="preserve">北海国发川山生物股份有限公司</x:t>
        </x:is>
      </x:c>
      <x:c r="E2651" s="4" t="inlineStr">
        <x:is>
          <x:t xml:space="preserve">广西壮族自治区</x:t>
        </x:is>
      </x:c>
      <x:c r="F2651" s="4" t="inlineStr">
        <x:is>
          <x:t xml:space="preserve">北海市</x:t>
        </x:is>
      </x:c>
      <x:c r="G2651" s="5" t="inlineStr">
        <x:is>
          <x:t xml:space="preserve">广西壮族自治区-北海市</x:t>
        </x:is>
      </x:c>
      <x:c r="H2651" s="4" t="inlineStr">
        <x:is>
          <x:t xml:space="preserve">医药商业</x:t>
        </x:is>
      </x:c>
      <x:c r="I2651" s="4" t="inlineStr">
        <x:is>
          <x:t xml:space="preserve">2003-01-14</x:t>
        </x:is>
      </x:c>
      <x:c r="J2651" s="5" t="inlineStr">
        <x:is>
          <x:t xml:space="preserve">广西北海市北部湾中路3号</x:t>
        </x:is>
      </x:c>
      <x:c r="K2651" s="12" t="str">
        <x:f>LEFT("91450500198228069W",18)</x:f>
        <x:v>91450500198228069W</x:v>
      </x:c>
    </x:row>
    <x:row r="2652">
      <x:c r="A2652" s="2" t="n">
        <x:v>2651</x:v>
      </x:c>
      <x:c r="B2652" s="2" t="inlineStr">
        <x:is>
          <x:t xml:space="preserve">600556</x:t>
        </x:is>
      </x:c>
      <x:c r="C2652" s="3" t="inlineStr">
        <x:is>
          <x:t xml:space="preserve">天下秀</x:t>
        </x:is>
      </x:c>
      <x:c r="D2652" s="3" t="inlineStr">
        <x:is>
          <x:t xml:space="preserve">天下秀数字科技(集团)股份有限公司</x:t>
        </x:is>
      </x:c>
      <x:c r="E2652" s="2" t="inlineStr">
        <x:is>
          <x:t xml:space="preserve">广西壮族自治区</x:t>
        </x:is>
      </x:c>
      <x:c r="F2652" s="2" t="inlineStr">
        <x:is>
          <x:t xml:space="preserve">北海市</x:t>
        </x:is>
      </x:c>
      <x:c r="G2652" s="3" t="inlineStr">
        <x:is>
          <x:t xml:space="preserve">广西壮族自治区-北海市</x:t>
        </x:is>
      </x:c>
      <x:c r="H2652" s="2" t="inlineStr">
        <x:is>
          <x:t xml:space="preserve">文化传媒</x:t>
        </x:is>
      </x:c>
      <x:c r="I2652" s="2" t="inlineStr">
        <x:is>
          <x:t xml:space="preserve">2001-08-07</x:t>
        </x:is>
      </x:c>
      <x:c r="J2652" s="3" t="inlineStr">
        <x:is>
          <x:t xml:space="preserve">广西北海市四川路356号北海软件园3幢</x:t>
        </x:is>
      </x:c>
      <x:c r="K2652" s="12" t="str">
        <x:f>LEFT("9145050071146694XR",18)</x:f>
        <x:v>9145050071146694XR</x:v>
      </x:c>
    </x:row>
    <x:row r="2653">
      <x:c r="A2653" s="4" t="n">
        <x:v>2652</x:v>
      </x:c>
      <x:c r="B2653" s="4" t="inlineStr">
        <x:is>
          <x:t xml:space="preserve">600712</x:t>
        </x:is>
      </x:c>
      <x:c r="C2653" s="5" t="inlineStr">
        <x:is>
          <x:t xml:space="preserve">南宁百货</x:t>
        </x:is>
      </x:c>
      <x:c r="D2653" s="5" t="inlineStr">
        <x:is>
          <x:t xml:space="preserve">南宁百货大楼股份有限公司</x:t>
        </x:is>
      </x:c>
      <x:c r="E2653" s="4" t="inlineStr">
        <x:is>
          <x:t xml:space="preserve">广西壮族自治区</x:t>
        </x:is>
      </x:c>
      <x:c r="F2653" s="4" t="inlineStr">
        <x:is>
          <x:t xml:space="preserve">南宁市</x:t>
        </x:is>
      </x:c>
      <x:c r="G2653" s="5" t="inlineStr">
        <x:is>
          <x:t xml:space="preserve">广西壮族自治区-南宁市</x:t>
        </x:is>
      </x:c>
      <x:c r="H2653" s="4" t="inlineStr">
        <x:is>
          <x:t xml:space="preserve">商业百货</x:t>
        </x:is>
      </x:c>
      <x:c r="I2653" s="4" t="inlineStr">
        <x:is>
          <x:t xml:space="preserve">1996-06-26</x:t>
        </x:is>
      </x:c>
      <x:c r="J2653" s="5" t="inlineStr">
        <x:is>
          <x:t xml:space="preserve">广西南宁市朝阳路39-41、45号</x:t>
        </x:is>
      </x:c>
      <x:c r="K2653" s="12" t="str">
        <x:f>LEFT("914500001982836073",18)</x:f>
        <x:v>914500001982836100</x:v>
      </x:c>
    </x:row>
    <x:row r="2654">
      <x:c r="A2654" s="2" t="n">
        <x:v>2653</x:v>
      </x:c>
      <x:c r="B2654" s="2" t="inlineStr">
        <x:is>
          <x:t xml:space="preserve">600936</x:t>
        </x:is>
      </x:c>
      <x:c r="C2654" s="3" t="inlineStr">
        <x:is>
          <x:t xml:space="preserve">广西广电</x:t>
        </x:is>
      </x:c>
      <x:c r="D2654" s="3" t="inlineStr">
        <x:is>
          <x:t xml:space="preserve">广西北投科技股份有限公司</x:t>
        </x:is>
      </x:c>
      <x:c r="E2654" s="2" t="inlineStr">
        <x:is>
          <x:t xml:space="preserve">广西壮族自治区</x:t>
        </x:is>
      </x:c>
      <x:c r="F2654" s="2" t="inlineStr">
        <x:is>
          <x:t xml:space="preserve">南宁市</x:t>
        </x:is>
      </x:c>
      <x:c r="G2654" s="3" t="inlineStr">
        <x:is>
          <x:t xml:space="preserve">广西壮族自治区-南宁市</x:t>
        </x:is>
      </x:c>
      <x:c r="H2654" s="2" t="inlineStr">
        <x:is>
          <x:t xml:space="preserve">文化传媒</x:t>
        </x:is>
      </x:c>
      <x:c r="I2654" s="2" t="inlineStr">
        <x:is>
          <x:t xml:space="preserve">2016-08-15</x:t>
        </x:is>
      </x:c>
      <x:c r="J2654" s="3" t="inlineStr">
        <x:is>
          <x:t xml:space="preserve">中国(广西)自由贸易试验区南宁片区飞云路8号北投大厦2号楼8层808房</x:t>
        </x:is>
      </x:c>
      <x:c r="K2654" s="12" t="str">
        <x:f>LEFT("91450000715182397J",18)</x:f>
        <x:v>91450000715182397J</x:v>
      </x:c>
    </x:row>
    <x:row r="2655">
      <x:c r="A2655" s="4" t="n">
        <x:v>2654</x:v>
      </x:c>
      <x:c r="B2655" s="4" t="inlineStr">
        <x:is>
          <x:t xml:space="preserve">601003</x:t>
        </x:is>
      </x:c>
      <x:c r="C2655" s="5" t="inlineStr">
        <x:is>
          <x:t xml:space="preserve">柳钢股份</x:t>
        </x:is>
      </x:c>
      <x:c r="D2655" s="5" t="inlineStr">
        <x:is>
          <x:t xml:space="preserve">柳州钢铁股份有限公司</x:t>
        </x:is>
      </x:c>
      <x:c r="E2655" s="4" t="inlineStr">
        <x:is>
          <x:t xml:space="preserve">广西壮族自治区</x:t>
        </x:is>
      </x:c>
      <x:c r="F2655" s="4" t="inlineStr">
        <x:is>
          <x:t xml:space="preserve">柳州市</x:t>
        </x:is>
      </x:c>
      <x:c r="G2655" s="5" t="inlineStr">
        <x:is>
          <x:t xml:space="preserve">广西壮族自治区-柳州市</x:t>
        </x:is>
      </x:c>
      <x:c r="H2655" s="4" t="inlineStr">
        <x:is>
          <x:t xml:space="preserve">钢铁行业</x:t>
        </x:is>
      </x:c>
      <x:c r="I2655" s="4" t="inlineStr">
        <x:is>
          <x:t xml:space="preserve">2007-02-27</x:t>
        </x:is>
      </x:c>
      <x:c r="J2655" s="5" t="inlineStr">
        <x:is>
          <x:t xml:space="preserve">广西柳州市北雀路117号</x:t>
        </x:is>
      </x:c>
      <x:c r="K2655" s="12" t="str">
        <x:f>LEFT("91450200715187622B",18)</x:f>
        <x:v>91450200715187622B</x:v>
      </x:c>
    </x:row>
    <x:row r="2656">
      <x:c r="A2656" s="2" t="n">
        <x:v>2655</x:v>
      </x:c>
      <x:c r="B2656" s="2" t="inlineStr">
        <x:is>
          <x:t xml:space="preserve">601368</x:t>
        </x:is>
      </x:c>
      <x:c r="C2656" s="3" t="inlineStr">
        <x:is>
          <x:t xml:space="preserve">绿城水务</x:t>
        </x:is>
      </x:c>
      <x:c r="D2656" s="3" t="inlineStr">
        <x:is>
          <x:t xml:space="preserve">广西绿城水务集团股份有限公司</x:t>
        </x:is>
      </x:c>
      <x:c r="E2656" s="2" t="inlineStr">
        <x:is>
          <x:t xml:space="preserve">广西壮族自治区</x:t>
        </x:is>
      </x:c>
      <x:c r="F2656" s="2" t="inlineStr">
        <x:is>
          <x:t xml:space="preserve">南宁市</x:t>
        </x:is>
      </x:c>
      <x:c r="G2656" s="3" t="inlineStr">
        <x:is>
          <x:t xml:space="preserve">广西壮族自治区-南宁市</x:t>
        </x:is>
      </x:c>
      <x:c r="H2656" s="2" t="inlineStr">
        <x:is>
          <x:t xml:space="preserve">公用事业</x:t>
        </x:is>
      </x:c>
      <x:c r="I2656" s="2" t="inlineStr">
        <x:is>
          <x:t xml:space="preserve">2015-06-12</x:t>
        </x:is>
      </x:c>
      <x:c r="J2656" s="3" t="inlineStr">
        <x:is>
          <x:t xml:space="preserve">南宁市青秀区桂雅路13号</x:t>
        </x:is>
      </x:c>
      <x:c r="K2656" s="12" t="str">
        <x:f>LEFT("91450000791346584E",18)</x:f>
        <x:v>91450000791346584E</x:v>
      </x:c>
    </x:row>
    <x:row r="2657">
      <x:c r="A2657" s="4" t="n">
        <x:v>2656</x:v>
      </x:c>
      <x:c r="B2657" s="4" t="inlineStr">
        <x:is>
          <x:t xml:space="preserve">601996</x:t>
        </x:is>
      </x:c>
      <x:c r="C2657" s="5" t="inlineStr">
        <x:is>
          <x:t xml:space="preserve">丰林集团</x:t>
        </x:is>
      </x:c>
      <x:c r="D2657" s="5" t="inlineStr">
        <x:is>
          <x:t xml:space="preserve">广西丰林木业集团股份有限公司</x:t>
        </x:is>
      </x:c>
      <x:c r="E2657" s="4" t="inlineStr">
        <x:is>
          <x:t xml:space="preserve">广西壮族自治区</x:t>
        </x:is>
      </x:c>
      <x:c r="F2657" s="4" t="inlineStr">
        <x:is>
          <x:t xml:space="preserve">南宁市</x:t>
        </x:is>
      </x:c>
      <x:c r="G2657" s="5" t="inlineStr">
        <x:is>
          <x:t xml:space="preserve">广西壮族自治区-南宁市</x:t>
        </x:is>
      </x:c>
      <x:c r="H2657" s="4" t="inlineStr">
        <x:is>
          <x:t xml:space="preserve">木业家具</x:t>
        </x:is>
      </x:c>
      <x:c r="I2657" s="4" t="inlineStr">
        <x:is>
          <x:t xml:space="preserve">2011-09-29</x:t>
        </x:is>
      </x:c>
      <x:c r="J2657" s="5" t="inlineStr">
        <x:is>
          <x:t xml:space="preserve">广西南宁市良庆区银海大道1233号</x:t>
        </x:is>
      </x:c>
      <x:c r="K2657" s="12" t="str">
        <x:f>LEFT("9145000071889201XR",18)</x:f>
        <x:v>9145000071889201XR</x:v>
      </x:c>
    </x:row>
    <x:row r="2658">
      <x:c r="A2658" s="2" t="n">
        <x:v>2657</x:v>
      </x:c>
      <x:c r="B2658" s="2" t="inlineStr">
        <x:is>
          <x:t xml:space="preserve">603166</x:t>
        </x:is>
      </x:c>
      <x:c r="C2658" s="3" t="inlineStr">
        <x:is>
          <x:t xml:space="preserve">福达股份</x:t>
        </x:is>
      </x:c>
      <x:c r="D2658" s="3" t="inlineStr">
        <x:is>
          <x:t xml:space="preserve">桂林福达股份有限公司</x:t>
        </x:is>
      </x:c>
      <x:c r="E2658" s="2" t="inlineStr">
        <x:is>
          <x:t xml:space="preserve">广西壮族自治区</x:t>
        </x:is>
      </x:c>
      <x:c r="F2658" s="2" t="inlineStr">
        <x:is>
          <x:t xml:space="preserve">桂林市</x:t>
        </x:is>
      </x:c>
      <x:c r="G2658" s="3" t="inlineStr">
        <x:is>
          <x:t xml:space="preserve">广西壮族自治区-桂林市</x:t>
        </x:is>
      </x:c>
      <x:c r="H2658" s="2" t="inlineStr">
        <x:is>
          <x:t xml:space="preserve">汽车行业</x:t>
        </x:is>
      </x:c>
      <x:c r="I2658" s="2" t="inlineStr">
        <x:is>
          <x:t xml:space="preserve">2014-11-27</x:t>
        </x:is>
      </x:c>
      <x:c r="J2658" s="3" t="inlineStr">
        <x:is>
          <x:t xml:space="preserve">桂林市西城经济开发区秧塘工业园秧十八路东侧</x:t>
        </x:is>
      </x:c>
      <x:c r="K2658" s="12" t="str">
        <x:f>LEFT("914503001991037270",18)</x:f>
        <x:v>914503001991037300</x:v>
      </x:c>
    </x:row>
    <x:row r="2659">
      <x:c r="A2659" s="4" t="n">
        <x:v>2658</x:v>
      </x:c>
      <x:c r="B2659" s="4" t="inlineStr">
        <x:is>
          <x:t xml:space="preserve">603368</x:t>
        </x:is>
      </x:c>
      <x:c r="C2659" s="5" t="inlineStr">
        <x:is>
          <x:t xml:space="preserve">柳药集团</x:t>
        </x:is>
      </x:c>
      <x:c r="D2659" s="5" t="inlineStr">
        <x:is>
          <x:t xml:space="preserve">广西柳药集团股份有限公司</x:t>
        </x:is>
      </x:c>
      <x:c r="E2659" s="4" t="inlineStr">
        <x:is>
          <x:t xml:space="preserve">广西壮族自治区</x:t>
        </x:is>
      </x:c>
      <x:c r="F2659" s="4" t="inlineStr">
        <x:is>
          <x:t xml:space="preserve">柳州市</x:t>
        </x:is>
      </x:c>
      <x:c r="G2659" s="5" t="inlineStr">
        <x:is>
          <x:t xml:space="preserve">广西壮族自治区-柳州市</x:t>
        </x:is>
      </x:c>
      <x:c r="H2659" s="4" t="inlineStr">
        <x:is>
          <x:t xml:space="preserve">医药商业</x:t>
        </x:is>
      </x:c>
      <x:c r="I2659" s="4" t="inlineStr">
        <x:is>
          <x:t xml:space="preserve">2014-12-04</x:t>
        </x:is>
      </x:c>
      <x:c r="J2659" s="5" t="inlineStr">
        <x:is>
          <x:t xml:space="preserve">柳州市官塘大道68号</x:t>
        </x:is>
      </x:c>
      <x:c r="K2659" s="12" t="str">
        <x:f>LEFT("91450200198592223L",18)</x:f>
        <x:v>91450200198592223L</x:v>
      </x:c>
    </x:row>
    <x:row r="2660">
      <x:c r="A2660" s="2" t="n">
        <x:v>2659</x:v>
      </x:c>
      <x:c r="B2660" s="2" t="inlineStr">
        <x:is>
          <x:t xml:space="preserve">603869</x:t>
        </x:is>
      </x:c>
      <x:c r="C2660" s="3" t="inlineStr">
        <x:is>
          <x:t xml:space="preserve">ST智知</x:t>
        </x:is>
      </x:c>
      <x:c r="D2660" s="3" t="inlineStr">
        <x:is>
          <x:t xml:space="preserve">新智认知数字科技股份有限公司</x:t>
        </x:is>
      </x:c>
      <x:c r="E2660" s="2" t="inlineStr">
        <x:is>
          <x:t xml:space="preserve">广西壮族自治区</x:t>
        </x:is>
      </x:c>
      <x:c r="F2660" s="2" t="inlineStr">
        <x:is>
          <x:t xml:space="preserve">北海市</x:t>
        </x:is>
      </x:c>
      <x:c r="G2660" s="3" t="inlineStr">
        <x:is>
          <x:t xml:space="preserve">广西壮族自治区-北海市</x:t>
        </x:is>
      </x:c>
      <x:c r="H2660" s="2" t="inlineStr">
        <x:is>
          <x:t xml:space="preserve">电子信息</x:t>
        </x:is>
      </x:c>
      <x:c r="I2660" s="2" t="inlineStr">
        <x:is>
          <x:t xml:space="preserve">2015-03-26</x:t>
        </x:is>
      </x:c>
      <x:c r="J2660" s="3" t="inlineStr">
        <x:is>
          <x:t xml:space="preserve">广西壮族自治区北海市四川南路铁路桥以南新奥大厦</x:t>
        </x:is>
      </x:c>
      <x:c r="K2660" s="12" t="str">
        <x:f>LEFT("914505001993014674",18)</x:f>
        <x:v>914505001993014700</x:v>
      </x:c>
    </x:row>
    <x:row r="2661">
      <x:c r="A2661" s="4" t="n">
        <x:v>2660</x:v>
      </x:c>
      <x:c r="B2661" s="4" t="inlineStr">
        <x:is>
          <x:t xml:space="preserve">000159</x:t>
        </x:is>
      </x:c>
      <x:c r="C2661" s="5" t="inlineStr">
        <x:is>
          <x:t xml:space="preserve">国际实业</x:t>
        </x:is>
      </x:c>
      <x:c r="D2661" s="5" t="inlineStr">
        <x:is>
          <x:t xml:space="preserve">新疆国际实业股份有限公司</x:t>
        </x:is>
      </x:c>
      <x:c r="E2661" s="4" t="inlineStr">
        <x:is>
          <x:t xml:space="preserve">新疆维吾尔自治区</x:t>
        </x:is>
      </x:c>
      <x:c r="F2661" s="4" t="inlineStr">
        <x:is>
          <x:t xml:space="preserve">乌鲁木齐市</x:t>
        </x:is>
      </x:c>
      <x:c r="G2661" s="5" t="inlineStr">
        <x:is>
          <x:t xml:space="preserve">新疆维吾尔自治区-乌鲁木齐市</x:t>
        </x:is>
      </x:c>
      <x:c r="H2661" s="4" t="inlineStr">
        <x:is>
          <x:t xml:space="preserve">石油行业</x:t>
        </x:is>
      </x:c>
      <x:c r="I2661" s="4" t="inlineStr">
        <x:is>
          <x:t xml:space="preserve">2000-09-26</x:t>
        </x:is>
      </x:c>
      <x:c r="J2661" s="5" t="inlineStr">
        <x:is>
          <x:t xml:space="preserve">新疆乌鲁木齐市天山区人民路446号南门国际城A1底商住宅楼A1栋3层商铺1</x:t>
        </x:is>
      </x:c>
      <x:c r="K2661" s="12" t="str">
        <x:f>LEFT("91650000712966815D",18)</x:f>
        <x:v>91650000712966815D</x:v>
      </x:c>
    </x:row>
    <x:row r="2662">
      <x:c r="A2662" s="2" t="n">
        <x:v>2661</x:v>
      </x:c>
      <x:c r="B2662" s="2" t="inlineStr">
        <x:is>
          <x:t xml:space="preserve">000166</x:t>
        </x:is>
      </x:c>
      <x:c r="C2662" s="3" t="inlineStr">
        <x:is>
          <x:t xml:space="preserve">申万宏源</x:t>
        </x:is>
      </x:c>
      <x:c r="D2662" s="3" t="inlineStr">
        <x:is>
          <x:t xml:space="preserve">申万宏源集团股份有限公司</x:t>
        </x:is>
      </x:c>
      <x:c r="E2662" s="2" t="inlineStr">
        <x:is>
          <x:t xml:space="preserve">新疆维吾尔自治区</x:t>
        </x:is>
      </x:c>
      <x:c r="F2662" s="2" t="inlineStr">
        <x:is>
          <x:t xml:space="preserve">乌鲁木齐市</x:t>
        </x:is>
      </x:c>
      <x:c r="G2662" s="3" t="inlineStr">
        <x:is>
          <x:t xml:space="preserve">新疆维吾尔自治区-乌鲁木齐市</x:t>
        </x:is>
      </x:c>
      <x:c r="H2662" s="2" t="inlineStr">
        <x:is>
          <x:t xml:space="preserve">券商信托</x:t>
        </x:is>
      </x:c>
      <x:c r="I2662" s="2" t="inlineStr">
        <x:is>
          <x:t xml:space="preserve">2015-01-26</x:t>
        </x:is>
      </x:c>
      <x:c r="J2662" s="3" t="inlineStr">
        <x:is>
          <x:t xml:space="preserve">新疆乌鲁木齐市高新区北京南路358号大成国际大厦20楼2001室</x:t>
        </x:is>
      </x:c>
      <x:c r="K2662" s="12" t="str">
        <x:f>LEFT("91650000132278661Y",18)</x:f>
        <x:v>91650000132278661Y</x:v>
      </x:c>
    </x:row>
    <x:row r="2663">
      <x:c r="A2663" s="4" t="n">
        <x:v>2662</x:v>
      </x:c>
      <x:c r="B2663" s="4" t="inlineStr">
        <x:is>
          <x:t xml:space="preserve">000415</x:t>
        </x:is>
      </x:c>
      <x:c r="C2663" s="5" t="inlineStr">
        <x:is>
          <x:t xml:space="preserve">渤海租赁</x:t>
        </x:is>
      </x:c>
      <x:c r="D2663" s="5" t="inlineStr">
        <x:is>
          <x:t xml:space="preserve">渤海租赁股份有限公司</x:t>
        </x:is>
      </x:c>
      <x:c r="E2663" s="4" t="inlineStr">
        <x:is>
          <x:t xml:space="preserve">新疆维吾尔自治区</x:t>
        </x:is>
      </x:c>
      <x:c r="F2663" s="4" t="inlineStr">
        <x:is>
          <x:t xml:space="preserve">乌鲁木齐市</x:t>
        </x:is>
      </x:c>
      <x:c r="G2663" s="5" t="inlineStr">
        <x:is>
          <x:t xml:space="preserve">新疆维吾尔自治区-乌鲁木齐市</x:t>
        </x:is>
      </x:c>
      <x:c r="H2663" s="4" t="inlineStr">
        <x:is>
          <x:t xml:space="preserve">多元金融</x:t>
        </x:is>
      </x:c>
      <x:c r="I2663" s="4" t="inlineStr">
        <x:is>
          <x:t xml:space="preserve">1996-07-16</x:t>
        </x:is>
      </x:c>
      <x:c r="J2663" s="5" t="inlineStr">
        <x:is>
          <x:t xml:space="preserve">中国新疆维吾尔自治区乌鲁木齐市黄河路93号汇通大厦</x:t>
        </x:is>
      </x:c>
      <x:c r="K2663" s="12" t="str">
        <x:f>LEFT("916500002285973682",18)</x:f>
        <x:v>916500002285973600</x:v>
      </x:c>
    </x:row>
    <x:row r="2664">
      <x:c r="A2664" s="2" t="n">
        <x:v>2663</x:v>
      </x:c>
      <x:c r="B2664" s="2" t="inlineStr">
        <x:is>
          <x:t xml:space="preserve">000617</x:t>
        </x:is>
      </x:c>
      <x:c r="C2664" s="3" t="inlineStr">
        <x:is>
          <x:t xml:space="preserve">中油资本</x:t>
        </x:is>
      </x:c>
      <x:c r="D2664" s="3" t="inlineStr">
        <x:is>
          <x:t xml:space="preserve">中国石油集团资本股份有限公司</x:t>
        </x:is>
      </x:c>
      <x:c r="E2664" s="2" t="inlineStr">
        <x:is>
          <x:t xml:space="preserve">新疆维吾尔自治区</x:t>
        </x:is>
      </x:c>
      <x:c r="F2664" s="2" t="inlineStr">
        <x:is>
          <x:t xml:space="preserve">克拉玛依市</x:t>
        </x:is>
      </x:c>
      <x:c r="G2664" s="3" t="inlineStr">
        <x:is>
          <x:t xml:space="preserve">新疆维吾尔自治区-克拉玛依市</x:t>
        </x:is>
      </x:c>
      <x:c r="H2664" s="2" t="inlineStr">
        <x:is>
          <x:t xml:space="preserve">多元金融</x:t>
        </x:is>
      </x:c>
      <x:c r="I2664" s="2" t="inlineStr">
        <x:is>
          <x:t xml:space="preserve">1996-10-22</x:t>
        </x:is>
      </x:c>
      <x:c r="J2664" s="3" t="inlineStr">
        <x:is>
          <x:t xml:space="preserve">新疆克拉玛依市世纪大道7号</x:t>
        </x:is>
      </x:c>
      <x:c r="K2664" s="12" t="str">
        <x:f>LEFT("91370000163098284E",18)</x:f>
        <x:v>91370000163098284E</x:v>
      </x:c>
    </x:row>
    <x:row r="2665">
      <x:c r="A2665" s="4" t="n">
        <x:v>2664</x:v>
      </x:c>
      <x:c r="B2665" s="4" t="inlineStr">
        <x:is>
          <x:t xml:space="preserve">000633</x:t>
        </x:is>
      </x:c>
      <x:c r="C2665" s="5" t="inlineStr">
        <x:is>
          <x:t xml:space="preserve">合金投资</x:t>
        </x:is>
      </x:c>
      <x:c r="D2665" s="5" t="inlineStr">
        <x:is>
          <x:t xml:space="preserve">新疆合金投资股份有限公司</x:t>
        </x:is>
      </x:c>
      <x:c r="E2665" s="4" t="inlineStr">
        <x:is>
          <x:t xml:space="preserve">新疆维吾尔自治区</x:t>
        </x:is>
      </x:c>
      <x:c r="F2665" s="4" t="inlineStr">
        <x:is>
          <x:t xml:space="preserve">昌吉市</x:t>
        </x:is>
      </x:c>
      <x:c r="G2665" s="5" t="inlineStr">
        <x:is>
          <x:t xml:space="preserve">新疆维吾尔自治区-昌吉市</x:t>
        </x:is>
      </x:c>
      <x:c r="H2665" s="4" t="inlineStr">
        <x:is>
          <x:t xml:space="preserve">有色金属</x:t>
        </x:is>
      </x:c>
      <x:c r="I2665" s="4" t="inlineStr">
        <x:is>
          <x:t xml:space="preserve">1996-11-12</x:t>
        </x:is>
      </x:c>
      <x:c r="J2665" s="5" t="inlineStr">
        <x:is>
          <x:t xml:space="preserve">新疆昌吉回族自治州准东经济技术开发区五彩湾新城环城西路465号九洲物流园九洲大厦(16号楼)3-6号房</x:t>
        </x:is>
      </x:c>
      <x:c r="K2665" s="12" t="str">
        <x:f>LEFT("91210100117812926M",18)</x:f>
        <x:v>91210100117812926M</x:v>
      </x:c>
    </x:row>
    <x:row r="2666">
      <x:c r="A2666" s="2" t="n">
        <x:v>2665</x:v>
      </x:c>
      <x:c r="B2666" s="2" t="inlineStr">
        <x:is>
          <x:t xml:space="preserve">000813</x:t>
        </x:is>
      </x:c>
      <x:c r="C2666" s="3" t="inlineStr">
        <x:is>
          <x:t xml:space="preserve">德展健康</x:t>
        </x:is>
      </x:c>
      <x:c r="D2666" s="3" t="inlineStr">
        <x:is>
          <x:t xml:space="preserve">德展大健康股份有限公司</x:t>
        </x:is>
      </x:c>
      <x:c r="E2666" s="2" t="inlineStr">
        <x:is>
          <x:t xml:space="preserve">新疆维吾尔自治区</x:t>
        </x:is>
      </x:c>
      <x:c r="F2666" s="2" t="inlineStr">
        <x:is>
          <x:t xml:space="preserve">乌鲁木齐市</x:t>
        </x:is>
      </x:c>
      <x:c r="G2666" s="3" t="inlineStr">
        <x:is>
          <x:t xml:space="preserve">新疆维吾尔自治区-乌鲁木齐市</x:t>
        </x:is>
      </x:c>
      <x:c r="H2666" s="2" t="inlineStr">
        <x:is>
          <x:t xml:space="preserve">医药制造</x:t>
        </x:is>
      </x:c>
      <x:c r="I2666" s="2" t="inlineStr">
        <x:is>
          <x:t xml:space="preserve">1998-05-19</x:t>
        </x:is>
      </x:c>
      <x:c r="J2666" s="3" t="inlineStr">
        <x:is>
          <x:t xml:space="preserve">新疆乌鲁木齐市天山区金银路53号金融大厦1611室</x:t>
        </x:is>
      </x:c>
      <x:c r="K2666" s="12" t="str">
        <x:f>LEFT("916500006255547591",18)</x:f>
        <x:v>916500006255547600</x:v>
      </x:c>
    </x:row>
    <x:row r="2667">
      <x:c r="A2667" s="4" t="n">
        <x:v>2666</x:v>
      </x:c>
      <x:c r="B2667" s="4" t="inlineStr">
        <x:is>
          <x:t xml:space="preserve">000877</x:t>
        </x:is>
      </x:c>
      <x:c r="C2667" s="5" t="inlineStr">
        <x:is>
          <x:t xml:space="preserve">天山股份</x:t>
        </x:is>
      </x:c>
      <x:c r="D2667" s="5" t="inlineStr">
        <x:is>
          <x:t xml:space="preserve">天山材料股份有限公司</x:t>
        </x:is>
      </x:c>
      <x:c r="E2667" s="4" t="inlineStr">
        <x:is>
          <x:t xml:space="preserve">新疆维吾尔自治区</x:t>
        </x:is>
      </x:c>
      <x:c r="F2667" s="4" t="inlineStr">
        <x:is>
          <x:t xml:space="preserve">乌鲁木齐市</x:t>
        </x:is>
      </x:c>
      <x:c r="G2667" s="5" t="inlineStr">
        <x:is>
          <x:t xml:space="preserve">新疆维吾尔自治区-乌鲁木齐市</x:t>
        </x:is>
      </x:c>
      <x:c r="H2667" s="4" t="inlineStr">
        <x:is>
          <x:t xml:space="preserve">水泥建材</x:t>
        </x:is>
      </x:c>
      <x:c r="I2667" s="4" t="inlineStr">
        <x:is>
          <x:t xml:space="preserve">1999-01-07</x:t>
        </x:is>
      </x:c>
      <x:c r="J2667" s="5" t="inlineStr">
        <x:is>
          <x:t xml:space="preserve">新疆乌鲁木齐市达坂城区白杨沟村</x:t>
        </x:is>
      </x:c>
      <x:c r="K2667" s="12" t="str">
        <x:f>LEFT("91650000710886440T",18)</x:f>
        <x:v>91650000710886440T</x:v>
      </x:c>
    </x:row>
    <x:row r="2668">
      <x:c r="A2668" s="2" t="n">
        <x:v>2667</x:v>
      </x:c>
      <x:c r="B2668" s="2" t="inlineStr">
        <x:is>
          <x:t xml:space="preserve">000972</x:t>
        </x:is>
      </x:c>
      <x:c r="C2668" s="3" t="inlineStr">
        <x:is>
          <x:t xml:space="preserve">*ST中基</x:t>
        </x:is>
      </x:c>
      <x:c r="D2668" s="3" t="inlineStr">
        <x:is>
          <x:t xml:space="preserve">中基健康产业股份有限公司</x:t>
        </x:is>
      </x:c>
      <x:c r="E2668" s="2" t="inlineStr">
        <x:is>
          <x:t xml:space="preserve">新疆维吾尔自治区</x:t>
        </x:is>
      </x:c>
      <x:c r="F2668" s="2" t="inlineStr">
        <x:is>
          <x:t xml:space="preserve">疆五家渠市</x:t>
        </x:is>
      </x:c>
      <x:c r="G2668" s="3" t="inlineStr">
        <x:is>
          <x:t xml:space="preserve">新疆维吾尔自治区-疆五家渠市</x:t>
        </x:is>
      </x:c>
      <x:c r="H2668" s="2" t="inlineStr">
        <x:is>
          <x:t xml:space="preserve">食品饮料</x:t>
        </x:is>
      </x:c>
      <x:c r="I2668" s="2" t="inlineStr">
        <x:is>
          <x:t xml:space="preserve">2000-09-26</x:t>
        </x:is>
      </x:c>
      <x:c r="J2668" s="3" t="inlineStr">
        <x:is>
          <x:t xml:space="preserve">新疆五家渠市东工业园区纬六西街699号五家渠开发区东工业园中小企业创业园主研发办公楼1号</x:t>
        </x:is>
      </x:c>
      <x:c r="K2668" s="12" t="str">
        <x:f>LEFT("916500002285831508",18)</x:f>
        <x:v>916500002285831600</x:v>
      </x:c>
    </x:row>
    <x:row r="2669">
      <x:c r="A2669" s="4" t="n">
        <x:v>2668</x:v>
      </x:c>
      <x:c r="B2669" s="4" t="inlineStr">
        <x:is>
          <x:t xml:space="preserve">001258</x:t>
        </x:is>
      </x:c>
      <x:c r="C2669" s="5" t="inlineStr">
        <x:is>
          <x:t xml:space="preserve">立新能源</x:t>
        </x:is>
      </x:c>
      <x:c r="D2669" s="5" t="inlineStr">
        <x:is>
          <x:t xml:space="preserve">新疆立新能源股份有限公司</x:t>
        </x:is>
      </x:c>
      <x:c r="E2669" s="4" t="inlineStr">
        <x:is>
          <x:t xml:space="preserve">新疆维吾尔自治区</x:t>
        </x:is>
      </x:c>
      <x:c r="F2669" s="4" t="inlineStr">
        <x:is>
          <x:t xml:space="preserve">乌鲁木齐市</x:t>
        </x:is>
      </x:c>
      <x:c r="G2669" s="5" t="inlineStr">
        <x:is>
          <x:t xml:space="preserve">新疆维吾尔自治区-乌鲁木齐市</x:t>
        </x:is>
      </x:c>
      <x:c r="H2669" s="4" t="inlineStr">
        <x:is>
          <x:t xml:space="preserve">电力行业</x:t>
        </x:is>
      </x:c>
      <x:c r="I2669" s="4" t="inlineStr">
        <x:is>
          <x:t xml:space="preserve">2022-07-27</x:t>
        </x:is>
      </x:c>
      <x:c r="J2669" s="5" t="inlineStr">
        <x:is>
          <x:t xml:space="preserve">新疆维吾尔自治区乌鲁木齐市头屯河区经济技术开发区玄武湖路477号新疆能源大厦10层</x:t>
        </x:is>
      </x:c>
      <x:c r="K2669" s="12" t="str">
        <x:f>LEFT("91650100076066559G",18)</x:f>
        <x:v>91650100076066559G</x:v>
      </x:c>
    </x:row>
    <x:row r="2670">
      <x:c r="A2670" s="2" t="n">
        <x:v>2669</x:v>
      </x:c>
      <x:c r="B2670" s="2" t="inlineStr">
        <x:is>
          <x:t xml:space="preserve">001330</x:t>
        </x:is>
      </x:c>
      <x:c r="C2670" s="3" t="inlineStr">
        <x:is>
          <x:t xml:space="preserve">博纳影业</x:t>
        </x:is>
      </x:c>
      <x:c r="D2670" s="3" t="inlineStr">
        <x:is>
          <x:t xml:space="preserve">博纳影业集团股份有限公司</x:t>
        </x:is>
      </x:c>
      <x:c r="E2670" s="2" t="inlineStr">
        <x:is>
          <x:t xml:space="preserve">新疆维吾尔自治区</x:t>
        </x:is>
      </x:c>
      <x:c r="F2670" s="2" t="inlineStr">
        <x:is>
          <x:t xml:space="preserve">乌鲁木齐市</x:t>
        </x:is>
      </x:c>
      <x:c r="G2670" s="3" t="inlineStr">
        <x:is>
          <x:t xml:space="preserve">新疆维吾尔自治区-乌鲁木齐市</x:t>
        </x:is>
      </x:c>
      <x:c r="H2670" s="2" t="inlineStr">
        <x:is>
          <x:t xml:space="preserve">文化传媒</x:t>
        </x:is>
      </x:c>
      <x:c r="I2670" s="2" t="inlineStr">
        <x:is>
          <x:t xml:space="preserve">2022-08-18</x:t>
        </x:is>
      </x:c>
      <x:c r="J2670" s="3" t="inlineStr">
        <x:is>
          <x:t xml:space="preserve">新疆乌鲁木齐经济开发区高铁区北路99号7层705室</x:t>
        </x:is>
      </x:c>
      <x:c r="K2670" s="12" t="str">
        <x:f>LEFT("91110000754189436Y",18)</x:f>
        <x:v>91110000754189436Y</x:v>
      </x:c>
    </x:row>
    <x:row r="2671">
      <x:c r="A2671" s="4" t="n">
        <x:v>2670</x:v>
      </x:c>
      <x:c r="B2671" s="4" t="inlineStr">
        <x:is>
          <x:t xml:space="preserve">002092</x:t>
        </x:is>
      </x:c>
      <x:c r="C2671" s="5" t="inlineStr">
        <x:is>
          <x:t xml:space="preserve">中泰化学</x:t>
        </x:is>
      </x:c>
      <x:c r="D2671" s="5" t="inlineStr">
        <x:is>
          <x:t xml:space="preserve">新疆中泰化学股份有限公司</x:t>
        </x:is>
      </x:c>
      <x:c r="E2671" s="4" t="inlineStr">
        <x:is>
          <x:t xml:space="preserve">新疆维吾尔自治区</x:t>
        </x:is>
      </x:c>
      <x:c r="F2671" s="4" t="inlineStr">
        <x:is>
          <x:t xml:space="preserve">乌鲁木齐市</x:t>
        </x:is>
      </x:c>
      <x:c r="G2671" s="5" t="inlineStr">
        <x:is>
          <x:t xml:space="preserve">新疆维吾尔自治区-乌鲁木齐市</x:t>
        </x:is>
      </x:c>
      <x:c r="H2671" s="4" t="inlineStr">
        <x:is>
          <x:t xml:space="preserve">化学原料</x:t>
        </x:is>
      </x:c>
      <x:c r="I2671" s="4" t="inlineStr">
        <x:is>
          <x:t xml:space="preserve">2006-12-08</x:t>
        </x:is>
      </x:c>
      <x:c r="J2671" s="5" t="inlineStr">
        <x:is>
          <x:t xml:space="preserve">新疆乌鲁木齐市经济技术开发区阳澄湖路39号</x:t>
        </x:is>
      </x:c>
      <x:c r="K2671" s="12" t="str">
        <x:f>LEFT("91650000731836311Q",18)</x:f>
        <x:v>91650000731836311Q</x:v>
      </x:c>
    </x:row>
    <x:row r="2672">
      <x:c r="A2672" s="2" t="n">
        <x:v>2671</x:v>
      </x:c>
      <x:c r="B2672" s="2" t="inlineStr">
        <x:is>
          <x:t xml:space="preserve">002100</x:t>
        </x:is>
      </x:c>
      <x:c r="C2672" s="3" t="inlineStr">
        <x:is>
          <x:t xml:space="preserve">天康生物</x:t>
        </x:is>
      </x:c>
      <x:c r="D2672" s="3" t="inlineStr">
        <x:is>
          <x:t xml:space="preserve">天康生物股份有限公司</x:t>
        </x:is>
      </x:c>
      <x:c r="E2672" s="2" t="inlineStr">
        <x:is>
          <x:t xml:space="preserve">新疆维吾尔自治区</x:t>
        </x:is>
      </x:c>
      <x:c r="F2672" s="2" t="inlineStr">
        <x:is>
          <x:t xml:space="preserve">乌鲁木齐市</x:t>
        </x:is>
      </x:c>
      <x:c r="G2672" s="3" t="inlineStr">
        <x:is>
          <x:t xml:space="preserve">新疆维吾尔自治区-乌鲁木齐市</x:t>
        </x:is>
      </x:c>
      <x:c r="H2672" s="2" t="inlineStr">
        <x:is>
          <x:t xml:space="preserve">农牧饲渔</x:t>
        </x:is>
      </x:c>
      <x:c r="I2672" s="2" t="inlineStr">
        <x:is>
          <x:t xml:space="preserve">2006-12-26</x:t>
        </x:is>
      </x:c>
      <x:c r="J2672" s="3" t="inlineStr">
        <x:is>
          <x:t xml:space="preserve">新疆乌鲁木齐市高新区长春南路528号</x:t>
        </x:is>
      </x:c>
      <x:c r="K2672" s="12" t="str">
        <x:f>LEFT("91650000722362767Q",18)</x:f>
        <x:v>91650000722362767Q</x:v>
      </x:c>
    </x:row>
    <x:row r="2673">
      <x:c r="A2673" s="4" t="n">
        <x:v>2672</x:v>
      </x:c>
      <x:c r="B2673" s="4" t="inlineStr">
        <x:is>
          <x:t xml:space="preserve">002202</x:t>
        </x:is>
      </x:c>
      <x:c r="C2673" s="5" t="inlineStr">
        <x:is>
          <x:t xml:space="preserve">金风科技</x:t>
        </x:is>
      </x:c>
      <x:c r="D2673" s="5" t="inlineStr">
        <x:is>
          <x:t xml:space="preserve">金风科技股份有限公司</x:t>
        </x:is>
      </x:c>
      <x:c r="E2673" s="4" t="inlineStr">
        <x:is>
          <x:t xml:space="preserve">新疆维吾尔自治区</x:t>
        </x:is>
      </x:c>
      <x:c r="F2673" s="4" t="inlineStr">
        <x:is>
          <x:t xml:space="preserve">乌鲁木齐市</x:t>
        </x:is>
      </x:c>
      <x:c r="G2673" s="5" t="inlineStr">
        <x:is>
          <x:t xml:space="preserve">新疆维吾尔自治区-乌鲁木齐市</x:t>
        </x:is>
      </x:c>
      <x:c r="H2673" s="4" t="inlineStr">
        <x:is>
          <x:t xml:space="preserve">风电设备</x:t>
        </x:is>
      </x:c>
      <x:c r="I2673" s="4" t="inlineStr">
        <x:is>
          <x:t xml:space="preserve">2007-12-26</x:t>
        </x:is>
      </x:c>
      <x:c r="J2673" s="5" t="inlineStr">
        <x:is>
          <x:t xml:space="preserve">新疆乌鲁木齐市经济技术开发区上海路107号</x:t>
        </x:is>
      </x:c>
      <x:c r="K2673" s="12" t="str">
        <x:f>LEFT("91650000299937622W",18)</x:f>
        <x:v>91650000299937622W</x:v>
      </x:c>
    </x:row>
    <x:row r="2674">
      <x:c r="A2674" s="2" t="n">
        <x:v>2673</x:v>
      </x:c>
      <x:c r="B2674" s="2" t="inlineStr">
        <x:is>
          <x:t xml:space="preserve">002205</x:t>
        </x:is>
      </x:c>
      <x:c r="C2674" s="3" t="inlineStr">
        <x:is>
          <x:t xml:space="preserve">国统股份</x:t>
        </x:is>
      </x:c>
      <x:c r="D2674" s="3" t="inlineStr">
        <x:is>
          <x:t xml:space="preserve">新疆国统管道股份有限公司</x:t>
        </x:is>
      </x:c>
      <x:c r="E2674" s="2" t="inlineStr">
        <x:is>
          <x:t xml:space="preserve">新疆维吾尔自治区</x:t>
        </x:is>
      </x:c>
      <x:c r="F2674" s="2" t="inlineStr">
        <x:is>
          <x:t xml:space="preserve">乌鲁木齐市</x:t>
        </x:is>
      </x:c>
      <x:c r="G2674" s="3" t="inlineStr">
        <x:is>
          <x:t xml:space="preserve">新疆维吾尔自治区-乌鲁木齐市</x:t>
        </x:is>
      </x:c>
      <x:c r="H2674" s="2" t="inlineStr">
        <x:is>
          <x:t xml:space="preserve">水泥建材</x:t>
        </x:is>
      </x:c>
      <x:c r="I2674" s="2" t="inlineStr">
        <x:is>
          <x:t xml:space="preserve">2008-01-23</x:t>
        </x:is>
      </x:c>
      <x:c r="J2674" s="3" t="inlineStr">
        <x:is>
          <x:t xml:space="preserve">新疆乌鲁木齐市林泉西路765号</x:t>
        </x:is>
      </x:c>
      <x:c r="K2674" s="12" t="str">
        <x:f>LEFT("91650000710938343Q",18)</x:f>
        <x:v>91650000710938343Q</x:v>
      </x:c>
    </x:row>
    <x:row r="2675">
      <x:c r="A2675" s="4" t="n">
        <x:v>2674</x:v>
      </x:c>
      <x:c r="B2675" s="4" t="inlineStr">
        <x:is>
          <x:t xml:space="preserve">002207</x:t>
        </x:is>
      </x:c>
      <x:c r="C2675" s="5" t="inlineStr">
        <x:is>
          <x:t xml:space="preserve">准油股份</x:t>
        </x:is>
      </x:c>
      <x:c r="D2675" s="5" t="inlineStr">
        <x:is>
          <x:t xml:space="preserve">新疆准东石油技术股份有限公司</x:t>
        </x:is>
      </x:c>
      <x:c r="E2675" s="4" t="inlineStr">
        <x:is>
          <x:t xml:space="preserve">新疆维吾尔自治区</x:t>
        </x:is>
      </x:c>
      <x:c r="F2675" s="4" t="inlineStr">
        <x:is>
          <x:t xml:space="preserve">克拉玛依市</x:t>
        </x:is>
      </x:c>
      <x:c r="G2675" s="5" t="inlineStr">
        <x:is>
          <x:t xml:space="preserve">新疆维吾尔自治区-克拉玛依市</x:t>
        </x:is>
      </x:c>
      <x:c r="H2675" s="4" t="inlineStr">
        <x:is>
          <x:t xml:space="preserve">采掘行业</x:t>
        </x:is>
      </x:c>
      <x:c r="I2675" s="4" t="inlineStr">
        <x:is>
          <x:t xml:space="preserve">2008-01-28</x:t>
        </x:is>
      </x:c>
      <x:c r="J2675" s="5" t="inlineStr">
        <x:is>
          <x:t xml:space="preserve">克拉玛依市克拉玛依区昆仑路553-308号</x:t>
        </x:is>
      </x:c>
      <x:c r="K2675" s="12" t="str">
        <x:f>LEFT("91650200729156392B",18)</x:f>
        <x:v>91650200729156392B</x:v>
      </x:c>
    </x:row>
    <x:row r="2676">
      <x:c r="A2676" s="2" t="n">
        <x:v>2675</x:v>
      </x:c>
      <x:c r="B2676" s="2" t="inlineStr">
        <x:is>
          <x:t xml:space="preserve">002302</x:t>
        </x:is>
      </x:c>
      <x:c r="C2676" s="3" t="inlineStr">
        <x:is>
          <x:t xml:space="preserve">西部建设</x:t>
        </x:is>
      </x:c>
      <x:c r="D2676" s="3" t="inlineStr">
        <x:is>
          <x:t xml:space="preserve">中建西部建设股份有限公司</x:t>
        </x:is>
      </x:c>
      <x:c r="E2676" s="2" t="inlineStr">
        <x:is>
          <x:t xml:space="preserve">新疆维吾尔自治区</x:t>
        </x:is>
      </x:c>
      <x:c r="F2676" s="2" t="inlineStr">
        <x:is>
          <x:t xml:space="preserve">乌鲁木齐市</x:t>
        </x:is>
      </x:c>
      <x:c r="G2676" s="3" t="inlineStr">
        <x:is>
          <x:t xml:space="preserve">新疆维吾尔自治区-乌鲁木齐市</x:t>
        </x:is>
      </x:c>
      <x:c r="H2676" s="2" t="inlineStr">
        <x:is>
          <x:t xml:space="preserve">水泥建材</x:t>
        </x:is>
      </x:c>
      <x:c r="I2676" s="2" t="inlineStr">
        <x:is>
          <x:t xml:space="preserve">2009-11-03</x:t>
        </x:is>
      </x:c>
      <x:c r="J2676" s="3" t="inlineStr">
        <x:is>
          <x:t xml:space="preserve">新疆维吾尔自治区乌鲁木齐市经济技术开发区泰山路268号</x:t>
        </x:is>
      </x:c>
      <x:c r="K2676" s="12" t="str">
        <x:f>LEFT("916500007318073269",18)</x:f>
        <x:v>916500007318073200</x:v>
      </x:c>
    </x:row>
    <x:row r="2677">
      <x:c r="A2677" s="4" t="n">
        <x:v>2676</x:v>
      </x:c>
      <x:c r="B2677" s="4" t="inlineStr">
        <x:is>
          <x:t xml:space="preserve">002307</x:t>
        </x:is>
      </x:c>
      <x:c r="C2677" s="5" t="inlineStr">
        <x:is>
          <x:t xml:space="preserve">北新路桥</x:t>
        </x:is>
      </x:c>
      <x:c r="D2677" s="5" t="inlineStr">
        <x:is>
          <x:t xml:space="preserve">新疆北新路桥集团股份有限公司</x:t>
        </x:is>
      </x:c>
      <x:c r="E2677" s="4" t="inlineStr">
        <x:is>
          <x:t xml:space="preserve">新疆维吾尔自治区</x:t>
        </x:is>
      </x:c>
      <x:c r="F2677" s="4" t="inlineStr">
        <x:is>
          <x:t xml:space="preserve">乌鲁木齐市</x:t>
        </x:is>
      </x:c>
      <x:c r="G2677" s="5" t="inlineStr">
        <x:is>
          <x:t xml:space="preserve">新疆维吾尔自治区-乌鲁木齐市</x:t>
        </x:is>
      </x:c>
      <x:c r="H2677" s="4" t="inlineStr">
        <x:is>
          <x:t xml:space="preserve">工程建设</x:t>
        </x:is>
      </x:c>
      <x:c r="I2677" s="4" t="inlineStr">
        <x:is>
          <x:t xml:space="preserve">2009-11-11</x:t>
        </x:is>
      </x:c>
      <x:c r="J2677" s="5" t="inlineStr">
        <x:is>
          <x:t xml:space="preserve">乌鲁木齐市高新区高新街217号盈科广场A座16、17层</x:t>
        </x:is>
      </x:c>
      <x:c r="K2677" s="12" t="str">
        <x:f>LEFT("916500009287328820",18)</x:f>
        <x:v>916500009287328800</x:v>
      </x:c>
    </x:row>
    <x:row r="2678">
      <x:c r="A2678" s="2" t="n">
        <x:v>2677</x:v>
      </x:c>
      <x:c r="B2678" s="2" t="inlineStr">
        <x:is>
          <x:t xml:space="preserve">002524</x:t>
        </x:is>
      </x:c>
      <x:c r="C2678" s="3" t="inlineStr">
        <x:is>
          <x:t xml:space="preserve">光正眼科</x:t>
        </x:is>
      </x:c>
      <x:c r="D2678" s="3" t="inlineStr">
        <x:is>
          <x:t xml:space="preserve">光正眼科医院集团股份有限公司</x:t>
        </x:is>
      </x:c>
      <x:c r="E2678" s="2" t="inlineStr">
        <x:is>
          <x:t xml:space="preserve">新疆维吾尔自治区</x:t>
        </x:is>
      </x:c>
      <x:c r="F2678" s="2" t="inlineStr">
        <x:is>
          <x:t xml:space="preserve">乌鲁木齐市</x:t>
        </x:is>
      </x:c>
      <x:c r="G2678" s="3" t="inlineStr">
        <x:is>
          <x:t xml:space="preserve">新疆维吾尔自治区-乌鲁木齐市</x:t>
        </x:is>
      </x:c>
      <x:c r="H2678" s="2" t="inlineStr">
        <x:is>
          <x:t xml:space="preserve">医疗行业</x:t>
        </x:is>
      </x:c>
      <x:c r="I2678" s="2" t="inlineStr">
        <x:is>
          <x:t xml:space="preserve">2010-12-17</x:t>
        </x:is>
      </x:c>
      <x:c r="J2678" s="3" t="inlineStr">
        <x:is>
          <x:t xml:space="preserve">新疆维吾尔自治区乌鲁木齐经济技术开发区融合北路266号</x:t>
        </x:is>
      </x:c>
      <x:c r="K2678" s="12" t="str">
        <x:f>LEFT("91650000731832724W",18)</x:f>
        <x:v>91650000731832724W</x:v>
      </x:c>
    </x:row>
    <x:row r="2679">
      <x:c r="A2679" s="4" t="n">
        <x:v>2678</x:v>
      </x:c>
      <x:c r="B2679" s="4" t="inlineStr">
        <x:is>
          <x:t xml:space="preserve">002532</x:t>
        </x:is>
      </x:c>
      <x:c r="C2679" s="5" t="inlineStr">
        <x:is>
          <x:t xml:space="preserve">天山铝业</x:t>
        </x:is>
      </x:c>
      <x:c r="D2679" s="5" t="inlineStr">
        <x:is>
          <x:t xml:space="preserve">天山铝业集团股份有限公司</x:t>
        </x:is>
      </x:c>
      <x:c r="E2679" s="4" t="inlineStr">
        <x:is>
          <x:t xml:space="preserve">新疆维吾尔自治区</x:t>
        </x:is>
      </x:c>
      <x:c r="F2679" s="4" t="inlineStr">
        <x:is>
          <x:t xml:space="preserve">石河子市</x:t>
        </x:is>
      </x:c>
      <x:c r="G2679" s="5" t="inlineStr">
        <x:is>
          <x:t xml:space="preserve">新疆维吾尔自治区-石河子市</x:t>
        </x:is>
      </x:c>
      <x:c r="H2679" s="4" t="inlineStr">
        <x:is>
          <x:t xml:space="preserve">有色金属</x:t>
        </x:is>
      </x:c>
      <x:c r="I2679" s="4" t="inlineStr">
        <x:is>
          <x:t xml:space="preserve">2010-12-31</x:t>
        </x:is>
      </x:c>
      <x:c r="J2679" s="5" t="inlineStr">
        <x:is>
          <x:t xml:space="preserve">新疆石河子市开发区北工业园区北二三路1号</x:t>
        </x:is>
      </x:c>
      <x:c r="K2679" s="12" t="str">
        <x:f>LEFT("91330000255498648W",18)</x:f>
        <x:v>91330000255498648W</x:v>
      </x:c>
    </x:row>
    <x:row r="2680">
      <x:c r="A2680" s="2" t="n">
        <x:v>2679</x:v>
      </x:c>
      <x:c r="B2680" s="2" t="inlineStr">
        <x:is>
          <x:t xml:space="preserve">002700</x:t>
        </x:is>
      </x:c>
      <x:c r="C2680" s="3" t="inlineStr">
        <x:is>
          <x:t xml:space="preserve">万憬能源</x:t>
        </x:is>
      </x:c>
      <x:c r="D2680" s="3" t="inlineStr">
        <x:is>
          <x:t xml:space="preserve">新疆万憬能源股份有限公司</x:t>
        </x:is>
      </x:c>
      <x:c r="E2680" s="2" t="inlineStr">
        <x:is>
          <x:t xml:space="preserve">新疆维吾尔自治区</x:t>
        </x:is>
      </x:c>
      <x:c r="F2680" s="2" t="inlineStr">
        <x:is>
          <x:t xml:space="preserve">区阿克苏市</x:t>
        </x:is>
      </x:c>
      <x:c r="G2680" s="3" t="inlineStr">
        <x:is>
          <x:t xml:space="preserve">新疆维吾尔自治区-区阿克苏市</x:t>
        </x:is>
      </x:c>
      <x:c r="H2680" s="2" t="inlineStr">
        <x:is>
          <x:t xml:space="preserve">燃气</x:t>
        </x:is>
      </x:c>
      <x:c r="I2680" s="2" t="inlineStr">
        <x:is>
          <x:t xml:space="preserve">2012-09-21</x:t>
        </x:is>
      </x:c>
      <x:c r="J2680" s="3" t="inlineStr">
        <x:is>
          <x:t xml:space="preserve">新疆阿克苏地区阿克苏市兰干街道海江社区英阿瓦提路2号商业楼B座D22室</x:t>
        </x:is>
      </x:c>
      <x:c r="K2680" s="12" t="str">
        <x:f>LEFT("916529007846613320",18)</x:f>
        <x:v>916529007846613400</x:v>
      </x:c>
    </x:row>
    <x:row r="2681">
      <x:c r="A2681" s="4" t="n">
        <x:v>2680</x:v>
      </x:c>
      <x:c r="B2681" s="4" t="inlineStr">
        <x:is>
          <x:t xml:space="preserve">002719</x:t>
        </x:is>
      </x:c>
      <x:c r="C2681" s="5" t="inlineStr">
        <x:is>
          <x:t xml:space="preserve">麦趣尔</x:t>
        </x:is>
      </x:c>
      <x:c r="D2681" s="5" t="inlineStr">
        <x:is>
          <x:t xml:space="preserve">麦趣尔集团股份有限公司</x:t>
        </x:is>
      </x:c>
      <x:c r="E2681" s="4" t="inlineStr">
        <x:is>
          <x:t xml:space="preserve">新疆维吾尔自治区</x:t>
        </x:is>
      </x:c>
      <x:c r="F2681" s="4" t="inlineStr">
        <x:is>
          <x:t xml:space="preserve">昌吉市</x:t>
        </x:is>
      </x:c>
      <x:c r="G2681" s="5" t="inlineStr">
        <x:is>
          <x:t xml:space="preserve">新疆维吾尔自治区-昌吉市</x:t>
        </x:is>
      </x:c>
      <x:c r="H2681" s="4" t="inlineStr">
        <x:is>
          <x:t xml:space="preserve">食品饮料</x:t>
        </x:is>
      </x:c>
      <x:c r="I2681" s="4" t="inlineStr">
        <x:is>
          <x:t xml:space="preserve">2014-01-28</x:t>
        </x:is>
      </x:c>
      <x:c r="J2681" s="5" t="inlineStr">
        <x:is>
          <x:t xml:space="preserve">新疆昌吉州昌吉市麦趣尔大道</x:t>
        </x:is>
      </x:c>
      <x:c r="K2681" s="12" t="str">
        <x:f>LEFT("916523007452118491",18)</x:f>
        <x:v>916523007452118500</x:v>
      </x:c>
    </x:row>
    <x:row r="2682">
      <x:c r="A2682" s="2" t="n">
        <x:v>2681</x:v>
      </x:c>
      <x:c r="B2682" s="2" t="inlineStr">
        <x:is>
          <x:t xml:space="preserve">002800</x:t>
        </x:is>
      </x:c>
      <x:c r="C2682" s="3" t="inlineStr">
        <x:is>
          <x:t xml:space="preserve">天顺股份</x:t>
        </x:is>
      </x:c>
      <x:c r="D2682" s="3" t="inlineStr">
        <x:is>
          <x:t xml:space="preserve">新疆天顺供应链股份有限公司</x:t>
        </x:is>
      </x:c>
      <x:c r="E2682" s="2" t="inlineStr">
        <x:is>
          <x:t xml:space="preserve">新疆维吾尔自治区</x:t>
        </x:is>
      </x:c>
      <x:c r="F2682" s="2" t="inlineStr">
        <x:is>
          <x:t xml:space="preserve">乌鲁木齐市</x:t>
        </x:is>
      </x:c>
      <x:c r="G2682" s="3" t="inlineStr">
        <x:is>
          <x:t xml:space="preserve">新疆维吾尔自治区-乌鲁木齐市</x:t>
        </x:is>
      </x:c>
      <x:c r="H2682" s="2" t="inlineStr">
        <x:is>
          <x:t xml:space="preserve">交运物流</x:t>
        </x:is>
      </x:c>
      <x:c r="I2682" s="2" t="inlineStr">
        <x:is>
          <x:t xml:space="preserve">2016-05-30</x:t>
        </x:is>
      </x:c>
      <x:c r="J2682" s="3" t="inlineStr">
        <x:is>
          <x:t xml:space="preserve">新疆乌鲁木齐市经济技术开发区(头屯河区)屯坪北路9号乌鲁木齐综合保税区围网内查验库CY066室(中国(新疆)自由贸易试验区)</x:t>
        </x:is>
      </x:c>
      <x:c r="K2682" s="12" t="str">
        <x:f>LEFT("916501006827031595",18)</x:f>
        <x:v>916501006827031600</x:v>
      </x:c>
    </x:row>
    <x:row r="2683">
      <x:c r="A2683" s="4" t="n">
        <x:v>2682</x:v>
      </x:c>
      <x:c r="B2683" s="4" t="inlineStr">
        <x:is>
          <x:t xml:space="preserve">002828</x:t>
        </x:is>
      </x:c>
      <x:c r="C2683" s="5" t="inlineStr">
        <x:is>
          <x:t xml:space="preserve">贝肯能源</x:t>
        </x:is>
      </x:c>
      <x:c r="D2683" s="5" t="inlineStr">
        <x:is>
          <x:t xml:space="preserve">贝肯能源控股集团股份有限公司</x:t>
        </x:is>
      </x:c>
      <x:c r="E2683" s="4" t="inlineStr">
        <x:is>
          <x:t xml:space="preserve">新疆维吾尔自治区</x:t>
        </x:is>
      </x:c>
      <x:c r="F2683" s="4" t="inlineStr">
        <x:is>
          <x:t xml:space="preserve">克拉玛依市</x:t>
        </x:is>
      </x:c>
      <x:c r="G2683" s="5" t="inlineStr">
        <x:is>
          <x:t xml:space="preserve">新疆维吾尔自治区-克拉玛依市</x:t>
        </x:is>
      </x:c>
      <x:c r="H2683" s="4" t="inlineStr">
        <x:is>
          <x:t xml:space="preserve">采掘行业</x:t>
        </x:is>
      </x:c>
      <x:c r="I2683" s="4" t="inlineStr">
        <x:is>
          <x:t xml:space="preserve">2016-12-08</x:t>
        </x:is>
      </x:c>
      <x:c r="J2683" s="5" t="inlineStr">
        <x:is>
          <x:t xml:space="preserve">新疆克拉玛依市白碱滩区平安大道2500-1号</x:t>
        </x:is>
      </x:c>
      <x:c r="K2683" s="12" t="str">
        <x:f>LEFT("916502006978024838",18)</x:f>
        <x:v>916502006978024800</x:v>
      </x:c>
    </x:row>
    <x:row r="2684">
      <x:c r="A2684" s="2" t="n">
        <x:v>2683</x:v>
      </x:c>
      <x:c r="B2684" s="2" t="inlineStr">
        <x:is>
          <x:t xml:space="preserve">002941</x:t>
        </x:is>
      </x:c>
      <x:c r="C2684" s="3" t="inlineStr">
        <x:is>
          <x:t xml:space="preserve">新疆交建</x:t>
        </x:is>
      </x:c>
      <x:c r="D2684" s="3" t="inlineStr">
        <x:is>
          <x:t xml:space="preserve">新疆交通建设集团股份有限公司</x:t>
        </x:is>
      </x:c>
      <x:c r="E2684" s="2" t="inlineStr">
        <x:is>
          <x:t xml:space="preserve">新疆维吾尔自治区</x:t>
        </x:is>
      </x:c>
      <x:c r="F2684" s="2" t="inlineStr">
        <x:is>
          <x:t xml:space="preserve">乌鲁木齐市</x:t>
        </x:is>
      </x:c>
      <x:c r="G2684" s="3" t="inlineStr">
        <x:is>
          <x:t xml:space="preserve">新疆维吾尔自治区-乌鲁木齐市</x:t>
        </x:is>
      </x:c>
      <x:c r="H2684" s="2" t="inlineStr">
        <x:is>
          <x:t xml:space="preserve">工程建设</x:t>
        </x:is>
      </x:c>
      <x:c r="I2684" s="2" t="inlineStr">
        <x:is>
          <x:t xml:space="preserve">2018-11-28</x:t>
        </x:is>
      </x:c>
      <x:c r="J2684" s="3" t="inlineStr">
        <x:is>
          <x:t xml:space="preserve">新疆乌鲁木齐市高新技术产业开发区(新市区)乌昌路辅道840号</x:t>
        </x:is>
      </x:c>
      <x:c r="K2684" s="12" t="str">
        <x:f>LEFT("91650000712958321C",18)</x:f>
        <x:v>91650000712958321C</x:v>
      </x:c>
    </x:row>
    <x:row r="2685">
      <x:c r="A2685" s="4" t="n">
        <x:v>2684</x:v>
      </x:c>
      <x:c r="B2685" s="4" t="inlineStr">
        <x:is>
          <x:t xml:space="preserve">300106</x:t>
        </x:is>
      </x:c>
      <x:c r="C2685" s="5" t="inlineStr">
        <x:is>
          <x:t xml:space="preserve">西部牧业</x:t>
        </x:is>
      </x:c>
      <x:c r="D2685" s="5" t="inlineStr">
        <x:is>
          <x:t xml:space="preserve">新疆西部牧业股份有限公司</x:t>
        </x:is>
      </x:c>
      <x:c r="E2685" s="4" t="inlineStr">
        <x:is>
          <x:t xml:space="preserve">新疆维吾尔自治区</x:t>
        </x:is>
      </x:c>
      <x:c r="F2685" s="4" t="inlineStr">
        <x:is>
          <x:t xml:space="preserve">石河子市</x:t>
        </x:is>
      </x:c>
      <x:c r="G2685" s="5" t="inlineStr">
        <x:is>
          <x:t xml:space="preserve">新疆维吾尔自治区-石河子市</x:t>
        </x:is>
      </x:c>
      <x:c r="H2685" s="4" t="inlineStr">
        <x:is>
          <x:t xml:space="preserve">食品饮料</x:t>
        </x:is>
      </x:c>
      <x:c r="I2685" s="4" t="inlineStr">
        <x:is>
          <x:t xml:space="preserve">2010-08-20</x:t>
        </x:is>
      </x:c>
      <x:c r="J2685" s="5" t="inlineStr">
        <x:is>
          <x:t xml:space="preserve">新疆石河子市开发区北三东路29-2号</x:t>
        </x:is>
      </x:c>
      <x:c r="K2685" s="12" t="str">
        <x:f>LEFT("91659001751652392K",18)</x:f>
        <x:v>91659001751652392K</x:v>
      </x:c>
    </x:row>
    <x:row r="2686">
      <x:c r="A2686" s="2" t="n">
        <x:v>2685</x:v>
      </x:c>
      <x:c r="B2686" s="2" t="inlineStr">
        <x:is>
          <x:t xml:space="preserve">300159</x:t>
        </x:is>
      </x:c>
      <x:c r="C2686" s="3" t="inlineStr">
        <x:is>
          <x:t xml:space="preserve">*ST新研</x:t>
        </x:is>
      </x:c>
      <x:c r="D2686" s="3" t="inlineStr">
        <x:is>
          <x:t xml:space="preserve">新疆机械研究院股份有限公司</x:t>
        </x:is>
      </x:c>
      <x:c r="E2686" s="2" t="inlineStr">
        <x:is>
          <x:t xml:space="preserve">新疆维吾尔自治区</x:t>
        </x:is>
      </x:c>
      <x:c r="F2686" s="2" t="inlineStr">
        <x:is>
          <x:t xml:space="preserve">乌鲁木齐市</x:t>
        </x:is>
      </x:c>
      <x:c r="G2686" s="3" t="inlineStr">
        <x:is>
          <x:t xml:space="preserve">新疆维吾尔自治区-乌鲁木齐市</x:t>
        </x:is>
      </x:c>
      <x:c r="H2686" s="2" t="inlineStr">
        <x:is>
          <x:t xml:space="preserve">航天航空</x:t>
        </x:is>
      </x:c>
      <x:c r="I2686" s="2" t="inlineStr">
        <x:is>
          <x:t xml:space="preserve">2011-01-07</x:t>
        </x:is>
      </x:c>
      <x:c r="J2686" s="3" t="inlineStr">
        <x:is>
          <x:t xml:space="preserve">新疆乌鲁木齐经济技术开发区融合南路661号</x:t>
        </x:is>
      </x:c>
      <x:c r="K2686" s="12" t="str">
        <x:f>LEFT("916501004576329996",18)</x:f>
        <x:v>916501004576330000</x:v>
      </x:c>
    </x:row>
    <x:row r="2687">
      <x:c r="A2687" s="4" t="n">
        <x:v>2686</x:v>
      </x:c>
      <x:c r="B2687" s="4" t="inlineStr">
        <x:is>
          <x:t xml:space="preserve">300313</x:t>
        </x:is>
      </x:c>
      <x:c r="C2687" s="5" t="inlineStr">
        <x:is>
          <x:t xml:space="preserve">ST天山</x:t>
        </x:is>
      </x:c>
      <x:c r="D2687" s="5" t="inlineStr">
        <x:is>
          <x:t xml:space="preserve">新疆天山畜牧生物工程股份有限公司</x:t>
        </x:is>
      </x:c>
      <x:c r="E2687" s="4" t="inlineStr">
        <x:is>
          <x:t xml:space="preserve">新疆维吾尔自治区</x:t>
        </x:is>
      </x:c>
      <x:c r="F2687" s="4" t="inlineStr">
        <x:is>
          <x:t xml:space="preserve">昌吉市</x:t>
        </x:is>
      </x:c>
      <x:c r="G2687" s="5" t="inlineStr">
        <x:is>
          <x:t xml:space="preserve">新疆维吾尔自治区-昌吉市</x:t>
        </x:is>
      </x:c>
      <x:c r="H2687" s="4" t="inlineStr">
        <x:is>
          <x:t xml:space="preserve">农牧饲渔</x:t>
        </x:is>
      </x:c>
      <x:c r="I2687" s="4" t="inlineStr">
        <x:is>
          <x:t xml:space="preserve">2012-04-25</x:t>
        </x:is>
      </x:c>
      <x:c r="J2687" s="5" t="inlineStr">
        <x:is>
          <x:t xml:space="preserve">新疆昌吉高新区光明南路1号</x:t>
        </x:is>
      </x:c>
      <x:c r="K2687" s="12" t="str">
        <x:f>LEFT("91652300748699149X",18)</x:f>
        <x:v>91652300748699149X</x:v>
      </x:c>
    </x:row>
    <x:row r="2688">
      <x:c r="A2688" s="2" t="n">
        <x:v>2687</x:v>
      </x:c>
      <x:c r="B2688" s="2" t="inlineStr">
        <x:is>
          <x:t xml:space="preserve">300588</x:t>
        </x:is>
      </x:c>
      <x:c r="C2688" s="3" t="inlineStr">
        <x:is>
          <x:t xml:space="preserve">熙菱信息</x:t>
        </x:is>
      </x:c>
      <x:c r="D2688" s="3" t="inlineStr">
        <x:is>
          <x:t xml:space="preserve">新疆熙菱信息技术股份有限公司</x:t>
        </x:is>
      </x:c>
      <x:c r="E2688" s="2" t="inlineStr">
        <x:is>
          <x:t xml:space="preserve">新疆维吾尔自治区</x:t>
        </x:is>
      </x:c>
      <x:c r="F2688" s="2" t="inlineStr">
        <x:is>
          <x:t xml:space="preserve">乌鲁木齐市</x:t>
        </x:is>
      </x:c>
      <x:c r="G2688" s="3" t="inlineStr">
        <x:is>
          <x:t xml:space="preserve">新疆维吾尔自治区-乌鲁木齐市</x:t>
        </x:is>
      </x:c>
      <x:c r="H2688" s="2" t="inlineStr">
        <x:is>
          <x:t xml:space="preserve">软件开发</x:t>
        </x:is>
      </x:c>
      <x:c r="I2688" s="2" t="inlineStr">
        <x:is>
          <x:t xml:space="preserve">2017-01-05</x:t>
        </x:is>
      </x:c>
      <x:c r="J2688" s="3" t="inlineStr">
        <x:is>
          <x:t xml:space="preserve">乌鲁木齐经济技术开发区(头屯河区)喀纳斯湖北路455号新疆软件园B4办公103室、203室、303室、403室</x:t>
        </x:is>
      </x:c>
      <x:c r="K2688" s="12" t="str">
        <x:f>LEFT("91650100298827325R",18)</x:f>
        <x:v>91650100298827325R</x:v>
      </x:c>
    </x:row>
    <x:row r="2689">
      <x:c r="A2689" s="4" t="n">
        <x:v>2688</x:v>
      </x:c>
      <x:c r="B2689" s="4" t="inlineStr">
        <x:is>
          <x:t xml:space="preserve">300603</x:t>
        </x:is>
      </x:c>
      <x:c r="C2689" s="5" t="inlineStr">
        <x:is>
          <x:t xml:space="preserve">立昂技术</x:t>
        </x:is>
      </x:c>
      <x:c r="D2689" s="5" t="inlineStr">
        <x:is>
          <x:t xml:space="preserve">立昂技术股份有限公司</x:t>
        </x:is>
      </x:c>
      <x:c r="E2689" s="4" t="inlineStr">
        <x:is>
          <x:t xml:space="preserve">新疆维吾尔自治区</x:t>
        </x:is>
      </x:c>
      <x:c r="F2689" s="4" t="inlineStr">
        <x:is>
          <x:t xml:space="preserve">乌鲁木齐市</x:t>
        </x:is>
      </x:c>
      <x:c r="G2689" s="5" t="inlineStr">
        <x:is>
          <x:t xml:space="preserve">新疆维吾尔自治区-乌鲁木齐市</x:t>
        </x:is>
      </x:c>
      <x:c r="H2689" s="4" t="inlineStr">
        <x:is>
          <x:t xml:space="preserve">通信服务</x:t>
        </x:is>
      </x:c>
      <x:c r="I2689" s="4" t="inlineStr">
        <x:is>
          <x:t xml:space="preserve">2017-01-26</x:t>
        </x:is>
      </x:c>
      <x:c r="J2689" s="5" t="inlineStr">
        <x:is>
          <x:t xml:space="preserve">新疆乌鲁木齐经济技术开发区(头屯河区)燕山街518号</x:t>
        </x:is>
      </x:c>
      <x:c r="K2689" s="12" t="str">
        <x:f>LEFT("916501002999341738",18)</x:f>
        <x:v>916501002999341700</x:v>
      </x:c>
    </x:row>
    <x:row r="2690">
      <x:c r="A2690" s="2" t="n">
        <x:v>2689</x:v>
      </x:c>
      <x:c r="B2690" s="2" t="inlineStr">
        <x:is>
          <x:t xml:space="preserve">300859</x:t>
        </x:is>
      </x:c>
      <x:c r="C2690" s="3" t="inlineStr">
        <x:is>
          <x:t xml:space="preserve">西域旅游</x:t>
        </x:is>
      </x:c>
      <x:c r="D2690" s="3" t="inlineStr">
        <x:is>
          <x:t xml:space="preserve">西域旅游开发股份有限公司</x:t>
        </x:is>
      </x:c>
      <x:c r="E2690" s="2" t="inlineStr">
        <x:is>
          <x:t xml:space="preserve">新疆维吾尔自治区</x:t>
        </x:is>
      </x:c>
      <x:c r="F2690" s="2" t="inlineStr">
        <x:is>
          <x:t xml:space="preserve">昌吉市</x:t>
        </x:is>
      </x:c>
      <x:c r="G2690" s="3" t="inlineStr">
        <x:is>
          <x:t xml:space="preserve">新疆维吾尔自治区-昌吉市</x:t>
        </x:is>
      </x:c>
      <x:c r="H2690" s="2" t="inlineStr">
        <x:is>
          <x:t xml:space="preserve">旅游酒店</x:t>
        </x:is>
      </x:c>
      <x:c r="I2690" s="2" t="inlineStr">
        <x:is>
          <x:t xml:space="preserve">2020-08-06</x:t>
        </x:is>
      </x:c>
      <x:c r="J2690" s="3" t="inlineStr">
        <x:is>
          <x:t xml:space="preserve">新疆昌吉州阜康市准噶尔路229号</x:t>
        </x:is>
      </x:c>
      <x:c r="K2690" s="12" t="str">
        <x:f>LEFT("91650000722367867J",18)</x:f>
        <x:v>91650000722367867J</x:v>
      </x:c>
    </x:row>
    <x:row r="2691">
      <x:c r="A2691" s="4" t="n">
        <x:v>2690</x:v>
      </x:c>
      <x:c r="B2691" s="4" t="inlineStr">
        <x:is>
          <x:t xml:space="preserve">301139</x:t>
        </x:is>
      </x:c>
      <x:c r="C2691" s="5" t="inlineStr">
        <x:is>
          <x:t xml:space="preserve">元道通信</x:t>
        </x:is>
      </x:c>
      <x:c r="D2691" s="5" t="inlineStr">
        <x:is>
          <x:t xml:space="preserve">元道通信股份有限公司</x:t>
        </x:is>
      </x:c>
      <x:c r="E2691" s="4" t="inlineStr">
        <x:is>
          <x:t xml:space="preserve">新疆维吾尔自治区</x:t>
        </x:is>
      </x:c>
      <x:c r="F2691" s="4" t="inlineStr">
        <x:is>
          <x:t xml:space="preserve">乌鲁木齐市</x:t>
        </x:is>
      </x:c>
      <x:c r="G2691" s="5" t="inlineStr">
        <x:is>
          <x:t xml:space="preserve">新疆维吾尔自治区-乌鲁木齐市</x:t>
        </x:is>
      </x:c>
      <x:c r="H2691" s="4" t="inlineStr">
        <x:is>
          <x:t xml:space="preserve">通信服务</x:t>
        </x:is>
      </x:c>
      <x:c r="I2691" s="4" t="inlineStr">
        <x:is>
          <x:t xml:space="preserve">2022-07-08</x:t>
        </x:is>
      </x:c>
      <x:c r="J2691" s="5" t="inlineStr">
        <x:is>
          <x:t xml:space="preserve">新疆乌鲁木齐市高新区(新市区)杭州路街道长春中路1555号高新万科大厦16F</x:t>
        </x:is>
      </x:c>
      <x:c r="K2691" s="12" t="str">
        <x:f>LEFT("91130100679916292B",18)</x:f>
        <x:v>91130100679916292B</x:v>
      </x:c>
    </x:row>
    <x:row r="2692">
      <x:c r="A2692" s="2" t="n">
        <x:v>2691</x:v>
      </x:c>
      <x:c r="B2692" s="2" t="inlineStr">
        <x:is>
          <x:t xml:space="preserve">301301</x:t>
        </x:is>
      </x:c>
      <x:c r="C2692" s="3" t="inlineStr">
        <x:is>
          <x:t xml:space="preserve">川宁生物</x:t>
        </x:is>
      </x:c>
      <x:c r="D2692" s="3" t="inlineStr">
        <x:is>
          <x:t xml:space="preserve">伊犁川宁生物技术股份有限公司</x:t>
        </x:is>
      </x:c>
      <x:c r="E2692" s="2" t="inlineStr">
        <x:is>
          <x:t xml:space="preserve">新疆维吾尔自治区</x:t>
        </x:is>
      </x:c>
      <x:c r="F2692" s="2" t="inlineStr">
        <x:is>
          <x:t xml:space="preserve">伊犁市</x:t>
        </x:is>
      </x:c>
      <x:c r="G2692" s="3" t="inlineStr">
        <x:is>
          <x:t xml:space="preserve">新疆维吾尔自治区-伊犁市</x:t>
        </x:is>
      </x:c>
      <x:c r="H2692" s="2" t="inlineStr">
        <x:is>
          <x:t xml:space="preserve">生物制品</x:t>
        </x:is>
      </x:c>
      <x:c r="I2692" s="2" t="inlineStr">
        <x:is>
          <x:t xml:space="preserve">2022-12-27</x:t>
        </x:is>
      </x:c>
      <x:c r="J2692" s="3" t="inlineStr">
        <x:is>
          <x:t xml:space="preserve">新疆伊犁哈萨克自治州霍尔果斯市经济开发区伊宁园区拱宸路1号</x:t>
        </x:is>
      </x:c>
      <x:c r="K2692" s="12" t="str">
        <x:f>LEFT("91654002564379263N",18)</x:f>
        <x:v>91654002564379263N</x:v>
      </x:c>
    </x:row>
    <x:row r="2693">
      <x:c r="A2693" s="4" t="n">
        <x:v>2692</x:v>
      </x:c>
      <x:c r="B2693" s="4" t="inlineStr">
        <x:is>
          <x:t xml:space="preserve">600075</x:t>
        </x:is>
      </x:c>
      <x:c r="C2693" s="5" t="inlineStr">
        <x:is>
          <x:t xml:space="preserve">新疆天业</x:t>
        </x:is>
      </x:c>
      <x:c r="D2693" s="5" t="inlineStr">
        <x:is>
          <x:t xml:space="preserve">新疆天业股份有限公司</x:t>
        </x:is>
      </x:c>
      <x:c r="E2693" s="4" t="inlineStr">
        <x:is>
          <x:t xml:space="preserve">新疆维吾尔自治区</x:t>
        </x:is>
      </x:c>
      <x:c r="F2693" s="4" t="inlineStr">
        <x:is>
          <x:t xml:space="preserve">石河子市</x:t>
        </x:is>
      </x:c>
      <x:c r="G2693" s="5" t="inlineStr">
        <x:is>
          <x:t xml:space="preserve">新疆维吾尔自治区-石河子市</x:t>
        </x:is>
      </x:c>
      <x:c r="H2693" s="4" t="inlineStr">
        <x:is>
          <x:t xml:space="preserve">化学原料</x:t>
        </x:is>
      </x:c>
      <x:c r="I2693" s="4" t="inlineStr">
        <x:is>
          <x:t xml:space="preserve">1997-06-17</x:t>
        </x:is>
      </x:c>
      <x:c r="J2693" s="5" t="inlineStr">
        <x:is>
          <x:t xml:space="preserve">新疆石河子市经济技术开发区北三东路36号</x:t>
        </x:is>
      </x:c>
      <x:c r="K2693" s="12" t="str">
        <x:f>LEFT("91650000228601443P",18)</x:f>
        <x:v>91650000228601443P</x:v>
      </x:c>
    </x:row>
    <x:row r="2694">
      <x:c r="A2694" s="2" t="n">
        <x:v>2693</x:v>
      </x:c>
      <x:c r="B2694" s="2" t="inlineStr">
        <x:is>
          <x:t xml:space="preserve">600084</x:t>
        </x:is>
      </x:c>
      <x:c r="C2694" s="3" t="inlineStr">
        <x:is>
          <x:t xml:space="preserve">中信尼雅</x:t>
        </x:is>
      </x:c>
      <x:c r="D2694" s="3" t="inlineStr">
        <x:is>
          <x:t xml:space="preserve">中信尼雅葡萄酒股份有限公司</x:t>
        </x:is>
      </x:c>
      <x:c r="E2694" s="2" t="inlineStr">
        <x:is>
          <x:t xml:space="preserve">新疆维吾尔自治区</x:t>
        </x:is>
      </x:c>
      <x:c r="F2694" s="2" t="inlineStr">
        <x:is>
          <x:t xml:space="preserve">乌鲁木齐市</x:t>
        </x:is>
      </x:c>
      <x:c r="G2694" s="3" t="inlineStr">
        <x:is>
          <x:t xml:space="preserve">新疆维吾尔自治区-乌鲁木齐市</x:t>
        </x:is>
      </x:c>
      <x:c r="H2694" s="2" t="inlineStr">
        <x:is>
          <x:t xml:space="preserve">酿酒行业</x:t>
        </x:is>
      </x:c>
      <x:c r="I2694" s="2" t="inlineStr">
        <x:is>
          <x:t xml:space="preserve">1997-07-11</x:t>
        </x:is>
      </x:c>
      <x:c r="J2694" s="3" t="inlineStr">
        <x:is>
          <x:t xml:space="preserve">新疆乌鲁木齐市水磨沟区红山路39号</x:t>
        </x:is>
      </x:c>
      <x:c r="K2694" s="12" t="str">
        <x:f>LEFT("91650000228584380X",18)</x:f>
        <x:v>91650000228584380X</x:v>
      </x:c>
    </x:row>
    <x:row r="2695">
      <x:c r="A2695" s="4" t="n">
        <x:v>2694</x:v>
      </x:c>
      <x:c r="B2695" s="4" t="inlineStr">
        <x:is>
          <x:t xml:space="preserve">600089</x:t>
        </x:is>
      </x:c>
      <x:c r="C2695" s="5" t="inlineStr">
        <x:is>
          <x:t xml:space="preserve">特变电工</x:t>
        </x:is>
      </x:c>
      <x:c r="D2695" s="5" t="inlineStr">
        <x:is>
          <x:t xml:space="preserve">特变电工股份有限公司</x:t>
        </x:is>
      </x:c>
      <x:c r="E2695" s="4" t="inlineStr">
        <x:is>
          <x:t xml:space="preserve">新疆维吾尔自治区</x:t>
        </x:is>
      </x:c>
      <x:c r="F2695" s="4" t="inlineStr">
        <x:is>
          <x:t xml:space="preserve">昌吉市</x:t>
        </x:is>
      </x:c>
      <x:c r="G2695" s="5" t="inlineStr">
        <x:is>
          <x:t xml:space="preserve">新疆维吾尔自治区-昌吉市</x:t>
        </x:is>
      </x:c>
      <x:c r="H2695" s="4" t="inlineStr">
        <x:is>
          <x:t xml:space="preserve">输配电气</x:t>
        </x:is>
      </x:c>
      <x:c r="I2695" s="4" t="inlineStr">
        <x:is>
          <x:t xml:space="preserve">1997-06-18</x:t>
        </x:is>
      </x:c>
      <x:c r="J2695" s="5" t="inlineStr">
        <x:is>
          <x:t xml:space="preserve">新疆维吾尔自治区昌吉市北京南路189号</x:t>
        </x:is>
      </x:c>
      <x:c r="K2695" s="12" t="str">
        <x:f>LEFT("91650000299201121Q",18)</x:f>
        <x:v>91650000299201121Q</x:v>
      </x:c>
    </x:row>
    <x:row r="2696">
      <x:c r="A2696" s="2" t="n">
        <x:v>2695</x:v>
      </x:c>
      <x:c r="B2696" s="2" t="inlineStr">
        <x:is>
          <x:t xml:space="preserve">600197</x:t>
        </x:is>
      </x:c>
      <x:c r="C2696" s="3" t="inlineStr">
        <x:is>
          <x:t xml:space="preserve">伊力特</x:t>
        </x:is>
      </x:c>
      <x:c r="D2696" s="3" t="inlineStr">
        <x:is>
          <x:t xml:space="preserve">新疆伊力特实业股份有限公司</x:t>
        </x:is>
      </x:c>
      <x:c r="E2696" s="2" t="inlineStr">
        <x:is>
          <x:t xml:space="preserve">新疆维吾尔自治区</x:t>
        </x:is>
      </x:c>
      <x:c r="F2696" s="2" t="inlineStr">
        <x:is>
          <x:t xml:space="preserve">可克达拉市</x:t>
        </x:is>
      </x:c>
      <x:c r="G2696" s="3" t="inlineStr">
        <x:is>
          <x:t xml:space="preserve">新疆维吾尔自治区-可克达拉市</x:t>
        </x:is>
      </x:c>
      <x:c r="H2696" s="2" t="inlineStr">
        <x:is>
          <x:t xml:space="preserve">酿酒行业</x:t>
        </x:is>
      </x:c>
      <x:c r="I2696" s="2" t="inlineStr">
        <x:is>
          <x:t xml:space="preserve">1999-09-16</x:t>
        </x:is>
      </x:c>
      <x:c r="J2696" s="3" t="inlineStr">
        <x:is>
          <x:t xml:space="preserve">新疆可克达拉市天山北路619号</x:t>
        </x:is>
      </x:c>
      <x:c r="K2696" s="12" t="str">
        <x:f>LEFT("91650000710892189L",18)</x:f>
        <x:v>91650000710892189L</x:v>
      </x:c>
    </x:row>
    <x:row r="2697">
      <x:c r="A2697" s="4" t="n">
        <x:v>2696</x:v>
      </x:c>
      <x:c r="B2697" s="4" t="inlineStr">
        <x:is>
          <x:t xml:space="preserve">600251</x:t>
        </x:is>
      </x:c>
      <x:c r="C2697" s="5" t="inlineStr">
        <x:is>
          <x:t xml:space="preserve">冠农股份</x:t>
        </x:is>
      </x:c>
      <x:c r="D2697" s="5" t="inlineStr">
        <x:is>
          <x:t xml:space="preserve">新疆冠农股份有限公司</x:t>
        </x:is>
      </x:c>
      <x:c r="E2697" s="4" t="inlineStr">
        <x:is>
          <x:t xml:space="preserve">新疆维吾尔自治区</x:t>
        </x:is>
      </x:c>
      <x:c r="F2697" s="4" t="inlineStr">
        <x:is>
          <x:t xml:space="preserve">疆铁门关市</x:t>
        </x:is>
      </x:c>
      <x:c r="G2697" s="5" t="inlineStr">
        <x:is>
          <x:t xml:space="preserve">新疆维吾尔自治区-疆铁门关市</x:t>
        </x:is>
      </x:c>
      <x:c r="H2697" s="4" t="inlineStr">
        <x:is>
          <x:t xml:space="preserve">农牧饲渔</x:t>
        </x:is>
      </x:c>
      <x:c r="I2697" s="4" t="inlineStr">
        <x:is>
          <x:t xml:space="preserve">2003-06-09</x:t>
        </x:is>
      </x:c>
      <x:c r="J2697" s="5" t="inlineStr">
        <x:is>
          <x:t xml:space="preserve">新疆铁门关市库西工业园二十九团公路口东11栋35号101室至120室</x:t>
        </x:is>
      </x:c>
      <x:c r="K2697" s="12" t="str">
        <x:f>LEFT("91650000718902003J",18)</x:f>
        <x:v>91650000718902003J</x:v>
      </x:c>
    </x:row>
    <x:row r="2698">
      <x:c r="A2698" s="2" t="n">
        <x:v>2697</x:v>
      </x:c>
      <x:c r="B2698" s="2" t="inlineStr">
        <x:is>
          <x:t xml:space="preserve">600256</x:t>
        </x:is>
      </x:c>
      <x:c r="C2698" s="3" t="inlineStr">
        <x:is>
          <x:t xml:space="preserve">广汇能源</x:t>
        </x:is>
      </x:c>
      <x:c r="D2698" s="3" t="inlineStr">
        <x:is>
          <x:t xml:space="preserve">广汇能源股份有限公司</x:t>
        </x:is>
      </x:c>
      <x:c r="E2698" s="2" t="inlineStr">
        <x:is>
          <x:t xml:space="preserve">新疆维吾尔自治区</x:t>
        </x:is>
      </x:c>
      <x:c r="F2698" s="2" t="inlineStr">
        <x:is>
          <x:t xml:space="preserve">乌鲁木齐市</x:t>
        </x:is>
      </x:c>
      <x:c r="G2698" s="3" t="inlineStr">
        <x:is>
          <x:t xml:space="preserve">新疆维吾尔自治区-乌鲁木齐市</x:t>
        </x:is>
      </x:c>
      <x:c r="H2698" s="2" t="inlineStr">
        <x:is>
          <x:t xml:space="preserve">石油行业</x:t>
        </x:is>
      </x:c>
      <x:c r="I2698" s="2" t="inlineStr">
        <x:is>
          <x:t xml:space="preserve">2000-05-26</x:t>
        </x:is>
      </x:c>
      <x:c r="J2698" s="3" t="inlineStr">
        <x:is>
          <x:t xml:space="preserve">新疆维吾尔自治区乌鲁木齐经济技术开发区上海路16号</x:t>
        </x:is>
      </x:c>
      <x:c r="K2698" s="12" t="str">
        <x:f>LEFT("9165000071296668XK",18)</x:f>
        <x:v>9165000071296668XK</x:v>
      </x:c>
    </x:row>
    <x:row r="2699">
      <x:c r="A2699" s="4" t="n">
        <x:v>2698</x:v>
      </x:c>
      <x:c r="B2699" s="4" t="inlineStr">
        <x:is>
          <x:t xml:space="preserve">600339</x:t>
        </x:is>
      </x:c>
      <x:c r="C2699" s="5" t="inlineStr">
        <x:is>
          <x:t xml:space="preserve">中油工程</x:t>
        </x:is>
      </x:c>
      <x:c r="D2699" s="5" t="inlineStr">
        <x:is>
          <x:t xml:space="preserve">中国石油集团工程股份有限公司</x:t>
        </x:is>
      </x:c>
      <x:c r="E2699" s="4" t="inlineStr">
        <x:is>
          <x:t xml:space="preserve">新疆维吾尔自治区</x:t>
        </x:is>
      </x:c>
      <x:c r="F2699" s="4" t="inlineStr">
        <x:is>
          <x:t xml:space="preserve">克拉玛依市</x:t>
        </x:is>
      </x:c>
      <x:c r="G2699" s="5" t="inlineStr">
        <x:is>
          <x:t xml:space="preserve">新疆维吾尔自治区-克拉玛依市</x:t>
        </x:is>
      </x:c>
      <x:c r="H2699" s="4" t="inlineStr">
        <x:is>
          <x:t xml:space="preserve">采掘行业</x:t>
        </x:is>
      </x:c>
      <x:c r="I2699" s="4" t="inlineStr">
        <x:is>
          <x:t xml:space="preserve">2000-12-25</x:t>
        </x:is>
      </x:c>
      <x:c r="J2699" s="5" t="inlineStr">
        <x:is>
          <x:t xml:space="preserve">新疆克拉玛依市独山子区大庆东路2号</x:t>
        </x:is>
      </x:c>
      <x:c r="K2699" s="12" t="str">
        <x:f>LEFT("91650000712998630A",18)</x:f>
        <x:v>91650000712998630A</x:v>
      </x:c>
    </x:row>
    <x:row r="2700">
      <x:c r="A2700" s="2" t="n">
        <x:v>2699</x:v>
      </x:c>
      <x:c r="B2700" s="2" t="inlineStr">
        <x:is>
          <x:t xml:space="preserve">600359</x:t>
        </x:is>
      </x:c>
      <x:c r="C2700" s="3" t="inlineStr">
        <x:is>
          <x:t xml:space="preserve">新农开发</x:t>
        </x:is>
      </x:c>
      <x:c r="D2700" s="3" t="inlineStr">
        <x:is>
          <x:t xml:space="preserve">新疆塔里木农业综合开发股份有限公司</x:t>
        </x:is>
      </x:c>
      <x:c r="E2700" s="2" t="inlineStr">
        <x:is>
          <x:t xml:space="preserve">新疆维吾尔自治区</x:t>
        </x:is>
      </x:c>
      <x:c r="F2700" s="2" t="inlineStr">
        <x:is>
          <x:t xml:space="preserve">疆阿拉尔市</x:t>
        </x:is>
      </x:c>
      <x:c r="G2700" s="3" t="inlineStr">
        <x:is>
          <x:t xml:space="preserve">新疆维吾尔自治区-疆阿拉尔市</x:t>
        </x:is>
      </x:c>
      <x:c r="H2700" s="2" t="inlineStr">
        <x:is>
          <x:t xml:space="preserve">农牧饲渔</x:t>
        </x:is>
      </x:c>
      <x:c r="I2700" s="2" t="inlineStr">
        <x:is>
          <x:t xml:space="preserve">1999-04-29</x:t>
        </x:is>
      </x:c>
      <x:c r="J2700" s="3" t="inlineStr">
        <x:is>
          <x:t xml:space="preserve">新疆阿拉尔市四团(永宁镇)光明路335号档案馆二楼</x:t>
        </x:is>
      </x:c>
      <x:c r="K2700" s="12" t="str">
        <x:f>LEFT("91650000710896307E",18)</x:f>
        <x:v>91650000710896307E</x:v>
      </x:c>
    </x:row>
    <x:row r="2701">
      <x:c r="A2701" s="4" t="n">
        <x:v>2700</x:v>
      </x:c>
      <x:c r="B2701" s="4" t="inlineStr">
        <x:is>
          <x:t xml:space="preserve">600419</x:t>
        </x:is>
      </x:c>
      <x:c r="C2701" s="5" t="inlineStr">
        <x:is>
          <x:t xml:space="preserve">天润乳业</x:t>
        </x:is>
      </x:c>
      <x:c r="D2701" s="5" t="inlineStr">
        <x:is>
          <x:t xml:space="preserve">新疆天润乳业股份有限公司</x:t>
        </x:is>
      </x:c>
      <x:c r="E2701" s="4" t="inlineStr">
        <x:is>
          <x:t xml:space="preserve">新疆维吾尔自治区</x:t>
        </x:is>
      </x:c>
      <x:c r="F2701" s="4" t="inlineStr">
        <x:is>
          <x:t xml:space="preserve">乌鲁木齐市</x:t>
        </x:is>
      </x:c>
      <x:c r="G2701" s="5" t="inlineStr">
        <x:is>
          <x:t xml:space="preserve">新疆维吾尔自治区-乌鲁木齐市</x:t>
        </x:is>
      </x:c>
      <x:c r="H2701" s="4" t="inlineStr">
        <x:is>
          <x:t xml:space="preserve">食品饮料</x:t>
        </x:is>
      </x:c>
      <x:c r="I2701" s="4" t="inlineStr">
        <x:is>
          <x:t xml:space="preserve">2001-06-28</x:t>
        </x:is>
      </x:c>
      <x:c r="J2701" s="5" t="inlineStr">
        <x:is>
          <x:t xml:space="preserve">新疆乌鲁木齐市西山兵团乌鲁木齐工业园区丁香一街9-181号</x:t>
        </x:is>
      </x:c>
      <x:c r="K2701" s="12" t="str">
        <x:f>LEFT("91650000718902425H",18)</x:f>
        <x:v>91650000718902425H</x:v>
      </x:c>
    </x:row>
    <x:row r="2702">
      <x:c r="A2702" s="2" t="n">
        <x:v>2701</x:v>
      </x:c>
      <x:c r="B2702" s="2" t="inlineStr">
        <x:is>
          <x:t xml:space="preserve">600425</x:t>
        </x:is>
      </x:c>
      <x:c r="C2702" s="3" t="inlineStr">
        <x:is>
          <x:t xml:space="preserve">青松建化</x:t>
        </x:is>
      </x:c>
      <x:c r="D2702" s="3" t="inlineStr">
        <x:is>
          <x:t xml:space="preserve">新疆青松建材化工集团股份有限公司</x:t>
        </x:is>
      </x:c>
      <x:c r="E2702" s="2" t="inlineStr">
        <x:is>
          <x:t xml:space="preserve">新疆维吾尔自治区</x:t>
        </x:is>
      </x:c>
      <x:c r="F2702" s="2" t="inlineStr">
        <x:is>
          <x:t xml:space="preserve">疆阿拉尔市</x:t>
        </x:is>
      </x:c>
      <x:c r="G2702" s="3" t="inlineStr">
        <x:is>
          <x:t xml:space="preserve">新疆维吾尔自治区-疆阿拉尔市</x:t>
        </x:is>
      </x:c>
      <x:c r="H2702" s="2" t="inlineStr">
        <x:is>
          <x:t xml:space="preserve">水泥建材</x:t>
        </x:is>
      </x:c>
      <x:c r="I2702" s="2" t="inlineStr">
        <x:is>
          <x:t xml:space="preserve">2003-07-24</x:t>
        </x:is>
      </x:c>
      <x:c r="J2702" s="3" t="inlineStr">
        <x:is>
          <x:t xml:space="preserve">新疆阿拉尔市滨河大道东1395号</x:t>
        </x:is>
      </x:c>
      <x:c r="K2702" s="12" t="str">
        <x:f>LEFT("916500002296811666",18)</x:f>
        <x:v>916500002296811600</x:v>
      </x:c>
    </x:row>
    <x:row r="2703">
      <x:c r="A2703" s="4" t="n">
        <x:v>2702</x:v>
      </x:c>
      <x:c r="B2703" s="4" t="inlineStr">
        <x:is>
          <x:t xml:space="preserve">600506</x:t>
        </x:is>
      </x:c>
      <x:c r="C2703" s="5" t="inlineStr">
        <x:is>
          <x:t xml:space="preserve">统一股份</x:t>
        </x:is>
      </x:c>
      <x:c r="D2703" s="5" t="inlineStr">
        <x:is>
          <x:t xml:space="preserve">统一低碳科技(新疆)股份有限公司</x:t>
        </x:is>
      </x:c>
      <x:c r="E2703" s="4" t="inlineStr">
        <x:is>
          <x:t xml:space="preserve">新疆维吾尔自治区</x:t>
        </x:is>
      </x:c>
      <x:c r="F2703" s="4" t="inlineStr">
        <x:is>
          <x:t xml:space="preserve">州库尔勒市</x:t>
        </x:is>
      </x:c>
      <x:c r="G2703" s="5" t="inlineStr">
        <x:is>
          <x:t xml:space="preserve">新疆维吾尔自治区-州库尔勒市</x:t>
        </x:is>
      </x:c>
      <x:c r="H2703" s="4" t="inlineStr">
        <x:is>
          <x:t xml:space="preserve">石油行业</x:t>
        </x:is>
      </x:c>
      <x:c r="I2703" s="4" t="inlineStr">
        <x:is>
          <x:t xml:space="preserve">2001-12-26</x:t>
        </x:is>
      </x:c>
      <x:c r="J2703" s="5" t="inlineStr">
        <x:is>
          <x:t xml:space="preserve">新疆巴音郭楞蒙古自治州库尔勒市石化大道与圣果路交汇处福润德大厦1栋C栋15层30号</x:t>
        </x:is>
      </x:c>
      <x:c r="K2703" s="12" t="str">
        <x:f>LEFT("91650000718901406B",18)</x:f>
        <x:v>91650000718901406B</x:v>
      </x:c>
    </x:row>
    <x:row r="2704">
      <x:c r="A2704" s="2" t="n">
        <x:v>2703</x:v>
      </x:c>
      <x:c r="B2704" s="2" t="inlineStr">
        <x:is>
          <x:t xml:space="preserve">600509</x:t>
        </x:is>
      </x:c>
      <x:c r="C2704" s="3" t="inlineStr">
        <x:is>
          <x:t xml:space="preserve">天富能源</x:t>
        </x:is>
      </x:c>
      <x:c r="D2704" s="3" t="inlineStr">
        <x:is>
          <x:t xml:space="preserve">新疆天富能源股份有限公司</x:t>
        </x:is>
      </x:c>
      <x:c r="E2704" s="2" t="inlineStr">
        <x:is>
          <x:t xml:space="preserve">新疆维吾尔自治区</x:t>
        </x:is>
      </x:c>
      <x:c r="F2704" s="2" t="inlineStr">
        <x:is>
          <x:t xml:space="preserve">石河子市</x:t>
        </x:is>
      </x:c>
      <x:c r="G2704" s="3" t="inlineStr">
        <x:is>
          <x:t xml:space="preserve">新疆维吾尔自治区-石河子市</x:t>
        </x:is>
      </x:c>
      <x:c r="H2704" s="2" t="inlineStr">
        <x:is>
          <x:t xml:space="preserve">电力行业</x:t>
        </x:is>
      </x:c>
      <x:c r="I2704" s="2" t="inlineStr">
        <x:is>
          <x:t xml:space="preserve">2002-02-28</x:t>
        </x:is>
      </x:c>
      <x:c r="J2704" s="3" t="inlineStr">
        <x:is>
          <x:t xml:space="preserve">新疆维吾尔自治区石河子市北一东路2号</x:t>
        </x:is>
      </x:c>
      <x:c r="K2704" s="12" t="str">
        <x:f>LEFT("91650000718900147A",18)</x:f>
        <x:v>91650000718900147A</x:v>
      </x:c>
    </x:row>
    <x:row r="2705">
      <x:c r="A2705" s="4" t="n">
        <x:v>2704</x:v>
      </x:c>
      <x:c r="B2705" s="4" t="inlineStr">
        <x:is>
          <x:t xml:space="preserve">600540</x:t>
        </x:is>
      </x:c>
      <x:c r="C2705" s="5" t="inlineStr">
        <x:is>
          <x:t xml:space="preserve">新赛股份</x:t>
        </x:is>
      </x:c>
      <x:c r="D2705" s="5" t="inlineStr">
        <x:is>
          <x:t xml:space="preserve">新疆赛里木现代农业股份有限公司</x:t>
        </x:is>
      </x:c>
      <x:c r="E2705" s="4" t="inlineStr">
        <x:is>
          <x:t xml:space="preserve">新疆维吾尔自治区</x:t>
        </x:is>
      </x:c>
      <x:c r="F2705" s="4" t="inlineStr">
        <x:is>
          <x:t xml:space="preserve">五师双河市</x:t>
        </x:is>
      </x:c>
      <x:c r="G2705" s="5" t="inlineStr">
        <x:is>
          <x:t xml:space="preserve">新疆维吾尔自治区-五师双河市</x:t>
        </x:is>
      </x:c>
      <x:c r="H2705" s="4" t="inlineStr">
        <x:is>
          <x:t xml:space="preserve">农牧饲渔</x:t>
        </x:is>
      </x:c>
      <x:c r="I2705" s="4" t="inlineStr">
        <x:is>
          <x:t xml:space="preserve">2004-01-07</x:t>
        </x:is>
      </x:c>
      <x:c r="J2705" s="5" t="inlineStr">
        <x:is>
          <x:t xml:space="preserve">新疆博州第五师双河市荆楚工业园区迎宾路17号</x:t>
        </x:is>
      </x:c>
      <x:c r="K2705" s="12" t="str">
        <x:f>LEFT("9165000071890181XA",18)</x:f>
        <x:v>9165000071890181XA</x:v>
      </x:c>
    </x:row>
    <x:row r="2706">
      <x:c r="A2706" s="2" t="n">
        <x:v>2705</x:v>
      </x:c>
      <x:c r="B2706" s="2" t="inlineStr">
        <x:is>
          <x:t xml:space="preserve">600545</x:t>
        </x:is>
      </x:c>
      <x:c r="C2706" s="3" t="inlineStr">
        <x:is>
          <x:t xml:space="preserve">卓郎智能</x:t>
        </x:is>
      </x:c>
      <x:c r="D2706" s="3" t="inlineStr">
        <x:is>
          <x:t xml:space="preserve">卓郎智能技术股份有限公司</x:t>
        </x:is>
      </x:c>
      <x:c r="E2706" s="2" t="inlineStr">
        <x:is>
          <x:t xml:space="preserve">新疆维吾尔自治区</x:t>
        </x:is>
      </x:c>
      <x:c r="F2706" s="2" t="inlineStr">
        <x:is>
          <x:t xml:space="preserve">乌鲁木齐市</x:t>
        </x:is>
      </x:c>
      <x:c r="G2706" s="3" t="inlineStr">
        <x:is>
          <x:t xml:space="preserve">新疆维吾尔自治区-乌鲁木齐市</x:t>
        </x:is>
      </x:c>
      <x:c r="H2706" s="2" t="inlineStr">
        <x:is>
          <x:t xml:space="preserve">专用设备</x:t>
        </x:is>
      </x:c>
      <x:c r="I2706" s="2" t="inlineStr">
        <x:is>
          <x:t xml:space="preserve">2003-12-03</x:t>
        </x:is>
      </x:c>
      <x:c r="J2706" s="3" t="inlineStr">
        <x:is>
          <x:t xml:space="preserve">新疆乌鲁木齐经济技术开发区维泰南路1号维泰大厦1505室</x:t>
        </x:is>
      </x:c>
      <x:c r="K2706" s="12" t="str">
        <x:f>LEFT("91650000MA77T382X9",18)</x:f>
        <x:v>91650000MA77T382X9</x:v>
      </x:c>
    </x:row>
    <x:row r="2707">
      <x:c r="A2707" s="4" t="n">
        <x:v>2706</x:v>
      </x:c>
      <x:c r="B2707" s="4" t="inlineStr">
        <x:is>
          <x:t xml:space="preserve">600581</x:t>
        </x:is>
      </x:c>
      <x:c r="C2707" s="5" t="inlineStr">
        <x:is>
          <x:t xml:space="preserve">八一钢铁</x:t>
        </x:is>
      </x:c>
      <x:c r="D2707" s="5" t="inlineStr">
        <x:is>
          <x:t xml:space="preserve">新疆八一钢铁股份有限公司</x:t>
        </x:is>
      </x:c>
      <x:c r="E2707" s="4" t="inlineStr">
        <x:is>
          <x:t xml:space="preserve">新疆维吾尔自治区</x:t>
        </x:is>
      </x:c>
      <x:c r="F2707" s="4" t="inlineStr">
        <x:is>
          <x:t xml:space="preserve">乌鲁木齐市</x:t>
        </x:is>
      </x:c>
      <x:c r="G2707" s="5" t="inlineStr">
        <x:is>
          <x:t xml:space="preserve">新疆维吾尔自治区-乌鲁木齐市</x:t>
        </x:is>
      </x:c>
      <x:c r="H2707" s="4" t="inlineStr">
        <x:is>
          <x:t xml:space="preserve">钢铁行业</x:t>
        </x:is>
      </x:c>
      <x:c r="I2707" s="4" t="inlineStr">
        <x:is>
          <x:t xml:space="preserve">2002-08-16</x:t>
        </x:is>
      </x:c>
      <x:c r="J2707" s="5" t="inlineStr">
        <x:is>
          <x:t xml:space="preserve">新疆维吾尔自治区乌鲁木齐市头屯河区新钢路</x:t>
        </x:is>
      </x:c>
      <x:c r="K2707" s="12" t="str">
        <x:f>LEFT("91650000722318862K",18)</x:f>
        <x:v>91650000722318862K</x:v>
      </x:c>
    </x:row>
    <x:row r="2708">
      <x:c r="A2708" s="2" t="n">
        <x:v>2707</x:v>
      </x:c>
      <x:c r="B2708" s="2" t="inlineStr">
        <x:is>
          <x:t xml:space="preserve">600721</x:t>
        </x:is>
      </x:c>
      <x:c r="C2708" s="3" t="inlineStr">
        <x:is>
          <x:t xml:space="preserve">百花医药</x:t>
        </x:is>
      </x:c>
      <x:c r="D2708" s="3" t="inlineStr">
        <x:is>
          <x:t xml:space="preserve">新疆百花村医药集团股份有限公司</x:t>
        </x:is>
      </x:c>
      <x:c r="E2708" s="2" t="inlineStr">
        <x:is>
          <x:t xml:space="preserve">新疆维吾尔自治区</x:t>
        </x:is>
      </x:c>
      <x:c r="F2708" s="2" t="inlineStr">
        <x:is>
          <x:t xml:space="preserve">疆五家渠市</x:t>
        </x:is>
      </x:c>
      <x:c r="G2708" s="3" t="inlineStr">
        <x:is>
          <x:t xml:space="preserve">新疆维吾尔自治区-疆五家渠市</x:t>
        </x:is>
      </x:c>
      <x:c r="H2708" s="2" t="inlineStr">
        <x:is>
          <x:t xml:space="preserve">医疗行业</x:t>
        </x:is>
      </x:c>
      <x:c r="I2708" s="2" t="inlineStr">
        <x:is>
          <x:t xml:space="preserve">1996-06-26</x:t>
        </x:is>
      </x:c>
      <x:c r="J2708" s="3" t="inlineStr">
        <x:is>
          <x:t xml:space="preserve">新疆五家渠市东工业园区纬六西街699号研发办公楼3号</x:t>
        </x:is>
      </x:c>
      <x:c r="K2708" s="12" t="str">
        <x:f>LEFT("916500007129676234",18)</x:f>
        <x:v>916500007129676300</x:v>
      </x:c>
    </x:row>
    <x:row r="2709">
      <x:c r="A2709" s="4" t="n">
        <x:v>2708</x:v>
      </x:c>
      <x:c r="B2709" s="4" t="inlineStr">
        <x:is>
          <x:t xml:space="preserve">600737</x:t>
        </x:is>
      </x:c>
      <x:c r="C2709" s="5" t="inlineStr">
        <x:is>
          <x:t xml:space="preserve">中粮糖业</x:t>
        </x:is>
      </x:c>
      <x:c r="D2709" s="5" t="inlineStr">
        <x:is>
          <x:t xml:space="preserve">中粮糖业控股股份有限公司</x:t>
        </x:is>
      </x:c>
      <x:c r="E2709" s="4" t="inlineStr">
        <x:is>
          <x:t xml:space="preserve">新疆维吾尔自治区</x:t>
        </x:is>
      </x:c>
      <x:c r="F2709" s="4" t="inlineStr">
        <x:is>
          <x:t xml:space="preserve">昌吉市</x:t>
        </x:is>
      </x:c>
      <x:c r="G2709" s="5" t="inlineStr">
        <x:is>
          <x:t xml:space="preserve">新疆维吾尔自治区-昌吉市</x:t>
        </x:is>
      </x:c>
      <x:c r="H2709" s="4" t="inlineStr">
        <x:is>
          <x:t xml:space="preserve">食品饮料</x:t>
        </x:is>
      </x:c>
      <x:c r="I2709" s="4" t="inlineStr">
        <x:is>
          <x:t xml:space="preserve">1996-07-31</x:t>
        </x:is>
      </x:c>
      <x:c r="J2709" s="5" t="inlineStr">
        <x:is>
          <x:t xml:space="preserve">新疆昌吉州昌吉市大西渠镇区玉堂村丘54栋1层W101</x:t>
        </x:is>
      </x:c>
      <x:c r="K2709" s="12" t="str">
        <x:f>LEFT("916500002992011646",18)</x:f>
        <x:v>916500002992011600</x:v>
      </x:c>
    </x:row>
    <x:row r="2710">
      <x:c r="A2710" s="2" t="n">
        <x:v>2709</x:v>
      </x:c>
      <x:c r="B2710" s="2" t="inlineStr">
        <x:is>
          <x:t xml:space="preserve">600778</x:t>
        </x:is>
      </x:c>
      <x:c r="C2710" s="3" t="inlineStr">
        <x:is>
          <x:t xml:space="preserve">友好集团</x:t>
        </x:is>
      </x:c>
      <x:c r="D2710" s="3" t="inlineStr">
        <x:is>
          <x:t xml:space="preserve">新疆友好(集团)股份有限公司</x:t>
        </x:is>
      </x:c>
      <x:c r="E2710" s="2" t="inlineStr">
        <x:is>
          <x:t xml:space="preserve">新疆维吾尔自治区</x:t>
        </x:is>
      </x:c>
      <x:c r="F2710" s="2" t="inlineStr">
        <x:is>
          <x:t xml:space="preserve">乌鲁木齐市</x:t>
        </x:is>
      </x:c>
      <x:c r="G2710" s="3" t="inlineStr">
        <x:is>
          <x:t xml:space="preserve">新疆维吾尔自治区-乌鲁木齐市</x:t>
        </x:is>
      </x:c>
      <x:c r="H2710" s="2" t="inlineStr">
        <x:is>
          <x:t xml:space="preserve">商业百货</x:t>
        </x:is>
      </x:c>
      <x:c r="I2710" s="2" t="inlineStr">
        <x:is>
          <x:t xml:space="preserve">1996-12-03</x:t>
        </x:is>
      </x:c>
      <x:c r="J2710" s="3" t="inlineStr">
        <x:is>
          <x:t xml:space="preserve">新疆维吾尔自治区乌鲁木齐市友好南路668号</x:t>
        </x:is>
      </x:c>
      <x:c r="K2710" s="12" t="str">
        <x:f>LEFT("91650100228584428B",18)</x:f>
        <x:v>91650100228584428B</x:v>
      </x:c>
    </x:row>
    <x:row r="2711">
      <x:c r="A2711" s="4" t="n">
        <x:v>2710</x:v>
      </x:c>
      <x:c r="B2711" s="4" t="inlineStr">
        <x:is>
          <x:t xml:space="preserve">600888</x:t>
        </x:is>
      </x:c>
      <x:c r="C2711" s="5" t="inlineStr">
        <x:is>
          <x:t xml:space="preserve">新疆众和</x:t>
        </x:is>
      </x:c>
      <x:c r="D2711" s="5" t="inlineStr">
        <x:is>
          <x:t xml:space="preserve">新疆众和股份有限公司</x:t>
        </x:is>
      </x:c>
      <x:c r="E2711" s="4" t="inlineStr">
        <x:is>
          <x:t xml:space="preserve">新疆维吾尔自治区</x:t>
        </x:is>
      </x:c>
      <x:c r="F2711" s="4" t="inlineStr">
        <x:is>
          <x:t xml:space="preserve">乌鲁木齐市</x:t>
        </x:is>
      </x:c>
      <x:c r="G2711" s="5" t="inlineStr">
        <x:is>
          <x:t xml:space="preserve">新疆维吾尔自治区-乌鲁木齐市</x:t>
        </x:is>
      </x:c>
      <x:c r="H2711" s="4" t="inlineStr">
        <x:is>
          <x:t xml:space="preserve">有色金属</x:t>
        </x:is>
      </x:c>
      <x:c r="I2711" s="4" t="inlineStr">
        <x:is>
          <x:t xml:space="preserve">1996-02-15</x:t>
        </x:is>
      </x:c>
      <x:c r="J2711" s="5" t="inlineStr">
        <x:is>
          <x:t xml:space="preserve">新疆乌鲁木齐市高新区喀什东路18号</x:t>
        </x:is>
      </x:c>
      <x:c r="K2711" s="12" t="str">
        <x:f>LEFT("91650000228601291B",18)</x:f>
        <x:v>91650000228601291B</x:v>
      </x:c>
    </x:row>
    <x:row r="2712">
      <x:c r="A2712" s="2" t="n">
        <x:v>2711</x:v>
      </x:c>
      <x:c r="B2712" s="2" t="inlineStr">
        <x:is>
          <x:t xml:space="preserve">601069</x:t>
        </x:is>
      </x:c>
      <x:c r="C2712" s="3" t="inlineStr">
        <x:is>
          <x:t xml:space="preserve">西部黄金</x:t>
        </x:is>
      </x:c>
      <x:c r="D2712" s="3" t="inlineStr">
        <x:is>
          <x:t xml:space="preserve">西部黄金股份有限公司</x:t>
        </x:is>
      </x:c>
      <x:c r="E2712" s="2" t="inlineStr">
        <x:is>
          <x:t xml:space="preserve">新疆维吾尔自治区</x:t>
        </x:is>
      </x:c>
      <x:c r="F2712" s="2" t="inlineStr">
        <x:is>
          <x:t xml:space="preserve">乌鲁木齐市</x:t>
        </x:is>
      </x:c>
      <x:c r="G2712" s="3" t="inlineStr">
        <x:is>
          <x:t xml:space="preserve">新疆维吾尔自治区-乌鲁木齐市</x:t>
        </x:is>
      </x:c>
      <x:c r="H2712" s="2" t="inlineStr">
        <x:is>
          <x:t xml:space="preserve">贵金属</x:t>
        </x:is>
      </x:c>
      <x:c r="I2712" s="2" t="inlineStr">
        <x:is>
          <x:t xml:space="preserve">2015-01-22</x:t>
        </x:is>
      </x:c>
      <x:c r="J2712" s="3" t="inlineStr">
        <x:is>
          <x:t xml:space="preserve">新疆乌鲁木齐经济技术开发区融合南路501号</x:t>
        </x:is>
      </x:c>
      <x:c r="K2712" s="12" t="str">
        <x:f>LEFT("9165010073835557XW",18)</x:f>
        <x:v>9165010073835557XW</x:v>
      </x:c>
    </x:row>
    <x:row r="2713">
      <x:c r="A2713" s="4" t="n">
        <x:v>2712</x:v>
      </x:c>
      <x:c r="B2713" s="4" t="inlineStr">
        <x:is>
          <x:t xml:space="preserve">601121</x:t>
        </x:is>
      </x:c>
      <x:c r="C2713" s="5" t="inlineStr">
        <x:is>
          <x:t xml:space="preserve">宝地矿业</x:t>
        </x:is>
      </x:c>
      <x:c r="D2713" s="5" t="inlineStr">
        <x:is>
          <x:t xml:space="preserve">新疆宝地矿业股份有限公司</x:t>
        </x:is>
      </x:c>
      <x:c r="E2713" s="4" t="inlineStr">
        <x:is>
          <x:t xml:space="preserve">新疆维吾尔自治区</x:t>
        </x:is>
      </x:c>
      <x:c r="F2713" s="4" t="inlineStr">
        <x:is>
          <x:t xml:space="preserve">乌鲁木齐市</x:t>
        </x:is>
      </x:c>
      <x:c r="G2713" s="5" t="inlineStr">
        <x:is>
          <x:t xml:space="preserve">新疆维吾尔自治区-乌鲁木齐市</x:t>
        </x:is>
      </x:c>
      <x:c r="H2713" s="4" t="inlineStr">
        <x:is>
          <x:t xml:space="preserve">钢铁行业</x:t>
        </x:is>
      </x:c>
      <x:c r="I2713" s="4" t="inlineStr">
        <x:is>
          <x:t xml:space="preserve">2023-03-10</x:t>
        </x:is>
      </x:c>
      <x:c r="J2713" s="5" t="inlineStr">
        <x:is>
          <x:t xml:space="preserve">新疆乌鲁木齐市沙依巴克区克拉玛依东街390号深圳城大厦15楼</x:t>
        </x:is>
      </x:c>
      <x:c r="K2713" s="12" t="str">
        <x:f>LEFT("91650000731825217N",18)</x:f>
        <x:v>91650000731825217N</x:v>
      </x:c>
    </x:row>
    <x:row r="2714">
      <x:c r="A2714" s="2" t="n">
        <x:v>2713</x:v>
      </x:c>
      <x:c r="B2714" s="2" t="inlineStr">
        <x:is>
          <x:t xml:space="preserve">603032</x:t>
        </x:is>
      </x:c>
      <x:c r="C2714" s="3" t="inlineStr">
        <x:is>
          <x:t xml:space="preserve">德新科技</x:t>
        </x:is>
      </x:c>
      <x:c r="D2714" s="3" t="inlineStr">
        <x:is>
          <x:t xml:space="preserve">德力西新能源科技股份有限公司</x:t>
        </x:is>
      </x:c>
      <x:c r="E2714" s="2" t="inlineStr">
        <x:is>
          <x:t xml:space="preserve">新疆维吾尔自治区</x:t>
        </x:is>
      </x:c>
      <x:c r="F2714" s="2" t="inlineStr">
        <x:is>
          <x:t xml:space="preserve">乌鲁木齐市</x:t>
        </x:is>
      </x:c>
      <x:c r="G2714" s="3" t="inlineStr">
        <x:is>
          <x:t xml:space="preserve">新疆维吾尔自治区-乌鲁木齐市</x:t>
        </x:is>
      </x:c>
      <x:c r="H2714" s="2" t="inlineStr">
        <x:is>
          <x:t xml:space="preserve">电池</x:t>
        </x:is>
      </x:c>
      <x:c r="I2714" s="2" t="inlineStr">
        <x:is>
          <x:t xml:space="preserve">2017-01-05</x:t>
        </x:is>
      </x:c>
      <x:c r="J2714" s="3" t="inlineStr">
        <x:is>
          <x:t xml:space="preserve">新疆乌鲁木齐经济技术开发区(头屯河区)高铁北五路236号</x:t>
        </x:is>
      </x:c>
      <x:c r="K2714" s="12" t="str">
        <x:f>LEFT("91650100748686233F",18)</x:f>
        <x:v>91650100748686233F</x:v>
      </x:c>
    </x:row>
    <x:row r="2715">
      <x:c r="A2715" s="4" t="n">
        <x:v>2714</x:v>
      </x:c>
      <x:c r="B2715" s="4" t="inlineStr">
        <x:is>
          <x:t xml:space="preserve">603080</x:t>
        </x:is>
      </x:c>
      <x:c r="C2715" s="5" t="inlineStr">
        <x:is>
          <x:t xml:space="preserve">新疆火炬</x:t>
        </x:is>
      </x:c>
      <x:c r="D2715" s="5" t="inlineStr">
        <x:is>
          <x:t xml:space="preserve">新疆火炬燃气股份有限公司</x:t>
        </x:is>
      </x:c>
      <x:c r="E2715" s="4" t="inlineStr">
        <x:is>
          <x:t xml:space="preserve">新疆维吾尔自治区</x:t>
        </x:is>
      </x:c>
      <x:c r="F2715" s="4" t="inlineStr">
        <x:is>
          <x:t xml:space="preserve">地区喀什市</x:t>
        </x:is>
      </x:c>
      <x:c r="G2715" s="5" t="inlineStr">
        <x:is>
          <x:t xml:space="preserve">新疆维吾尔自治区-地区喀什市</x:t>
        </x:is>
      </x:c>
      <x:c r="H2715" s="4" t="inlineStr">
        <x:is>
          <x:t xml:space="preserve">燃气</x:t>
        </x:is>
      </x:c>
      <x:c r="I2715" s="4" t="inlineStr">
        <x:is>
          <x:t xml:space="preserve">2018-01-03</x:t>
        </x:is>
      </x:c>
      <x:c r="J2715" s="5" t="inlineStr">
        <x:is>
          <x:t xml:space="preserve">新疆喀什地区喀什市中亚南亚工业园区深圳产业园C23-518-1中国(新疆)自由贸易试验区喀什片区喀什市区块</x:t>
        </x:is>
      </x:c>
      <x:c r="K2715" s="12" t="str">
        <x:f>LEFT("91653100748663541B",18)</x:f>
        <x:v>91653100748663541B</x:v>
      </x:c>
    </x:row>
    <x:row r="2716">
      <x:c r="A2716" s="2" t="n">
        <x:v>2715</x:v>
      </x:c>
      <x:c r="B2716" s="2" t="inlineStr">
        <x:is>
          <x:t xml:space="preserve">603101</x:t>
        </x:is>
      </x:c>
      <x:c r="C2716" s="3" t="inlineStr">
        <x:is>
          <x:t xml:space="preserve">汇嘉时代</x:t>
        </x:is>
      </x:c>
      <x:c r="D2716" s="3" t="inlineStr">
        <x:is>
          <x:t xml:space="preserve">新疆汇嘉时代百货股份有限公司</x:t>
        </x:is>
      </x:c>
      <x:c r="E2716" s="2" t="inlineStr">
        <x:is>
          <x:t xml:space="preserve">新疆维吾尔自治区</x:t>
        </x:is>
      </x:c>
      <x:c r="F2716" s="2" t="inlineStr">
        <x:is>
          <x:t xml:space="preserve">乌鲁木齐市</x:t>
        </x:is>
      </x:c>
      <x:c r="G2716" s="3" t="inlineStr">
        <x:is>
          <x:t xml:space="preserve">新疆维吾尔自治区-乌鲁木齐市</x:t>
        </x:is>
      </x:c>
      <x:c r="H2716" s="2" t="inlineStr">
        <x:is>
          <x:t xml:space="preserve">商业百货</x:t>
        </x:is>
      </x:c>
      <x:c r="I2716" s="2" t="inlineStr">
        <x:is>
          <x:t xml:space="preserve">2016-05-06</x:t>
        </x:is>
      </x:c>
      <x:c r="J2716" s="3" t="inlineStr">
        <x:is>
          <x:t xml:space="preserve">新疆乌鲁木齐高新技术产业开发区北京南路钻石城5号1栋23层</x:t>
        </x:is>
      </x:c>
      <x:c r="K2716" s="12" t="str">
        <x:f>LEFT("91650000673412317X",18)</x:f>
        <x:v>91650000673412317X</x:v>
      </x:c>
    </x:row>
    <x:row r="2717">
      <x:c r="A2717" s="4" t="n">
        <x:v>2716</x:v>
      </x:c>
      <x:c r="B2717" s="4" t="inlineStr">
        <x:is>
          <x:t xml:space="preserve">603227</x:t>
        </x:is>
      </x:c>
      <x:c r="C2717" s="5" t="inlineStr">
        <x:is>
          <x:t xml:space="preserve">雪峰科技</x:t>
        </x:is>
      </x:c>
      <x:c r="D2717" s="5" t="inlineStr">
        <x:is>
          <x:t xml:space="preserve">新疆雪峰科技(集团)股份有限公司</x:t>
        </x:is>
      </x:c>
      <x:c r="E2717" s="4" t="inlineStr">
        <x:is>
          <x:t xml:space="preserve">新疆维吾尔自治区</x:t>
        </x:is>
      </x:c>
      <x:c r="F2717" s="4" t="inlineStr">
        <x:is>
          <x:t xml:space="preserve">乌鲁木齐市</x:t>
        </x:is>
      </x:c>
      <x:c r="G2717" s="5" t="inlineStr">
        <x:is>
          <x:t xml:space="preserve">新疆维吾尔自治区-乌鲁木齐市</x:t>
        </x:is>
      </x:c>
      <x:c r="H2717" s="4" t="inlineStr">
        <x:is>
          <x:t xml:space="preserve">化学制品</x:t>
        </x:is>
      </x:c>
      <x:c r="I2717" s="4" t="inlineStr">
        <x:is>
          <x:t xml:space="preserve">2015-05-15</x:t>
        </x:is>
      </x:c>
      <x:c r="J2717" s="5" t="inlineStr">
        <x:is>
          <x:t xml:space="preserve">乌鲁木齐市经济技术开发区(头屯河区)阿里山街500号</x:t>
        </x:is>
      </x:c>
      <x:c r="K2717" s="12" t="str">
        <x:f>LEFT("916500002286626765",18)</x:f>
        <x:v>916500002286626800</x:v>
      </x:c>
    </x:row>
    <x:row r="2718">
      <x:c r="A2718" s="2" t="n">
        <x:v>2717</x:v>
      </x:c>
      <x:c r="B2718" s="2" t="inlineStr">
        <x:is>
          <x:t xml:space="preserve">603393</x:t>
        </x:is>
      </x:c>
      <x:c r="C2718" s="3" t="inlineStr">
        <x:is>
          <x:t xml:space="preserve">新天然气</x:t>
        </x:is>
      </x:c>
      <x:c r="D2718" s="3" t="inlineStr">
        <x:is>
          <x:t xml:space="preserve">新疆鑫泰天然气股份有限公司</x:t>
        </x:is>
      </x:c>
      <x:c r="E2718" s="2" t="inlineStr">
        <x:is>
          <x:t xml:space="preserve">新疆维吾尔自治区</x:t>
        </x:is>
      </x:c>
      <x:c r="F2718" s="2" t="inlineStr">
        <x:is>
          <x:t xml:space="preserve">乌鲁木齐市</x:t>
        </x:is>
      </x:c>
      <x:c r="G2718" s="3" t="inlineStr">
        <x:is>
          <x:t xml:space="preserve">新疆维吾尔自治区-乌鲁木齐市</x:t>
        </x:is>
      </x:c>
      <x:c r="H2718" s="2" t="inlineStr">
        <x:is>
          <x:t xml:space="preserve">燃气</x:t>
        </x:is>
      </x:c>
      <x:c r="I2718" s="2" t="inlineStr">
        <x:is>
          <x:t xml:space="preserve">2016-09-12</x:t>
        </x:is>
      </x:c>
      <x:c r="J2718" s="3" t="inlineStr">
        <x:is>
          <x:t xml:space="preserve">新疆乌鲁木齐高新技术产业开发区(新市区)阿勒泰路蜘蛛山巷179号楼兰新城25栋1层商铺2</x:t>
        </x:is>
      </x:c>
      <x:c r="K2718" s="12" t="str">
        <x:f>LEFT("916501007383763383",18)</x:f>
        <x:v>916501007383763300</x:v>
      </x:c>
    </x:row>
    <x:row r="2719">
      <x:c r="A2719" s="4" t="n">
        <x:v>2718</x:v>
      </x:c>
      <x:c r="B2719" s="4" t="inlineStr">
        <x:is>
          <x:t xml:space="preserve">603706</x:t>
        </x:is>
      </x:c>
      <x:c r="C2719" s="5" t="inlineStr">
        <x:is>
          <x:t xml:space="preserve">东方环宇</x:t>
        </x:is>
      </x:c>
      <x:c r="D2719" s="5" t="inlineStr">
        <x:is>
          <x:t xml:space="preserve">新疆东方环宇燃气股份有限公司</x:t>
        </x:is>
      </x:c>
      <x:c r="E2719" s="4" t="inlineStr">
        <x:is>
          <x:t xml:space="preserve">新疆维吾尔自治区</x:t>
        </x:is>
      </x:c>
      <x:c r="F2719" s="4" t="inlineStr">
        <x:is>
          <x:t xml:space="preserve">昌吉市</x:t>
        </x:is>
      </x:c>
      <x:c r="G2719" s="5" t="inlineStr">
        <x:is>
          <x:t xml:space="preserve">新疆维吾尔自治区-昌吉市</x:t>
        </x:is>
      </x:c>
      <x:c r="H2719" s="4" t="inlineStr">
        <x:is>
          <x:t xml:space="preserve">燃气</x:t>
        </x:is>
      </x:c>
      <x:c r="I2719" s="4" t="inlineStr">
        <x:is>
          <x:t xml:space="preserve">2018-07-09</x:t>
        </x:is>
      </x:c>
      <x:c r="J2719" s="5" t="inlineStr">
        <x:is>
          <x:t xml:space="preserve">新疆昌吉州昌吉市延安北路198号24层</x:t>
        </x:is>
      </x:c>
      <x:c r="K2719" s="12" t="str">
        <x:f>LEFT("916523007269460306",18)</x:f>
        <x:v>916523007269460400</x:v>
      </x:c>
    </x:row>
    <x:row r="2720">
      <x:c r="A2720" s="2" t="n">
        <x:v>2719</x:v>
      </x:c>
      <x:c r="B2720" s="2" t="inlineStr">
        <x:is>
          <x:t xml:space="preserve">605169</x:t>
        </x:is>
      </x:c>
      <x:c r="C2720" s="3" t="inlineStr">
        <x:is>
          <x:t xml:space="preserve">洪通燃气</x:t>
        </x:is>
      </x:c>
      <x:c r="D2720" s="3" t="inlineStr">
        <x:is>
          <x:t xml:space="preserve">新疆洪通燃气股份有限公司</x:t>
        </x:is>
      </x:c>
      <x:c r="E2720" s="2" t="inlineStr">
        <x:is>
          <x:t xml:space="preserve">新疆维吾尔自治区</x:t>
        </x:is>
      </x:c>
      <x:c r="F2720" s="2" t="inlineStr">
        <x:is>
          <x:t xml:space="preserve">州库尔勒市</x:t>
        </x:is>
      </x:c>
      <x:c r="G2720" s="3" t="inlineStr">
        <x:is>
          <x:t xml:space="preserve">新疆维吾尔自治区-州库尔勒市</x:t>
        </x:is>
      </x:c>
      <x:c r="H2720" s="2" t="inlineStr">
        <x:is>
          <x:t xml:space="preserve">燃气</x:t>
        </x:is>
      </x:c>
      <x:c r="I2720" s="2" t="inlineStr">
        <x:is>
          <x:t xml:space="preserve">2020-10-30</x:t>
        </x:is>
      </x:c>
      <x:c r="J2720" s="3" t="inlineStr">
        <x:is>
          <x:t xml:space="preserve">新疆巴州库尔勒市延安路37号40-6</x:t>
        </x:is>
      </x:c>
      <x:c r="K2720" s="12" t="str">
        <x:f>LEFT("91652800715548301W",18)</x:f>
        <x:v>91652800715548301W</x:v>
      </x:c>
    </x:row>
    <x:row r="2721">
      <x:c r="A2721" s="4" t="n">
        <x:v>2720</x:v>
      </x:c>
      <x:c r="B2721" s="4" t="inlineStr">
        <x:is>
          <x:t xml:space="preserve">688303</x:t>
        </x:is>
      </x:c>
      <x:c r="C2721" s="5" t="inlineStr">
        <x:is>
          <x:t xml:space="preserve">大全能源</x:t>
        </x:is>
      </x:c>
      <x:c r="D2721" s="5" t="inlineStr">
        <x:is>
          <x:t xml:space="preserve">新疆大全新能源股份有限公司</x:t>
        </x:is>
      </x:c>
      <x:c r="E2721" s="4" t="inlineStr">
        <x:is>
          <x:t xml:space="preserve">新疆维吾尔自治区</x:t>
        </x:is>
      </x:c>
      <x:c r="F2721" s="4" t="inlineStr">
        <x:is>
          <x:t xml:space="preserve">石河子市</x:t>
        </x:is>
      </x:c>
      <x:c r="G2721" s="5" t="inlineStr">
        <x:is>
          <x:t xml:space="preserve">新疆维吾尔自治区-石河子市</x:t>
        </x:is>
      </x:c>
      <x:c r="H2721" s="4" t="inlineStr">
        <x:is>
          <x:t xml:space="preserve">光伏设备</x:t>
        </x:is>
      </x:c>
      <x:c r="I2721" s="4" t="inlineStr">
        <x:is>
          <x:t xml:space="preserve">2021-07-22</x:t>
        </x:is>
      </x:c>
      <x:c r="J2721" s="5" t="inlineStr">
        <x:is>
          <x:t xml:space="preserve">新疆石河子市经济开发区化工新材料产业园北二十路66号</x:t>
        </x:is>
      </x:c>
      <x:c r="K2721" s="12" t="str">
        <x:f>LEFT("9165000056438859XD",18)</x:f>
        <x:v>9165000056438859XD</x:v>
      </x:c>
    </x:row>
    <x:row r="2722">
      <x:c r="A2722" s="2" t="n">
        <x:v>2721</x:v>
      </x:c>
      <x:c r="B2722" s="2" t="inlineStr">
        <x:is>
          <x:t xml:space="preserve">000035</x:t>
        </x:is>
      </x:c>
      <x:c r="C2722" s="3" t="inlineStr">
        <x:is>
          <x:t xml:space="preserve">中国天楹</x:t>
        </x:is>
      </x:c>
      <x:c r="D2722" s="3" t="inlineStr">
        <x:is>
          <x:t xml:space="preserve">中国天楹股份有限公司</x:t>
        </x:is>
      </x:c>
      <x:c r="E2722" s="2" t="inlineStr">
        <x:is>
          <x:t xml:space="preserve">江苏省</x:t>
        </x:is>
      </x:c>
      <x:c r="F2722" s="2" t="inlineStr">
        <x:is>
          <x:t xml:space="preserve">苏省海安市</x:t>
        </x:is>
      </x:c>
      <x:c r="G2722" s="3" t="inlineStr">
        <x:is>
          <x:t xml:space="preserve">江苏省-苏省海安市</x:t>
        </x:is>
      </x:c>
      <x:c r="H2722" s="2" t="inlineStr">
        <x:is>
          <x:t xml:space="preserve">环保工程</x:t>
        </x:is>
      </x:c>
      <x:c r="I2722" s="2" t="inlineStr">
        <x:is>
          <x:t xml:space="preserve">1994-04-08</x:t>
        </x:is>
      </x:c>
      <x:c r="J2722" s="3" t="inlineStr">
        <x:is>
          <x:t xml:space="preserve">江苏省海安市黄海大道(西)268号2幢</x:t>
        </x:is>
      </x:c>
      <x:c r="K2722" s="12" t="str">
        <x:f>LEFT("913206001924405605",18)</x:f>
        <x:v>913206001924405600</x:v>
      </x:c>
    </x:row>
    <x:row r="2723">
      <x:c r="A2723" s="4" t="n">
        <x:v>2722</x:v>
      </x:c>
      <x:c r="B2723" s="4" t="inlineStr">
        <x:is>
          <x:t xml:space="preserve">000301</x:t>
        </x:is>
      </x:c>
      <x:c r="C2723" s="5" t="inlineStr">
        <x:is>
          <x:t xml:space="preserve">东方盛虹</x:t>
        </x:is>
      </x:c>
      <x:c r="D2723" s="5" t="inlineStr">
        <x:is>
          <x:t xml:space="preserve">江苏东方盛虹股份有限公司</x:t>
        </x:is>
      </x:c>
      <x:c r="E2723" s="4" t="inlineStr">
        <x:is>
          <x:t xml:space="preserve">江苏省</x:t>
        </x:is>
      </x:c>
      <x:c r="F2723" s="4" t="inlineStr">
        <x:is>
          <x:t xml:space="preserve">苏州市</x:t>
        </x:is>
      </x:c>
      <x:c r="G2723" s="5" t="inlineStr">
        <x:is>
          <x:t xml:space="preserve">江苏省-苏州市</x:t>
        </x:is>
      </x:c>
      <x:c r="H2723" s="4" t="inlineStr">
        <x:is>
          <x:t xml:space="preserve">化学原料</x:t>
        </x:is>
      </x:c>
      <x:c r="I2723" s="4" t="inlineStr">
        <x:is>
          <x:t xml:space="preserve">2000-05-29</x:t>
        </x:is>
      </x:c>
      <x:c r="J2723" s="5" t="inlineStr">
        <x:is>
          <x:t xml:space="preserve">江苏省苏州市吴江区盛泽镇登州路289号</x:t>
        </x:is>
      </x:c>
      <x:c r="K2723" s="12" t="str">
        <x:f>LEFT("91320500704043818X",18)</x:f>
        <x:v>91320500704043818X</x:v>
      </x:c>
    </x:row>
    <x:row r="2724">
      <x:c r="A2724" s="2" t="n">
        <x:v>2723</x:v>
      </x:c>
      <x:c r="B2724" s="2" t="inlineStr">
        <x:is>
          <x:t xml:space="preserve">000421</x:t>
        </x:is>
      </x:c>
      <x:c r="C2724" s="3" t="inlineStr">
        <x:is>
          <x:t xml:space="preserve">南京公用</x:t>
        </x:is>
      </x:c>
      <x:c r="D2724" s="3" t="inlineStr">
        <x:is>
          <x:t xml:space="preserve">南京公用发展股份有限公司</x:t>
        </x:is>
      </x:c>
      <x:c r="E2724" s="2" t="inlineStr">
        <x:is>
          <x:t xml:space="preserve">江苏省</x:t>
        </x:is>
      </x:c>
      <x:c r="F2724" s="2" t="inlineStr">
        <x:is>
          <x:t xml:space="preserve">南京市</x:t>
        </x:is>
      </x:c>
      <x:c r="G2724" s="3" t="inlineStr">
        <x:is>
          <x:t xml:space="preserve">江苏省-南京市</x:t>
        </x:is>
      </x:c>
      <x:c r="H2724" s="2" t="inlineStr">
        <x:is>
          <x:t xml:space="preserve">燃气</x:t>
        </x:is>
      </x:c>
      <x:c r="I2724" s="2" t="inlineStr">
        <x:is>
          <x:t xml:space="preserve">1996-08-06</x:t>
        </x:is>
      </x:c>
      <x:c r="J2724" s="3" t="inlineStr">
        <x:is>
          <x:t xml:space="preserve">南京市建邺区白龙江东街8号新城科技园科技创新综合体A4号楼18楼</x:t>
        </x:is>
      </x:c>
      <x:c r="K2724" s="12" t="str">
        <x:f>LEFT("913201001349701847",18)</x:f>
        <x:v>913201001349701900</x:v>
      </x:c>
    </x:row>
    <x:row r="2725">
      <x:c r="A2725" s="4" t="n">
        <x:v>2724</x:v>
      </x:c>
      <x:c r="B2725" s="4" t="inlineStr">
        <x:is>
          <x:t xml:space="preserve">000425</x:t>
        </x:is>
      </x:c>
      <x:c r="C2725" s="5" t="inlineStr">
        <x:is>
          <x:t xml:space="preserve">徐工机械</x:t>
        </x:is>
      </x:c>
      <x:c r="D2725" s="5" t="inlineStr">
        <x:is>
          <x:t xml:space="preserve">徐工集团工程机械股份有限公司</x:t>
        </x:is>
      </x:c>
      <x:c r="E2725" s="4" t="inlineStr">
        <x:is>
          <x:t xml:space="preserve">江苏省</x:t>
        </x:is>
      </x:c>
      <x:c r="F2725" s="4" t="inlineStr">
        <x:is>
          <x:t xml:space="preserve">徐州市</x:t>
        </x:is>
      </x:c>
      <x:c r="G2725" s="5" t="inlineStr">
        <x:is>
          <x:t xml:space="preserve">江苏省-徐州市</x:t>
        </x:is>
      </x:c>
      <x:c r="H2725" s="4" t="inlineStr">
        <x:is>
          <x:t xml:space="preserve">工程机械</x:t>
        </x:is>
      </x:c>
      <x:c r="I2725" s="4" t="inlineStr">
        <x:is>
          <x:t xml:space="preserve">1996-08-28</x:t>
        </x:is>
      </x:c>
      <x:c r="J2725" s="5" t="inlineStr">
        <x:is>
          <x:t xml:space="preserve">江苏省徐州经济技术开发区驮蓝山路26号</x:t>
        </x:is>
      </x:c>
      <x:c r="K2725" s="12" t="str">
        <x:f>LEFT("913203001347934993",18)</x:f>
        <x:v>913203001347935000</x:v>
      </x:c>
    </x:row>
    <x:row r="2726">
      <x:c r="A2726" s="2" t="n">
        <x:v>2725</x:v>
      </x:c>
      <x:c r="B2726" s="2" t="inlineStr">
        <x:is>
          <x:t xml:space="preserve">000518</x:t>
        </x:is>
      </x:c>
      <x:c r="C2726" s="3" t="inlineStr">
        <x:is>
          <x:t xml:space="preserve">四环生物</x:t>
        </x:is>
      </x:c>
      <x:c r="D2726" s="3" t="inlineStr">
        <x:is>
          <x:t xml:space="preserve">江苏四环生物股份有限公司</x:t>
        </x:is>
      </x:c>
      <x:c r="E2726" s="2" t="inlineStr">
        <x:is>
          <x:t xml:space="preserve">江苏省</x:t>
        </x:is>
      </x:c>
      <x:c r="F2726" s="2" t="inlineStr">
        <x:is>
          <x:t xml:space="preserve">江阴市</x:t>
        </x:is>
      </x:c>
      <x:c r="G2726" s="3" t="inlineStr">
        <x:is>
          <x:t xml:space="preserve">江苏省-江阴市</x:t>
        </x:is>
      </x:c>
      <x:c r="H2726" s="2" t="inlineStr">
        <x:is>
          <x:t xml:space="preserve">生物制品</x:t>
        </x:is>
      </x:c>
      <x:c r="I2726" s="2" t="inlineStr">
        <x:is>
          <x:t xml:space="preserve">1993-09-08</x:t>
        </x:is>
      </x:c>
      <x:c r="J2726" s="3" t="inlineStr">
        <x:is>
          <x:t xml:space="preserve">江阴市滨江东路2号41楼05、06座</x:t>
        </x:is>
      </x:c>
      <x:c r="K2726" s="12" t="str">
        <x:f>LEFT("913202001381477183",18)</x:f>
        <x:v>913202001381477100</x:v>
      </x:c>
    </x:row>
    <x:row r="2727">
      <x:c r="A2727" s="4" t="n">
        <x:v>2726</x:v>
      </x:c>
      <x:c r="B2727" s="4" t="inlineStr">
        <x:is>
          <x:t xml:space="preserve">000525</x:t>
        </x:is>
      </x:c>
      <x:c r="C2727" s="5" t="inlineStr">
        <x:is>
          <x:t xml:space="preserve">红太阳</x:t>
        </x:is>
      </x:c>
      <x:c r="D2727" s="5" t="inlineStr">
        <x:is>
          <x:t xml:space="preserve">南京红太阳股份有限公司</x:t>
        </x:is>
      </x:c>
      <x:c r="E2727" s="4" t="inlineStr">
        <x:is>
          <x:t xml:space="preserve">江苏省</x:t>
        </x:is>
      </x:c>
      <x:c r="F2727" s="4" t="inlineStr">
        <x:is>
          <x:t xml:space="preserve">南京市</x:t>
        </x:is>
      </x:c>
      <x:c r="G2727" s="5" t="inlineStr">
        <x:is>
          <x:t xml:space="preserve">江苏省-南京市</x:t>
        </x:is>
      </x:c>
      <x:c r="H2727" s="4" t="inlineStr">
        <x:is>
          <x:t xml:space="preserve">农药兽药</x:t>
        </x:is>
      </x:c>
      <x:c r="I2727" s="4" t="inlineStr">
        <x:is>
          <x:t xml:space="preserve">1993-10-28</x:t>
        </x:is>
      </x:c>
      <x:c r="J2727" s="5" t="inlineStr">
        <x:is>
          <x:t xml:space="preserve">南京市高淳县桠溪镇东风路8号</x:t>
        </x:is>
      </x:c>
      <x:c r="K2727" s="12" t="str">
        <x:f>LEFT("91320100134900928L",18)</x:f>
        <x:v>91320100134900928L</x:v>
      </x:c>
    </x:row>
    <x:row r="2728">
      <x:c r="A2728" s="2" t="n">
        <x:v>2727</x:v>
      </x:c>
      <x:c r="B2728" s="2" t="inlineStr">
        <x:is>
          <x:t xml:space="preserve">000551</x:t>
        </x:is>
      </x:c>
      <x:c r="C2728" s="3" t="inlineStr">
        <x:is>
          <x:t xml:space="preserve">创元科技</x:t>
        </x:is>
      </x:c>
      <x:c r="D2728" s="3" t="inlineStr">
        <x:is>
          <x:t xml:space="preserve">创元科技股份有限公司</x:t>
        </x:is>
      </x:c>
      <x:c r="E2728" s="2" t="inlineStr">
        <x:is>
          <x:t xml:space="preserve">江苏省</x:t>
        </x:is>
      </x:c>
      <x:c r="F2728" s="2" t="inlineStr">
        <x:is>
          <x:t xml:space="preserve">苏州市</x:t>
        </x:is>
      </x:c>
      <x:c r="G2728" s="3" t="inlineStr">
        <x:is>
          <x:t xml:space="preserve">江苏省-苏州市</x:t>
        </x:is>
      </x:c>
      <x:c r="H2728" s="2" t="inlineStr">
        <x:is>
          <x:t xml:space="preserve">环保行业</x:t>
        </x:is>
      </x:c>
      <x:c r="I2728" s="2" t="inlineStr">
        <x:is>
          <x:t xml:space="preserve">1994-01-06</x:t>
        </x:is>
      </x:c>
      <x:c r="J2728" s="3" t="inlineStr">
        <x:is>
          <x:t xml:space="preserve">苏州市高新区鹿山路35号</x:t>
        </x:is>
      </x:c>
      <x:c r="K2728" s="12" t="str">
        <x:f>LEFT("91320500720523600H",18)</x:f>
        <x:v>91320500720523600H</x:v>
      </x:c>
    </x:row>
    <x:row r="2729">
      <x:c r="A2729" s="4" t="n">
        <x:v>2728</x:v>
      </x:c>
      <x:c r="B2729" s="4" t="inlineStr">
        <x:is>
          <x:t xml:space="preserve">000570</x:t>
        </x:is>
      </x:c>
      <x:c r="C2729" s="5" t="inlineStr">
        <x:is>
          <x:t xml:space="preserve">苏常柴A</x:t>
        </x:is>
      </x:c>
      <x:c r="D2729" s="5" t="inlineStr">
        <x:is>
          <x:t xml:space="preserve">常柴股份有限公司</x:t>
        </x:is>
      </x:c>
      <x:c r="E2729" s="4" t="inlineStr">
        <x:is>
          <x:t xml:space="preserve">江苏省</x:t>
        </x:is>
      </x:c>
      <x:c r="F2729" s="4" t="inlineStr">
        <x:is>
          <x:t xml:space="preserve">常州市</x:t>
        </x:is>
      </x:c>
      <x:c r="G2729" s="5" t="inlineStr">
        <x:is>
          <x:t xml:space="preserve">江苏省-常州市</x:t>
        </x:is>
      </x:c>
      <x:c r="H2729" s="4" t="inlineStr">
        <x:is>
          <x:t xml:space="preserve">汽车零部件</x:t>
        </x:is>
      </x:c>
      <x:c r="I2729" s="4" t="inlineStr">
        <x:is>
          <x:t xml:space="preserve">1994-07-01</x:t>
        </x:is>
      </x:c>
      <x:c r="J2729" s="5" t="inlineStr">
        <x:is>
          <x:t xml:space="preserve">中国江苏省常州市怀德中路123号</x:t>
        </x:is>
      </x:c>
      <x:c r="K2729" s="12" t="str">
        <x:f>LEFT("91320400134792410W",18)</x:f>
        <x:v>91320400134792410W</x:v>
      </x:c>
    </x:row>
    <x:row r="2730">
      <x:c r="A2730" s="2" t="n">
        <x:v>2729</x:v>
      </x:c>
      <x:c r="B2730" s="2" t="inlineStr">
        <x:is>
          <x:t xml:space="preserve">000581</x:t>
        </x:is>
      </x:c>
      <x:c r="C2730" s="3" t="inlineStr">
        <x:is>
          <x:t xml:space="preserve">威孚高科</x:t>
        </x:is>
      </x:c>
      <x:c r="D2730" s="3" t="inlineStr">
        <x:is>
          <x:t xml:space="preserve">无锡威孚高科技集团股份有限公司</x:t>
        </x:is>
      </x:c>
      <x:c r="E2730" s="2" t="inlineStr">
        <x:is>
          <x:t xml:space="preserve">江苏省</x:t>
        </x:is>
      </x:c>
      <x:c r="F2730" s="2" t="inlineStr">
        <x:is>
          <x:t xml:space="preserve">无锡市</x:t>
        </x:is>
      </x:c>
      <x:c r="G2730" s="3" t="inlineStr">
        <x:is>
          <x:t xml:space="preserve">江苏省-无锡市</x:t>
        </x:is>
      </x:c>
      <x:c r="H2730" s="2" t="inlineStr">
        <x:is>
          <x:t xml:space="preserve">汽车行业</x:t>
        </x:is>
      </x:c>
      <x:c r="I2730" s="2" t="inlineStr">
        <x:is>
          <x:t xml:space="preserve">1998-09-24</x:t>
        </x:is>
      </x:c>
      <x:c r="J2730" s="3" t="inlineStr">
        <x:is>
          <x:t xml:space="preserve">无锡市新吴区华山路5号</x:t>
        </x:is>
      </x:c>
      <x:c r="K2730" s="12" t="str">
        <x:f>LEFT("91320200250456967N",18)</x:f>
        <x:v>91320200250456967N</x:v>
      </x:c>
    </x:row>
    <x:row r="2731">
      <x:c r="A2731" s="4" t="n">
        <x:v>2730</x:v>
      </x:c>
      <x:c r="B2731" s="4" t="inlineStr">
        <x:is>
          <x:t xml:space="preserve">000626</x:t>
        </x:is>
      </x:c>
      <x:c r="C2731" s="5" t="inlineStr">
        <x:is>
          <x:t xml:space="preserve">远大控股</x:t>
        </x:is>
      </x:c>
      <x:c r="D2731" s="5" t="inlineStr">
        <x:is>
          <x:t xml:space="preserve">远大产业控股股份有限公司</x:t>
        </x:is>
      </x:c>
      <x:c r="E2731" s="4" t="inlineStr">
        <x:is>
          <x:t xml:space="preserve">江苏省</x:t>
        </x:is>
      </x:c>
      <x:c r="F2731" s="4" t="inlineStr">
        <x:is>
          <x:t xml:space="preserve">连云港市</x:t>
        </x:is>
      </x:c>
      <x:c r="G2731" s="5" t="inlineStr">
        <x:is>
          <x:t xml:space="preserve">江苏省-连云港市</x:t>
        </x:is>
      </x:c>
      <x:c r="H2731" s="4" t="inlineStr">
        <x:is>
          <x:t xml:space="preserve">国际贸易</x:t>
        </x:is>
      </x:c>
      <x:c r="I2731" s="4" t="inlineStr">
        <x:is>
          <x:t xml:space="preserve">1996-11-28</x:t>
        </x:is>
      </x:c>
      <x:c r="J2731" s="5" t="inlineStr">
        <x:is>
          <x:t xml:space="preserve">连云港高新技术产业开发区高新八路4号</x:t>
        </x:is>
      </x:c>
      <x:c r="K2731" s="12" t="str">
        <x:f>LEFT("9132000013898927XM",18)</x:f>
        <x:v>9132000013898927XM</x:v>
      </x:c>
    </x:row>
    <x:row r="2732">
      <x:c r="A2732" s="2" t="n">
        <x:v>2731</x:v>
      </x:c>
      <x:c r="B2732" s="2" t="inlineStr">
        <x:is>
          <x:t xml:space="preserve">000681</x:t>
        </x:is>
      </x:c>
      <x:c r="C2732" s="3" t="inlineStr">
        <x:is>
          <x:t xml:space="preserve">视觉中国</x:t>
        </x:is>
      </x:c>
      <x:c r="D2732" s="3" t="inlineStr">
        <x:is>
          <x:t xml:space="preserve">视觉(中国)文化发展股份有限公司</x:t>
        </x:is>
      </x:c>
      <x:c r="E2732" s="2" t="inlineStr">
        <x:is>
          <x:t xml:space="preserve">江苏省</x:t>
        </x:is>
      </x:c>
      <x:c r="F2732" s="2" t="inlineStr">
        <x:is>
          <x:t xml:space="preserve">常州市</x:t>
        </x:is>
      </x:c>
      <x:c r="G2732" s="3" t="inlineStr">
        <x:is>
          <x:t xml:space="preserve">江苏省-常州市</x:t>
        </x:is>
      </x:c>
      <x:c r="H2732" s="2" t="inlineStr">
        <x:is>
          <x:t xml:space="preserve">文化传媒</x:t>
        </x:is>
      </x:c>
      <x:c r="I2732" s="2" t="inlineStr">
        <x:is>
          <x:t xml:space="preserve">1997-01-21</x:t>
        </x:is>
      </x:c>
      <x:c r="J2732" s="3" t="inlineStr">
        <x:is>
          <x:t xml:space="preserve">常州西太湖科技产业园禾香路123号6号楼一楼101室</x:t>
        </x:is>
      </x:c>
      <x:c r="K2732" s="12" t="str">
        <x:f>LEFT("91320400608117856C",18)</x:f>
        <x:v>91320400608117856C</x:v>
      </x:c>
    </x:row>
    <x:row r="2733">
      <x:c r="A2733" s="4" t="n">
        <x:v>2732</x:v>
      </x:c>
      <x:c r="B2733" s="4" t="inlineStr">
        <x:is>
          <x:t xml:space="preserve">000700</x:t>
        </x:is>
      </x:c>
      <x:c r="C2733" s="5" t="inlineStr">
        <x:is>
          <x:t xml:space="preserve">模塑科技</x:t>
        </x:is>
      </x:c>
      <x:c r="D2733" s="5" t="inlineStr">
        <x:is>
          <x:t xml:space="preserve">江南模塑科技股份有限公司</x:t>
        </x:is>
      </x:c>
      <x:c r="E2733" s="4" t="inlineStr">
        <x:is>
          <x:t xml:space="preserve">江苏省</x:t>
        </x:is>
      </x:c>
      <x:c r="F2733" s="4" t="inlineStr">
        <x:is>
          <x:t xml:space="preserve">苏省江阴市</x:t>
        </x:is>
      </x:c>
      <x:c r="G2733" s="5" t="inlineStr">
        <x:is>
          <x:t xml:space="preserve">江苏省-苏省江阴市</x:t>
        </x:is>
      </x:c>
      <x:c r="H2733" s="4" t="inlineStr">
        <x:is>
          <x:t xml:space="preserve">汽车行业</x:t>
        </x:is>
      </x:c>
      <x:c r="I2733" s="4" t="inlineStr">
        <x:is>
          <x:t xml:space="preserve">1997-02-28</x:t>
        </x:is>
      </x:c>
      <x:c r="J2733" s="5" t="inlineStr">
        <x:is>
          <x:t xml:space="preserve">江苏省江阴市周庄镇长青路8号</x:t>
        </x:is>
      </x:c>
      <x:c r="K2733" s="12" t="str">
        <x:f>LEFT("91320000142233627U",18)</x:f>
        <x:v>91320000142233627U</x:v>
      </x:c>
    </x:row>
    <x:row r="2734">
      <x:c r="A2734" s="2" t="n">
        <x:v>2733</x:v>
      </x:c>
      <x:c r="B2734" s="2" t="inlineStr">
        <x:is>
          <x:t xml:space="preserve">000727</x:t>
        </x:is>
      </x:c>
      <x:c r="C2734" s="3" t="inlineStr">
        <x:is>
          <x:t xml:space="preserve">冠捷科技</x:t>
        </x:is>
      </x:c>
      <x:c r="D2734" s="3" t="inlineStr">
        <x:is>
          <x:t xml:space="preserve">冠捷电子科技股份有限公司</x:t>
        </x:is>
      </x:c>
      <x:c r="E2734" s="2" t="inlineStr">
        <x:is>
          <x:t xml:space="preserve">江苏省</x:t>
        </x:is>
      </x:c>
      <x:c r="F2734" s="2" t="inlineStr">
        <x:is>
          <x:t xml:space="preserve">南京市</x:t>
        </x:is>
      </x:c>
      <x:c r="G2734" s="3" t="inlineStr">
        <x:is>
          <x:t xml:space="preserve">江苏省-南京市</x:t>
        </x:is>
      </x:c>
      <x:c r="H2734" s="2" t="inlineStr">
        <x:is>
          <x:t xml:space="preserve">光学光电子</x:t>
        </x:is>
      </x:c>
      <x:c r="I2734" s="2" t="inlineStr">
        <x:is>
          <x:t xml:space="preserve">1997-05-20</x:t>
        </x:is>
      </x:c>
      <x:c r="J2734" s="3" t="inlineStr">
        <x:is>
          <x:t xml:space="preserve">南京市栖霞区天佑路33号</x:t>
        </x:is>
      </x:c>
      <x:c r="K2734" s="12" t="str">
        <x:f>LEFT("91320191134955910F",18)</x:f>
        <x:v>91320191134955910F</x:v>
      </x:c>
    </x:row>
    <x:row r="2735">
      <x:c r="A2735" s="4" t="n">
        <x:v>2734</x:v>
      </x:c>
      <x:c r="B2735" s="4" t="inlineStr">
        <x:is>
          <x:t xml:space="preserve">000738</x:t>
        </x:is>
      </x:c>
      <x:c r="C2735" s="5" t="inlineStr">
        <x:is>
          <x:t xml:space="preserve">航发控制</x:t>
        </x:is>
      </x:c>
      <x:c r="D2735" s="5" t="inlineStr">
        <x:is>
          <x:t xml:space="preserve">中国航发动力控制股份有限公司</x:t>
        </x:is>
      </x:c>
      <x:c r="E2735" s="4" t="inlineStr">
        <x:is>
          <x:t xml:space="preserve">江苏省</x:t>
        </x:is>
      </x:c>
      <x:c r="F2735" s="4" t="inlineStr">
        <x:is>
          <x:t xml:space="preserve">无锡市</x:t>
        </x:is>
      </x:c>
      <x:c r="G2735" s="5" t="inlineStr">
        <x:is>
          <x:t xml:space="preserve">江苏省-无锡市</x:t>
        </x:is>
      </x:c>
      <x:c r="H2735" s="4" t="inlineStr">
        <x:is>
          <x:t xml:space="preserve">航天航空</x:t>
        </x:is>
      </x:c>
      <x:c r="I2735" s="4" t="inlineStr">
        <x:is>
          <x:t xml:space="preserve">1997-06-26</x:t>
        </x:is>
      </x:c>
      <x:c r="J2735" s="5" t="inlineStr">
        <x:is>
          <x:t xml:space="preserve">江苏省无锡市滨湖区刘闾路33号</x:t>
        </x:is>
      </x:c>
      <x:c r="K2735" s="12" t="str">
        <x:f>LEFT("9132020018380588X1",18)</x:f>
        <x:v>9132020018380588X1</x:v>
      </x:c>
    </x:row>
    <x:row r="2736">
      <x:c r="A2736" s="2" t="n">
        <x:v>2735</x:v>
      </x:c>
      <x:c r="B2736" s="2" t="inlineStr">
        <x:is>
          <x:t xml:space="preserve">000777</x:t>
        </x:is>
      </x:c>
      <x:c r="C2736" s="3" t="inlineStr">
        <x:is>
          <x:t xml:space="preserve">中核科技</x:t>
        </x:is>
      </x:c>
      <x:c r="D2736" s="3" t="inlineStr">
        <x:is>
          <x:t xml:space="preserve">中核苏阀科技实业股份有限公司</x:t>
        </x:is>
      </x:c>
      <x:c r="E2736" s="2" t="inlineStr">
        <x:is>
          <x:t xml:space="preserve">江苏省</x:t>
        </x:is>
      </x:c>
      <x:c r="F2736" s="2" t="inlineStr">
        <x:is>
          <x:t xml:space="preserve">苏州市</x:t>
        </x:is>
      </x:c>
      <x:c r="G2736" s="3" t="inlineStr">
        <x:is>
          <x:t xml:space="preserve">江苏省-苏州市</x:t>
        </x:is>
      </x:c>
      <x:c r="H2736" s="2" t="inlineStr">
        <x:is>
          <x:t xml:space="preserve">机械行业</x:t>
        </x:is>
      </x:c>
      <x:c r="I2736" s="2" t="inlineStr">
        <x:is>
          <x:t xml:space="preserve">1997-07-10</x:t>
        </x:is>
      </x:c>
      <x:c r="J2736" s="3" t="inlineStr">
        <x:is>
          <x:t xml:space="preserve">江苏省苏州高新区浒墅关镇安杨路178号</x:t>
        </x:is>
      </x:c>
      <x:c r="K2736" s="12" t="str">
        <x:f>LEFT("91320000100026961J",18)</x:f>
        <x:v>91320000100026961J</x:v>
      </x:c>
    </x:row>
    <x:row r="2737">
      <x:c r="A2737" s="4" t="n">
        <x:v>2736</x:v>
      </x:c>
      <x:c r="B2737" s="4" t="inlineStr">
        <x:is>
          <x:t xml:space="preserve">000816</x:t>
        </x:is>
      </x:c>
      <x:c r="C2737" s="5" t="inlineStr">
        <x:is>
          <x:t xml:space="preserve">智慧农业</x:t>
        </x:is>
      </x:c>
      <x:c r="D2737" s="5" t="inlineStr">
        <x:is>
          <x:t xml:space="preserve">江苏农华智慧农业科技股份有限公司</x:t>
        </x:is>
      </x:c>
      <x:c r="E2737" s="4" t="inlineStr">
        <x:is>
          <x:t xml:space="preserve">江苏省</x:t>
        </x:is>
      </x:c>
      <x:c r="F2737" s="4" t="inlineStr">
        <x:is>
          <x:t xml:space="preserve">盐城市</x:t>
        </x:is>
      </x:c>
      <x:c r="G2737" s="5" t="inlineStr">
        <x:is>
          <x:t xml:space="preserve">江苏省-盐城市</x:t>
        </x:is>
      </x:c>
      <x:c r="H2737" s="4" t="inlineStr">
        <x:is>
          <x:t xml:space="preserve">机械行业</x:t>
        </x:is>
      </x:c>
      <x:c r="I2737" s="4" t="inlineStr">
        <x:is>
          <x:t xml:space="preserve">1997-08-18</x:t>
        </x:is>
      </x:c>
      <x:c r="J2737" s="5" t="inlineStr">
        <x:is>
          <x:t xml:space="preserve">盐城经济技术开发区希望大道南路58号</x:t>
        </x:is>
      </x:c>
      <x:c r="K2737" s="12" t="str">
        <x:f>LEFT("91320900140131651D",18)</x:f>
        <x:v>91320900140131651D</x:v>
      </x:c>
    </x:row>
    <x:row r="2738">
      <x:c r="A2738" s="2" t="n">
        <x:v>2737</x:v>
      </x:c>
      <x:c r="B2738" s="2" t="inlineStr">
        <x:is>
          <x:t xml:space="preserve">000890</x:t>
        </x:is>
      </x:c>
      <x:c r="C2738" s="3" t="inlineStr">
        <x:is>
          <x:t xml:space="preserve">法尔胜</x:t>
        </x:is>
      </x:c>
      <x:c r="D2738" s="3" t="inlineStr">
        <x:is>
          <x:t xml:space="preserve">江苏法尔胜股份有限公司</x:t>
        </x:is>
      </x:c>
      <x:c r="E2738" s="2" t="inlineStr">
        <x:is>
          <x:t xml:space="preserve">江苏省</x:t>
        </x:is>
      </x:c>
      <x:c r="F2738" s="2" t="inlineStr">
        <x:is>
          <x:t xml:space="preserve">苏省江阴市</x:t>
        </x:is>
      </x:c>
      <x:c r="G2738" s="3" t="inlineStr">
        <x:is>
          <x:t xml:space="preserve">江苏省-苏省江阴市</x:t>
        </x:is>
      </x:c>
      <x:c r="H2738" s="2" t="inlineStr">
        <x:is>
          <x:t xml:space="preserve">通用设备</x:t>
        </x:is>
      </x:c>
      <x:c r="I2738" s="2" t="inlineStr">
        <x:is>
          <x:t xml:space="preserve">1999-01-19</x:t>
        </x:is>
      </x:c>
      <x:c r="J2738" s="3" t="inlineStr">
        <x:is>
          <x:t xml:space="preserve">江苏省江阴市澄江中路165号</x:t>
        </x:is>
      </x:c>
      <x:c r="K2738" s="12" t="str">
        <x:f>LEFT("91320200250377396Q",18)</x:f>
        <x:v>91320200250377396Q</x:v>
      </x:c>
    </x:row>
    <x:row r="2739">
      <x:c r="A2739" s="4" t="n">
        <x:v>2738</x:v>
      </x:c>
      <x:c r="B2739" s="4" t="inlineStr">
        <x:is>
          <x:t xml:space="preserve">000910</x:t>
        </x:is>
      </x:c>
      <x:c r="C2739" s="5" t="inlineStr">
        <x:is>
          <x:t xml:space="preserve">大亚圣象</x:t>
        </x:is>
      </x:c>
      <x:c r="D2739" s="5" t="inlineStr">
        <x:is>
          <x:t xml:space="preserve">大亚圣象家居股份有限公司</x:t>
        </x:is>
      </x:c>
      <x:c r="E2739" s="4" t="inlineStr">
        <x:is>
          <x:t xml:space="preserve">江苏省</x:t>
        </x:is>
      </x:c>
      <x:c r="F2739" s="4" t="inlineStr">
        <x:is>
          <x:t xml:space="preserve">镇江市</x:t>
        </x:is>
      </x:c>
      <x:c r="G2739" s="5" t="inlineStr">
        <x:is>
          <x:t xml:space="preserve">江苏省-镇江市</x:t>
        </x:is>
      </x:c>
      <x:c r="H2739" s="4" t="inlineStr">
        <x:is>
          <x:t xml:space="preserve">木业家具</x:t>
        </x:is>
      </x:c>
      <x:c r="I2739" s="4" t="inlineStr">
        <x:is>
          <x:t xml:space="preserve">1999-06-30</x:t>
        </x:is>
      </x:c>
      <x:c r="J2739" s="5" t="inlineStr">
        <x:is>
          <x:t xml:space="preserve">江苏省丹阳经济开发区齐梁路99号</x:t>
        </x:is>
      </x:c>
      <x:c r="K2739" s="12" t="str">
        <x:f>LEFT("91320000703956981R",18)</x:f>
        <x:v>91320000703956981R</x:v>
      </x:c>
    </x:row>
    <x:row r="2740">
      <x:c r="A2740" s="2" t="n">
        <x:v>2739</x:v>
      </x:c>
      <x:c r="B2740" s="2" t="inlineStr">
        <x:is>
          <x:t xml:space="preserve">000919</x:t>
        </x:is>
      </x:c>
      <x:c r="C2740" s="3" t="inlineStr">
        <x:is>
          <x:t xml:space="preserve">金陵药业</x:t>
        </x:is>
      </x:c>
      <x:c r="D2740" s="3" t="inlineStr">
        <x:is>
          <x:t xml:space="preserve">金陵药业股份有限公司</x:t>
        </x:is>
      </x:c>
      <x:c r="E2740" s="2" t="inlineStr">
        <x:is>
          <x:t xml:space="preserve">江苏省</x:t>
        </x:is>
      </x:c>
      <x:c r="F2740" s="2" t="inlineStr">
        <x:is>
          <x:t xml:space="preserve">南京市</x:t>
        </x:is>
      </x:c>
      <x:c r="G2740" s="3" t="inlineStr">
        <x:is>
          <x:t xml:space="preserve">江苏省-南京市</x:t>
        </x:is>
      </x:c>
      <x:c r="H2740" s="2" t="inlineStr">
        <x:is>
          <x:t xml:space="preserve">化学制药</x:t>
        </x:is>
      </x:c>
      <x:c r="I2740" s="2" t="inlineStr">
        <x:is>
          <x:t xml:space="preserve">1999-11-18</x:t>
        </x:is>
      </x:c>
      <x:c r="J2740" s="3" t="inlineStr">
        <x:is>
          <x:t xml:space="preserve">南京经济技术开发区新港大道58号</x:t>
        </x:is>
      </x:c>
      <x:c r="K2740" s="12" t="str">
        <x:f>LEFT("913201922497944756",18)</x:f>
        <x:v>913201922497944700</x:v>
      </x:c>
    </x:row>
    <x:row r="2741">
      <x:c r="A2741" s="4" t="n">
        <x:v>2740</x:v>
      </x:c>
      <x:c r="B2741" s="4" t="inlineStr">
        <x:is>
          <x:t xml:space="preserve">000936</x:t>
        </x:is>
      </x:c>
      <x:c r="C2741" s="5" t="inlineStr">
        <x:is>
          <x:t xml:space="preserve">华西股份</x:t>
        </x:is>
      </x:c>
      <x:c r="D2741" s="5" t="inlineStr">
        <x:is>
          <x:t xml:space="preserve">江苏华西村股份有限公司</x:t>
        </x:is>
      </x:c>
      <x:c r="E2741" s="4" t="inlineStr">
        <x:is>
          <x:t xml:space="preserve">江苏省</x:t>
        </x:is>
      </x:c>
      <x:c r="F2741" s="4" t="inlineStr">
        <x:is>
          <x:t xml:space="preserve">苏省江阴市</x:t>
        </x:is>
      </x:c>
      <x:c r="G2741" s="5" t="inlineStr">
        <x:is>
          <x:t xml:space="preserve">江苏省-苏省江阴市</x:t>
        </x:is>
      </x:c>
      <x:c r="H2741" s="4" t="inlineStr">
        <x:is>
          <x:t xml:space="preserve">化纤行业</x:t>
        </x:is>
      </x:c>
      <x:c r="I2741" s="4" t="inlineStr">
        <x:is>
          <x:t xml:space="preserve">1999-08-10</x:t>
        </x:is>
      </x:c>
      <x:c r="J2741" s="5" t="inlineStr">
        <x:is>
          <x:t xml:space="preserve">江苏省江阴市华士镇华西村</x:t>
        </x:is>
      </x:c>
      <x:c r="K2741" s="12" t="str">
        <x:f>LEFT("91320200142273776W",18)</x:f>
        <x:v>91320200142273776W</x:v>
      </x:c>
    </x:row>
    <x:row r="2742">
      <x:c r="A2742" s="2" t="n">
        <x:v>2741</x:v>
      </x:c>
      <x:c r="B2742" s="2" t="inlineStr">
        <x:is>
          <x:t xml:space="preserve">001205</x:t>
        </x:is>
      </x:c>
      <x:c r="C2742" s="3" t="inlineStr">
        <x:is>
          <x:t xml:space="preserve">盛航股份</x:t>
        </x:is>
      </x:c>
      <x:c r="D2742" s="3" t="inlineStr">
        <x:is>
          <x:t xml:space="preserve">南京盛航海运股份有限公司</x:t>
        </x:is>
      </x:c>
      <x:c r="E2742" s="2" t="inlineStr">
        <x:is>
          <x:t xml:space="preserve">江苏省</x:t>
        </x:is>
      </x:c>
      <x:c r="F2742" s="2" t="inlineStr">
        <x:is>
          <x:t xml:space="preserve">南京市</x:t>
        </x:is>
      </x:c>
      <x:c r="G2742" s="3" t="inlineStr">
        <x:is>
          <x:t xml:space="preserve">江苏省-南京市</x:t>
        </x:is>
      </x:c>
      <x:c r="H2742" s="2" t="inlineStr">
        <x:is>
          <x:t xml:space="preserve">港口水运</x:t>
        </x:is>
      </x:c>
      <x:c r="I2742" s="2" t="inlineStr">
        <x:is>
          <x:t xml:space="preserve">2021-05-13</x:t>
        </x:is>
      </x:c>
      <x:c r="J2742" s="3" t="inlineStr">
        <x:is>
          <x:t xml:space="preserve">中国(江苏)自由贸易试验区南京片区兴隆路12号7幢</x:t>
        </x:is>
      </x:c>
      <x:c r="K2742" s="12" t="str">
        <x:f>LEFT("9132010013498587X7",18)</x:f>
        <x:v>9132010013498587X7</x:v>
      </x:c>
    </x:row>
    <x:row r="2743">
      <x:c r="A2743" s="4" t="n">
        <x:v>2742</x:v>
      </x:c>
      <x:c r="B2743" s="4" t="inlineStr">
        <x:is>
          <x:t xml:space="preserve">001234</x:t>
        </x:is>
      </x:c>
      <x:c r="C2743" s="5" t="inlineStr">
        <x:is>
          <x:t xml:space="preserve">泰慕士</x:t>
        </x:is>
      </x:c>
      <x:c r="D2743" s="5" t="inlineStr">
        <x:is>
          <x:t xml:space="preserve">江苏泰慕士针纺科技股份有限公司</x:t>
        </x:is>
      </x:c>
      <x:c r="E2743" s="4" t="inlineStr">
        <x:is>
          <x:t xml:space="preserve">江苏省</x:t>
        </x:is>
      </x:c>
      <x:c r="F2743" s="4" t="inlineStr">
        <x:is>
          <x:t xml:space="preserve">苏省如皋市</x:t>
        </x:is>
      </x:c>
      <x:c r="G2743" s="5" t="inlineStr">
        <x:is>
          <x:t xml:space="preserve">江苏省-苏省如皋市</x:t>
        </x:is>
      </x:c>
      <x:c r="H2743" s="4" t="inlineStr">
        <x:is>
          <x:t xml:space="preserve">纺织服装</x:t>
        </x:is>
      </x:c>
      <x:c r="I2743" s="4" t="inlineStr">
        <x:is>
          <x:t xml:space="preserve">2022-01-11</x:t>
        </x:is>
      </x:c>
      <x:c r="J2743" s="5" t="inlineStr">
        <x:is>
          <x:t xml:space="preserve">江苏省如皋市益寿路666号</x:t>
        </x:is>
      </x:c>
      <x:c r="K2743" s="12" t="str">
        <x:f>LEFT("91320682608315094N",18)</x:f>
        <x:v>91320682608315094N</x:v>
      </x:c>
    </x:row>
    <x:row r="2744">
      <x:c r="A2744" s="2" t="n">
        <x:v>2743</x:v>
      </x:c>
      <x:c r="B2744" s="2" t="inlineStr">
        <x:is>
          <x:t xml:space="preserve">001236</x:t>
        </x:is>
      </x:c>
      <x:c r="C2744" s="3" t="inlineStr">
        <x:is>
          <x:t xml:space="preserve">弘业期货</x:t>
        </x:is>
      </x:c>
      <x:c r="D2744" s="3" t="inlineStr">
        <x:is>
          <x:t xml:space="preserve">苏豪弘业期货股份有限公司</x:t>
        </x:is>
      </x:c>
      <x:c r="E2744" s="2" t="inlineStr">
        <x:is>
          <x:t xml:space="preserve">江苏省</x:t>
        </x:is>
      </x:c>
      <x:c r="F2744" s="2" t="inlineStr">
        <x:is>
          <x:t xml:space="preserve">南京市</x:t>
        </x:is>
      </x:c>
      <x:c r="G2744" s="3" t="inlineStr">
        <x:is>
          <x:t xml:space="preserve">江苏省-南京市</x:t>
        </x:is>
      </x:c>
      <x:c r="H2744" s="2" t="inlineStr">
        <x:is>
          <x:t xml:space="preserve">多元金融</x:t>
        </x:is>
      </x:c>
      <x:c r="I2744" s="2" t="inlineStr">
        <x:is>
          <x:t xml:space="preserve">2022-08-05</x:t>
        </x:is>
      </x:c>
      <x:c r="J2744" s="3" t="inlineStr">
        <x:is>
          <x:t xml:space="preserve">南京市建邺区江东中路399号3幢</x:t>
        </x:is>
      </x:c>
      <x:c r="K2744" s="12" t="str">
        <x:f>LEFT("91320000100022362N",18)</x:f>
        <x:v>91320000100022362N</x:v>
      </x:c>
    </x:row>
    <x:row r="2745">
      <x:c r="A2745" s="4" t="n">
        <x:v>2744</x:v>
      </x:c>
      <x:c r="B2745" s="4" t="inlineStr">
        <x:is>
          <x:t xml:space="preserve">001324</x:t>
        </x:is>
      </x:c>
      <x:c r="C2745" s="5" t="inlineStr">
        <x:is>
          <x:t xml:space="preserve">长青科技</x:t>
        </x:is>
      </x:c>
      <x:c r="D2745" s="5" t="inlineStr">
        <x:is>
          <x:t xml:space="preserve">常州长青科技股份有限公司</x:t>
        </x:is>
      </x:c>
      <x:c r="E2745" s="4" t="inlineStr">
        <x:is>
          <x:t xml:space="preserve">江苏省</x:t>
        </x:is>
      </x:c>
      <x:c r="F2745" s="4" t="inlineStr">
        <x:is>
          <x:t xml:space="preserve">常州市</x:t>
        </x:is>
      </x:c>
      <x:c r="G2745" s="5" t="inlineStr">
        <x:is>
          <x:t xml:space="preserve">江苏省-常州市</x:t>
        </x:is>
      </x:c>
      <x:c r="H2745" s="4" t="inlineStr">
        <x:is>
          <x:t xml:space="preserve">交运设备</x:t>
        </x:is>
      </x:c>
      <x:c r="I2745" s="4" t="inlineStr">
        <x:is>
          <x:t xml:space="preserve">2023-05-22</x:t>
        </x:is>
      </x:c>
      <x:c r="J2745" s="5" t="inlineStr">
        <x:is>
          <x:t xml:space="preserve">常州市新北区河海西路300号</x:t>
        </x:is>
      </x:c>
      <x:c r="K2745" s="12" t="str">
        <x:f>LEFT("91320400770525372H",18)</x:f>
        <x:v>91320400770525372H</x:v>
      </x:c>
    </x:row>
    <x:row r="2746">
      <x:c r="A2746" s="2" t="n">
        <x:v>2745</x:v>
      </x:c>
      <x:c r="B2746" s="2" t="inlineStr">
        <x:is>
          <x:t xml:space="preserve">001332</x:t>
        </x:is>
      </x:c>
      <x:c r="C2746" s="3" t="inlineStr">
        <x:is>
          <x:t xml:space="preserve">锡装股份</x:t>
        </x:is>
      </x:c>
      <x:c r="D2746" s="3" t="inlineStr">
        <x:is>
          <x:t xml:space="preserve">无锡化工装备股份有限公司</x:t>
        </x:is>
      </x:c>
      <x:c r="E2746" s="2" t="inlineStr">
        <x:is>
          <x:t xml:space="preserve">江苏省</x:t>
        </x:is>
      </x:c>
      <x:c r="F2746" s="2" t="inlineStr">
        <x:is>
          <x:t xml:space="preserve">无锡市</x:t>
        </x:is>
      </x:c>
      <x:c r="G2746" s="3" t="inlineStr">
        <x:is>
          <x:t xml:space="preserve">江苏省-无锡市</x:t>
        </x:is>
      </x:c>
      <x:c r="H2746" s="2" t="inlineStr">
        <x:is>
          <x:t xml:space="preserve">专用设备</x:t>
        </x:is>
      </x:c>
      <x:c r="I2746" s="2" t="inlineStr">
        <x:is>
          <x:t xml:space="preserve">2022-09-20</x:t>
        </x:is>
      </x:c>
      <x:c r="J2746" s="3" t="inlineStr">
        <x:is>
          <x:t xml:space="preserve">无锡市滨湖区华谊路36号</x:t>
        </x:is>
      </x:c>
      <x:c r="K2746" s="12" t="str">
        <x:f>LEFT("91320200136349770P",18)</x:f>
        <x:v>91320200136349770P</x:v>
      </x:c>
    </x:row>
    <x:row r="2747">
      <x:c r="A2747" s="4" t="n">
        <x:v>2746</x:v>
      </x:c>
      <x:c r="B2747" s="4" t="inlineStr">
        <x:is>
          <x:t xml:space="preserve">001373</x:t>
        </x:is>
      </x:c>
      <x:c r="C2747" s="5" t="inlineStr">
        <x:is>
          <x:t xml:space="preserve">翔腾新材</x:t>
        </x:is>
      </x:c>
      <x:c r="D2747" s="5" t="inlineStr">
        <x:is>
          <x:t xml:space="preserve">江苏翔腾新材料股份有限公司</x:t>
        </x:is>
      </x:c>
      <x:c r="E2747" s="4" t="inlineStr">
        <x:is>
          <x:t xml:space="preserve">江苏省</x:t>
        </x:is>
      </x:c>
      <x:c r="F2747" s="4" t="inlineStr">
        <x:is>
          <x:t xml:space="preserve">南京市</x:t>
        </x:is>
      </x:c>
      <x:c r="G2747" s="5" t="inlineStr">
        <x:is>
          <x:t xml:space="preserve">江苏省-南京市</x:t>
        </x:is>
      </x:c>
      <x:c r="H2747" s="4" t="inlineStr">
        <x:is>
          <x:t xml:space="preserve">光学光电子</x:t>
        </x:is>
      </x:c>
      <x:c r="I2747" s="4" t="inlineStr">
        <x:is>
          <x:t xml:space="preserve">2023-06-01</x:t>
        </x:is>
      </x:c>
      <x:c r="J2747" s="5" t="inlineStr">
        <x:is>
          <x:t xml:space="preserve">南京市栖霞区栖霞街道广月路21号</x:t>
        </x:is>
      </x:c>
      <x:c r="K2747" s="12" t="str">
        <x:f>LEFT("91320113057970614J",18)</x:f>
        <x:v>91320113057970614J</x:v>
      </x:c>
    </x:row>
    <x:row r="2748">
      <x:c r="A2748" s="2" t="n">
        <x:v>2747</x:v>
      </x:c>
      <x:c r="B2748" s="2" t="inlineStr">
        <x:is>
          <x:t xml:space="preserve">001400</x:t>
        </x:is>
      </x:c>
      <x:c r="C2748" s="3" t="inlineStr">
        <x:is>
          <x:t xml:space="preserve">江顺科技</x:t>
        </x:is>
      </x:c>
      <x:c r="D2748" s="3" t="inlineStr">
        <x:is>
          <x:t xml:space="preserve">江苏江顺精密科技集团股份有限公司</x:t>
        </x:is>
      </x:c>
      <x:c r="E2748" s="2" t="inlineStr">
        <x:is>
          <x:t xml:space="preserve">江苏省</x:t>
        </x:is>
      </x:c>
      <x:c r="F2748" s="2" t="inlineStr">
        <x:is>
          <x:t xml:space="preserve">江阴市</x:t>
        </x:is>
      </x:c>
      <x:c r="G2748" s="3" t="inlineStr">
        <x:is>
          <x:t xml:space="preserve">江苏省-江阴市</x:t>
        </x:is>
      </x:c>
      <x:c r="H2748" s="2" t="inlineStr">
        <x:is>
          <x:t xml:space="preserve">通用设备</x:t>
        </x:is>
      </x:c>
      <x:c r="I2748" s="2" t="inlineStr">
        <x:is>
          <x:t xml:space="preserve">2025-04-24</x:t>
        </x:is>
      </x:c>
      <x:c r="J2748" s="3" t="inlineStr">
        <x:is>
          <x:t xml:space="preserve">江阴市周庄镇玉门西路19号</x:t>
        </x:is>
      </x:c>
      <x:c r="K2748" s="12" t="str">
        <x:f>LEFT("91320281732266787B",18)</x:f>
        <x:v>91320281732266787B</x:v>
      </x:c>
    </x:row>
    <x:row r="2749">
      <x:c r="A2749" s="4" t="n">
        <x:v>2748</x:v>
      </x:c>
      <x:c r="B2749" s="4" t="inlineStr">
        <x:is>
          <x:t xml:space="preserve">002009</x:t>
        </x:is>
      </x:c>
      <x:c r="C2749" s="5" t="inlineStr">
        <x:is>
          <x:t xml:space="preserve">天奇股份</x:t>
        </x:is>
      </x:c>
      <x:c r="D2749" s="5" t="inlineStr">
        <x:is>
          <x:t xml:space="preserve">天奇自动化工程股份有限公司</x:t>
        </x:is>
      </x:c>
      <x:c r="E2749" s="4" t="inlineStr">
        <x:is>
          <x:t xml:space="preserve">江苏省</x:t>
        </x:is>
      </x:c>
      <x:c r="F2749" s="4" t="inlineStr">
        <x:is>
          <x:t xml:space="preserve">无锡市</x:t>
        </x:is>
      </x:c>
      <x:c r="G2749" s="5" t="inlineStr">
        <x:is>
          <x:t xml:space="preserve">江苏省-无锡市</x:t>
        </x:is>
      </x:c>
      <x:c r="H2749" s="4" t="inlineStr">
        <x:is>
          <x:t xml:space="preserve">专用设备</x:t>
        </x:is>
      </x:c>
      <x:c r="I2749" s="4" t="inlineStr">
        <x:is>
          <x:t xml:space="preserve">2004-06-29</x:t>
        </x:is>
      </x:c>
      <x:c r="J2749" s="5" t="inlineStr">
        <x:is>
          <x:t xml:space="preserve">江苏省无锡市惠山区洛社镇洛藕路288号</x:t>
        </x:is>
      </x:c>
      <x:c r="K2749" s="12" t="str">
        <x:f>LEFT("91320200240507994H",18)</x:f>
        <x:v>91320200240507994H</x:v>
      </x:c>
    </x:row>
    <x:row r="2750">
      <x:c r="A2750" s="2" t="n">
        <x:v>2749</x:v>
      </x:c>
      <x:c r="B2750" s="2" t="inlineStr">
        <x:is>
          <x:t xml:space="preserve">002015</x:t>
        </x:is>
      </x:c>
      <x:c r="C2750" s="3" t="inlineStr">
        <x:is>
          <x:t xml:space="preserve">协鑫能科</x:t>
        </x:is>
      </x:c>
      <x:c r="D2750" s="3" t="inlineStr">
        <x:is>
          <x:t xml:space="preserve">协鑫能源科技股份有限公司</x:t>
        </x:is>
      </x:c>
      <x:c r="E2750" s="2" t="inlineStr">
        <x:is>
          <x:t xml:space="preserve">江苏省</x:t>
        </x:is>
      </x:c>
      <x:c r="F2750" s="2" t="inlineStr">
        <x:is>
          <x:t xml:space="preserve">苏省江阴市</x:t>
        </x:is>
      </x:c>
      <x:c r="G2750" s="3" t="inlineStr">
        <x:is>
          <x:t xml:space="preserve">江苏省-苏省江阴市</x:t>
        </x:is>
      </x:c>
      <x:c r="H2750" s="2" t="inlineStr">
        <x:is>
          <x:t xml:space="preserve">电力行业</x:t>
        </x:is>
      </x:c>
      <x:c r="I2750" s="2" t="inlineStr">
        <x:is>
          <x:t xml:space="preserve">2004-07-08</x:t>
        </x:is>
      </x:c>
      <x:c r="J2750" s="3" t="inlineStr">
        <x:is>
          <x:t xml:space="preserve">江苏省江阴市海港路18-1号202室</x:t>
        </x:is>
      </x:c>
      <x:c r="K2750" s="12" t="str">
        <x:f>LEFT("91320200142294446F",18)</x:f>
        <x:v>91320200142294446F</x:v>
      </x:c>
    </x:row>
    <x:row r="2751">
      <x:c r="A2751" s="4" t="n">
        <x:v>2750</x:v>
      </x:c>
      <x:c r="B2751" s="4" t="inlineStr">
        <x:is>
          <x:t xml:space="preserve">002024</x:t>
        </x:is>
      </x:c>
      <x:c r="C2751" s="5" t="inlineStr">
        <x:is>
          <x:t xml:space="preserve">ST易购</x:t>
        </x:is>
      </x:c>
      <x:c r="D2751" s="5" t="inlineStr">
        <x:is>
          <x:t xml:space="preserve">苏宁易购集团股份有限公司</x:t>
        </x:is>
      </x:c>
      <x:c r="E2751" s="4" t="inlineStr">
        <x:is>
          <x:t xml:space="preserve">江苏省</x:t>
        </x:is>
      </x:c>
      <x:c r="F2751" s="4" t="inlineStr">
        <x:is>
          <x:t xml:space="preserve">南京市</x:t>
        </x:is>
      </x:c>
      <x:c r="G2751" s="5" t="inlineStr">
        <x:is>
          <x:t xml:space="preserve">江苏省-南京市</x:t>
        </x:is>
      </x:c>
      <x:c r="H2751" s="4" t="inlineStr">
        <x:is>
          <x:t xml:space="preserve">商业百货</x:t>
        </x:is>
      </x:c>
      <x:c r="I2751" s="4" t="inlineStr">
        <x:is>
          <x:t xml:space="preserve">2004-07-21</x:t>
        </x:is>
      </x:c>
      <x:c r="J2751" s="5" t="inlineStr">
        <x:is>
          <x:t xml:space="preserve">江苏省南京市山西路8号金山大厦1-5层</x:t>
        </x:is>
      </x:c>
      <x:c r="K2751" s="12" t="str">
        <x:f>LEFT("91320000608950987L",18)</x:f>
        <x:v>91320000608950987L</x:v>
      </x:c>
    </x:row>
    <x:row r="2752">
      <x:c r="A2752" s="2" t="n">
        <x:v>2751</x:v>
      </x:c>
      <x:c r="B2752" s="2" t="inlineStr">
        <x:is>
          <x:t xml:space="preserve">002040</x:t>
        </x:is>
      </x:c>
      <x:c r="C2752" s="3" t="inlineStr">
        <x:is>
          <x:t xml:space="preserve">南京港</x:t>
        </x:is>
      </x:c>
      <x:c r="D2752" s="3" t="inlineStr">
        <x:is>
          <x:t xml:space="preserve">南京港股份有限公司</x:t>
        </x:is>
      </x:c>
      <x:c r="E2752" s="2" t="inlineStr">
        <x:is>
          <x:t xml:space="preserve">江苏省</x:t>
        </x:is>
      </x:c>
      <x:c r="F2752" s="2" t="inlineStr">
        <x:is>
          <x:t xml:space="preserve">南京市</x:t>
        </x:is>
      </x:c>
      <x:c r="G2752" s="3" t="inlineStr">
        <x:is>
          <x:t xml:space="preserve">江苏省-南京市</x:t>
        </x:is>
      </x:c>
      <x:c r="H2752" s="2" t="inlineStr">
        <x:is>
          <x:t xml:space="preserve">港口水运</x:t>
        </x:is>
      </x:c>
      <x:c r="I2752" s="2" t="inlineStr">
        <x:is>
          <x:t xml:space="preserve">2005-03-25</x:t>
        </x:is>
      </x:c>
      <x:c r="J2752" s="3" t="inlineStr">
        <x:is>
          <x:t xml:space="preserve">南京市栖霞区和燕路251号1幢1101室</x:t>
        </x:is>
      </x:c>
      <x:c r="K2752" s="12" t="str">
        <x:f>LEFT("91320000730726583G",18)</x:f>
        <x:v>91320000730726583G</x:v>
      </x:c>
    </x:row>
    <x:row r="2753">
      <x:c r="A2753" s="4" t="n">
        <x:v>2752</x:v>
      </x:c>
      <x:c r="B2753" s="4" t="inlineStr">
        <x:is>
          <x:t xml:space="preserve">002075</x:t>
        </x:is>
      </x:c>
      <x:c r="C2753" s="5" t="inlineStr">
        <x:is>
          <x:t xml:space="preserve">沙钢股份</x:t>
        </x:is>
      </x:c>
      <x:c r="D2753" s="5" t="inlineStr">
        <x:is>
          <x:t xml:space="preserve">江苏沙钢股份有限公司</x:t>
        </x:is>
      </x:c>
      <x:c r="E2753" s="4" t="inlineStr">
        <x:is>
          <x:t xml:space="preserve">江苏省</x:t>
        </x:is>
      </x:c>
      <x:c r="F2753" s="4" t="inlineStr">
        <x:is>
          <x:t xml:space="preserve">省张家港市</x:t>
        </x:is>
      </x:c>
      <x:c r="G2753" s="5" t="inlineStr">
        <x:is>
          <x:t xml:space="preserve">江苏省-省张家港市</x:t>
        </x:is>
      </x:c>
      <x:c r="H2753" s="4" t="inlineStr">
        <x:is>
          <x:t xml:space="preserve">钢铁行业</x:t>
        </x:is>
      </x:c>
      <x:c r="I2753" s="4" t="inlineStr">
        <x:is>
          <x:t xml:space="preserve">2006-10-25</x:t>
        </x:is>
      </x:c>
      <x:c r="J2753" s="5" t="inlineStr">
        <x:is>
          <x:t xml:space="preserve">江苏省张家港市锦丰镇沙钢大厦</x:t>
        </x:is>
      </x:c>
      <x:c r="K2753" s="12" t="str">
        <x:f>LEFT("91320000734417390D",18)</x:f>
        <x:v>91320000734417390D</x:v>
      </x:c>
    </x:row>
    <x:row r="2754">
      <x:c r="A2754" s="2" t="n">
        <x:v>2753</x:v>
      </x:c>
      <x:c r="B2754" s="2" t="inlineStr">
        <x:is>
          <x:t xml:space="preserve">002077</x:t>
        </x:is>
      </x:c>
      <x:c r="C2754" s="3" t="inlineStr">
        <x:is>
          <x:t xml:space="preserve">大港股份</x:t>
        </x:is>
      </x:c>
      <x:c r="D2754" s="3" t="inlineStr">
        <x:is>
          <x:t xml:space="preserve">江苏大港股份有限公司</x:t>
        </x:is>
      </x:c>
      <x:c r="E2754" s="2" t="inlineStr">
        <x:is>
          <x:t xml:space="preserve">江苏省</x:t>
        </x:is>
      </x:c>
      <x:c r="F2754" s="2" t="inlineStr">
        <x:is>
          <x:t xml:space="preserve">镇江市</x:t>
        </x:is>
      </x:c>
      <x:c r="G2754" s="3" t="inlineStr">
        <x:is>
          <x:t xml:space="preserve">江苏省-镇江市</x:t>
        </x:is>
      </x:c>
      <x:c r="H2754" s="2" t="inlineStr">
        <x:is>
          <x:t xml:space="preserve">半导体</x:t>
        </x:is>
      </x:c>
      <x:c r="I2754" s="2" t="inlineStr">
        <x:is>
          <x:t xml:space="preserve">2006-11-16</x:t>
        </x:is>
      </x:c>
      <x:c r="J2754" s="3" t="inlineStr">
        <x:is>
          <x:t xml:space="preserve">江苏省镇江新区港南路401号经开大厦11层</x:t>
        </x:is>
      </x:c>
      <x:c r="K2754" s="12" t="str">
        <x:f>LEFT("91321100720500361C",18)</x:f>
        <x:v>91321100720500361C</x:v>
      </x:c>
    </x:row>
    <x:row r="2755">
      <x:c r="A2755" s="4" t="n">
        <x:v>2754</x:v>
      </x:c>
      <x:c r="B2755" s="4" t="inlineStr">
        <x:is>
          <x:t xml:space="preserve">002079</x:t>
        </x:is>
      </x:c>
      <x:c r="C2755" s="5" t="inlineStr">
        <x:is>
          <x:t xml:space="preserve">苏州固锝</x:t>
        </x:is>
      </x:c>
      <x:c r="D2755" s="5" t="inlineStr">
        <x:is>
          <x:t xml:space="preserve">苏州固锝电子股份有限公司</x:t>
        </x:is>
      </x:c>
      <x:c r="E2755" s="4" t="inlineStr">
        <x:is>
          <x:t xml:space="preserve">江苏省</x:t>
        </x:is>
      </x:c>
      <x:c r="F2755" s="4" t="inlineStr">
        <x:is>
          <x:t xml:space="preserve">苏州市</x:t>
        </x:is>
      </x:c>
      <x:c r="G2755" s="5" t="inlineStr">
        <x:is>
          <x:t xml:space="preserve">江苏省-苏州市</x:t>
        </x:is>
      </x:c>
      <x:c r="H2755" s="4" t="inlineStr">
        <x:is>
          <x:t xml:space="preserve">半导体</x:t>
        </x:is>
      </x:c>
      <x:c r="I2755" s="4" t="inlineStr">
        <x:is>
          <x:t xml:space="preserve">2006-11-16</x:t>
        </x:is>
      </x:c>
      <x:c r="J2755" s="5" t="inlineStr">
        <x:is>
          <x:t xml:space="preserve">江苏省苏州市通安开发区通锡路31号</x:t>
        </x:is>
      </x:c>
      <x:c r="K2755" s="12" t="str">
        <x:f>LEFT("91320000608196080H",18)</x:f>
        <x:v>91320000608196080H</x:v>
      </x:c>
    </x:row>
    <x:row r="2756">
      <x:c r="A2756" s="2" t="n">
        <x:v>2755</x:v>
      </x:c>
      <x:c r="B2756" s="2" t="inlineStr">
        <x:is>
          <x:t xml:space="preserve">002080</x:t>
        </x:is>
      </x:c>
      <x:c r="C2756" s="3" t="inlineStr">
        <x:is>
          <x:t xml:space="preserve">中材科技</x:t>
        </x:is>
      </x:c>
      <x:c r="D2756" s="3" t="inlineStr">
        <x:is>
          <x:t xml:space="preserve">中材科技股份有限公司</x:t>
        </x:is>
      </x:c>
      <x:c r="E2756" s="2" t="inlineStr">
        <x:is>
          <x:t xml:space="preserve">江苏省</x:t>
        </x:is>
      </x:c>
      <x:c r="F2756" s="2" t="inlineStr">
        <x:is>
          <x:t xml:space="preserve">南京市</x:t>
        </x:is>
      </x:c>
      <x:c r="G2756" s="3" t="inlineStr">
        <x:is>
          <x:t xml:space="preserve">江苏省-南京市</x:t>
        </x:is>
      </x:c>
      <x:c r="H2756" s="2" t="inlineStr">
        <x:is>
          <x:t xml:space="preserve">玻璃陶瓷</x:t>
        </x:is>
      </x:c>
      <x:c r="I2756" s="2" t="inlineStr">
        <x:is>
          <x:t xml:space="preserve">2006-11-20</x:t>
        </x:is>
      </x:c>
      <x:c r="J2756" s="3" t="inlineStr">
        <x:is>
          <x:t xml:space="preserve">南京江宁科学园彤天路99号</x:t>
        </x:is>
      </x:c>
      <x:c r="K2756" s="12" t="str">
        <x:f>LEFT("91320000710929279P",18)</x:f>
        <x:v>91320000710929279P</x:v>
      </x:c>
    </x:row>
    <x:row r="2757">
      <x:c r="A2757" s="4" t="n">
        <x:v>2756</x:v>
      </x:c>
      <x:c r="B2757" s="4" t="inlineStr">
        <x:is>
          <x:t xml:space="preserve">002081</x:t>
        </x:is>
      </x:c>
      <x:c r="C2757" s="5" t="inlineStr">
        <x:is>
          <x:t xml:space="preserve">金螳螂</x:t>
        </x:is>
      </x:c>
      <x:c r="D2757" s="5" t="inlineStr">
        <x:is>
          <x:t xml:space="preserve">苏州金螳螂建筑装饰股份有限公司</x:t>
        </x:is>
      </x:c>
      <x:c r="E2757" s="4" t="inlineStr">
        <x:is>
          <x:t xml:space="preserve">江苏省</x:t>
        </x:is>
      </x:c>
      <x:c r="F2757" s="4" t="inlineStr">
        <x:is>
          <x:t xml:space="preserve">苏州市</x:t>
        </x:is>
      </x:c>
      <x:c r="G2757" s="5" t="inlineStr">
        <x:is>
          <x:t xml:space="preserve">江苏省-苏州市</x:t>
        </x:is>
      </x:c>
      <x:c r="H2757" s="4" t="inlineStr">
        <x:is>
          <x:t xml:space="preserve">装修装饰</x:t>
        </x:is>
      </x:c>
      <x:c r="I2757" s="4" t="inlineStr">
        <x:is>
          <x:t xml:space="preserve">2006-11-20</x:t>
        </x:is>
      </x:c>
      <x:c r="J2757" s="5" t="inlineStr">
        <x:is>
          <x:t xml:space="preserve">中国(江苏)自由贸易试验区苏州片区苏州工业园区金尚路99号</x:t>
        </x:is>
      </x:c>
      <x:c r="K2757" s="12" t="str">
        <x:f>LEFT("91320000608285139H",18)</x:f>
        <x:v>91320000608285139H</x:v>
      </x:c>
    </x:row>
    <x:row r="2758">
      <x:c r="A2758" s="2" t="n">
        <x:v>2757</x:v>
      </x:c>
      <x:c r="B2758" s="2" t="inlineStr">
        <x:is>
          <x:t xml:space="preserve">002090</x:t>
        </x:is>
      </x:c>
      <x:c r="C2758" s="3" t="inlineStr">
        <x:is>
          <x:t xml:space="preserve">金智科技</x:t>
        </x:is>
      </x:c>
      <x:c r="D2758" s="3" t="inlineStr">
        <x:is>
          <x:t xml:space="preserve">江苏金智科技股份有限公司</x:t>
        </x:is>
      </x:c>
      <x:c r="E2758" s="2" t="inlineStr">
        <x:is>
          <x:t xml:space="preserve">江苏省</x:t>
        </x:is>
      </x:c>
      <x:c r="F2758" s="2" t="inlineStr">
        <x:is>
          <x:t xml:space="preserve">南京市</x:t>
        </x:is>
      </x:c>
      <x:c r="G2758" s="3" t="inlineStr">
        <x:is>
          <x:t xml:space="preserve">江苏省-南京市</x:t>
        </x:is>
      </x:c>
      <x:c r="H2758" s="2" t="inlineStr">
        <x:is>
          <x:t xml:space="preserve">电网设备</x:t>
        </x:is>
      </x:c>
      <x:c r="I2758" s="2" t="inlineStr">
        <x:is>
          <x:t xml:space="preserve">2006-12-08</x:t>
        </x:is>
      </x:c>
      <x:c r="J2758" s="3" t="inlineStr">
        <x:is>
          <x:t xml:space="preserve">江苏省南京市江宁开发区将军大道100号</x:t>
        </x:is>
      </x:c>
      <x:c r="K2758" s="12" t="str">
        <x:f>LEFT("913200001347865204",18)</x:f>
        <x:v>913200001347865200</x:v>
      </x:c>
    </x:row>
    <x:row r="2759">
      <x:c r="A2759" s="4" t="n">
        <x:v>2758</x:v>
      </x:c>
      <x:c r="B2759" s="4" t="inlineStr">
        <x:is>
          <x:t xml:space="preserve">002091</x:t>
        </x:is>
      </x:c>
      <x:c r="C2759" s="5" t="inlineStr">
        <x:is>
          <x:t xml:space="preserve">江苏国泰</x:t>
        </x:is>
      </x:c>
      <x:c r="D2759" s="5" t="inlineStr">
        <x:is>
          <x:t xml:space="preserve">江苏国泰国际集团股份有限公司</x:t>
        </x:is>
      </x:c>
      <x:c r="E2759" s="4" t="inlineStr">
        <x:is>
          <x:t xml:space="preserve">江苏省</x:t>
        </x:is>
      </x:c>
      <x:c r="F2759" s="4" t="inlineStr">
        <x:is>
          <x:t xml:space="preserve">张家港市</x:t>
        </x:is>
      </x:c>
      <x:c r="G2759" s="5" t="inlineStr">
        <x:is>
          <x:t xml:space="preserve">江苏省-张家港市</x:t>
        </x:is>
      </x:c>
      <x:c r="H2759" s="4" t="inlineStr">
        <x:is>
          <x:t xml:space="preserve">国际贸易</x:t>
        </x:is>
      </x:c>
      <x:c r="I2759" s="4" t="inlineStr">
        <x:is>
          <x:t xml:space="preserve">2006-12-08</x:t>
        </x:is>
      </x:c>
      <x:c r="J2759" s="5" t="inlineStr">
        <x:is>
          <x:t xml:space="preserve">张家港市杨舍镇人民中路15号2幢31楼</x:t>
        </x:is>
      </x:c>
      <x:c r="K2759" s="12" t="str">
        <x:f>LEFT("91320000703675629U",18)</x:f>
        <x:v>91320000703675629U</x:v>
      </x:c>
    </x:row>
    <x:row r="2760">
      <x:c r="A2760" s="2" t="n">
        <x:v>2759</x:v>
      </x:c>
      <x:c r="B2760" s="2" t="inlineStr">
        <x:is>
          <x:t xml:space="preserve">002104</x:t>
        </x:is>
      </x:c>
      <x:c r="C2760" s="3" t="inlineStr">
        <x:is>
          <x:t xml:space="preserve">恒宝股份</x:t>
        </x:is>
      </x:c>
      <x:c r="D2760" s="3" t="inlineStr">
        <x:is>
          <x:t xml:space="preserve">恒宝股份有限公司</x:t>
        </x:is>
      </x:c>
      <x:c r="E2760" s="2" t="inlineStr">
        <x:is>
          <x:t xml:space="preserve">江苏省</x:t>
        </x:is>
      </x:c>
      <x:c r="F2760" s="2" t="inlineStr">
        <x:is>
          <x:t xml:space="preserve">苏省丹阳市</x:t>
        </x:is>
      </x:c>
      <x:c r="G2760" s="3" t="inlineStr">
        <x:is>
          <x:t xml:space="preserve">江苏省-苏省丹阳市</x:t>
        </x:is>
      </x:c>
      <x:c r="H2760" s="2" t="inlineStr">
        <x:is>
          <x:t xml:space="preserve">通信设备</x:t>
        </x:is>
      </x:c>
      <x:c r="I2760" s="2" t="inlineStr">
        <x:is>
          <x:t xml:space="preserve">2007-01-10</x:t>
        </x:is>
      </x:c>
      <x:c r="J2760" s="3" t="inlineStr">
        <x:is>
          <x:t xml:space="preserve">江苏省丹阳市横塘工业区</x:t>
        </x:is>
      </x:c>
      <x:c r="K2760" s="12" t="str">
        <x:f>LEFT("91320000253710940L",18)</x:f>
        <x:v>91320000253710940L</x:v>
      </x:c>
    </x:row>
    <x:row r="2761">
      <x:c r="A2761" s="4" t="n">
        <x:v>2760</x:v>
      </x:c>
      <x:c r="B2761" s="4" t="inlineStr">
        <x:is>
          <x:t xml:space="preserve">002127</x:t>
        </x:is>
      </x:c>
      <x:c r="C2761" s="5" t="inlineStr">
        <x:is>
          <x:t xml:space="preserve">南极电商</x:t>
        </x:is>
      </x:c>
      <x:c r="D2761" s="5" t="inlineStr">
        <x:is>
          <x:t xml:space="preserve">南极电商股份有限公司</x:t>
        </x:is>
      </x:c>
      <x:c r="E2761" s="4" t="inlineStr">
        <x:is>
          <x:t xml:space="preserve">江苏省</x:t>
        </x:is>
      </x:c>
      <x:c r="F2761" s="4" t="inlineStr">
        <x:is>
          <x:t xml:space="preserve">苏州市</x:t>
        </x:is>
      </x:c>
      <x:c r="G2761" s="5" t="inlineStr">
        <x:is>
          <x:t xml:space="preserve">江苏省-苏州市</x:t>
        </x:is>
      </x:c>
      <x:c r="H2761" s="4" t="inlineStr">
        <x:is>
          <x:t xml:space="preserve">贸易行业</x:t>
        </x:is>
      </x:c>
      <x:c r="I2761" s="4" t="inlineStr">
        <x:is>
          <x:t xml:space="preserve">2007-04-18</x:t>
        </x:is>
      </x:c>
      <x:c r="J2761" s="5" t="inlineStr">
        <x:is>
          <x:t xml:space="preserve">江苏省苏州市吴江区盛泽镇敦煌路388号汇赢大厦8F</x:t>
        </x:is>
      </x:c>
      <x:c r="K2761" s="12" t="str">
        <x:f>LEFT("91320500714954842N",18)</x:f>
        <x:v>91320500714954842N</x:v>
      </x:c>
    </x:row>
    <x:row r="2762">
      <x:c r="A2762" s="2" t="n">
        <x:v>2761</x:v>
      </x:c>
      <x:c r="B2762" s="2" t="inlineStr">
        <x:is>
          <x:t xml:space="preserve">002150</x:t>
        </x:is>
      </x:c>
      <x:c r="C2762" s="3" t="inlineStr">
        <x:is>
          <x:t xml:space="preserve">通润装备</x:t>
        </x:is>
      </x:c>
      <x:c r="D2762" s="3" t="inlineStr">
        <x:is>
          <x:t xml:space="preserve">江苏正泰电源科技股份有限公司</x:t>
        </x:is>
      </x:c>
      <x:c r="E2762" s="2" t="inlineStr">
        <x:is>
          <x:t xml:space="preserve">江苏省</x:t>
        </x:is>
      </x:c>
      <x:c r="F2762" s="2" t="inlineStr">
        <x:is>
          <x:t xml:space="preserve">苏省常熟市</x:t>
        </x:is>
      </x:c>
      <x:c r="G2762" s="3" t="inlineStr">
        <x:is>
          <x:t xml:space="preserve">江苏省-苏省常熟市</x:t>
        </x:is>
      </x:c>
      <x:c r="H2762" s="2" t="inlineStr">
        <x:is>
          <x:t xml:space="preserve">光伏设备</x:t>
        </x:is>
      </x:c>
      <x:c r="I2762" s="2" t="inlineStr">
        <x:is>
          <x:t xml:space="preserve">2007-08-10</x:t>
        </x:is>
      </x:c>
      <x:c r="J2762" s="3" t="inlineStr">
        <x:is>
          <x:t xml:space="preserve">江苏省常熟市海虞镇通港路536号</x:t>
        </x:is>
      </x:c>
      <x:c r="K2762" s="12" t="str">
        <x:f>LEFT("91320000742497060W",18)</x:f>
        <x:v>91320000742497060W</x:v>
      </x:c>
    </x:row>
    <x:row r="2763">
      <x:c r="A2763" s="4" t="n">
        <x:v>2762</x:v>
      </x:c>
      <x:c r="B2763" s="4" t="inlineStr">
        <x:is>
          <x:t xml:space="preserve">002156</x:t>
        </x:is>
      </x:c>
      <x:c r="C2763" s="5" t="inlineStr">
        <x:is>
          <x:t xml:space="preserve">通富微电</x:t>
        </x:is>
      </x:c>
      <x:c r="D2763" s="5" t="inlineStr">
        <x:is>
          <x:t xml:space="preserve">通富微电子股份有限公司</x:t>
        </x:is>
      </x:c>
      <x:c r="E2763" s="4" t="inlineStr">
        <x:is>
          <x:t xml:space="preserve">江苏省</x:t>
        </x:is>
      </x:c>
      <x:c r="F2763" s="4" t="inlineStr">
        <x:is>
          <x:t xml:space="preserve">南通市</x:t>
        </x:is>
      </x:c>
      <x:c r="G2763" s="5" t="inlineStr">
        <x:is>
          <x:t xml:space="preserve">江苏省-南通市</x:t>
        </x:is>
      </x:c>
      <x:c r="H2763" s="4" t="inlineStr">
        <x:is>
          <x:t xml:space="preserve">半导体</x:t>
        </x:is>
      </x:c>
      <x:c r="I2763" s="4" t="inlineStr">
        <x:is>
          <x:t xml:space="preserve">2007-08-16</x:t>
        </x:is>
      </x:c>
      <x:c r="J2763" s="5" t="inlineStr">
        <x:is>
          <x:t xml:space="preserve">江苏省南通市崇川开发区崇川路288号</x:t>
        </x:is>
      </x:c>
      <x:c r="K2763" s="12" t="str">
        <x:f>LEFT("91320000608319749X",18)</x:f>
        <x:v>91320000608319749X</x:v>
      </x:c>
    </x:row>
    <x:row r="2764">
      <x:c r="A2764" s="2" t="n">
        <x:v>2763</x:v>
      </x:c>
      <x:c r="B2764" s="2" t="inlineStr">
        <x:is>
          <x:t xml:space="preserve">002160</x:t>
        </x:is>
      </x:c>
      <x:c r="C2764" s="3" t="inlineStr">
        <x:is>
          <x:t xml:space="preserve">常铝股份</x:t>
        </x:is>
      </x:c>
      <x:c r="D2764" s="3" t="inlineStr">
        <x:is>
          <x:t xml:space="preserve">江苏常铝铝业集团股份有限公司</x:t>
        </x:is>
      </x:c>
      <x:c r="E2764" s="2" t="inlineStr">
        <x:is>
          <x:t xml:space="preserve">江苏省</x:t>
        </x:is>
      </x:c>
      <x:c r="F2764" s="2" t="inlineStr">
        <x:is>
          <x:t xml:space="preserve">苏省常熟市</x:t>
        </x:is>
      </x:c>
      <x:c r="G2764" s="3" t="inlineStr">
        <x:is>
          <x:t xml:space="preserve">江苏省-苏省常熟市</x:t>
        </x:is>
      </x:c>
      <x:c r="H2764" s="2" t="inlineStr">
        <x:is>
          <x:t xml:space="preserve">有色金属</x:t>
        </x:is>
      </x:c>
      <x:c r="I2764" s="2" t="inlineStr">
        <x:is>
          <x:t xml:space="preserve">2007-08-21</x:t>
        </x:is>
      </x:c>
      <x:c r="J2764" s="3" t="inlineStr">
        <x:is>
          <x:t xml:space="preserve">江苏省常熟市白茆镇西</x:t>
        </x:is>
      </x:c>
      <x:c r="K2764" s="12" t="str">
        <x:f>LEFT("913205007455867478",18)</x:f>
        <x:v>913205007455867500</x:v>
      </x:c>
    </x:row>
    <x:row r="2765">
      <x:c r="A2765" s="4" t="n">
        <x:v>2764</x:v>
      </x:c>
      <x:c r="B2765" s="4" t="inlineStr">
        <x:is>
          <x:t xml:space="preserve">002165</x:t>
        </x:is>
      </x:c>
      <x:c r="C2765" s="5" t="inlineStr">
        <x:is>
          <x:t xml:space="preserve">红宝丽</x:t>
        </x:is>
      </x:c>
      <x:c r="D2765" s="5" t="inlineStr">
        <x:is>
          <x:t xml:space="preserve">红宝丽集团股份有限公司</x:t>
        </x:is>
      </x:c>
      <x:c r="E2765" s="4" t="inlineStr">
        <x:is>
          <x:t xml:space="preserve">江苏省</x:t>
        </x:is>
      </x:c>
      <x:c r="F2765" s="4" t="inlineStr">
        <x:is>
          <x:t xml:space="preserve">南京市</x:t>
        </x:is>
      </x:c>
      <x:c r="G2765" s="5" t="inlineStr">
        <x:is>
          <x:t xml:space="preserve">江苏省-南京市</x:t>
        </x:is>
      </x:c>
      <x:c r="H2765" s="4" t="inlineStr">
        <x:is>
          <x:t xml:space="preserve">化工行业</x:t>
        </x:is>
      </x:c>
      <x:c r="I2765" s="4" t="inlineStr">
        <x:is>
          <x:t xml:space="preserve">2007-09-13</x:t>
        </x:is>
      </x:c>
      <x:c r="J2765" s="5" t="inlineStr">
        <x:is>
          <x:t xml:space="preserve">江苏省南京市高淳区经济开发区双高路29号</x:t>
        </x:is>
      </x:c>
      <x:c r="K2765" s="12" t="str">
        <x:f>LEFT("91320100249697552B",18)</x:f>
        <x:v>91320100249697552B</x:v>
      </x:c>
    </x:row>
    <x:row r="2766">
      <x:c r="A2766" s="2" t="n">
        <x:v>2765</x:v>
      </x:c>
      <x:c r="B2766" s="2" t="inlineStr">
        <x:is>
          <x:t xml:space="preserve">002172</x:t>
        </x:is>
      </x:c>
      <x:c r="C2766" s="3" t="inlineStr">
        <x:is>
          <x:t xml:space="preserve">澳洋健康</x:t>
        </x:is>
      </x:c>
      <x:c r="D2766" s="3" t="inlineStr">
        <x:is>
          <x:t xml:space="preserve">江苏澳洋健康产业股份有限公司</x:t>
        </x:is>
      </x:c>
      <x:c r="E2766" s="2" t="inlineStr">
        <x:is>
          <x:t xml:space="preserve">江苏省</x:t>
        </x:is>
      </x:c>
      <x:c r="F2766" s="2" t="inlineStr">
        <x:is>
          <x:t xml:space="preserve">省张家港市</x:t>
        </x:is>
      </x:c>
      <x:c r="G2766" s="3" t="inlineStr">
        <x:is>
          <x:t xml:space="preserve">江苏省-省张家港市</x:t>
        </x:is>
      </x:c>
      <x:c r="H2766" s="2" t="inlineStr">
        <x:is>
          <x:t xml:space="preserve">医疗服务</x:t>
        </x:is>
      </x:c>
      <x:c r="I2766" s="2" t="inlineStr">
        <x:is>
          <x:t xml:space="preserve">2007-09-21</x:t>
        </x:is>
      </x:c>
      <x:c r="J2766" s="3" t="inlineStr">
        <x:is>
          <x:t xml:space="preserve">江苏省张家港市杨舍镇塘市镇中路018号</x:t>
        </x:is>
      </x:c>
      <x:c r="K2766" s="12" t="str">
        <x:f>LEFT("91320500732251446C",18)</x:f>
        <x:v>91320500732251446C</x:v>
      </x:c>
    </x:row>
    <x:row r="2767">
      <x:c r="A2767" s="4" t="n">
        <x:v>2766</x:v>
      </x:c>
      <x:c r="B2767" s="4" t="inlineStr">
        <x:is>
          <x:t xml:space="preserve">002182</x:t>
        </x:is>
      </x:c>
      <x:c r="C2767" s="5" t="inlineStr">
        <x:is>
          <x:t xml:space="preserve">宝武镁业</x:t>
        </x:is>
      </x:c>
      <x:c r="D2767" s="5" t="inlineStr">
        <x:is>
          <x:t xml:space="preserve">宝武镁业科技股份有限公司</x:t>
        </x:is>
      </x:c>
      <x:c r="E2767" s="4" t="inlineStr">
        <x:is>
          <x:t xml:space="preserve">江苏省</x:t>
        </x:is>
      </x:c>
      <x:c r="F2767" s="4" t="inlineStr">
        <x:is>
          <x:t xml:space="preserve">南京市</x:t>
        </x:is>
      </x:c>
      <x:c r="G2767" s="5" t="inlineStr">
        <x:is>
          <x:t xml:space="preserve">江苏省-南京市</x:t>
        </x:is>
      </x:c>
      <x:c r="H2767" s="4" t="inlineStr">
        <x:is>
          <x:t xml:space="preserve">有色金属</x:t>
        </x:is>
      </x:c>
      <x:c r="I2767" s="4" t="inlineStr">
        <x:is>
          <x:t xml:space="preserve">2007-11-13</x:t>
        </x:is>
      </x:c>
      <x:c r="J2767" s="5" t="inlineStr">
        <x:is>
          <x:t xml:space="preserve">南京市溧水区东屏街道开屏路11号</x:t>
        </x:is>
      </x:c>
      <x:c r="K2767" s="12" t="str">
        <x:f>LEFT("91320100135786805X",18)</x:f>
        <x:v>91320100135786805X</x:v>
      </x:c>
    </x:row>
    <x:row r="2768">
      <x:c r="A2768" s="2" t="n">
        <x:v>2767</x:v>
      </x:c>
      <x:c r="B2768" s="2" t="inlineStr">
        <x:is>
          <x:t xml:space="preserve">002201</x:t>
        </x:is>
      </x:c>
      <x:c r="C2768" s="3" t="inlineStr">
        <x:is>
          <x:t xml:space="preserve">九鼎新材</x:t>
        </x:is>
      </x:c>
      <x:c r="D2768" s="3" t="inlineStr">
        <x:is>
          <x:t xml:space="preserve">江苏九鼎新材料股份有限公司</x:t>
        </x:is>
      </x:c>
      <x:c r="E2768" s="2" t="inlineStr">
        <x:is>
          <x:t xml:space="preserve">江苏省</x:t>
        </x:is>
      </x:c>
      <x:c r="F2768" s="2" t="inlineStr">
        <x:is>
          <x:t xml:space="preserve">苏省如皋市</x:t>
        </x:is>
      </x:c>
      <x:c r="G2768" s="3" t="inlineStr">
        <x:is>
          <x:t xml:space="preserve">江苏省-苏省如皋市</x:t>
        </x:is>
      </x:c>
      <x:c r="H2768" s="2" t="inlineStr">
        <x:is>
          <x:t xml:space="preserve">玻璃陶瓷</x:t>
        </x:is>
      </x:c>
      <x:c r="I2768" s="2" t="inlineStr">
        <x:is>
          <x:t xml:space="preserve">2007-12-26</x:t>
        </x:is>
      </x:c>
      <x:c r="J2768" s="3" t="inlineStr">
        <x:is>
          <x:t xml:space="preserve">江苏省如皋市中山东路1号</x:t>
        </x:is>
      </x:c>
      <x:c r="K2768" s="12" t="str">
        <x:f>LEFT("91320600711592743W",18)</x:f>
        <x:v>91320600711592743W</x:v>
      </x:c>
    </x:row>
    <x:row r="2769">
      <x:c r="A2769" s="4" t="n">
        <x:v>2768</x:v>
      </x:c>
      <x:c r="B2769" s="4" t="inlineStr">
        <x:is>
          <x:t xml:space="preserve">002221</x:t>
        </x:is>
      </x:c>
      <x:c r="C2769" s="5" t="inlineStr">
        <x:is>
          <x:t xml:space="preserve">东华能源</x:t>
        </x:is>
      </x:c>
      <x:c r="D2769" s="5" t="inlineStr">
        <x:is>
          <x:t xml:space="preserve">东华能源股份有限公司</x:t>
        </x:is>
      </x:c>
      <x:c r="E2769" s="4" t="inlineStr">
        <x:is>
          <x:t xml:space="preserve">江苏省</x:t>
        </x:is>
      </x:c>
      <x:c r="F2769" s="4" t="inlineStr">
        <x:is>
          <x:t xml:space="preserve">苏州市</x:t>
        </x:is>
      </x:c>
      <x:c r="G2769" s="5" t="inlineStr">
        <x:is>
          <x:t xml:space="preserve">江苏省-苏州市</x:t>
        </x:is>
      </x:c>
      <x:c r="H2769" s="4" t="inlineStr">
        <x:is>
          <x:t xml:space="preserve">石油行业</x:t>
        </x:is>
      </x:c>
      <x:c r="I2769" s="4" t="inlineStr">
        <x:is>
          <x:t xml:space="preserve">2008-03-06</x:t>
        </x:is>
      </x:c>
      <x:c r="J2769" s="5" t="inlineStr">
        <x:is>
          <x:t xml:space="preserve">张家港保税区金港路8号石化交易大厦1716-2室</x:t>
        </x:is>
      </x:c>
      <x:c r="K2769" s="12" t="str">
        <x:f>LEFT("913200006082630012",18)</x:f>
        <x:v>913200006082630000</x:v>
      </x:c>
    </x:row>
    <x:row r="2770">
      <x:c r="A2770" s="2" t="n">
        <x:v>2769</x:v>
      </x:c>
      <x:c r="B2770" s="2" t="inlineStr">
        <x:is>
          <x:t xml:space="preserve">002223</x:t>
        </x:is>
      </x:c>
      <x:c r="C2770" s="3" t="inlineStr">
        <x:is>
          <x:t xml:space="preserve">鱼跃医疗</x:t>
        </x:is>
      </x:c>
      <x:c r="D2770" s="3" t="inlineStr">
        <x:is>
          <x:t xml:space="preserve">江苏鱼跃医疗设备股份有限公司</x:t>
        </x:is>
      </x:c>
      <x:c r="E2770" s="2" t="inlineStr">
        <x:is>
          <x:t xml:space="preserve">江苏省</x:t>
        </x:is>
      </x:c>
      <x:c r="F2770" s="2" t="inlineStr">
        <x:is>
          <x:t xml:space="preserve">苏省丹阳市</x:t>
        </x:is>
      </x:c>
      <x:c r="G2770" s="3" t="inlineStr">
        <x:is>
          <x:t xml:space="preserve">江苏省-苏省丹阳市</x:t>
        </x:is>
      </x:c>
      <x:c r="H2770" s="2" t="inlineStr">
        <x:is>
          <x:t xml:space="preserve">医疗器械</x:t>
        </x:is>
      </x:c>
      <x:c r="I2770" s="2" t="inlineStr">
        <x:is>
          <x:t xml:space="preserve">2008-04-18</x:t>
        </x:is>
      </x:c>
      <x:c r="J2770" s="3" t="inlineStr">
        <x:is>
          <x:t xml:space="preserve">江苏省丹阳市开发区百胜路1号</x:t>
        </x:is>
      </x:c>
      <x:c r="K2770" s="12" t="str">
        <x:f>LEFT("91321100703952657W",18)</x:f>
        <x:v>91321100703952657W</x:v>
      </x:c>
    </x:row>
    <x:row r="2771">
      <x:c r="A2771" s="4" t="n">
        <x:v>2770</x:v>
      </x:c>
      <x:c r="B2771" s="4" t="inlineStr">
        <x:is>
          <x:t xml:space="preserve">002239</x:t>
        </x:is>
      </x:c>
      <x:c r="C2771" s="5" t="inlineStr">
        <x:is>
          <x:t xml:space="preserve">奥特佳</x:t>
        </x:is>
      </x:c>
      <x:c r="D2771" s="5" t="inlineStr">
        <x:is>
          <x:t xml:space="preserve">奥特佳新能源科技集团股份有限公司</x:t>
        </x:is>
      </x:c>
      <x:c r="E2771" s="4" t="inlineStr">
        <x:is>
          <x:t xml:space="preserve">江苏省</x:t>
        </x:is>
      </x:c>
      <x:c r="F2771" s="4" t="inlineStr">
        <x:is>
          <x:t xml:space="preserve">南通市</x:t>
        </x:is>
      </x:c>
      <x:c r="G2771" s="5" t="inlineStr">
        <x:is>
          <x:t xml:space="preserve">江苏省-南通市</x:t>
        </x:is>
      </x:c>
      <x:c r="H2771" s="4" t="inlineStr">
        <x:is>
          <x:t xml:space="preserve">汽车行业</x:t>
        </x:is>
      </x:c>
      <x:c r="I2771" s="4" t="inlineStr">
        <x:is>
          <x:t xml:space="preserve">2008-05-22</x:t>
        </x:is>
      </x:c>
      <x:c r="J2771" s="5" t="inlineStr">
        <x:is>
          <x:t xml:space="preserve">江苏省南通高新技术产业开发区文昌路666号</x:t>
        </x:is>
      </x:c>
      <x:c r="K2771" s="12" t="str">
        <x:f>LEFT("913206007370999222",18)</x:f>
        <x:v>913206007370999200</x:v>
      </x:c>
    </x:row>
    <x:row r="2772">
      <x:c r="A2772" s="2" t="n">
        <x:v>2771</x:v>
      </x:c>
      <x:c r="B2772" s="2" t="inlineStr">
        <x:is>
          <x:t xml:space="preserve">002245</x:t>
        </x:is>
      </x:c>
      <x:c r="C2772" s="3" t="inlineStr">
        <x:is>
          <x:t xml:space="preserve">蔚蓝锂芯</x:t>
        </x:is>
      </x:c>
      <x:c r="D2772" s="3" t="inlineStr">
        <x:is>
          <x:t xml:space="preserve">江苏蔚蓝锂芯集团股份有限公司</x:t>
        </x:is>
      </x:c>
      <x:c r="E2772" s="2" t="inlineStr">
        <x:is>
          <x:t xml:space="preserve">江苏省</x:t>
        </x:is>
      </x:c>
      <x:c r="F2772" s="2" t="inlineStr">
        <x:is>
          <x:t xml:space="preserve">省张家港市</x:t>
        </x:is>
      </x:c>
      <x:c r="G2772" s="3" t="inlineStr">
        <x:is>
          <x:t xml:space="preserve">江苏省-省张家港市</x:t>
        </x:is>
      </x:c>
      <x:c r="H2772" s="2" t="inlineStr">
        <x:is>
          <x:t xml:space="preserve">电池</x:t>
        </x:is>
      </x:c>
      <x:c r="I2772" s="2" t="inlineStr">
        <x:is>
          <x:t xml:space="preserve">2008-06-05</x:t>
        </x:is>
      </x:c>
      <x:c r="J2772" s="3" t="inlineStr">
        <x:is>
          <x:t xml:space="preserve">江苏省张家港市杨舍镇新泾中路10号</x:t>
        </x:is>
      </x:c>
      <x:c r="K2772" s="12" t="str">
        <x:f>LEFT("91320500743109453W",18)</x:f>
        <x:v>91320500743109453W</x:v>
      </x:c>
    </x:row>
    <x:row r="2773">
      <x:c r="A2773" s="4" t="n">
        <x:v>2772</x:v>
      </x:c>
      <x:c r="B2773" s="4" t="inlineStr">
        <x:is>
          <x:t xml:space="preserve">002255</x:t>
        </x:is>
      </x:c>
      <x:c r="C2773" s="5" t="inlineStr">
        <x:is>
          <x:t xml:space="preserve">海陆重工</x:t>
        </x:is>
      </x:c>
      <x:c r="D2773" s="5" t="inlineStr">
        <x:is>
          <x:t xml:space="preserve">苏州海陆重工股份有限公司</x:t>
        </x:is>
      </x:c>
      <x:c r="E2773" s="4" t="inlineStr">
        <x:is>
          <x:t xml:space="preserve">江苏省</x:t>
        </x:is>
      </x:c>
      <x:c r="F2773" s="4" t="inlineStr">
        <x:is>
          <x:t xml:space="preserve">张家港市</x:t>
        </x:is>
      </x:c>
      <x:c r="G2773" s="5" t="inlineStr">
        <x:is>
          <x:t xml:space="preserve">江苏省-张家港市</x:t>
        </x:is>
      </x:c>
      <x:c r="H2773" s="4" t="inlineStr">
        <x:is>
          <x:t xml:space="preserve">电源设备</x:t>
        </x:is>
      </x:c>
      <x:c r="I2773" s="4" t="inlineStr">
        <x:is>
          <x:t xml:space="preserve">2008-06-25</x:t>
        </x:is>
      </x:c>
      <x:c r="J2773" s="5" t="inlineStr">
        <x:is>
          <x:t xml:space="preserve">张家港市东南大道1号(张家港经济技术开发区)</x:t>
        </x:is>
      </x:c>
      <x:c r="K2773" s="12" t="str">
        <x:f>LEFT("913205007185431004",18)</x:f>
        <x:v>913205007185431000</x:v>
      </x:c>
    </x:row>
    <x:row r="2774">
      <x:c r="A2774" s="2" t="n">
        <x:v>2773</x:v>
      </x:c>
      <x:c r="B2774" s="2" t="inlineStr">
        <x:is>
          <x:t xml:space="preserve">002262</x:t>
        </x:is>
      </x:c>
      <x:c r="C2774" s="3" t="inlineStr">
        <x:is>
          <x:t xml:space="preserve">恩华药业</x:t>
        </x:is>
      </x:c>
      <x:c r="D2774" s="3" t="inlineStr">
        <x:is>
          <x:t xml:space="preserve">江苏恩华药业股份有限公司</x:t>
        </x:is>
      </x:c>
      <x:c r="E2774" s="2" t="inlineStr">
        <x:is>
          <x:t xml:space="preserve">江苏省</x:t>
        </x:is>
      </x:c>
      <x:c r="F2774" s="2" t="inlineStr">
        <x:is>
          <x:t xml:space="preserve">徐州市</x:t>
        </x:is>
      </x:c>
      <x:c r="G2774" s="3" t="inlineStr">
        <x:is>
          <x:t xml:space="preserve">江苏省-徐州市</x:t>
        </x:is>
      </x:c>
      <x:c r="H2774" s="2" t="inlineStr">
        <x:is>
          <x:t xml:space="preserve">医药制造</x:t>
        </x:is>
      </x:c>
      <x:c r="I2774" s="2" t="inlineStr">
        <x:is>
          <x:t xml:space="preserve">2008-07-23</x:t>
        </x:is>
      </x:c>
      <x:c r="J2774" s="3" t="inlineStr">
        <x:is>
          <x:t xml:space="preserve">徐州经济技术开发区杨山路18号</x:t>
        </x:is>
      </x:c>
      <x:c r="K2774" s="12" t="str">
        <x:f>LEFT("913203001363846728",18)</x:f>
        <x:v>913203001363846800</x:v>
      </x:c>
    </x:row>
    <x:row r="2775">
      <x:c r="A2775" s="4" t="n">
        <x:v>2774</x:v>
      </x:c>
      <x:c r="B2775" s="4" t="inlineStr">
        <x:is>
          <x:t xml:space="preserve">002274</x:t>
        </x:is>
      </x:c>
      <x:c r="C2775" s="5" t="inlineStr">
        <x:is>
          <x:t xml:space="preserve">华昌化工</x:t>
        </x:is>
      </x:c>
      <x:c r="D2775" s="5" t="inlineStr">
        <x:is>
          <x:t xml:space="preserve">江苏华昌化工股份有限公司</x:t>
        </x:is>
      </x:c>
      <x:c r="E2775" s="4" t="inlineStr">
        <x:is>
          <x:t xml:space="preserve">江苏省</x:t>
        </x:is>
      </x:c>
      <x:c r="F2775" s="4" t="inlineStr">
        <x:is>
          <x:t xml:space="preserve">张家港市</x:t>
        </x:is>
      </x:c>
      <x:c r="G2775" s="5" t="inlineStr">
        <x:is>
          <x:t xml:space="preserve">江苏省-张家港市</x:t>
        </x:is>
      </x:c>
      <x:c r="H2775" s="4" t="inlineStr">
        <x:is>
          <x:t xml:space="preserve">化肥行业</x:t>
        </x:is>
      </x:c>
      <x:c r="I2775" s="4" t="inlineStr">
        <x:is>
          <x:t xml:space="preserve">2008-09-25</x:t>
        </x:is>
      </x:c>
      <x:c r="J2775" s="5" t="inlineStr">
        <x:is>
          <x:t xml:space="preserve">张家港市金港镇保税区扬子江国际化学工业园南海路1号</x:t>
        </x:is>
      </x:c>
      <x:c r="K2775" s="12" t="str">
        <x:f>LEFT("91320500758983274Y",18)</x:f>
        <x:v>91320500758983274Y</x:v>
      </x:c>
    </x:row>
    <x:row r="2776">
      <x:c r="A2776" s="2" t="n">
        <x:v>2775</x:v>
      </x:c>
      <x:c r="B2776" s="2" t="inlineStr">
        <x:is>
          <x:t xml:space="preserve">002290</x:t>
        </x:is>
      </x:c>
      <x:c r="C2776" s="3" t="inlineStr">
        <x:is>
          <x:t xml:space="preserve">禾盛新材</x:t>
        </x:is>
      </x:c>
      <x:c r="D2776" s="3" t="inlineStr">
        <x:is>
          <x:t xml:space="preserve">苏州禾盛新型材料股份有限公司</x:t>
        </x:is>
      </x:c>
      <x:c r="E2776" s="2" t="inlineStr">
        <x:is>
          <x:t xml:space="preserve">江苏省</x:t>
        </x:is>
      </x:c>
      <x:c r="F2776" s="2" t="inlineStr">
        <x:is>
          <x:t xml:space="preserve">苏州市</x:t>
        </x:is>
      </x:c>
      <x:c r="G2776" s="3" t="inlineStr">
        <x:is>
          <x:t xml:space="preserve">江苏省-苏州市</x:t>
        </x:is>
      </x:c>
      <x:c r="H2776" s="2" t="inlineStr">
        <x:is>
          <x:t xml:space="preserve">家电行业</x:t>
        </x:is>
      </x:c>
      <x:c r="I2776" s="2" t="inlineStr">
        <x:is>
          <x:t xml:space="preserve">2009-09-03</x:t>
        </x:is>
      </x:c>
      <x:c r="J2776" s="3" t="inlineStr">
        <x:is>
          <x:t xml:space="preserve">苏州工业园区旺墩路135号融盛商务中心1幢2408室</x:t>
        </x:is>
      </x:c>
      <x:c r="K2776" s="12" t="str">
        <x:f>LEFT("91320000743904529Q",18)</x:f>
        <x:v>91320000743904529Q</x:v>
      </x:c>
    </x:row>
    <x:row r="2777">
      <x:c r="A2777" s="4" t="n">
        <x:v>2776</x:v>
      </x:c>
      <x:c r="B2777" s="4" t="inlineStr">
        <x:is>
          <x:t xml:space="preserve">002293</x:t>
        </x:is>
      </x:c>
      <x:c r="C2777" s="5" t="inlineStr">
        <x:is>
          <x:t xml:space="preserve">罗莱生活</x:t>
        </x:is>
      </x:c>
      <x:c r="D2777" s="5" t="inlineStr">
        <x:is>
          <x:t xml:space="preserve">罗莱生活科技股份有限公司</x:t>
        </x:is>
      </x:c>
      <x:c r="E2777" s="4" t="inlineStr">
        <x:is>
          <x:t xml:space="preserve">江苏省</x:t>
        </x:is>
      </x:c>
      <x:c r="F2777" s="4" t="inlineStr">
        <x:is>
          <x:t xml:space="preserve">南通市</x:t>
        </x:is>
      </x:c>
      <x:c r="G2777" s="5" t="inlineStr">
        <x:is>
          <x:t xml:space="preserve">江苏省-南通市</x:t>
        </x:is>
      </x:c>
      <x:c r="H2777" s="4" t="inlineStr">
        <x:is>
          <x:t xml:space="preserve">纺织服装</x:t>
        </x:is>
      </x:c>
      <x:c r="I2777" s="4" t="inlineStr">
        <x:is>
          <x:t xml:space="preserve">2009-09-10</x:t>
        </x:is>
      </x:c>
      <x:c r="J2777" s="5" t="inlineStr">
        <x:is>
          <x:t xml:space="preserve">江苏省南通经济技术开发区星湖大道1699号</x:t>
        </x:is>
      </x:c>
      <x:c r="K2777" s="12" t="str">
        <x:f>LEFT("913206007382887412",18)</x:f>
        <x:v>913206007382887400</x:v>
      </x:c>
    </x:row>
    <x:row r="2778">
      <x:c r="A2778" s="2" t="n">
        <x:v>2777</x:v>
      </x:c>
      <x:c r="B2778" s="2" t="inlineStr">
        <x:is>
          <x:t xml:space="preserve">002304</x:t>
        </x:is>
      </x:c>
      <x:c r="C2778" s="3" t="inlineStr">
        <x:is>
          <x:t xml:space="preserve">洋河股份</x:t>
        </x:is>
      </x:c>
      <x:c r="D2778" s="3" t="inlineStr">
        <x:is>
          <x:t xml:space="preserve">江苏洋河酒厂股份有限公司</x:t>
        </x:is>
      </x:c>
      <x:c r="E2778" s="2" t="inlineStr">
        <x:is>
          <x:t xml:space="preserve">江苏省</x:t>
        </x:is>
      </x:c>
      <x:c r="F2778" s="2" t="inlineStr">
        <x:is>
          <x:t xml:space="preserve">宿迁市</x:t>
        </x:is>
      </x:c>
      <x:c r="G2778" s="3" t="inlineStr">
        <x:is>
          <x:t xml:space="preserve">江苏省-宿迁市</x:t>
        </x:is>
      </x:c>
      <x:c r="H2778" s="2" t="inlineStr">
        <x:is>
          <x:t xml:space="preserve">酿酒行业</x:t>
        </x:is>
      </x:c>
      <x:c r="I2778" s="2" t="inlineStr">
        <x:is>
          <x:t xml:space="preserve">2009-11-06</x:t>
        </x:is>
      </x:c>
      <x:c r="J2778" s="3" t="inlineStr">
        <x:is>
          <x:t xml:space="preserve">江苏省宿迁市洋河中大街118号</x:t>
        </x:is>
      </x:c>
      <x:c r="K2778" s="12" t="str">
        <x:f>LEFT("9132000074557990XP",18)</x:f>
        <x:v>9132000074557990XP</x:v>
      </x:c>
    </x:row>
    <x:row r="2779">
      <x:c r="A2779" s="4" t="n">
        <x:v>2778</x:v>
      </x:c>
      <x:c r="B2779" s="4" t="inlineStr">
        <x:is>
          <x:t xml:space="preserve">002309</x:t>
        </x:is>
      </x:c>
      <x:c r="C2779" s="5" t="inlineStr">
        <x:is>
          <x:t xml:space="preserve">中利集团</x:t>
        </x:is>
      </x:c>
      <x:c r="D2779" s="5" t="inlineStr">
        <x:is>
          <x:t xml:space="preserve">江苏中利集团股份有限公司</x:t>
        </x:is>
      </x:c>
      <x:c r="E2779" s="4" t="inlineStr">
        <x:is>
          <x:t xml:space="preserve">江苏省</x:t>
        </x:is>
      </x:c>
      <x:c r="F2779" s="4" t="inlineStr">
        <x:is>
          <x:t xml:space="preserve">苏省常熟市</x:t>
        </x:is>
      </x:c>
      <x:c r="G2779" s="5" t="inlineStr">
        <x:is>
          <x:t xml:space="preserve">江苏省-苏省常熟市</x:t>
        </x:is>
      </x:c>
      <x:c r="H2779" s="4" t="inlineStr">
        <x:is>
          <x:t xml:space="preserve">光伏设备</x:t>
        </x:is>
      </x:c>
      <x:c r="I2779" s="4" t="inlineStr">
        <x:is>
          <x:t xml:space="preserve">2009-11-27</x:t>
        </x:is>
      </x:c>
      <x:c r="J2779" s="5" t="inlineStr">
        <x:is>
          <x:t xml:space="preserve">江苏省常熟市东南经济开发区</x:t>
        </x:is>
      </x:c>
      <x:c r="K2779" s="12" t="str">
        <x:f>LEFT("913205007317618904",18)</x:f>
        <x:v>913205007317619000</x:v>
      </x:c>
    </x:row>
    <x:row r="2780">
      <x:c r="A2780" s="2" t="n">
        <x:v>2779</x:v>
      </x:c>
      <x:c r="B2780" s="2" t="inlineStr">
        <x:is>
          <x:t xml:space="preserve">002315</x:t>
        </x:is>
      </x:c>
      <x:c r="C2780" s="3" t="inlineStr">
        <x:is>
          <x:t xml:space="preserve">焦点科技</x:t>
        </x:is>
      </x:c>
      <x:c r="D2780" s="3" t="inlineStr">
        <x:is>
          <x:t xml:space="preserve">焦点科技股份有限公司</x:t>
        </x:is>
      </x:c>
      <x:c r="E2780" s="2" t="inlineStr">
        <x:is>
          <x:t xml:space="preserve">江苏省</x:t>
        </x:is>
      </x:c>
      <x:c r="F2780" s="2" t="inlineStr">
        <x:is>
          <x:t xml:space="preserve">南京市</x:t>
        </x:is>
      </x:c>
      <x:c r="G2780" s="3" t="inlineStr">
        <x:is>
          <x:t xml:space="preserve">江苏省-南京市</x:t>
        </x:is>
      </x:c>
      <x:c r="H2780" s="2" t="inlineStr">
        <x:is>
          <x:t xml:space="preserve">电子信息</x:t>
        </x:is>
      </x:c>
      <x:c r="I2780" s="2" t="inlineStr">
        <x:is>
          <x:t xml:space="preserve">2009-12-09</x:t>
        </x:is>
      </x:c>
      <x:c r="J2780" s="3" t="inlineStr">
        <x:is>
          <x:t xml:space="preserve">南京市江北新区丽景路7号</x:t>
        </x:is>
      </x:c>
      <x:c r="K2780" s="12" t="str">
        <x:f>LEFT("91320191250002463L",18)</x:f>
        <x:v>91320191250002463L</x:v>
      </x:c>
    </x:row>
    <x:row r="2781">
      <x:c r="A2781" s="4" t="n">
        <x:v>2780</x:v>
      </x:c>
      <x:c r="B2781" s="4" t="inlineStr">
        <x:is>
          <x:t xml:space="preserve">002333</x:t>
        </x:is>
      </x:c>
      <x:c r="C2781" s="5" t="inlineStr">
        <x:is>
          <x:t xml:space="preserve">罗普斯金</x:t>
        </x:is>
      </x:c>
      <x:c r="D2781" s="5" t="inlineStr">
        <x:is>
          <x:t xml:space="preserve">中亿丰罗普斯金材料科技股份有限公司</x:t>
        </x:is>
      </x:c>
      <x:c r="E2781" s="4" t="inlineStr">
        <x:is>
          <x:t xml:space="preserve">江苏省</x:t>
        </x:is>
      </x:c>
      <x:c r="F2781" s="4" t="inlineStr">
        <x:is>
          <x:t xml:space="preserve">苏州市</x:t>
        </x:is>
      </x:c>
      <x:c r="G2781" s="5" t="inlineStr">
        <x:is>
          <x:t xml:space="preserve">江苏省-苏州市</x:t>
        </x:is>
      </x:c>
      <x:c r="H2781" s="4" t="inlineStr">
        <x:is>
          <x:t xml:space="preserve">装修建材</x:t>
        </x:is>
      </x:c>
      <x:c r="I2781" s="4" t="inlineStr">
        <x:is>
          <x:t xml:space="preserve">2010-01-12</x:t>
        </x:is>
      </x:c>
      <x:c r="J2781" s="5" t="inlineStr">
        <x:is>
          <x:t xml:space="preserve">苏州市相城区黄埭镇潘阳工业园太东路2777号</x:t>
        </x:is>
      </x:c>
      <x:c r="K2781" s="12" t="str">
        <x:f>LEFT("913205006082844193",18)</x:f>
        <x:v>913205006082844200</x:v>
      </x:c>
    </x:row>
    <x:row r="2782">
      <x:c r="A2782" s="2" t="n">
        <x:v>2781</x:v>
      </x:c>
      <x:c r="B2782" s="2" t="inlineStr">
        <x:is>
          <x:t xml:space="preserve">002349</x:t>
        </x:is>
      </x:c>
      <x:c r="C2782" s="3" t="inlineStr">
        <x:is>
          <x:t xml:space="preserve">精华制药</x:t>
        </x:is>
      </x:c>
      <x:c r="D2782" s="3" t="inlineStr">
        <x:is>
          <x:t xml:space="preserve">精华制药集团股份有限公司</x:t>
        </x:is>
      </x:c>
      <x:c r="E2782" s="2" t="inlineStr">
        <x:is>
          <x:t xml:space="preserve">江苏省</x:t>
        </x:is>
      </x:c>
      <x:c r="F2782" s="2" t="inlineStr">
        <x:is>
          <x:t xml:space="preserve">南通市</x:t>
        </x:is>
      </x:c>
      <x:c r="G2782" s="3" t="inlineStr">
        <x:is>
          <x:t xml:space="preserve">江苏省-南通市</x:t>
        </x:is>
      </x:c>
      <x:c r="H2782" s="2" t="inlineStr">
        <x:is>
          <x:t xml:space="preserve">中药</x:t>
        </x:is>
      </x:c>
      <x:c r="I2782" s="2" t="inlineStr">
        <x:is>
          <x:t xml:space="preserve">2010-02-03</x:t>
        </x:is>
      </x:c>
      <x:c r="J2782" s="3" t="inlineStr">
        <x:is>
          <x:t xml:space="preserve">南通市港闸经济开发区兴泰路9号</x:t>
        </x:is>
      </x:c>
      <x:c r="K2782" s="12" t="str">
        <x:f>LEFT("91320600138297660P",18)</x:f>
        <x:v>91320600138297660P</x:v>
      </x:c>
    </x:row>
    <x:row r="2783">
      <x:c r="A2783" s="4" t="n">
        <x:v>2782</x:v>
      </x:c>
      <x:c r="B2783" s="4" t="inlineStr">
        <x:is>
          <x:t xml:space="preserve">002367</x:t>
        </x:is>
      </x:c>
      <x:c r="C2783" s="5" t="inlineStr">
        <x:is>
          <x:t xml:space="preserve">康力电梯</x:t>
        </x:is>
      </x:c>
      <x:c r="D2783" s="5" t="inlineStr">
        <x:is>
          <x:t xml:space="preserve">康力电梯股份有限公司</x:t>
        </x:is>
      </x:c>
      <x:c r="E2783" s="4" t="inlineStr">
        <x:is>
          <x:t xml:space="preserve">江苏省</x:t>
        </x:is>
      </x:c>
      <x:c r="F2783" s="4" t="inlineStr">
        <x:is>
          <x:t xml:space="preserve">苏州市</x:t>
        </x:is>
      </x:c>
      <x:c r="G2783" s="5" t="inlineStr">
        <x:is>
          <x:t xml:space="preserve">江苏省-苏州市</x:t>
        </x:is>
      </x:c>
      <x:c r="H2783" s="4" t="inlineStr">
        <x:is>
          <x:t xml:space="preserve">专用设备</x:t>
        </x:is>
      </x:c>
      <x:c r="I2783" s="4" t="inlineStr">
        <x:is>
          <x:t xml:space="preserve">2010-03-12</x:t>
        </x:is>
      </x:c>
      <x:c r="J2783" s="5" t="inlineStr">
        <x:is>
          <x:t xml:space="preserve">江苏省汾湖高新技术产业开发区康力大道888号</x:t>
        </x:is>
      </x:c>
      <x:c r="K2783" s="12" t="str">
        <x:f>LEFT("91320500724190073Y",18)</x:f>
        <x:v>91320500724190073Y</x:v>
      </x:c>
    </x:row>
    <x:row r="2784">
      <x:c r="A2784" s="2" t="n">
        <x:v>2783</x:v>
      </x:c>
      <x:c r="B2784" s="2" t="inlineStr">
        <x:is>
          <x:t xml:space="preserve">002380</x:t>
        </x:is>
      </x:c>
      <x:c r="C2784" s="3" t="inlineStr">
        <x:is>
          <x:t xml:space="preserve">科远智慧</x:t>
        </x:is>
      </x:c>
      <x:c r="D2784" s="3" t="inlineStr">
        <x:is>
          <x:t xml:space="preserve">南京科远智慧科技集团股份有限公司</x:t>
        </x:is>
      </x:c>
      <x:c r="E2784" s="2" t="inlineStr">
        <x:is>
          <x:t xml:space="preserve">江苏省</x:t>
        </x:is>
      </x:c>
      <x:c r="F2784" s="2" t="inlineStr">
        <x:is>
          <x:t xml:space="preserve">南京市</x:t>
        </x:is>
      </x:c>
      <x:c r="G2784" s="3" t="inlineStr">
        <x:is>
          <x:t xml:space="preserve">江苏省-南京市</x:t>
        </x:is>
      </x:c>
      <x:c r="H2784" s="2" t="inlineStr">
        <x:is>
          <x:t xml:space="preserve">电子信息</x:t>
        </x:is>
      </x:c>
      <x:c r="I2784" s="2" t="inlineStr">
        <x:is>
          <x:t xml:space="preserve">2010-03-31</x:t>
        </x:is>
      </x:c>
      <x:c r="J2784" s="3" t="inlineStr">
        <x:is>
          <x:t xml:space="preserve">南京市江宁区秣陵街道清水亭东路1266号</x:t>
        </x:is>
      </x:c>
      <x:c r="K2784" s="12" t="str">
        <x:f>LEFT("91320100249800142G",18)</x:f>
        <x:v>91320100249800142G</x:v>
      </x:c>
    </x:row>
    <x:row r="2785">
      <x:c r="A2785" s="4" t="n">
        <x:v>2784</x:v>
      </x:c>
      <x:c r="B2785" s="4" t="inlineStr">
        <x:is>
          <x:t xml:space="preserve">002384</x:t>
        </x:is>
      </x:c>
      <x:c r="C2785" s="5" t="inlineStr">
        <x:is>
          <x:t xml:space="preserve">东山精密</x:t>
        </x:is>
      </x:c>
      <x:c r="D2785" s="5" t="inlineStr">
        <x:is>
          <x:t xml:space="preserve">苏州东山精密制造股份有限公司</x:t>
        </x:is>
      </x:c>
      <x:c r="E2785" s="4" t="inlineStr">
        <x:is>
          <x:t xml:space="preserve">江苏省</x:t>
        </x:is>
      </x:c>
      <x:c r="F2785" s="4" t="inlineStr">
        <x:is>
          <x:t xml:space="preserve">苏州市</x:t>
        </x:is>
      </x:c>
      <x:c r="G2785" s="5" t="inlineStr">
        <x:is>
          <x:t xml:space="preserve">江苏省-苏州市</x:t>
        </x:is>
      </x:c>
      <x:c r="H2785" s="4" t="inlineStr">
        <x:is>
          <x:t xml:space="preserve">电子元件</x:t>
        </x:is>
      </x:c>
      <x:c r="I2785" s="4" t="inlineStr">
        <x:is>
          <x:t xml:space="preserve">2010-04-09</x:t>
        </x:is>
      </x:c>
      <x:c r="J2785" s="5" t="inlineStr">
        <x:is>
          <x:t xml:space="preserve">苏州吴中经济开发区善丰路288号</x:t>
        </x:is>
      </x:c>
      <x:c r="K2785" s="12" t="str">
        <x:f>LEFT("91320500703719732P",18)</x:f>
        <x:v>91320500703719732P</x:v>
      </x:c>
    </x:row>
    <x:row r="2786">
      <x:c r="A2786" s="2" t="n">
        <x:v>2785</x:v>
      </x:c>
      <x:c r="B2786" s="2" t="inlineStr">
        <x:is>
          <x:t xml:space="preserve">002387</x:t>
        </x:is>
      </x:c>
      <x:c r="C2786" s="3" t="inlineStr">
        <x:is>
          <x:t xml:space="preserve">维信诺</x:t>
        </x:is>
      </x:c>
      <x:c r="D2786" s="3" t="inlineStr">
        <x:is>
          <x:t xml:space="preserve">维信诺科技股份有限公司</x:t>
        </x:is>
      </x:c>
      <x:c r="E2786" s="2" t="inlineStr">
        <x:is>
          <x:t xml:space="preserve">江苏省</x:t>
        </x:is>
      </x:c>
      <x:c r="F2786" s="2" t="inlineStr">
        <x:is>
          <x:t xml:space="preserve">苏州市</x:t>
        </x:is>
      </x:c>
      <x:c r="G2786" s="3" t="inlineStr">
        <x:is>
          <x:t xml:space="preserve">江苏省-苏州市</x:t>
        </x:is>
      </x:c>
      <x:c r="H2786" s="2" t="inlineStr">
        <x:is>
          <x:t xml:space="preserve">光学光电子</x:t>
        </x:is>
      </x:c>
      <x:c r="I2786" s="2" t="inlineStr">
        <x:is>
          <x:t xml:space="preserve">2010-04-13</x:t>
        </x:is>
      </x:c>
      <x:c r="J2786" s="3" t="inlineStr">
        <x:is>
          <x:t xml:space="preserve">昆山开发区夏东街658号1801室</x:t>
        </x:is>
      </x:c>
      <x:c r="K2786" s="12" t="str">
        <x:f>LEFT("914405007254810917",18)</x:f>
        <x:v>914405007254810900</x:v>
      </x:c>
    </x:row>
    <x:row r="2787">
      <x:c r="A2787" s="4" t="n">
        <x:v>2786</x:v>
      </x:c>
      <x:c r="B2787" s="4" t="inlineStr">
        <x:is>
          <x:t xml:space="preserve">002391</x:t>
        </x:is>
      </x:c>
      <x:c r="C2787" s="5" t="inlineStr">
        <x:is>
          <x:t xml:space="preserve">长青股份</x:t>
        </x:is>
      </x:c>
      <x:c r="D2787" s="5" t="inlineStr">
        <x:is>
          <x:t xml:space="preserve">江苏长青农化股份有限公司</x:t>
        </x:is>
      </x:c>
      <x:c r="E2787" s="4" t="inlineStr">
        <x:is>
          <x:t xml:space="preserve">江苏省</x:t>
        </x:is>
      </x:c>
      <x:c r="F2787" s="4" t="inlineStr">
        <x:is>
          <x:t xml:space="preserve">扬州市</x:t>
        </x:is>
      </x:c>
      <x:c r="G2787" s="5" t="inlineStr">
        <x:is>
          <x:t xml:space="preserve">江苏省-扬州市</x:t>
        </x:is>
      </x:c>
      <x:c r="H2787" s="4" t="inlineStr">
        <x:is>
          <x:t xml:space="preserve">农药兽药</x:t>
        </x:is>
      </x:c>
      <x:c r="I2787" s="4" t="inlineStr">
        <x:is>
          <x:t xml:space="preserve">2010-04-16</x:t>
        </x:is>
      </x:c>
      <x:c r="J2787" s="5" t="inlineStr">
        <x:is>
          <x:t xml:space="preserve">扬州市江都经济开发区三江大道8号</x:t>
        </x:is>
      </x:c>
      <x:c r="K2787" s="12" t="str">
        <x:f>LEFT("913210007205846147",18)</x:f>
        <x:v>913210007205846100</x:v>
      </x:c>
    </x:row>
    <x:row r="2788">
      <x:c r="A2788" s="2" t="n">
        <x:v>2787</x:v>
      </x:c>
      <x:c r="B2788" s="2" t="inlineStr">
        <x:is>
          <x:t xml:space="preserve">002394</x:t>
        </x:is>
      </x:c>
      <x:c r="C2788" s="3" t="inlineStr">
        <x:is>
          <x:t xml:space="preserve">联发股份</x:t>
        </x:is>
      </x:c>
      <x:c r="D2788" s="3" t="inlineStr">
        <x:is>
          <x:t xml:space="preserve">江苏联发纺织股份有限公司</x:t>
        </x:is>
      </x:c>
      <x:c r="E2788" s="2" t="inlineStr">
        <x:is>
          <x:t xml:space="preserve">江苏省</x:t>
        </x:is>
      </x:c>
      <x:c r="F2788" s="2" t="inlineStr">
        <x:is>
          <x:t xml:space="preserve">南通市</x:t>
        </x:is>
      </x:c>
      <x:c r="G2788" s="3" t="inlineStr">
        <x:is>
          <x:t xml:space="preserve">江苏省-南通市</x:t>
        </x:is>
      </x:c>
      <x:c r="H2788" s="2" t="inlineStr">
        <x:is>
          <x:t xml:space="preserve">纺织服装</x:t>
        </x:is>
      </x:c>
      <x:c r="I2788" s="2" t="inlineStr">
        <x:is>
          <x:t xml:space="preserve">2010-04-23</x:t>
        </x:is>
      </x:c>
      <x:c r="J2788" s="3" t="inlineStr">
        <x:is>
          <x:t xml:space="preserve">江苏省南通市海安市城东镇恒联路88号</x:t>
        </x:is>
      </x:c>
      <x:c r="K2788" s="12" t="str">
        <x:f>LEFT("913206007431271330",18)</x:f>
        <x:v>913206007431271300</x:v>
      </x:c>
    </x:row>
    <x:row r="2789">
      <x:c r="A2789" s="4" t="n">
        <x:v>2788</x:v>
      </x:c>
      <x:c r="B2789" s="4" t="inlineStr">
        <x:is>
          <x:t xml:space="preserve">002395</x:t>
        </x:is>
      </x:c>
      <x:c r="C2789" s="5" t="inlineStr">
        <x:is>
          <x:t xml:space="preserve">双象股份</x:t>
        </x:is>
      </x:c>
      <x:c r="D2789" s="5" t="inlineStr">
        <x:is>
          <x:t xml:space="preserve">无锡双象超纤材料股份有限公司</x:t>
        </x:is>
      </x:c>
      <x:c r="E2789" s="4" t="inlineStr">
        <x:is>
          <x:t xml:space="preserve">江苏省</x:t>
        </x:is>
      </x:c>
      <x:c r="F2789" s="4" t="inlineStr">
        <x:is>
          <x:t xml:space="preserve">无锡市</x:t>
        </x:is>
      </x:c>
      <x:c r="G2789" s="5" t="inlineStr">
        <x:is>
          <x:t xml:space="preserve">江苏省-无锡市</x:t>
        </x:is>
      </x:c>
      <x:c r="H2789" s="4" t="inlineStr">
        <x:is>
          <x:t xml:space="preserve">塑胶制品</x:t>
        </x:is>
      </x:c>
      <x:c r="I2789" s="4" t="inlineStr">
        <x:is>
          <x:t xml:space="preserve">2010-04-29</x:t>
        </x:is>
      </x:c>
      <x:c r="J2789" s="5" t="inlineStr">
        <x:is>
          <x:t xml:space="preserve">江苏省无锡市新吴区鸿山街道后宅中路135号</x:t>
        </x:is>
      </x:c>
      <x:c r="K2789" s="12" t="str">
        <x:f>LEFT("91320200743938892R",18)</x:f>
        <x:v>91320200743938892R</x:v>
      </x:c>
    </x:row>
    <x:row r="2790">
      <x:c r="A2790" s="2" t="n">
        <x:v>2789</x:v>
      </x:c>
      <x:c r="B2790" s="2" t="inlineStr">
        <x:is>
          <x:t xml:space="preserve">002409</x:t>
        </x:is>
      </x:c>
      <x:c r="C2790" s="3" t="inlineStr">
        <x:is>
          <x:t xml:space="preserve">雅克科技</x:t>
        </x:is>
      </x:c>
      <x:c r="D2790" s="3" t="inlineStr">
        <x:is>
          <x:t xml:space="preserve">江苏雅克科技股份有限公司</x:t>
        </x:is>
      </x:c>
      <x:c r="E2790" s="2" t="inlineStr">
        <x:is>
          <x:t xml:space="preserve">江苏省</x:t>
        </x:is>
      </x:c>
      <x:c r="F2790" s="2" t="inlineStr">
        <x:is>
          <x:t xml:space="preserve">无锡市</x:t>
        </x:is>
      </x:c>
      <x:c r="G2790" s="3" t="inlineStr">
        <x:is>
          <x:t xml:space="preserve">江苏省-无锡市</x:t>
        </x:is>
      </x:c>
      <x:c r="H2790" s="2" t="inlineStr">
        <x:is>
          <x:t xml:space="preserve">电子化学品</x:t>
        </x:is>
      </x:c>
      <x:c r="I2790" s="2" t="inlineStr">
        <x:is>
          <x:t xml:space="preserve">2010-05-25</x:t>
        </x:is>
      </x:c>
      <x:c r="J2790" s="3" t="inlineStr">
        <x:is>
          <x:t xml:space="preserve">无锡宜兴经济开发区荆溪北路16号</x:t>
        </x:is>
      </x:c>
      <x:c r="K2790" s="12" t="str">
        <x:f>LEFT("91320200250268472W",18)</x:f>
        <x:v>91320200250268472W</x:v>
      </x:c>
    </x:row>
    <x:row r="2791">
      <x:c r="A2791" s="4" t="n">
        <x:v>2790</x:v>
      </x:c>
      <x:c r="B2791" s="4" t="inlineStr">
        <x:is>
          <x:t xml:space="preserve">002426</x:t>
        </x:is>
      </x:c>
      <x:c r="C2791" s="5" t="inlineStr">
        <x:is>
          <x:t xml:space="preserve">胜利精密</x:t>
        </x:is>
      </x:c>
      <x:c r="D2791" s="5" t="inlineStr">
        <x:is>
          <x:t xml:space="preserve">苏州胜利精密制造科技股份有限公司</x:t>
        </x:is>
      </x:c>
      <x:c r="E2791" s="4" t="inlineStr">
        <x:is>
          <x:t xml:space="preserve">江苏省</x:t>
        </x:is>
      </x:c>
      <x:c r="F2791" s="4" t="inlineStr">
        <x:is>
          <x:t xml:space="preserve">苏州市</x:t>
        </x:is>
      </x:c>
      <x:c r="G2791" s="5" t="inlineStr">
        <x:is>
          <x:t xml:space="preserve">江苏省-苏州市</x:t>
        </x:is>
      </x:c>
      <x:c r="H2791" s="4" t="inlineStr">
        <x:is>
          <x:t xml:space="preserve">通用设备</x:t>
        </x:is>
      </x:c>
      <x:c r="I2791" s="4" t="inlineStr">
        <x:is>
          <x:t xml:space="preserve">2010-06-08</x:t>
        </x:is>
      </x:c>
      <x:c r="J2791" s="5" t="inlineStr">
        <x:is>
          <x:t xml:space="preserve">苏州高新区浒关工业园</x:t>
        </x:is>
      </x:c>
      <x:c r="K2791" s="12" t="str">
        <x:f>LEFT("91320500756428744L",18)</x:f>
        <x:v>91320500756428744L</x:v>
      </x:c>
    </x:row>
    <x:row r="2792">
      <x:c r="A2792" s="2" t="n">
        <x:v>2791</x:v>
      </x:c>
      <x:c r="B2792" s="2" t="inlineStr">
        <x:is>
          <x:t xml:space="preserve">002438</x:t>
        </x:is>
      </x:c>
      <x:c r="C2792" s="3" t="inlineStr">
        <x:is>
          <x:t xml:space="preserve">江苏神通</x:t>
        </x:is>
      </x:c>
      <x:c r="D2792" s="3" t="inlineStr">
        <x:is>
          <x:t xml:space="preserve">江苏神通阀门股份有限公司</x:t>
        </x:is>
      </x:c>
      <x:c r="E2792" s="2" t="inlineStr">
        <x:is>
          <x:t xml:space="preserve">江苏省</x:t>
        </x:is>
      </x:c>
      <x:c r="F2792" s="2" t="inlineStr">
        <x:is>
          <x:t xml:space="preserve">苏省启东市</x:t>
        </x:is>
      </x:c>
      <x:c r="G2792" s="3" t="inlineStr">
        <x:is>
          <x:t xml:space="preserve">江苏省-苏省启东市</x:t>
        </x:is>
      </x:c>
      <x:c r="H2792" s="2" t="inlineStr">
        <x:is>
          <x:t xml:space="preserve">机械行业</x:t>
        </x:is>
      </x:c>
      <x:c r="I2792" s="2" t="inlineStr">
        <x:is>
          <x:t xml:space="preserve">2010-06-23</x:t>
        </x:is>
      </x:c>
      <x:c r="J2792" s="3" t="inlineStr">
        <x:is>
          <x:t xml:space="preserve">江苏省启东市南阳镇</x:t>
        </x:is>
      </x:c>
      <x:c r="K2792" s="12" t="str">
        <x:f>LEFT("9132060072521804X6",18)</x:f>
        <x:v>9132060072521804X6</x:v>
      </x:c>
    </x:row>
    <x:row r="2793">
      <x:c r="A2793" s="4" t="n">
        <x:v>2792</x:v>
      </x:c>
      <x:c r="B2793" s="4" t="inlineStr">
        <x:is>
          <x:t xml:space="preserve">002445</x:t>
        </x:is>
      </x:c>
      <x:c r="C2793" s="5" t="inlineStr">
        <x:is>
          <x:t xml:space="preserve">中南文化</x:t>
        </x:is>
      </x:c>
      <x:c r="D2793" s="5" t="inlineStr">
        <x:is>
          <x:t xml:space="preserve">中南红文化集团股份有限公司</x:t>
        </x:is>
      </x:c>
      <x:c r="E2793" s="4" t="inlineStr">
        <x:is>
          <x:t xml:space="preserve">江苏省</x:t>
        </x:is>
      </x:c>
      <x:c r="F2793" s="4" t="inlineStr">
        <x:is>
          <x:t xml:space="preserve">江阴市</x:t>
        </x:is>
      </x:c>
      <x:c r="G2793" s="5" t="inlineStr">
        <x:is>
          <x:t xml:space="preserve">江苏省-江阴市</x:t>
        </x:is>
      </x:c>
      <x:c r="H2793" s="4" t="inlineStr">
        <x:is>
          <x:t xml:space="preserve">通用设备</x:t>
        </x:is>
      </x:c>
      <x:c r="I2793" s="4" t="inlineStr">
        <x:is>
          <x:t xml:space="preserve">2010-07-13</x:t>
        </x:is>
      </x:c>
      <x:c r="J2793" s="5" t="inlineStr">
        <x:is>
          <x:t xml:space="preserve">江阴市高新技术产业开发园中南路3号</x:t>
        </x:is>
      </x:c>
      <x:c r="K2793" s="12" t="str">
        <x:f>LEFT("91320200749411127G",18)</x:f>
        <x:v>91320200749411127G</x:v>
      </x:c>
    </x:row>
    <x:row r="2794">
      <x:c r="A2794" s="2" t="n">
        <x:v>2793</x:v>
      </x:c>
      <x:c r="B2794" s="2" t="inlineStr">
        <x:is>
          <x:t xml:space="preserve">002455</x:t>
        </x:is>
      </x:c>
      <x:c r="C2794" s="3" t="inlineStr">
        <x:is>
          <x:t xml:space="preserve">百川股份</x:t>
        </x:is>
      </x:c>
      <x:c r="D2794" s="3" t="inlineStr">
        <x:is>
          <x:t xml:space="preserve">江苏百川高科新材料股份有限公司</x:t>
        </x:is>
      </x:c>
      <x:c r="E2794" s="2" t="inlineStr">
        <x:is>
          <x:t xml:space="preserve">江苏省</x:t>
        </x:is>
      </x:c>
      <x:c r="F2794" s="2" t="inlineStr">
        <x:is>
          <x:t xml:space="preserve">苏省江阴市</x:t>
        </x:is>
      </x:c>
      <x:c r="G2794" s="3" t="inlineStr">
        <x:is>
          <x:t xml:space="preserve">江苏省-苏省江阴市</x:t>
        </x:is>
      </x:c>
      <x:c r="H2794" s="2" t="inlineStr">
        <x:is>
          <x:t xml:space="preserve">化工行业</x:t>
        </x:is>
      </x:c>
      <x:c r="I2794" s="2" t="inlineStr">
        <x:is>
          <x:t xml:space="preserve">2010-08-03</x:t>
        </x:is>
      </x:c>
      <x:c r="J2794" s="3" t="inlineStr">
        <x:is>
          <x:t xml:space="preserve">江苏省江阴市云亭街道建设路55号</x:t>
        </x:is>
      </x:c>
      <x:c r="K2794" s="12" t="str">
        <x:f>LEFT("9132020073957247X1",18)</x:f>
        <x:v>9132020073957247X1</x:v>
      </x:c>
    </x:row>
    <x:row r="2795">
      <x:c r="A2795" s="4" t="n">
        <x:v>2794</x:v>
      </x:c>
      <x:c r="B2795" s="4" t="inlineStr">
        <x:is>
          <x:t xml:space="preserve">002463</x:t>
        </x:is>
      </x:c>
      <x:c r="C2795" s="5" t="inlineStr">
        <x:is>
          <x:t xml:space="preserve">沪电股份</x:t>
        </x:is>
      </x:c>
      <x:c r="D2795" s="5" t="inlineStr">
        <x:is>
          <x:t xml:space="preserve">沪士电子股份有限公司</x:t>
        </x:is>
      </x:c>
      <x:c r="E2795" s="4" t="inlineStr">
        <x:is>
          <x:t xml:space="preserve">江苏省</x:t>
        </x:is>
      </x:c>
      <x:c r="F2795" s="4" t="inlineStr">
        <x:is>
          <x:t xml:space="preserve">苏省昆山市</x:t>
        </x:is>
      </x:c>
      <x:c r="G2795" s="5" t="inlineStr">
        <x:is>
          <x:t xml:space="preserve">江苏省-苏省昆山市</x:t>
        </x:is>
      </x:c>
      <x:c r="H2795" s="4" t="inlineStr">
        <x:is>
          <x:t xml:space="preserve">电子元件</x:t>
        </x:is>
      </x:c>
      <x:c r="I2795" s="4" t="inlineStr">
        <x:is>
          <x:t xml:space="preserve">2010-08-18</x:t>
        </x:is>
      </x:c>
      <x:c r="J2795" s="5" t="inlineStr">
        <x:is>
          <x:t xml:space="preserve">江苏省昆山市玉山镇东龙路1号</x:t>
        </x:is>
      </x:c>
      <x:c r="K2795" s="12" t="str">
        <x:f>LEFT("913200006082793884",18)</x:f>
        <x:v>913200006082793900</x:v>
      </x:c>
    </x:row>
    <x:row r="2796">
      <x:c r="A2796" s="2" t="n">
        <x:v>2795</x:v>
      </x:c>
      <x:c r="B2796" s="2" t="inlineStr">
        <x:is>
          <x:t xml:space="preserve">002471</x:t>
        </x:is>
      </x:c>
      <x:c r="C2796" s="3" t="inlineStr">
        <x:is>
          <x:t xml:space="preserve">中超控股</x:t>
        </x:is>
      </x:c>
      <x:c r="D2796" s="3" t="inlineStr">
        <x:is>
          <x:t xml:space="preserve">江苏中超控股股份有限公司</x:t>
        </x:is>
      </x:c>
      <x:c r="E2796" s="2" t="inlineStr">
        <x:is>
          <x:t xml:space="preserve">江苏省</x:t>
        </x:is>
      </x:c>
      <x:c r="F2796" s="2" t="inlineStr">
        <x:is>
          <x:t xml:space="preserve">宜兴市</x:t>
        </x:is>
      </x:c>
      <x:c r="G2796" s="3" t="inlineStr">
        <x:is>
          <x:t xml:space="preserve">江苏省-宜兴市</x:t>
        </x:is>
      </x:c>
      <x:c r="H2796" s="2" t="inlineStr">
        <x:is>
          <x:t xml:space="preserve">输配电气</x:t>
        </x:is>
      </x:c>
      <x:c r="I2796" s="2" t="inlineStr">
        <x:is>
          <x:t xml:space="preserve">2010-09-10</x:t>
        </x:is>
      </x:c>
      <x:c r="J2796" s="3" t="inlineStr">
        <x:is>
          <x:t xml:space="preserve">宜兴市西郊工业园振丰东路999号</x:t>
        </x:is>
      </x:c>
      <x:c r="K2796" s="12" t="str">
        <x:f>LEFT("91320200250322184B",18)</x:f>
        <x:v>91320200250322184B</x:v>
      </x:c>
    </x:row>
    <x:row r="2797">
      <x:c r="A2797" s="4" t="n">
        <x:v>2796</x:v>
      </x:c>
      <x:c r="B2797" s="4" t="inlineStr">
        <x:is>
          <x:t xml:space="preserve">002478</x:t>
        </x:is>
      </x:c>
      <x:c r="C2797" s="5" t="inlineStr">
        <x:is>
          <x:t xml:space="preserve">常宝股份</x:t>
        </x:is>
      </x:c>
      <x:c r="D2797" s="5" t="inlineStr">
        <x:is>
          <x:t xml:space="preserve">江苏常宝钢管股份有限公司</x:t>
        </x:is>
      </x:c>
      <x:c r="E2797" s="4" t="inlineStr">
        <x:is>
          <x:t xml:space="preserve">江苏省</x:t>
        </x:is>
      </x:c>
      <x:c r="F2797" s="4" t="inlineStr">
        <x:is>
          <x:t xml:space="preserve">常州市</x:t>
        </x:is>
      </x:c>
      <x:c r="G2797" s="5" t="inlineStr">
        <x:is>
          <x:t xml:space="preserve">江苏省-常州市</x:t>
        </x:is>
      </x:c>
      <x:c r="H2797" s="4" t="inlineStr">
        <x:is>
          <x:t xml:space="preserve">钢铁行业</x:t>
        </x:is>
      </x:c>
      <x:c r="I2797" s="4" t="inlineStr">
        <x:is>
          <x:t xml:space="preserve">2010-09-21</x:t>
        </x:is>
      </x:c>
      <x:c r="J2797" s="5" t="inlineStr">
        <x:is>
          <x:t xml:space="preserve">江苏省常州市延陵东路558号</x:t>
        </x:is>
      </x:c>
      <x:c r="K2797" s="12" t="str">
        <x:f>LEFT("91320400137163943Q",18)</x:f>
        <x:v>91320400137163943Q</x:v>
      </x:c>
    </x:row>
    <x:row r="2798">
      <x:c r="A2798" s="2" t="n">
        <x:v>2797</x:v>
      </x:c>
      <x:c r="B2798" s="2" t="inlineStr">
        <x:is>
          <x:t xml:space="preserve">002483</x:t>
        </x:is>
      </x:c>
      <x:c r="C2798" s="3" t="inlineStr">
        <x:is>
          <x:t xml:space="preserve">润邦股份</x:t>
        </x:is>
      </x:c>
      <x:c r="D2798" s="3" t="inlineStr">
        <x:is>
          <x:t xml:space="preserve">江苏润邦重工股份有限公司</x:t>
        </x:is>
      </x:c>
      <x:c r="E2798" s="2" t="inlineStr">
        <x:is>
          <x:t xml:space="preserve">江苏省</x:t>
        </x:is>
      </x:c>
      <x:c r="F2798" s="2" t="inlineStr">
        <x:is>
          <x:t xml:space="preserve">南通市</x:t>
        </x:is>
      </x:c>
      <x:c r="G2798" s="3" t="inlineStr">
        <x:is>
          <x:t xml:space="preserve">江苏省-南通市</x:t>
        </x:is>
      </x:c>
      <x:c r="H2798" s="2" t="inlineStr">
        <x:is>
          <x:t xml:space="preserve">专用设备</x:t>
        </x:is>
      </x:c>
      <x:c r="I2798" s="2" t="inlineStr">
        <x:is>
          <x:t xml:space="preserve">2010-09-29</x:t>
        </x:is>
      </x:c>
      <x:c r="J2798" s="3" t="inlineStr">
        <x:is>
          <x:t xml:space="preserve">江苏省南通经济技术开发区振兴西路9号</x:t>
        </x:is>
      </x:c>
      <x:c r="K2798" s="12" t="str">
        <x:f>LEFT("91320600753928700K",18)</x:f>
        <x:v>91320600753928700K</x:v>
      </x:c>
    </x:row>
    <x:row r="2799">
      <x:c r="A2799" s="4" t="n">
        <x:v>2798</x:v>
      </x:c>
      <x:c r="B2799" s="4" t="inlineStr">
        <x:is>
          <x:t xml:space="preserve">002484</x:t>
        </x:is>
      </x:c>
      <x:c r="C2799" s="5" t="inlineStr">
        <x:is>
          <x:t xml:space="preserve">江海股份</x:t>
        </x:is>
      </x:c>
      <x:c r="D2799" s="5" t="inlineStr">
        <x:is>
          <x:t xml:space="preserve">南通江海电容器股份有限公司</x:t>
        </x:is>
      </x:c>
      <x:c r="E2799" s="4" t="inlineStr">
        <x:is>
          <x:t xml:space="preserve">江苏省</x:t>
        </x:is>
      </x:c>
      <x:c r="F2799" s="4" t="inlineStr">
        <x:is>
          <x:t xml:space="preserve">南通市</x:t>
        </x:is>
      </x:c>
      <x:c r="G2799" s="5" t="inlineStr">
        <x:is>
          <x:t xml:space="preserve">江苏省-南通市</x:t>
        </x:is>
      </x:c>
      <x:c r="H2799" s="4" t="inlineStr">
        <x:is>
          <x:t xml:space="preserve">电子元件</x:t>
        </x:is>
      </x:c>
      <x:c r="I2799" s="4" t="inlineStr">
        <x:is>
          <x:t xml:space="preserve">2010-09-29</x:t>
        </x:is>
      </x:c>
      <x:c r="J2799" s="5" t="inlineStr">
        <x:is>
          <x:t xml:space="preserve">江苏省南通市通州区平潮镇通扬南路79号</x:t>
        </x:is>
      </x:c>
      <x:c r="K2799" s="12" t="str">
        <x:f>LEFT("91320600138728889Y",18)</x:f>
        <x:v>91320600138728889Y</x:v>
      </x:c>
    </x:row>
    <x:row r="2800">
      <x:c r="A2800" s="2" t="n">
        <x:v>2799</x:v>
      </x:c>
      <x:c r="B2800" s="2" t="inlineStr">
        <x:is>
          <x:t xml:space="preserve">002491</x:t>
        </x:is>
      </x:c>
      <x:c r="C2800" s="3" t="inlineStr">
        <x:is>
          <x:t xml:space="preserve">通鼎互联</x:t>
        </x:is>
      </x:c>
      <x:c r="D2800" s="3" t="inlineStr">
        <x:is>
          <x:t xml:space="preserve">通鼎互联信息股份有限公司</x:t>
        </x:is>
      </x:c>
      <x:c r="E2800" s="2" t="inlineStr">
        <x:is>
          <x:t xml:space="preserve">江苏省</x:t>
        </x:is>
      </x:c>
      <x:c r="F2800" s="2" t="inlineStr">
        <x:is>
          <x:t xml:space="preserve">苏州市</x:t>
        </x:is>
      </x:c>
      <x:c r="G2800" s="3" t="inlineStr">
        <x:is>
          <x:t xml:space="preserve">江苏省-苏州市</x:t>
        </x:is>
      </x:c>
      <x:c r="H2800" s="2" t="inlineStr">
        <x:is>
          <x:t xml:space="preserve">通讯行业</x:t>
        </x:is>
      </x:c>
      <x:c r="I2800" s="2" t="inlineStr">
        <x:is>
          <x:t xml:space="preserve">2010-10-21</x:t>
        </x:is>
      </x:c>
      <x:c r="J2800" s="3" t="inlineStr">
        <x:is>
          <x:t xml:space="preserve">江苏省苏州市吴江区震泽镇八都经济开发区小平大道8号</x:t>
        </x:is>
      </x:c>
      <x:c r="K2800" s="12" t="str">
        <x:f>LEFT("91320500714102279K",18)</x:f>
        <x:v>91320500714102279K</x:v>
      </x:c>
    </x:row>
    <x:row r="2801">
      <x:c r="A2801" s="4" t="n">
        <x:v>2800</x:v>
      </x:c>
      <x:c r="B2801" s="4" t="inlineStr">
        <x:is>
          <x:t xml:space="preserve">002496</x:t>
        </x:is>
      </x:c>
      <x:c r="C2801" s="5" t="inlineStr">
        <x:is>
          <x:t xml:space="preserve">*ST辉丰</x:t>
        </x:is>
      </x:c>
      <x:c r="D2801" s="5" t="inlineStr">
        <x:is>
          <x:t xml:space="preserve">江苏辉丰生物农业股份有限公司</x:t>
        </x:is>
      </x:c>
      <x:c r="E2801" s="4" t="inlineStr">
        <x:is>
          <x:t xml:space="preserve">江苏省</x:t>
        </x:is>
      </x:c>
      <x:c r="F2801" s="4" t="inlineStr">
        <x:is>
          <x:t xml:space="preserve">盐城市</x:t>
        </x:is>
      </x:c>
      <x:c r="G2801" s="5" t="inlineStr">
        <x:is>
          <x:t xml:space="preserve">江苏省-盐城市</x:t>
        </x:is>
      </x:c>
      <x:c r="H2801" s="4" t="inlineStr">
        <x:is>
          <x:t xml:space="preserve">农药兽药</x:t>
        </x:is>
      </x:c>
      <x:c r="I2801" s="4" t="inlineStr">
        <x:is>
          <x:t xml:space="preserve">2010-11-09</x:t>
        </x:is>
      </x:c>
      <x:c r="J2801" s="5" t="inlineStr">
        <x:is>
          <x:t xml:space="preserve">江苏省盐城市大丰区王港闸南首</x:t>
        </x:is>
      </x:c>
      <x:c r="K2801" s="12" t="str">
        <x:f>LEFT("913209001407071551",18)</x:f>
        <x:v>913209001407071500</x:v>
      </x:c>
    </x:row>
    <x:row r="2802">
      <x:c r="A2802" s="2" t="n">
        <x:v>2801</x:v>
      </x:c>
      <x:c r="B2802" s="2" t="inlineStr">
        <x:is>
          <x:t xml:space="preserve">002513</x:t>
        </x:is>
      </x:c>
      <x:c r="C2802" s="3" t="inlineStr">
        <x:is>
          <x:t xml:space="preserve">蓝丰生化</x:t>
        </x:is>
      </x:c>
      <x:c r="D2802" s="3" t="inlineStr">
        <x:is>
          <x:t xml:space="preserve">江苏蓝丰生物化工股份有限公司</x:t>
        </x:is>
      </x:c>
      <x:c r="E2802" s="2" t="inlineStr">
        <x:is>
          <x:t xml:space="preserve">江苏省</x:t>
        </x:is>
      </x:c>
      <x:c r="F2802" s="2" t="inlineStr">
        <x:is>
          <x:t xml:space="preserve">徐州市</x:t>
        </x:is>
      </x:c>
      <x:c r="G2802" s="3" t="inlineStr">
        <x:is>
          <x:t xml:space="preserve">江苏省-徐州市</x:t>
        </x:is>
      </x:c>
      <x:c r="H2802" s="2" t="inlineStr">
        <x:is>
          <x:t xml:space="preserve">农药兽药</x:t>
        </x:is>
      </x:c>
      <x:c r="I2802" s="2" t="inlineStr">
        <x:is>
          <x:t xml:space="preserve">2010-12-03</x:t>
        </x:is>
      </x:c>
      <x:c r="J2802" s="3" t="inlineStr">
        <x:is>
          <x:t xml:space="preserve">江苏新沂经济开发区宁夏路2号</x:t>
        </x:is>
      </x:c>
      <x:c r="K2802" s="12" t="str">
        <x:f>LEFT("91320300137099187N",18)</x:f>
        <x:v>91320300137099187N</x:v>
      </x:c>
    </x:row>
    <x:row r="2803">
      <x:c r="A2803" s="4" t="n">
        <x:v>2802</x:v>
      </x:c>
      <x:c r="B2803" s="4" t="inlineStr">
        <x:is>
          <x:t xml:space="preserve">002514</x:t>
        </x:is>
      </x:c>
      <x:c r="C2803" s="5" t="inlineStr">
        <x:is>
          <x:t xml:space="preserve">宝馨科技</x:t>
        </x:is>
      </x:c>
      <x:c r="D2803" s="5" t="inlineStr">
        <x:is>
          <x:t xml:space="preserve">江苏宝馨科技股份有限公司</x:t>
        </x:is>
      </x:c>
      <x:c r="E2803" s="4" t="inlineStr">
        <x:is>
          <x:t xml:space="preserve">江苏省</x:t>
        </x:is>
      </x:c>
      <x:c r="F2803" s="4" t="inlineStr">
        <x:is>
          <x:t xml:space="preserve">泰州市</x:t>
        </x:is>
      </x:c>
      <x:c r="G2803" s="5" t="inlineStr">
        <x:is>
          <x:t xml:space="preserve">江苏省-泰州市</x:t>
        </x:is>
      </x:c>
      <x:c r="H2803" s="4" t="inlineStr">
        <x:is>
          <x:t xml:space="preserve">通用设备</x:t>
        </x:is>
      </x:c>
      <x:c r="I2803" s="4" t="inlineStr">
        <x:is>
          <x:t xml:space="preserve">2010-12-03</x:t>
        </x:is>
      </x:c>
      <x:c r="J2803" s="5" t="inlineStr">
        <x:is>
          <x:t xml:space="preserve">泰州市靖江经济技术开发区公兴河北路35号</x:t>
        </x:is>
      </x:c>
      <x:c r="K2803" s="12" t="str">
        <x:f>LEFT("91320500731789543G",18)</x:f>
        <x:v>91320500731789543G</x:v>
      </x:c>
    </x:row>
    <x:row r="2804">
      <x:c r="A2804" s="2" t="n">
        <x:v>2803</x:v>
      </x:c>
      <x:c r="B2804" s="2" t="inlineStr">
        <x:is>
          <x:t xml:space="preserve">002519</x:t>
        </x:is>
      </x:c>
      <x:c r="C2804" s="3" t="inlineStr">
        <x:is>
          <x:t xml:space="preserve">银河电子</x:t>
        </x:is>
      </x:c>
      <x:c r="D2804" s="3" t="inlineStr">
        <x:is>
          <x:t xml:space="preserve">江苏银河电子股份有限公司</x:t>
        </x:is>
      </x:c>
      <x:c r="E2804" s="2" t="inlineStr">
        <x:is>
          <x:t xml:space="preserve">江苏省</x:t>
        </x:is>
      </x:c>
      <x:c r="F2804" s="2" t="inlineStr">
        <x:is>
          <x:t xml:space="preserve">省张家港市</x:t>
        </x:is>
      </x:c>
      <x:c r="G2804" s="3" t="inlineStr">
        <x:is>
          <x:t xml:space="preserve">江苏省-省张家港市</x:t>
        </x:is>
      </x:c>
      <x:c r="H2804" s="2" t="inlineStr">
        <x:is>
          <x:t xml:space="preserve">家电行业</x:t>
        </x:is>
      </x:c>
      <x:c r="I2804" s="2" t="inlineStr">
        <x:is>
          <x:t xml:space="preserve">2010-12-07</x:t>
        </x:is>
      </x:c>
      <x:c r="J2804" s="3" t="inlineStr">
        <x:is>
          <x:t xml:space="preserve">江苏省张家港市塘桥镇南环路188号</x:t>
        </x:is>
      </x:c>
      <x:c r="K2804" s="12" t="str">
        <x:f>LEFT("913205007205805849",18)</x:f>
        <x:v>913205007205805800</x:v>
      </x:c>
    </x:row>
    <x:row r="2805">
      <x:c r="A2805" s="4" t="n">
        <x:v>2804</x:v>
      </x:c>
      <x:c r="B2805" s="4" t="inlineStr">
        <x:is>
          <x:t xml:space="preserve">002530</x:t>
        </x:is>
      </x:c>
      <x:c r="C2805" s="5" t="inlineStr">
        <x:is>
          <x:t xml:space="preserve">金财互联</x:t>
        </x:is>
      </x:c>
      <x:c r="D2805" s="5" t="inlineStr">
        <x:is>
          <x:t xml:space="preserve">金财互联控股股份有限公司</x:t>
        </x:is>
      </x:c>
      <x:c r="E2805" s="4" t="inlineStr">
        <x:is>
          <x:t xml:space="preserve">江苏省</x:t>
        </x:is>
      </x:c>
      <x:c r="F2805" s="4" t="inlineStr">
        <x:is>
          <x:t xml:space="preserve">盐城市</x:t>
        </x:is>
      </x:c>
      <x:c r="G2805" s="5" t="inlineStr">
        <x:is>
          <x:t xml:space="preserve">江苏省-盐城市</x:t>
        </x:is>
      </x:c>
      <x:c r="H2805" s="4" t="inlineStr">
        <x:is>
          <x:t xml:space="preserve">通用设备</x:t>
        </x:is>
      </x:c>
      <x:c r="I2805" s="4" t="inlineStr">
        <x:is>
          <x:t xml:space="preserve">2010-12-31</x:t>
        </x:is>
      </x:c>
      <x:c r="J2805" s="5" t="inlineStr">
        <x:is>
          <x:t xml:space="preserve">江苏省盐城市大丰区经济开发区南翔西路333号</x:t>
        </x:is>
      </x:c>
      <x:c r="K2805" s="12" t="str">
        <x:f>LEFT("91320900608684500T",18)</x:f>
        <x:v>91320900608684500T</x:v>
      </x:c>
    </x:row>
    <x:row r="2806">
      <x:c r="A2806" s="2" t="n">
        <x:v>2805</x:v>
      </x:c>
      <x:c r="B2806" s="2" t="inlineStr">
        <x:is>
          <x:t xml:space="preserve">002531</x:t>
        </x:is>
      </x:c>
      <x:c r="C2806" s="3" t="inlineStr">
        <x:is>
          <x:t xml:space="preserve">天顺风能</x:t>
        </x:is>
      </x:c>
      <x:c r="D2806" s="3" t="inlineStr">
        <x:is>
          <x:t xml:space="preserve">天顺风能(苏州)股份有限公司</x:t>
        </x:is>
      </x:c>
      <x:c r="E2806" s="2" t="inlineStr">
        <x:is>
          <x:t xml:space="preserve">江苏省</x:t>
        </x:is>
      </x:c>
      <x:c r="F2806" s="2" t="inlineStr">
        <x:is>
          <x:t xml:space="preserve">苏州市</x:t>
        </x:is>
      </x:c>
      <x:c r="G2806" s="3" t="inlineStr">
        <x:is>
          <x:t xml:space="preserve">江苏省-苏州市</x:t>
        </x:is>
      </x:c>
      <x:c r="H2806" s="2" t="inlineStr">
        <x:is>
          <x:t xml:space="preserve">风电设备</x:t>
        </x:is>
      </x:c>
      <x:c r="I2806" s="2" t="inlineStr">
        <x:is>
          <x:t xml:space="preserve">2010-12-31</x:t>
        </x:is>
      </x:c>
      <x:c r="J2806" s="3" t="inlineStr">
        <x:is>
          <x:t xml:space="preserve">江苏省太仓经济开发区宁波东路28号</x:t>
        </x:is>
      </x:c>
      <x:c r="K2806" s="12" t="str">
        <x:f>LEFT("913205007705113849",18)</x:f>
        <x:v>913205007705113900</x:v>
      </x:c>
    </x:row>
    <x:row r="2807">
      <x:c r="A2807" s="4" t="n">
        <x:v>2806</x:v>
      </x:c>
      <x:c r="B2807" s="4" t="inlineStr">
        <x:is>
          <x:t xml:space="preserve">002540</x:t>
        </x:is>
      </x:c>
      <x:c r="C2807" s="5" t="inlineStr">
        <x:is>
          <x:t xml:space="preserve">亚太科技</x:t>
        </x:is>
      </x:c>
      <x:c r="D2807" s="5" t="inlineStr">
        <x:is>
          <x:t xml:space="preserve">江苏亚太轻合金科技股份有限公司</x:t>
        </x:is>
      </x:c>
      <x:c r="E2807" s="4" t="inlineStr">
        <x:is>
          <x:t xml:space="preserve">江苏省</x:t>
        </x:is>
      </x:c>
      <x:c r="F2807" s="4" t="inlineStr">
        <x:is>
          <x:t xml:space="preserve">无锡市</x:t>
        </x:is>
      </x:c>
      <x:c r="G2807" s="5" t="inlineStr">
        <x:is>
          <x:t xml:space="preserve">江苏省-无锡市</x:t>
        </x:is>
      </x:c>
      <x:c r="H2807" s="4" t="inlineStr">
        <x:is>
          <x:t xml:space="preserve">有色金属</x:t>
        </x:is>
      </x:c>
      <x:c r="I2807" s="4" t="inlineStr">
        <x:is>
          <x:t xml:space="preserve">2011-01-18</x:t>
        </x:is>
      </x:c>
      <x:c r="J2807" s="5" t="inlineStr">
        <x:is>
          <x:t xml:space="preserve">无锡市新吴区里河东路58号</x:t>
        </x:is>
      </x:c>
      <x:c r="K2807" s="12" t="str">
        <x:f>LEFT("91320200731189732Q",18)</x:f>
        <x:v>91320200731189732Q</x:v>
      </x:c>
    </x:row>
    <x:row r="2808">
      <x:c r="A2808" s="2" t="n">
        <x:v>2807</x:v>
      </x:c>
      <x:c r="B2808" s="2" t="inlineStr">
        <x:is>
          <x:t xml:space="preserve">002546</x:t>
        </x:is>
      </x:c>
      <x:c r="C2808" s="3" t="inlineStr">
        <x:is>
          <x:t xml:space="preserve">新联电子</x:t>
        </x:is>
      </x:c>
      <x:c r="D2808" s="3" t="inlineStr">
        <x:is>
          <x:t xml:space="preserve">南京新联电子股份有限公司</x:t>
        </x:is>
      </x:c>
      <x:c r="E2808" s="2" t="inlineStr">
        <x:is>
          <x:t xml:space="preserve">江苏省</x:t>
        </x:is>
      </x:c>
      <x:c r="F2808" s="2" t="inlineStr">
        <x:is>
          <x:t xml:space="preserve">南京市</x:t>
        </x:is>
      </x:c>
      <x:c r="G2808" s="3" t="inlineStr">
        <x:is>
          <x:t xml:space="preserve">江苏省-南京市</x:t>
        </x:is>
      </x:c>
      <x:c r="H2808" s="2" t="inlineStr">
        <x:is>
          <x:t xml:space="preserve">输配电气</x:t>
        </x:is>
      </x:c>
      <x:c r="I2808" s="2" t="inlineStr">
        <x:is>
          <x:t xml:space="preserve">2011-02-11</x:t>
        </x:is>
      </x:c>
      <x:c r="J2808" s="3" t="inlineStr">
        <x:is>
          <x:t xml:space="preserve">南京市江宁经济技术开发区利源北路66号</x:t>
        </x:is>
      </x:c>
      <x:c r="K2808" s="12" t="str">
        <x:f>LEFT("913201007541098700",18)</x:f>
        <x:v>913201007541098800</x:v>
      </x:c>
    </x:row>
    <x:row r="2809">
      <x:c r="A2809" s="4" t="n">
        <x:v>2808</x:v>
      </x:c>
      <x:c r="B2809" s="4" t="inlineStr">
        <x:is>
          <x:t xml:space="preserve">002547</x:t>
        </x:is>
      </x:c>
      <x:c r="C2809" s="5" t="inlineStr">
        <x:is>
          <x:t xml:space="preserve">春兴精工</x:t>
        </x:is>
      </x:c>
      <x:c r="D2809" s="5" t="inlineStr">
        <x:is>
          <x:t xml:space="preserve">苏州春兴精工股份有限公司</x:t>
        </x:is>
      </x:c>
      <x:c r="E2809" s="4" t="inlineStr">
        <x:is>
          <x:t xml:space="preserve">江苏省</x:t>
        </x:is>
      </x:c>
      <x:c r="F2809" s="4" t="inlineStr">
        <x:is>
          <x:t xml:space="preserve">苏州市</x:t>
        </x:is>
      </x:c>
      <x:c r="G2809" s="5" t="inlineStr">
        <x:is>
          <x:t xml:space="preserve">江苏省-苏州市</x:t>
        </x:is>
      </x:c>
      <x:c r="H2809" s="4" t="inlineStr">
        <x:is>
          <x:t xml:space="preserve">汽车零部件</x:t>
        </x:is>
      </x:c>
      <x:c r="I2809" s="4" t="inlineStr">
        <x:is>
          <x:t xml:space="preserve">2011-02-18</x:t>
        </x:is>
      </x:c>
      <x:c r="J2809" s="5" t="inlineStr">
        <x:is>
          <x:t xml:space="preserve">江苏省苏州市苏州工业园区唯亭镇浦田路2号</x:t>
        </x:is>
      </x:c>
      <x:c r="K2809" s="12" t="str">
        <x:f>LEFT("91320000832592061P",18)</x:f>
        <x:v>91320000832592061P</x:v>
      </x:c>
    </x:row>
    <x:row r="2810">
      <x:c r="A2810" s="2" t="n">
        <x:v>2809</x:v>
      </x:c>
      <x:c r="B2810" s="2" t="inlineStr">
        <x:is>
          <x:t xml:space="preserve">002550</x:t>
        </x:is>
      </x:c>
      <x:c r="C2810" s="3" t="inlineStr">
        <x:is>
          <x:t xml:space="preserve">千红制药</x:t>
        </x:is>
      </x:c>
      <x:c r="D2810" s="3" t="inlineStr">
        <x:is>
          <x:t xml:space="preserve">常州千红生化制药股份有限公司</x:t>
        </x:is>
      </x:c>
      <x:c r="E2810" s="2" t="inlineStr">
        <x:is>
          <x:t xml:space="preserve">江苏省</x:t>
        </x:is>
      </x:c>
      <x:c r="F2810" s="2" t="inlineStr">
        <x:is>
          <x:t xml:space="preserve">常州市</x:t>
        </x:is>
      </x:c>
      <x:c r="G2810" s="3" t="inlineStr">
        <x:is>
          <x:t xml:space="preserve">江苏省-常州市</x:t>
        </x:is>
      </x:c>
      <x:c r="H2810" s="2" t="inlineStr">
        <x:is>
          <x:t xml:space="preserve">化学制药</x:t>
        </x:is>
      </x:c>
      <x:c r="I2810" s="2" t="inlineStr">
        <x:is>
          <x:t xml:space="preserve">2011-02-18</x:t>
        </x:is>
      </x:c>
      <x:c r="J2810" s="3" t="inlineStr">
        <x:is>
          <x:t xml:space="preserve">常州市新北区云河路518号</x:t>
        </x:is>
      </x:c>
      <x:c r="K2810" s="12" t="str">
        <x:f>LEFT("91320400748726864T",18)</x:f>
        <x:v>91320400748726864T</x:v>
      </x:c>
    </x:row>
    <x:row r="2811">
      <x:c r="A2811" s="4" t="n">
        <x:v>2810</x:v>
      </x:c>
      <x:c r="B2811" s="4" t="inlineStr">
        <x:is>
          <x:t xml:space="preserve">002553</x:t>
        </x:is>
      </x:c>
      <x:c r="C2811" s="5" t="inlineStr">
        <x:is>
          <x:t xml:space="preserve">南方精工</x:t>
        </x:is>
      </x:c>
      <x:c r="D2811" s="5" t="inlineStr">
        <x:is>
          <x:t xml:space="preserve">江苏南方精工股份有限公司</x:t>
        </x:is>
      </x:c>
      <x:c r="E2811" s="4" t="inlineStr">
        <x:is>
          <x:t xml:space="preserve">江苏省</x:t>
        </x:is>
      </x:c>
      <x:c r="F2811" s="4" t="inlineStr">
        <x:is>
          <x:t xml:space="preserve">常州市</x:t>
        </x:is>
      </x:c>
      <x:c r="G2811" s="5" t="inlineStr">
        <x:is>
          <x:t xml:space="preserve">江苏省-常州市</x:t>
        </x:is>
      </x:c>
      <x:c r="H2811" s="4" t="inlineStr">
        <x:is>
          <x:t xml:space="preserve">汽车行业</x:t>
        </x:is>
      </x:c>
      <x:c r="I2811" s="4" t="inlineStr">
        <x:is>
          <x:t xml:space="preserve">2011-02-25</x:t>
        </x:is>
      </x:c>
      <x:c r="J2811" s="5" t="inlineStr">
        <x:is>
          <x:t xml:space="preserve">江苏省常州市武进高新技术产业开发区龙翔路9号</x:t>
        </x:is>
      </x:c>
      <x:c r="K2811" s="12" t="str">
        <x:f>LEFT("91320400K12061113G",18)</x:f>
        <x:v>91320400K12061113G</x:v>
      </x:c>
    </x:row>
    <x:row r="2812">
      <x:c r="A2812" s="2" t="n">
        <x:v>2811</x:v>
      </x:c>
      <x:c r="B2812" s="2" t="inlineStr">
        <x:is>
          <x:t xml:space="preserve">002559</x:t>
        </x:is>
      </x:c>
      <x:c r="C2812" s="3" t="inlineStr">
        <x:is>
          <x:t xml:space="preserve">亚威股份</x:t>
        </x:is>
      </x:c>
      <x:c r="D2812" s="3" t="inlineStr">
        <x:is>
          <x:t xml:space="preserve">江苏亚威机床股份有限公司</x:t>
        </x:is>
      </x:c>
      <x:c r="E2812" s="2" t="inlineStr">
        <x:is>
          <x:t xml:space="preserve">江苏省</x:t>
        </x:is>
      </x:c>
      <x:c r="F2812" s="2" t="inlineStr">
        <x:is>
          <x:t xml:space="preserve">扬州市</x:t>
        </x:is>
      </x:c>
      <x:c r="G2812" s="3" t="inlineStr">
        <x:is>
          <x:t xml:space="preserve">江苏省-扬州市</x:t>
        </x:is>
      </x:c>
      <x:c r="H2812" s="2" t="inlineStr">
        <x:is>
          <x:t xml:space="preserve">机械行业</x:t>
        </x:is>
      </x:c>
      <x:c r="I2812" s="2" t="inlineStr">
        <x:is>
          <x:t xml:space="preserve">2011-03-03</x:t>
        </x:is>
      </x:c>
      <x:c r="J2812" s="3" t="inlineStr">
        <x:is>
          <x:t xml:space="preserve">江苏省扬州市江都区黄海南路仙城工业园</x:t>
        </x:is>
      </x:c>
      <x:c r="K2812" s="12" t="str">
        <x:f>LEFT("913210007241938999",18)</x:f>
        <x:v>913210007241939000</x:v>
      </x:c>
    </x:row>
    <x:row r="2813">
      <x:c r="A2813" s="4" t="n">
        <x:v>2812</x:v>
      </x:c>
      <x:c r="B2813" s="4" t="inlineStr">
        <x:is>
          <x:t xml:space="preserve">002564</x:t>
        </x:is>
      </x:c>
      <x:c r="C2813" s="5" t="inlineStr">
        <x:is>
          <x:t xml:space="preserve">天沃科技</x:t>
        </x:is>
      </x:c>
      <x:c r="D2813" s="5" t="inlineStr">
        <x:is>
          <x:t xml:space="preserve">苏州天沃科技股份有限公司</x:t>
        </x:is>
      </x:c>
      <x:c r="E2813" s="4" t="inlineStr">
        <x:is>
          <x:t xml:space="preserve">江苏省</x:t>
        </x:is>
      </x:c>
      <x:c r="F2813" s="4" t="inlineStr">
        <x:is>
          <x:t xml:space="preserve">省张家港市</x:t>
        </x:is>
      </x:c>
      <x:c r="G2813" s="5" t="inlineStr">
        <x:is>
          <x:t xml:space="preserve">江苏省-省张家港市</x:t>
        </x:is>
      </x:c>
      <x:c r="H2813" s="4" t="inlineStr">
        <x:is>
          <x:t xml:space="preserve">专用设备</x:t>
        </x:is>
      </x:c>
      <x:c r="I2813" s="4" t="inlineStr">
        <x:is>
          <x:t xml:space="preserve">2011-03-10</x:t>
        </x:is>
      </x:c>
      <x:c r="J2813" s="5" t="inlineStr">
        <x:is>
          <x:t xml:space="preserve">江苏省张家港市金港镇长山村临江路1号</x:t>
        </x:is>
      </x:c>
      <x:c r="K2813" s="12" t="str">
        <x:f>LEFT("91320500703676365K",18)</x:f>
        <x:v>91320500703676365K</x:v>
      </x:c>
    </x:row>
    <x:row r="2814">
      <x:c r="A2814" s="2" t="n">
        <x:v>2813</x:v>
      </x:c>
      <x:c r="B2814" s="2" t="inlineStr">
        <x:is>
          <x:t xml:space="preserve">002576</x:t>
        </x:is>
      </x:c>
      <x:c r="C2814" s="3" t="inlineStr">
        <x:is>
          <x:t xml:space="preserve">通达动力</x:t>
        </x:is>
      </x:c>
      <x:c r="D2814" s="3" t="inlineStr">
        <x:is>
          <x:t xml:space="preserve">江苏通达动力科技股份有限公司</x:t>
        </x:is>
      </x:c>
      <x:c r="E2814" s="2" t="inlineStr">
        <x:is>
          <x:t xml:space="preserve">江苏省</x:t>
        </x:is>
      </x:c>
      <x:c r="F2814" s="2" t="inlineStr">
        <x:is>
          <x:t xml:space="preserve">南通市</x:t>
        </x:is>
      </x:c>
      <x:c r="G2814" s="3" t="inlineStr">
        <x:is>
          <x:t xml:space="preserve">江苏省-南通市</x:t>
        </x:is>
      </x:c>
      <x:c r="H2814" s="2" t="inlineStr">
        <x:is>
          <x:t xml:space="preserve">电机</x:t>
        </x:is>
      </x:c>
      <x:c r="I2814" s="2" t="inlineStr">
        <x:is>
          <x:t xml:space="preserve">2011-04-28</x:t>
        </x:is>
      </x:c>
      <x:c r="J2814" s="3" t="inlineStr">
        <x:is>
          <x:t xml:space="preserve">南通市通州区四安镇庵东村</x:t>
        </x:is>
      </x:c>
      <x:c r="K2814" s="12" t="str">
        <x:f>LEFT("91320600138739115J",18)</x:f>
        <x:v>91320600138739115J</x:v>
      </x:c>
    </x:row>
    <x:row r="2815">
      <x:c r="A2815" s="4" t="n">
        <x:v>2814</x:v>
      </x:c>
      <x:c r="B2815" s="4" t="inlineStr">
        <x:is>
          <x:t xml:space="preserve">002585</x:t>
        </x:is>
      </x:c>
      <x:c r="C2815" s="5" t="inlineStr">
        <x:is>
          <x:t xml:space="preserve">双星新材</x:t>
        </x:is>
      </x:c>
      <x:c r="D2815" s="5" t="inlineStr">
        <x:is>
          <x:t xml:space="preserve">江苏双星彩塑新材料股份有限公司</x:t>
        </x:is>
      </x:c>
      <x:c r="E2815" s="4" t="inlineStr">
        <x:is>
          <x:t xml:space="preserve">江苏省</x:t>
        </x:is>
      </x:c>
      <x:c r="F2815" s="4" t="inlineStr">
        <x:is>
          <x:t xml:space="preserve">宿迁市</x:t>
        </x:is>
      </x:c>
      <x:c r="G2815" s="5" t="inlineStr">
        <x:is>
          <x:t xml:space="preserve">江苏省-宿迁市</x:t>
        </x:is>
      </x:c>
      <x:c r="H2815" s="4" t="inlineStr">
        <x:is>
          <x:t xml:space="preserve">塑料制品</x:t>
        </x:is>
      </x:c>
      <x:c r="I2815" s="4" t="inlineStr">
        <x:is>
          <x:t xml:space="preserve">2011-06-02</x:t>
        </x:is>
      </x:c>
      <x:c r="J2815" s="5" t="inlineStr">
        <x:is>
          <x:t xml:space="preserve">宿迁市彩塑工业园区井头街1号</x:t>
        </x:is>
      </x:c>
      <x:c r="K2815" s="12" t="str">
        <x:f>LEFT("913213001423289417",18)</x:f>
        <x:v>913213001423289500</x:v>
      </x:c>
    </x:row>
    <x:row r="2816">
      <x:c r="A2816" s="2" t="n">
        <x:v>2815</x:v>
      </x:c>
      <x:c r="B2816" s="2" t="inlineStr">
        <x:is>
          <x:t xml:space="preserve">002608</x:t>
        </x:is>
      </x:c>
      <x:c r="C2816" s="3" t="inlineStr">
        <x:is>
          <x:t xml:space="preserve">江苏国信</x:t>
        </x:is>
      </x:c>
      <x:c r="D2816" s="3" t="inlineStr">
        <x:is>
          <x:t xml:space="preserve">江苏国信股份有限公司</x:t>
        </x:is>
      </x:c>
      <x:c r="E2816" s="2" t="inlineStr">
        <x:is>
          <x:t xml:space="preserve">江苏省</x:t>
        </x:is>
      </x:c>
      <x:c r="F2816" s="2" t="inlineStr">
        <x:is>
          <x:t xml:space="preserve">南京市</x:t>
        </x:is>
      </x:c>
      <x:c r="G2816" s="3" t="inlineStr">
        <x:is>
          <x:t xml:space="preserve">江苏省-南京市</x:t>
        </x:is>
      </x:c>
      <x:c r="H2816" s="2" t="inlineStr">
        <x:is>
          <x:t xml:space="preserve">电力行业</x:t>
        </x:is>
      </x:c>
      <x:c r="I2816" s="2" t="inlineStr">
        <x:is>
          <x:t xml:space="preserve">2011-08-10</x:t>
        </x:is>
      </x:c>
      <x:c r="J2816" s="3" t="inlineStr">
        <x:is>
          <x:t xml:space="preserve">南京市玄武区长江路88号</x:t>
        </x:is>
      </x:c>
      <x:c r="K2816" s="12" t="str">
        <x:f>LEFT("91320000751254554N",18)</x:f>
        <x:v>91320000751254554N</x:v>
      </x:c>
    </x:row>
    <x:row r="2817">
      <x:c r="A2817" s="4" t="n">
        <x:v>2816</x:v>
      </x:c>
      <x:c r="B2817" s="4" t="inlineStr">
        <x:is>
          <x:t xml:space="preserve">002623</x:t>
        </x:is>
      </x:c>
      <x:c r="C2817" s="5" t="inlineStr">
        <x:is>
          <x:t xml:space="preserve">亚玛顿</x:t>
        </x:is>
      </x:c>
      <x:c r="D2817" s="5" t="inlineStr">
        <x:is>
          <x:t xml:space="preserve">常州亚玛顿股份有限公司</x:t>
        </x:is>
      </x:c>
      <x:c r="E2817" s="4" t="inlineStr">
        <x:is>
          <x:t xml:space="preserve">江苏省</x:t>
        </x:is>
      </x:c>
      <x:c r="F2817" s="4" t="inlineStr">
        <x:is>
          <x:t xml:space="preserve">常州市</x:t>
        </x:is>
      </x:c>
      <x:c r="G2817" s="5" t="inlineStr">
        <x:is>
          <x:t xml:space="preserve">江苏省-常州市</x:t>
        </x:is>
      </x:c>
      <x:c r="H2817" s="4" t="inlineStr">
        <x:is>
          <x:t xml:space="preserve">光伏设备</x:t>
        </x:is>
      </x:c>
      <x:c r="I2817" s="4" t="inlineStr">
        <x:is>
          <x:t xml:space="preserve">2011-10-13</x:t>
        </x:is>
      </x:c>
      <x:c r="J2817" s="5" t="inlineStr">
        <x:is>
          <x:t xml:space="preserve">江苏省常州市天宁区青龙东路639号</x:t>
        </x:is>
      </x:c>
      <x:c r="K2817" s="12" t="str">
        <x:f>LEFT("91320400791967559J",18)</x:f>
        <x:v>91320400791967559J</x:v>
      </x:c>
    </x:row>
    <x:row r="2818">
      <x:c r="A2818" s="2" t="n">
        <x:v>2817</x:v>
      </x:c>
      <x:c r="B2818" s="2" t="inlineStr">
        <x:is>
          <x:t xml:space="preserve">002631</x:t>
        </x:is>
      </x:c>
      <x:c r="C2818" s="3" t="inlineStr">
        <x:is>
          <x:t xml:space="preserve">德尔未来</x:t>
        </x:is>
      </x:c>
      <x:c r="D2818" s="3" t="inlineStr">
        <x:is>
          <x:t xml:space="preserve">德尔未来科技控股集团股份有限公司</x:t>
        </x:is>
      </x:c>
      <x:c r="E2818" s="2" t="inlineStr">
        <x:is>
          <x:t xml:space="preserve">江苏省</x:t>
        </x:is>
      </x:c>
      <x:c r="F2818" s="2" t="inlineStr">
        <x:is>
          <x:t xml:space="preserve">苏州市</x:t>
        </x:is>
      </x:c>
      <x:c r="G2818" s="3" t="inlineStr">
        <x:is>
          <x:t xml:space="preserve">江苏省-苏州市</x:t>
        </x:is>
      </x:c>
      <x:c r="H2818" s="2" t="inlineStr">
        <x:is>
          <x:t xml:space="preserve">木业家具</x:t>
        </x:is>
      </x:c>
      <x:c r="I2818" s="2" t="inlineStr">
        <x:is>
          <x:t xml:space="preserve">2011-11-11</x:t>
        </x:is>
      </x:c>
      <x:c r="J2818" s="3" t="inlineStr">
        <x:is>
          <x:t xml:space="preserve">江苏省苏州市吴江区七都镇七都大道</x:t>
        </x:is>
      </x:c>
      <x:c r="K2818" s="12" t="str">
        <x:f>LEFT("91320500767387634T",18)</x:f>
        <x:v>91320500767387634T</x:v>
      </x:c>
    </x:row>
    <x:row r="2819">
      <x:c r="A2819" s="4" t="n">
        <x:v>2818</x:v>
      </x:c>
      <x:c r="B2819" s="4" t="inlineStr">
        <x:is>
          <x:t xml:space="preserve">002635</x:t>
        </x:is>
      </x:c>
      <x:c r="C2819" s="5" t="inlineStr">
        <x:is>
          <x:t xml:space="preserve">安洁科技</x:t>
        </x:is>
      </x:c>
      <x:c r="D2819" s="5" t="inlineStr">
        <x:is>
          <x:t xml:space="preserve">苏州安洁科技股份有限公司</x:t>
        </x:is>
      </x:c>
      <x:c r="E2819" s="4" t="inlineStr">
        <x:is>
          <x:t xml:space="preserve">江苏省</x:t>
        </x:is>
      </x:c>
      <x:c r="F2819" s="4" t="inlineStr">
        <x:is>
          <x:t xml:space="preserve">苏州市</x:t>
        </x:is>
      </x:c>
      <x:c r="G2819" s="5" t="inlineStr">
        <x:is>
          <x:t xml:space="preserve">江苏省-苏州市</x:t>
        </x:is>
      </x:c>
      <x:c r="H2819" s="4" t="inlineStr">
        <x:is>
          <x:t xml:space="preserve">消费电子</x:t>
        </x:is>
      </x:c>
      <x:c r="I2819" s="4" t="inlineStr">
        <x:is>
          <x:t xml:space="preserve">2011-11-25</x:t>
        </x:is>
      </x:c>
      <x:c r="J2819" s="5" t="inlineStr">
        <x:is>
          <x:t xml:space="preserve">苏州市吴中区光福镇福锦路8号</x:t>
        </x:is>
      </x:c>
      <x:c r="K2819" s="12" t="str">
        <x:f>LEFT("913205007149933158",18)</x:f>
        <x:v>913205007149933200</x:v>
      </x:c>
    </x:row>
    <x:row r="2820">
      <x:c r="A2820" s="2" t="n">
        <x:v>2819</x:v>
      </x:c>
      <x:c r="B2820" s="2" t="inlineStr">
        <x:is>
          <x:t xml:space="preserve">002645</x:t>
        </x:is>
      </x:c>
      <x:c r="C2820" s="3" t="inlineStr">
        <x:is>
          <x:t xml:space="preserve">华宏科技</x:t>
        </x:is>
      </x:c>
      <x:c r="D2820" s="3" t="inlineStr">
        <x:is>
          <x:t xml:space="preserve">江苏华宏科技股份有限公司</x:t>
        </x:is>
      </x:c>
      <x:c r="E2820" s="2" t="inlineStr">
        <x:is>
          <x:t xml:space="preserve">江苏省</x:t>
        </x:is>
      </x:c>
      <x:c r="F2820" s="2" t="inlineStr">
        <x:is>
          <x:t xml:space="preserve">苏省江阴市</x:t>
        </x:is>
      </x:c>
      <x:c r="G2820" s="3" t="inlineStr">
        <x:is>
          <x:t xml:space="preserve">江苏省-苏省江阴市</x:t>
        </x:is>
      </x:c>
      <x:c r="H2820" s="2" t="inlineStr">
        <x:is>
          <x:t xml:space="preserve">环保行业</x:t>
        </x:is>
      </x:c>
      <x:c r="I2820" s="2" t="inlineStr">
        <x:is>
          <x:t xml:space="preserve">2011-12-20</x:t>
        </x:is>
      </x:c>
      <x:c r="J2820" s="3" t="inlineStr">
        <x:is>
          <x:t xml:space="preserve">江苏省江阴市周庄镇澄杨路1118号</x:t>
        </x:is>
      </x:c>
      <x:c r="K2820" s="12" t="str">
        <x:f>LEFT("913202007658600889",18)</x:f>
        <x:v>913202007658600800</x:v>
      </x:c>
    </x:row>
    <x:row r="2821">
      <x:c r="A2821" s="4" t="n">
        <x:v>2820</x:v>
      </x:c>
      <x:c r="B2821" s="4" t="inlineStr">
        <x:is>
          <x:t xml:space="preserve">002652</x:t>
        </x:is>
      </x:c>
      <x:c r="C2821" s="5" t="inlineStr">
        <x:is>
          <x:t xml:space="preserve">扬子新材</x:t>
        </x:is>
      </x:c>
      <x:c r="D2821" s="5" t="inlineStr">
        <x:is>
          <x:t xml:space="preserve">苏州扬子江新型材料股份有限公司</x:t>
        </x:is>
      </x:c>
      <x:c r="E2821" s="4" t="inlineStr">
        <x:is>
          <x:t xml:space="preserve">江苏省</x:t>
        </x:is>
      </x:c>
      <x:c r="F2821" s="4" t="inlineStr">
        <x:is>
          <x:t xml:space="preserve">苏州市</x:t>
        </x:is>
      </x:c>
      <x:c r="G2821" s="5" t="inlineStr">
        <x:is>
          <x:t xml:space="preserve">江苏省-苏州市</x:t>
        </x:is>
      </x:c>
      <x:c r="H2821" s="4" t="inlineStr">
        <x:is>
          <x:t xml:space="preserve">装修建材</x:t>
        </x:is>
      </x:c>
      <x:c r="I2821" s="4" t="inlineStr">
        <x:is>
          <x:t xml:space="preserve">2012-01-19</x:t>
        </x:is>
      </x:c>
      <x:c r="J2821" s="5" t="inlineStr">
        <x:is>
          <x:t xml:space="preserve">苏州市相城区潘阳工业园春丰路88号</x:t>
        </x:is>
      </x:c>
      <x:c r="K2821" s="12" t="str">
        <x:f>LEFT("91320500744822787J",18)</x:f>
        <x:v>91320500744822787J</x:v>
      </x:c>
    </x:row>
    <x:row r="2822">
      <x:c r="A2822" s="2" t="n">
        <x:v>2821</x:v>
      </x:c>
      <x:c r="B2822" s="2" t="inlineStr">
        <x:is>
          <x:t xml:space="preserve">002685</x:t>
        </x:is>
      </x:c>
      <x:c r="C2822" s="3" t="inlineStr">
        <x:is>
          <x:t xml:space="preserve">华东重机</x:t>
        </x:is>
      </x:c>
      <x:c r="D2822" s="3" t="inlineStr">
        <x:is>
          <x:t xml:space="preserve">无锡华东重型机械股份有限公司</x:t>
        </x:is>
      </x:c>
      <x:c r="E2822" s="2" t="inlineStr">
        <x:is>
          <x:t xml:space="preserve">江苏省</x:t>
        </x:is>
      </x:c>
      <x:c r="F2822" s="2" t="inlineStr">
        <x:is>
          <x:t xml:space="preserve">无锡市</x:t>
        </x:is>
      </x:c>
      <x:c r="G2822" s="3" t="inlineStr">
        <x:is>
          <x:t xml:space="preserve">江苏省-无锡市</x:t>
        </x:is>
      </x:c>
      <x:c r="H2822" s="2" t="inlineStr">
        <x:is>
          <x:t xml:space="preserve">机械行业</x:t>
        </x:is>
      </x:c>
      <x:c r="I2822" s="2" t="inlineStr">
        <x:is>
          <x:t xml:space="preserve">2012-06-12</x:t>
        </x:is>
      </x:c>
      <x:c r="J2822" s="3" t="inlineStr">
        <x:is>
          <x:t xml:space="preserve">无锡市滨湖区高浪东路508号华发传感大厦B座24楼</x:t>
        </x:is>
      </x:c>
      <x:c r="K2822" s="12" t="str">
        <x:f>LEFT("91320200755862928J",18)</x:f>
        <x:v>91320200755862928J</x:v>
      </x:c>
    </x:row>
    <x:row r="2823">
      <x:c r="A2823" s="4" t="n">
        <x:v>2822</x:v>
      </x:c>
      <x:c r="B2823" s="4" t="inlineStr">
        <x:is>
          <x:t xml:space="preserve">002692</x:t>
        </x:is>
      </x:c>
      <x:c r="C2823" s="5" t="inlineStr">
        <x:is>
          <x:t xml:space="preserve">远程股份</x:t>
        </x:is>
      </x:c>
      <x:c r="D2823" s="5" t="inlineStr">
        <x:is>
          <x:t xml:space="preserve">远程电缆股份有限公司</x:t>
        </x:is>
      </x:c>
      <x:c r="E2823" s="4" t="inlineStr">
        <x:is>
          <x:t xml:space="preserve">江苏省</x:t>
        </x:is>
      </x:c>
      <x:c r="F2823" s="4" t="inlineStr">
        <x:is>
          <x:t xml:space="preserve">苏省宜兴市</x:t>
        </x:is>
      </x:c>
      <x:c r="G2823" s="5" t="inlineStr">
        <x:is>
          <x:t xml:space="preserve">江苏省-苏省宜兴市</x:t>
        </x:is>
      </x:c>
      <x:c r="H2823" s="4" t="inlineStr">
        <x:is>
          <x:t xml:space="preserve">输配电气</x:t>
        </x:is>
      </x:c>
      <x:c r="I2823" s="4" t="inlineStr">
        <x:is>
          <x:t xml:space="preserve">2012-08-08</x:t>
        </x:is>
      </x:c>
      <x:c r="J2823" s="5" t="inlineStr">
        <x:is>
          <x:t xml:space="preserve">江苏省宜兴市官林镇远程路8号</x:t>
        </x:is>
      </x:c>
      <x:c r="K2823" s="12" t="str">
        <x:f>LEFT("913202007265601380",18)</x:f>
        <x:v>913202007265601400</x:v>
      </x:c>
    </x:row>
    <x:row r="2824">
      <x:c r="A2824" s="2" t="n">
        <x:v>2823</x:v>
      </x:c>
      <x:c r="B2824" s="2" t="inlineStr">
        <x:is>
          <x:t xml:space="preserve">002708</x:t>
        </x:is>
      </x:c>
      <x:c r="C2824" s="3" t="inlineStr">
        <x:is>
          <x:t xml:space="preserve">光洋股份</x:t>
        </x:is>
      </x:c>
      <x:c r="D2824" s="3" t="inlineStr">
        <x:is>
          <x:t xml:space="preserve">常州光洋轴承股份有限公司</x:t>
        </x:is>
      </x:c>
      <x:c r="E2824" s="2" t="inlineStr">
        <x:is>
          <x:t xml:space="preserve">江苏省</x:t>
        </x:is>
      </x:c>
      <x:c r="F2824" s="2" t="inlineStr">
        <x:is>
          <x:t xml:space="preserve">常州市</x:t>
        </x:is>
      </x:c>
      <x:c r="G2824" s="3" t="inlineStr">
        <x:is>
          <x:t xml:space="preserve">江苏省-常州市</x:t>
        </x:is>
      </x:c>
      <x:c r="H2824" s="2" t="inlineStr">
        <x:is>
          <x:t xml:space="preserve">汽车行业</x:t>
        </x:is>
      </x:c>
      <x:c r="I2824" s="2" t="inlineStr">
        <x:is>
          <x:t xml:space="preserve">2014-01-21</x:t>
        </x:is>
      </x:c>
      <x:c r="J2824" s="3" t="inlineStr">
        <x:is>
          <x:t xml:space="preserve">常州市新北区汉江路52号</x:t>
        </x:is>
      </x:c>
      <x:c r="K2824" s="12" t="str">
        <x:f>LEFT("91320400250847503H",18)</x:f>
        <x:v>91320400250847503H</x:v>
      </x:c>
    </x:row>
    <x:row r="2825">
      <x:c r="A2825" s="4" t="n">
        <x:v>2824</x:v>
      </x:c>
      <x:c r="B2825" s="4" t="inlineStr">
        <x:is>
          <x:t xml:space="preserve">002722</x:t>
        </x:is>
      </x:c>
      <x:c r="C2825" s="5" t="inlineStr">
        <x:is>
          <x:t xml:space="preserve">物产金轮</x:t>
        </x:is>
      </x:c>
      <x:c r="D2825" s="5" t="inlineStr">
        <x:is>
          <x:t xml:space="preserve">物产中大金轮蓝海股份有限公司</x:t>
        </x:is>
      </x:c>
      <x:c r="E2825" s="4" t="inlineStr">
        <x:is>
          <x:t xml:space="preserve">江苏省</x:t>
        </x:is>
      </x:c>
      <x:c r="F2825" s="4" t="inlineStr">
        <x:is>
          <x:t xml:space="preserve">苏省海门市</x:t>
        </x:is>
      </x:c>
      <x:c r="G2825" s="5" t="inlineStr">
        <x:is>
          <x:t xml:space="preserve">江苏省-苏省海门市</x:t>
        </x:is>
      </x:c>
      <x:c r="H2825" s="4" t="inlineStr">
        <x:is>
          <x:t xml:space="preserve">纺织服装</x:t>
        </x:is>
      </x:c>
      <x:c r="I2825" s="4" t="inlineStr">
        <x:is>
          <x:t xml:space="preserve">2014-01-28</x:t>
        </x:is>
      </x:c>
      <x:c r="J2825" s="5" t="inlineStr">
        <x:is>
          <x:t xml:space="preserve">江苏省海门市海门经济技术开发区广州路999号</x:t>
        </x:is>
      </x:c>
      <x:c r="K2825" s="12" t="str">
        <x:f>LEFT("913206007691214935",18)</x:f>
        <x:v>913206007691215000</x:v>
      </x:c>
    </x:row>
    <x:row r="2826">
      <x:c r="A2826" s="2" t="n">
        <x:v>2825</x:v>
      </x:c>
      <x:c r="B2826" s="2" t="inlineStr">
        <x:is>
          <x:t xml:space="preserve">002734</x:t>
        </x:is>
      </x:c>
      <x:c r="C2826" s="3" t="inlineStr">
        <x:is>
          <x:t xml:space="preserve">利民股份</x:t>
        </x:is>
      </x:c>
      <x:c r="D2826" s="3" t="inlineStr">
        <x:is>
          <x:t xml:space="preserve">利民控股集团股份有限公司</x:t>
        </x:is>
      </x:c>
      <x:c r="E2826" s="2" t="inlineStr">
        <x:is>
          <x:t xml:space="preserve">江苏省</x:t>
        </x:is>
      </x:c>
      <x:c r="F2826" s="2" t="inlineStr">
        <x:is>
          <x:t xml:space="preserve">徐州市</x:t>
        </x:is>
      </x:c>
      <x:c r="G2826" s="3" t="inlineStr">
        <x:is>
          <x:t xml:space="preserve">江苏省-徐州市</x:t>
        </x:is>
      </x:c>
      <x:c r="H2826" s="2" t="inlineStr">
        <x:is>
          <x:t xml:space="preserve">农药兽药</x:t>
        </x:is>
      </x:c>
      <x:c r="I2826" s="2" t="inlineStr">
        <x:is>
          <x:t xml:space="preserve">2015-01-27</x:t>
        </x:is>
      </x:c>
      <x:c r="J2826" s="3" t="inlineStr">
        <x:is>
          <x:t xml:space="preserve">江苏省新沂经济开发区</x:t>
        </x:is>
      </x:c>
      <x:c r="K2826" s="12" t="str">
        <x:f>LEFT("913203001371181571",18)</x:f>
        <x:v>913203001371181600</x:v>
      </x:c>
    </x:row>
    <x:row r="2827">
      <x:c r="A2827" s="4" t="n">
        <x:v>2826</x:v>
      </x:c>
      <x:c r="B2827" s="4" t="inlineStr">
        <x:is>
          <x:t xml:space="preserve">002747</x:t>
        </x:is>
      </x:c>
      <x:c r="C2827" s="5" t="inlineStr">
        <x:is>
          <x:t xml:space="preserve">埃斯顿</x:t>
        </x:is>
      </x:c>
      <x:c r="D2827" s="5" t="inlineStr">
        <x:is>
          <x:t xml:space="preserve">南京埃斯顿自动化股份有限公司</x:t>
        </x:is>
      </x:c>
      <x:c r="E2827" s="4" t="inlineStr">
        <x:is>
          <x:t xml:space="preserve">江苏省</x:t>
        </x:is>
      </x:c>
      <x:c r="F2827" s="4" t="inlineStr">
        <x:is>
          <x:t xml:space="preserve">南京市</x:t>
        </x:is>
      </x:c>
      <x:c r="G2827" s="5" t="inlineStr">
        <x:is>
          <x:t xml:space="preserve">江苏省-南京市</x:t>
        </x:is>
      </x:c>
      <x:c r="H2827" s="4" t="inlineStr">
        <x:is>
          <x:t xml:space="preserve">机械行业</x:t>
        </x:is>
      </x:c>
      <x:c r="I2827" s="4" t="inlineStr">
        <x:is>
          <x:t xml:space="preserve">2015-03-20</x:t>
        </x:is>
      </x:c>
      <x:c r="J2827" s="5" t="inlineStr">
        <x:is>
          <x:t xml:space="preserve">南京市江宁区吉印大道1888号(江宁开发区)</x:t>
        </x:is>
      </x:c>
      <x:c r="K2827" s="12" t="str">
        <x:f>LEFT("91320100736056891U",18)</x:f>
        <x:v>91320100736056891U</x:v>
      </x:c>
    </x:row>
    <x:row r="2828">
      <x:c r="A2828" s="2" t="n">
        <x:v>2827</x:v>
      </x:c>
      <x:c r="B2828" s="2" t="inlineStr">
        <x:is>
          <x:t xml:space="preserve">002778</x:t>
        </x:is>
      </x:c>
      <x:c r="C2828" s="3" t="inlineStr">
        <x:is>
          <x:t xml:space="preserve">中晟高科</x:t>
        </x:is>
      </x:c>
      <x:c r="D2828" s="3" t="inlineStr">
        <x:is>
          <x:t xml:space="preserve">江苏中晟高科环境股份有限公司</x:t>
        </x:is>
      </x:c>
      <x:c r="E2828" s="2" t="inlineStr">
        <x:is>
          <x:t xml:space="preserve">江苏省</x:t>
        </x:is>
      </x:c>
      <x:c r="F2828" s="2" t="inlineStr">
        <x:is>
          <x:t xml:space="preserve">苏省宜兴市</x:t>
        </x:is>
      </x:c>
      <x:c r="G2828" s="3" t="inlineStr">
        <x:is>
          <x:t xml:space="preserve">江苏省-苏省宜兴市</x:t>
        </x:is>
      </x:c>
      <x:c r="H2828" s="2" t="inlineStr">
        <x:is>
          <x:t xml:space="preserve">环保行业</x:t>
        </x:is>
      </x:c>
      <x:c r="I2828" s="2" t="inlineStr">
        <x:is>
          <x:t xml:space="preserve">2016-01-06</x:t>
        </x:is>
      </x:c>
      <x:c r="J2828" s="3" t="inlineStr">
        <x:is>
          <x:t xml:space="preserve">江苏省宜兴市徐舍镇腾飞路20号</x:t>
        </x:is>
      </x:c>
      <x:c r="K2828" s="12" t="str">
        <x:f>LEFT("913202001428987092",18)</x:f>
        <x:v>913202001428987100</x:v>
      </x:c>
    </x:row>
    <x:row r="2829">
      <x:c r="A2829" s="4" t="n">
        <x:v>2828</x:v>
      </x:c>
      <x:c r="B2829" s="4" t="inlineStr">
        <x:is>
          <x:t xml:space="preserve">002787</x:t>
        </x:is>
      </x:c>
      <x:c r="C2829" s="5" t="inlineStr">
        <x:is>
          <x:t xml:space="preserve">华源控股</x:t>
        </x:is>
      </x:c>
      <x:c r="D2829" s="5" t="inlineStr">
        <x:is>
          <x:t xml:space="preserve">苏州华源控股股份有限公司</x:t>
        </x:is>
      </x:c>
      <x:c r="E2829" s="4" t="inlineStr">
        <x:is>
          <x:t xml:space="preserve">江苏省</x:t>
        </x:is>
      </x:c>
      <x:c r="F2829" s="4" t="inlineStr">
        <x:is>
          <x:t xml:space="preserve">苏州市</x:t>
        </x:is>
      </x:c>
      <x:c r="G2829" s="5" t="inlineStr">
        <x:is>
          <x:t xml:space="preserve">江苏省-苏州市</x:t>
        </x:is>
      </x:c>
      <x:c r="H2829" s="4" t="inlineStr">
        <x:is>
          <x:t xml:space="preserve">包装材料</x:t>
        </x:is>
      </x:c>
      <x:c r="I2829" s="4" t="inlineStr">
        <x:is>
          <x:t xml:space="preserve">2015-12-31</x:t>
        </x:is>
      </x:c>
      <x:c r="J2829" s="5" t="inlineStr">
        <x:is>
          <x:t xml:space="preserve">苏州市吴江区桃源镇桃乌公路1948号</x:t>
        </x:is>
      </x:c>
      <x:c r="K2829" s="12" t="str">
        <x:f>LEFT("91320500703698097R",18)</x:f>
        <x:v>91320500703698097R</x:v>
      </x:c>
    </x:row>
    <x:row r="2830">
      <x:c r="A2830" s="2" t="n">
        <x:v>2829</x:v>
      </x:c>
      <x:c r="B2830" s="2" t="inlineStr">
        <x:is>
          <x:t xml:space="preserve">002796</x:t>
        </x:is>
      </x:c>
      <x:c r="C2830" s="3" t="inlineStr">
        <x:is>
          <x:t xml:space="preserve">世嘉科技</x:t>
        </x:is>
      </x:c>
      <x:c r="D2830" s="3" t="inlineStr">
        <x:is>
          <x:t xml:space="preserve">苏州市世嘉科技股份有限公司</x:t>
        </x:is>
      </x:c>
      <x:c r="E2830" s="2" t="inlineStr">
        <x:is>
          <x:t xml:space="preserve">江苏省</x:t>
        </x:is>
      </x:c>
      <x:c r="F2830" s="2" t="inlineStr">
        <x:is>
          <x:t xml:space="preserve">苏州市</x:t>
        </x:is>
      </x:c>
      <x:c r="G2830" s="3" t="inlineStr">
        <x:is>
          <x:t xml:space="preserve">江苏省-苏州市</x:t>
        </x:is>
      </x:c>
      <x:c r="H2830" s="2" t="inlineStr">
        <x:is>
          <x:t xml:space="preserve">专用设备</x:t>
        </x:is>
      </x:c>
      <x:c r="I2830" s="2" t="inlineStr">
        <x:is>
          <x:t xml:space="preserve">2016-05-10</x:t>
        </x:is>
      </x:c>
      <x:c r="J2830" s="3" t="inlineStr">
        <x:is>
          <x:t xml:space="preserve">苏州市建林路439号</x:t>
        </x:is>
      </x:c>
      <x:c r="K2830" s="12" t="str">
        <x:f>LEFT("913205001379993534",18)</x:f>
        <x:v>913205001379993500</x:v>
      </x:c>
    </x:row>
    <x:row r="2831">
      <x:c r="A2831" s="4" t="n">
        <x:v>2830</x:v>
      </x:c>
      <x:c r="B2831" s="4" t="inlineStr">
        <x:is>
          <x:t xml:space="preserve">002802</x:t>
        </x:is>
      </x:c>
      <x:c r="C2831" s="5" t="inlineStr">
        <x:is>
          <x:t xml:space="preserve">洪汇新材</x:t>
        </x:is>
      </x:c>
      <x:c r="D2831" s="5" t="inlineStr">
        <x:is>
          <x:t xml:space="preserve">无锡洪汇新材料科技股份有限公司</x:t>
        </x:is>
      </x:c>
      <x:c r="E2831" s="4" t="inlineStr">
        <x:is>
          <x:t xml:space="preserve">江苏省</x:t>
        </x:is>
      </x:c>
      <x:c r="F2831" s="4" t="inlineStr">
        <x:is>
          <x:t xml:space="preserve">无锡市</x:t>
        </x:is>
      </x:c>
      <x:c r="G2831" s="5" t="inlineStr">
        <x:is>
          <x:t xml:space="preserve">江苏省-无锡市</x:t>
        </x:is>
      </x:c>
      <x:c r="H2831" s="4" t="inlineStr">
        <x:is>
          <x:t xml:space="preserve">化工行业</x:t>
        </x:is>
      </x:c>
      <x:c r="I2831" s="4" t="inlineStr">
        <x:is>
          <x:t xml:space="preserve">2016-06-29</x:t>
        </x:is>
      </x:c>
      <x:c r="J2831" s="5" t="inlineStr">
        <x:is>
          <x:t xml:space="preserve">无锡市锡山区东港镇新材料产业园</x:t>
        </x:is>
      </x:c>
      <x:c r="K2831" s="12" t="str">
        <x:f>LEFT("9132020072665605XK",18)</x:f>
        <x:v>9132020072665605XK</x:v>
      </x:c>
    </x:row>
    <x:row r="2832">
      <x:c r="A2832" s="2" t="n">
        <x:v>2831</x:v>
      </x:c>
      <x:c r="B2832" s="2" t="inlineStr">
        <x:is>
          <x:t xml:space="preserve">002807</x:t>
        </x:is>
      </x:c>
      <x:c r="C2832" s="3" t="inlineStr">
        <x:is>
          <x:t xml:space="preserve">江阴银行</x:t>
        </x:is>
      </x:c>
      <x:c r="D2832" s="3" t="inlineStr">
        <x:is>
          <x:t xml:space="preserve">江苏江阴农村商业银行股份有限公司</x:t>
        </x:is>
      </x:c>
      <x:c r="E2832" s="2" t="inlineStr">
        <x:is>
          <x:t xml:space="preserve">江苏省</x:t>
        </x:is>
      </x:c>
      <x:c r="F2832" s="2" t="inlineStr">
        <x:is>
          <x:t xml:space="preserve">苏省江阴市</x:t>
        </x:is>
      </x:c>
      <x:c r="G2832" s="3" t="inlineStr">
        <x:is>
          <x:t xml:space="preserve">江苏省-苏省江阴市</x:t>
        </x:is>
      </x:c>
      <x:c r="H2832" s="2" t="inlineStr">
        <x:is>
          <x:t xml:space="preserve">银行</x:t>
        </x:is>
      </x:c>
      <x:c r="I2832" s="2" t="inlineStr">
        <x:is>
          <x:t xml:space="preserve">2016-09-02</x:t>
        </x:is>
      </x:c>
      <x:c r="J2832" s="3" t="inlineStr">
        <x:is>
          <x:t xml:space="preserve">中国江苏省江阴市澄江中路1号</x:t>
        </x:is>
      </x:c>
      <x:c r="K2832" s="12" t="str">
        <x:f>LEFT("91320000732252764N",18)</x:f>
        <x:v>91320000732252764N</x:v>
      </x:c>
    </x:row>
    <x:row r="2833">
      <x:c r="A2833" s="4" t="n">
        <x:v>2832</x:v>
      </x:c>
      <x:c r="B2833" s="4" t="inlineStr">
        <x:is>
          <x:t xml:space="preserve">002808</x:t>
        </x:is>
      </x:c>
      <x:c r="C2833" s="5" t="inlineStr">
        <x:is>
          <x:t xml:space="preserve">*ST恒久</x:t>
        </x:is>
      </x:c>
      <x:c r="D2833" s="5" t="inlineStr">
        <x:is>
          <x:t xml:space="preserve">苏州恒久光电科技股份有限公司</x:t>
        </x:is>
      </x:c>
      <x:c r="E2833" s="4" t="inlineStr">
        <x:is>
          <x:t xml:space="preserve">江苏省</x:t>
        </x:is>
      </x:c>
      <x:c r="F2833" s="4" t="inlineStr">
        <x:is>
          <x:t xml:space="preserve">苏州市</x:t>
        </x:is>
      </x:c>
      <x:c r="G2833" s="5" t="inlineStr">
        <x:is>
          <x:t xml:space="preserve">江苏省-苏州市</x:t>
        </x:is>
      </x:c>
      <x:c r="H2833" s="4" t="inlineStr">
        <x:is>
          <x:t xml:space="preserve">光学光电子</x:t>
        </x:is>
      </x:c>
      <x:c r="I2833" s="4" t="inlineStr">
        <x:is>
          <x:t xml:space="preserve">2016-08-12</x:t>
        </x:is>
      </x:c>
      <x:c r="J2833" s="5" t="inlineStr">
        <x:is>
          <x:t xml:space="preserve">江苏省苏州市高新区火炬路38号</x:t>
        </x:is>
      </x:c>
      <x:c r="K2833" s="12" t="str">
        <x:f>LEFT("91320500737061190F",18)</x:f>
        <x:v>91320500737061190F</x:v>
      </x:c>
    </x:row>
    <x:row r="2834">
      <x:c r="A2834" s="2" t="n">
        <x:v>2833</x:v>
      </x:c>
      <x:c r="B2834" s="2" t="inlineStr">
        <x:is>
          <x:t xml:space="preserve">002839</x:t>
        </x:is>
      </x:c>
      <x:c r="C2834" s="3" t="inlineStr">
        <x:is>
          <x:t xml:space="preserve">张家港行</x:t>
        </x:is>
      </x:c>
      <x:c r="D2834" s="3" t="inlineStr">
        <x:is>
          <x:t xml:space="preserve">江苏张家港农村商业银行股份有限公司</x:t>
        </x:is>
      </x:c>
      <x:c r="E2834" s="2" t="inlineStr">
        <x:is>
          <x:t xml:space="preserve">江苏省</x:t>
        </x:is>
      </x:c>
      <x:c r="F2834" s="2" t="inlineStr">
        <x:is>
          <x:t xml:space="preserve">苏州市</x:t>
        </x:is>
      </x:c>
      <x:c r="G2834" s="3" t="inlineStr">
        <x:is>
          <x:t xml:space="preserve">江苏省-苏州市</x:t>
        </x:is>
      </x:c>
      <x:c r="H2834" s="2" t="inlineStr">
        <x:is>
          <x:t xml:space="preserve">银行</x:t>
        </x:is>
      </x:c>
      <x:c r="I2834" s="2" t="inlineStr">
        <x:is>
          <x:t xml:space="preserve">2017-01-24</x:t>
        </x:is>
      </x:c>
      <x:c r="J2834" s="3" t="inlineStr">
        <x:is>
          <x:t xml:space="preserve">江苏省苏州市张家港市杨舍镇人民中路66号</x:t>
        </x:is>
      </x:c>
      <x:c r="K2834" s="12" t="str">
        <x:f>LEFT("91320000732252238K",18)</x:f>
        <x:v>91320000732252238K</x:v>
      </x:c>
    </x:row>
    <x:row r="2835">
      <x:c r="A2835" s="4" t="n">
        <x:v>2834</x:v>
      </x:c>
      <x:c r="B2835" s="4" t="inlineStr">
        <x:is>
          <x:t xml:space="preserve">002866</x:t>
        </x:is>
      </x:c>
      <x:c r="C2835" s="5" t="inlineStr">
        <x:is>
          <x:t xml:space="preserve">传艺科技</x:t>
        </x:is>
      </x:c>
      <x:c r="D2835" s="5" t="inlineStr">
        <x:is>
          <x:t xml:space="preserve">江苏传艺科技股份有限公司</x:t>
        </x:is>
      </x:c>
      <x:c r="E2835" s="4" t="inlineStr">
        <x:is>
          <x:t xml:space="preserve">江苏省</x:t>
        </x:is>
      </x:c>
      <x:c r="F2835" s="4" t="inlineStr">
        <x:is>
          <x:t xml:space="preserve">苏省高邮市</x:t>
        </x:is>
      </x:c>
      <x:c r="G2835" s="5" t="inlineStr">
        <x:is>
          <x:t xml:space="preserve">江苏省-苏省高邮市</x:t>
        </x:is>
      </x:c>
      <x:c r="H2835" s="4" t="inlineStr">
        <x:is>
          <x:t xml:space="preserve">消费电子</x:t>
        </x:is>
      </x:c>
      <x:c r="I2835" s="4" t="inlineStr">
        <x:is>
          <x:t xml:space="preserve">2017-04-26</x:t>
        </x:is>
      </x:c>
      <x:c r="J2835" s="5" t="inlineStr">
        <x:is>
          <x:t xml:space="preserve">江苏省高邮市高邮经济开发区凌波路33号</x:t>
        </x:is>
      </x:c>
      <x:c r="K2835" s="12" t="str">
        <x:f>LEFT("91321000668399955L",18)</x:f>
        <x:v>91321000668399955L</x:v>
      </x:c>
    </x:row>
    <x:row r="2836">
      <x:c r="A2836" s="2" t="n">
        <x:v>2835</x:v>
      </x:c>
      <x:c r="B2836" s="2" t="inlineStr">
        <x:is>
          <x:t xml:space="preserve">002877</x:t>
        </x:is>
      </x:c>
      <x:c r="C2836" s="3" t="inlineStr">
        <x:is>
          <x:t xml:space="preserve">智能自控</x:t>
        </x:is>
      </x:c>
      <x:c r="D2836" s="3" t="inlineStr">
        <x:is>
          <x:t xml:space="preserve">无锡智能自控工程股份有限公司</x:t>
        </x:is>
      </x:c>
      <x:c r="E2836" s="2" t="inlineStr">
        <x:is>
          <x:t xml:space="preserve">江苏省</x:t>
        </x:is>
      </x:c>
      <x:c r="F2836" s="2" t="inlineStr">
        <x:is>
          <x:t xml:space="preserve">无锡市</x:t>
        </x:is>
      </x:c>
      <x:c r="G2836" s="3" t="inlineStr">
        <x:is>
          <x:t xml:space="preserve">江苏省-无锡市</x:t>
        </x:is>
      </x:c>
      <x:c r="H2836" s="2" t="inlineStr">
        <x:is>
          <x:t xml:space="preserve">仪器仪表</x:t>
        </x:is>
      </x:c>
      <x:c r="I2836" s="2" t="inlineStr">
        <x:is>
          <x:t xml:space="preserve">2017-06-05</x:t>
        </x:is>
      </x:c>
      <x:c r="J2836" s="3" t="inlineStr">
        <x:is>
          <x:t xml:space="preserve">无锡市锡达路258号</x:t>
        </x:is>
      </x:c>
      <x:c r="K2836" s="12" t="str">
        <x:f>LEFT("91320200732272706G",18)</x:f>
        <x:v>91320200732272706G</x:v>
      </x:c>
    </x:row>
    <x:row r="2837">
      <x:c r="A2837" s="4" t="n">
        <x:v>2836</x:v>
      </x:c>
      <x:c r="B2837" s="4" t="inlineStr">
        <x:is>
          <x:t xml:space="preserve">002883</x:t>
        </x:is>
      </x:c>
      <x:c r="C2837" s="5" t="inlineStr">
        <x:is>
          <x:t xml:space="preserve">中设股份</x:t>
        </x:is>
      </x:c>
      <x:c r="D2837" s="5" t="inlineStr">
        <x:is>
          <x:t xml:space="preserve">江苏中设集团股份有限公司</x:t>
        </x:is>
      </x:c>
      <x:c r="E2837" s="4" t="inlineStr">
        <x:is>
          <x:t xml:space="preserve">江苏省</x:t>
        </x:is>
      </x:c>
      <x:c r="F2837" s="4" t="inlineStr">
        <x:is>
          <x:t xml:space="preserve">无锡市</x:t>
        </x:is>
      </x:c>
      <x:c r="G2837" s="5" t="inlineStr">
        <x:is>
          <x:t xml:space="preserve">江苏省-无锡市</x:t>
        </x:is>
      </x:c>
      <x:c r="H2837" s="4" t="inlineStr">
        <x:is>
          <x:t xml:space="preserve">工程咨询服务</x:t>
        </x:is>
      </x:c>
      <x:c r="I2837" s="4" t="inlineStr">
        <x:is>
          <x:t xml:space="preserve">2017-06-20</x:t>
        </x:is>
      </x:c>
      <x:c r="J2837" s="5" t="inlineStr">
        <x:is>
          <x:t xml:space="preserve">无锡市滨湖区清源路268-1号</x:t>
        </x:is>
      </x:c>
      <x:c r="K2837" s="12" t="str">
        <x:f>LEFT("91320200135895905U",18)</x:f>
        <x:v>91320200135895905U</x:v>
      </x:c>
    </x:row>
    <x:row r="2838">
      <x:c r="A2838" s="2" t="n">
        <x:v>2837</x:v>
      </x:c>
      <x:c r="B2838" s="2" t="inlineStr">
        <x:is>
          <x:t xml:space="preserve">002947</x:t>
        </x:is>
      </x:c>
      <x:c r="C2838" s="3" t="inlineStr">
        <x:is>
          <x:t xml:space="preserve">恒铭达</x:t>
        </x:is>
      </x:c>
      <x:c r="D2838" s="3" t="inlineStr">
        <x:is>
          <x:t xml:space="preserve">苏州恒铭达电子科技股份有限公司</x:t>
        </x:is>
      </x:c>
      <x:c r="E2838" s="2" t="inlineStr">
        <x:is>
          <x:t xml:space="preserve">江苏省</x:t>
        </x:is>
      </x:c>
      <x:c r="F2838" s="2" t="inlineStr">
        <x:is>
          <x:t xml:space="preserve">昆山市</x:t>
        </x:is>
      </x:c>
      <x:c r="G2838" s="3" t="inlineStr">
        <x:is>
          <x:t xml:space="preserve">江苏省-昆山市</x:t>
        </x:is>
      </x:c>
      <x:c r="H2838" s="2" t="inlineStr">
        <x:is>
          <x:t xml:space="preserve">消费电子</x:t>
        </x:is>
      </x:c>
      <x:c r="I2838" s="2" t="inlineStr">
        <x:is>
          <x:t xml:space="preserve">2019-02-01</x:t>
        </x:is>
      </x:c>
      <x:c r="J2838" s="3" t="inlineStr">
        <x:is>
          <x:t xml:space="preserve">昆山市巴城镇石牌塔基路1568号</x:t>
        </x:is>
      </x:c>
      <x:c r="K2838" s="12" t="str">
        <x:f>LEFT("913205835794960677",18)</x:f>
        <x:v>913205835794960600</x:v>
      </x:c>
    </x:row>
    <x:row r="2839">
      <x:c r="A2839" s="4" t="n">
        <x:v>2838</x:v>
      </x:c>
      <x:c r="B2839" s="4" t="inlineStr">
        <x:is>
          <x:t xml:space="preserve">002966</x:t>
        </x:is>
      </x:c>
      <x:c r="C2839" s="5" t="inlineStr">
        <x:is>
          <x:t xml:space="preserve">苏州银行</x:t>
        </x:is>
      </x:c>
      <x:c r="D2839" s="5" t="inlineStr">
        <x:is>
          <x:t xml:space="preserve">苏州银行股份有限公司</x:t>
        </x:is>
      </x:c>
      <x:c r="E2839" s="4" t="inlineStr">
        <x:is>
          <x:t xml:space="preserve">江苏省</x:t>
        </x:is>
      </x:c>
      <x:c r="F2839" s="4" t="inlineStr">
        <x:is>
          <x:t xml:space="preserve">苏州市</x:t>
        </x:is>
      </x:c>
      <x:c r="G2839" s="5" t="inlineStr">
        <x:is>
          <x:t xml:space="preserve">江苏省-苏州市</x:t>
        </x:is>
      </x:c>
      <x:c r="H2839" s="4" t="inlineStr">
        <x:is>
          <x:t xml:space="preserve">银行</x:t>
        </x:is>
      </x:c>
      <x:c r="I2839" s="4" t="inlineStr">
        <x:is>
          <x:t xml:space="preserve">2019-08-02</x:t>
        </x:is>
      </x:c>
      <x:c r="J2839" s="5" t="inlineStr">
        <x:is>
          <x:t xml:space="preserve">江苏省苏州工业园区钟园路728号</x:t>
        </x:is>
      </x:c>
      <x:c r="K2839" s="12" t="str">
        <x:f>LEFT("91320000768299855B",18)</x:f>
        <x:v>91320000768299855B</x:v>
      </x:c>
    </x:row>
    <x:row r="2840">
      <x:c r="A2840" s="2" t="n">
        <x:v>2839</x:v>
      </x:c>
      <x:c r="B2840" s="2" t="inlineStr">
        <x:is>
          <x:t xml:space="preserve">002976</x:t>
        </x:is>
      </x:c>
      <x:c r="C2840" s="3" t="inlineStr">
        <x:is>
          <x:t xml:space="preserve">瑞玛精密</x:t>
        </x:is>
      </x:c>
      <x:c r="D2840" s="3" t="inlineStr">
        <x:is>
          <x:t xml:space="preserve">苏州瑞玛精密工业集团股份有限公司</x:t>
        </x:is>
      </x:c>
      <x:c r="E2840" s="2" t="inlineStr">
        <x:is>
          <x:t xml:space="preserve">江苏省</x:t>
        </x:is>
      </x:c>
      <x:c r="F2840" s="2" t="inlineStr">
        <x:is>
          <x:t xml:space="preserve">苏州市</x:t>
        </x:is>
      </x:c>
      <x:c r="G2840" s="3" t="inlineStr">
        <x:is>
          <x:t xml:space="preserve">江苏省-苏州市</x:t>
        </x:is>
      </x:c>
      <x:c r="H2840" s="2" t="inlineStr">
        <x:is>
          <x:t xml:space="preserve">汽车零部件</x:t>
        </x:is>
      </x:c>
      <x:c r="I2840" s="2" t="inlineStr">
        <x:is>
          <x:t xml:space="preserve">2020-03-06</x:t>
        </x:is>
      </x:c>
      <x:c r="J2840" s="3" t="inlineStr">
        <x:is>
          <x:t xml:space="preserve">苏州高新区浒关工业园浒晨路28号</x:t>
        </x:is>
      </x:c>
      <x:c r="K2840" s="12" t="str">
        <x:f>LEFT("91320505592546102W",18)</x:f>
        <x:v>91320505592546102W</x:v>
      </x:c>
    </x:row>
    <x:row r="2841">
      <x:c r="A2841" s="4" t="n">
        <x:v>2840</x:v>
      </x:c>
      <x:c r="B2841" s="4" t="inlineStr">
        <x:is>
          <x:t xml:space="preserve">002998</x:t>
        </x:is>
      </x:c>
      <x:c r="C2841" s="5" t="inlineStr">
        <x:is>
          <x:t xml:space="preserve">优彩资源</x:t>
        </x:is>
      </x:c>
      <x:c r="D2841" s="5" t="inlineStr">
        <x:is>
          <x:t xml:space="preserve">优彩环保资源科技股份有限公司</x:t>
        </x:is>
      </x:c>
      <x:c r="E2841" s="4" t="inlineStr">
        <x:is>
          <x:t xml:space="preserve">江苏省</x:t>
        </x:is>
      </x:c>
      <x:c r="F2841" s="4" t="inlineStr">
        <x:is>
          <x:t xml:space="preserve">江阴市</x:t>
        </x:is>
      </x:c>
      <x:c r="G2841" s="5" t="inlineStr">
        <x:is>
          <x:t xml:space="preserve">江苏省-江阴市</x:t>
        </x:is>
      </x:c>
      <x:c r="H2841" s="4" t="inlineStr">
        <x:is>
          <x:t xml:space="preserve">化纤行业</x:t>
        </x:is>
      </x:c>
      <x:c r="I2841" s="4" t="inlineStr">
        <x:is>
          <x:t xml:space="preserve">2020-09-25</x:t>
        </x:is>
      </x:c>
      <x:c r="J2841" s="5" t="inlineStr">
        <x:is>
          <x:t xml:space="preserve">江阴市祝塘镇环西路29号</x:t>
        </x:is>
      </x:c>
      <x:c r="K2841" s="12" t="str">
        <x:f>LEFT("913202817527495675",18)</x:f>
        <x:v>913202817527495700</x:v>
      </x:c>
    </x:row>
    <x:row r="2842">
      <x:c r="A2842" s="2" t="n">
        <x:v>2841</x:v>
      </x:c>
      <x:c r="B2842" s="2" t="inlineStr">
        <x:is>
          <x:t xml:space="preserve">003015</x:t>
        </x:is>
      </x:c>
      <x:c r="C2842" s="3" t="inlineStr">
        <x:is>
          <x:t xml:space="preserve">日久光电</x:t>
        </x:is>
      </x:c>
      <x:c r="D2842" s="3" t="inlineStr">
        <x:is>
          <x:t xml:space="preserve">江苏日久光电股份有限公司</x:t>
        </x:is>
      </x:c>
      <x:c r="E2842" s="2" t="inlineStr">
        <x:is>
          <x:t xml:space="preserve">江苏省</x:t>
        </x:is>
      </x:c>
      <x:c r="F2842" s="2" t="inlineStr">
        <x:is>
          <x:t xml:space="preserve">昆山市</x:t>
        </x:is>
      </x:c>
      <x:c r="G2842" s="3" t="inlineStr">
        <x:is>
          <x:t xml:space="preserve">江苏省-昆山市</x:t>
        </x:is>
      </x:c>
      <x:c r="H2842" s="2" t="inlineStr">
        <x:is>
          <x:t xml:space="preserve">光学光电子</x:t>
        </x:is>
      </x:c>
      <x:c r="I2842" s="2" t="inlineStr">
        <x:is>
          <x:t xml:space="preserve">2020-10-21</x:t>
        </x:is>
      </x:c>
      <x:c r="J2842" s="3" t="inlineStr">
        <x:is>
          <x:t xml:space="preserve">昆山市周庄镇锦周公路东侧、园区大道南侧</x:t>
        </x:is>
      </x:c>
      <x:c r="K2842" s="12" t="str">
        <x:f>LEFT("91320500699394823B",18)</x:f>
        <x:v>91320500699394823B</x:v>
      </x:c>
    </x:row>
    <x:row r="2843">
      <x:c r="A2843" s="4" t="n">
        <x:v>2842</x:v>
      </x:c>
      <x:c r="B2843" s="4" t="inlineStr">
        <x:is>
          <x:t xml:space="preserve">003032</x:t>
        </x:is>
      </x:c>
      <x:c r="C2843" s="5" t="inlineStr">
        <x:is>
          <x:t xml:space="preserve">*ST传智</x:t>
        </x:is>
      </x:c>
      <x:c r="D2843" s="5" t="inlineStr">
        <x:is>
          <x:t xml:space="preserve">江苏传智播客教育科技股份有限公司</x:t>
        </x:is>
      </x:c>
      <x:c r="E2843" s="4" t="inlineStr">
        <x:is>
          <x:t xml:space="preserve">江苏省</x:t>
        </x:is>
      </x:c>
      <x:c r="F2843" s="4" t="inlineStr">
        <x:is>
          <x:t xml:space="preserve">宿迁市</x:t>
        </x:is>
      </x:c>
      <x:c r="G2843" s="5" t="inlineStr">
        <x:is>
          <x:t xml:space="preserve">江苏省-宿迁市</x:t>
        </x:is>
      </x:c>
      <x:c r="H2843" s="4" t="inlineStr">
        <x:is>
          <x:t xml:space="preserve">文教休闲</x:t>
        </x:is>
      </x:c>
      <x:c r="I2843" s="4" t="inlineStr">
        <x:is>
          <x:t xml:space="preserve">2021-01-12</x:t>
        </x:is>
      </x:c>
      <x:c r="J2843" s="5" t="inlineStr">
        <x:is>
          <x:t xml:space="preserve">沭阳县迎宾大道东首软件产业园A栋大厦803室</x:t>
        </x:is>
      </x:c>
      <x:c r="K2843" s="12" t="str">
        <x:f>LEFT("913213220535045526",18)</x:f>
        <x:v>913213220535045500</x:v>
      </x:c>
    </x:row>
    <x:row r="2844">
      <x:c r="A2844" s="2" t="n">
        <x:v>2843</x:v>
      </x:c>
      <x:c r="B2844" s="2" t="inlineStr">
        <x:is>
          <x:t xml:space="preserve">003043</x:t>
        </x:is>
      </x:c>
      <x:c r="C2844" s="3" t="inlineStr">
        <x:is>
          <x:t xml:space="preserve">华亚智能</x:t>
        </x:is>
      </x:c>
      <x:c r="D2844" s="3" t="inlineStr">
        <x:is>
          <x:t xml:space="preserve">苏州华亚智能科技股份有限公司</x:t>
        </x:is>
      </x:c>
      <x:c r="E2844" s="2" t="inlineStr">
        <x:is>
          <x:t xml:space="preserve">江苏省</x:t>
        </x:is>
      </x:c>
      <x:c r="F2844" s="2" t="inlineStr">
        <x:is>
          <x:t xml:space="preserve">苏州市</x:t>
        </x:is>
      </x:c>
      <x:c r="G2844" s="3" t="inlineStr">
        <x:is>
          <x:t xml:space="preserve">江苏省-苏州市</x:t>
        </x:is>
      </x:c>
      <x:c r="H2844" s="2" t="inlineStr">
        <x:is>
          <x:t xml:space="preserve">通用设备</x:t>
        </x:is>
      </x:c>
      <x:c r="I2844" s="2" t="inlineStr">
        <x:is>
          <x:t xml:space="preserve">2021-04-06</x:t>
        </x:is>
      </x:c>
      <x:c r="J2844" s="3" t="inlineStr">
        <x:is>
          <x:t xml:space="preserve">苏州相城经济开发区漕湖产业园春兴路58号</x:t>
        </x:is>
      </x:c>
      <x:c r="K2844" s="12" t="str">
        <x:f>LEFT("91320507713232645K",18)</x:f>
        <x:v>91320507713232645K</x:v>
      </x:c>
    </x:row>
    <x:row r="2845">
      <x:c r="A2845" s="4" t="n">
        <x:v>2844</x:v>
      </x:c>
      <x:c r="B2845" s="4" t="inlineStr">
        <x:is>
          <x:t xml:space="preserve">300029</x:t>
        </x:is>
      </x:c>
      <x:c r="C2845" s="5" t="inlineStr">
        <x:is>
          <x:t xml:space="preserve">*ST天龙</x:t>
        </x:is>
      </x:c>
      <x:c r="D2845" s="5" t="inlineStr">
        <x:is>
          <x:t xml:space="preserve">江苏华盛天龙光电设备股份有限公司</x:t>
        </x:is>
      </x:c>
      <x:c r="E2845" s="4" t="inlineStr">
        <x:is>
          <x:t xml:space="preserve">江苏省</x:t>
        </x:is>
      </x:c>
      <x:c r="F2845" s="4" t="inlineStr">
        <x:is>
          <x:t xml:space="preserve">常州市</x:t>
        </x:is>
      </x:c>
      <x:c r="G2845" s="5" t="inlineStr">
        <x:is>
          <x:t xml:space="preserve">江苏省-常州市</x:t>
        </x:is>
      </x:c>
      <x:c r="H2845" s="4" t="inlineStr">
        <x:is>
          <x:t xml:space="preserve">光伏设备</x:t>
        </x:is>
      </x:c>
      <x:c r="I2845" s="4" t="inlineStr">
        <x:is>
          <x:t xml:space="preserve">2009-12-25</x:t>
        </x:is>
      </x:c>
      <x:c r="J2845" s="5" t="inlineStr">
        <x:is>
          <x:t xml:space="preserve">江苏省金坛经济开发区华城路318号</x:t>
        </x:is>
      </x:c>
      <x:c r="K2845" s="12" t="str">
        <x:f>LEFT("913204007337667089",18)</x:f>
        <x:v>913204007337667100</x:v>
      </x:c>
    </x:row>
    <x:row r="2846">
      <x:c r="A2846" s="2" t="n">
        <x:v>2845</x:v>
      </x:c>
      <x:c r="B2846" s="2" t="inlineStr">
        <x:is>
          <x:t xml:space="preserve">300031</x:t>
        </x:is>
      </x:c>
      <x:c r="C2846" s="3" t="inlineStr">
        <x:is>
          <x:t xml:space="preserve">宝通科技</x:t>
        </x:is>
      </x:c>
      <x:c r="D2846" s="3" t="inlineStr">
        <x:is>
          <x:t xml:space="preserve">无锡宝通科技股份有限公司</x:t>
        </x:is>
      </x:c>
      <x:c r="E2846" s="2" t="inlineStr">
        <x:is>
          <x:t xml:space="preserve">江苏省</x:t>
        </x:is>
      </x:c>
      <x:c r="F2846" s="2" t="inlineStr">
        <x:is>
          <x:t xml:space="preserve">无锡市</x:t>
        </x:is>
      </x:c>
      <x:c r="G2846" s="3" t="inlineStr">
        <x:is>
          <x:t xml:space="preserve">江苏省-无锡市</x:t>
        </x:is>
      </x:c>
      <x:c r="H2846" s="2" t="inlineStr">
        <x:is>
          <x:t xml:space="preserve">游戏</x:t>
        </x:is>
      </x:c>
      <x:c r="I2846" s="2" t="inlineStr">
        <x:is>
          <x:t xml:space="preserve">2009-12-25</x:t>
        </x:is>
      </x:c>
      <x:c r="J2846" s="3" t="inlineStr">
        <x:is>
          <x:t xml:space="preserve">无锡市新吴区张公路19号</x:t>
        </x:is>
      </x:c>
      <x:c r="K2846" s="12" t="str">
        <x:f>LEFT("91320200725201811T",18)</x:f>
        <x:v>91320200725201811T</x:v>
      </x:c>
    </x:row>
    <x:row r="2847">
      <x:c r="A2847" s="4" t="n">
        <x:v>2846</x:v>
      </x:c>
      <x:c r="B2847" s="4" t="inlineStr">
        <x:is>
          <x:t xml:space="preserve">300051</x:t>
        </x:is>
      </x:c>
      <x:c r="C2847" s="5" t="inlineStr">
        <x:is>
          <x:t xml:space="preserve">琏升科技</x:t>
        </x:is>
      </x:c>
      <x:c r="D2847" s="5" t="inlineStr">
        <x:is>
          <x:t xml:space="preserve">琏升科技股份有限公司</x:t>
        </x:is>
      </x:c>
      <x:c r="E2847" s="4" t="inlineStr">
        <x:is>
          <x:t xml:space="preserve">江苏省</x:t>
        </x:is>
      </x:c>
      <x:c r="F2847" s="4" t="inlineStr">
        <x:is>
          <x:t xml:space="preserve">南通市</x:t>
        </x:is>
      </x:c>
      <x:c r="G2847" s="5" t="inlineStr">
        <x:is>
          <x:t xml:space="preserve">江苏省-南通市</x:t>
        </x:is>
      </x:c>
      <x:c r="H2847" s="4" t="inlineStr">
        <x:is>
          <x:t xml:space="preserve">光伏设备</x:t>
        </x:is>
      </x:c>
      <x:c r="I2847" s="4" t="inlineStr">
        <x:is>
          <x:t xml:space="preserve">2010-02-11</x:t>
        </x:is>
      </x:c>
      <x:c r="J2847" s="5" t="inlineStr">
        <x:is>
          <x:t xml:space="preserve">南通高新技术产业开发区通甲东路66号</x:t>
        </x:is>
      </x:c>
      <x:c r="K2847" s="12" t="str">
        <x:f>LEFT("91350200751642792T",18)</x:f>
        <x:v>91350200751642792T</x:v>
      </x:c>
    </x:row>
    <x:row r="2848">
      <x:c r="A2848" s="2" t="n">
        <x:v>2847</x:v>
      </x:c>
      <x:c r="B2848" s="2" t="inlineStr">
        <x:is>
          <x:t xml:space="preserve">300091</x:t>
        </x:is>
      </x:c>
      <x:c r="C2848" s="3" t="inlineStr">
        <x:is>
          <x:t xml:space="preserve">*ST金灵</x:t>
        </x:is>
      </x:c>
      <x:c r="D2848" s="3" t="inlineStr">
        <x:is>
          <x:t xml:space="preserve">金通灵科技集团股份有限公司</x:t>
        </x:is>
      </x:c>
      <x:c r="E2848" s="2" t="inlineStr">
        <x:is>
          <x:t xml:space="preserve">江苏省</x:t>
        </x:is>
      </x:c>
      <x:c r="F2848" s="2" t="inlineStr">
        <x:is>
          <x:t xml:space="preserve">南通市</x:t>
        </x:is>
      </x:c>
      <x:c r="G2848" s="3" t="inlineStr">
        <x:is>
          <x:t xml:space="preserve">江苏省-南通市</x:t>
        </x:is>
      </x:c>
      <x:c r="H2848" s="2" t="inlineStr">
        <x:is>
          <x:t xml:space="preserve">机械行业</x:t>
        </x:is>
      </x:c>
      <x:c r="I2848" s="2" t="inlineStr">
        <x:is>
          <x:t xml:space="preserve">2010-06-25</x:t>
        </x:is>
      </x:c>
      <x:c r="J2848" s="3" t="inlineStr">
        <x:is>
          <x:t xml:space="preserve">南通市钟秀中路135号</x:t>
        </x:is>
      </x:c>
      <x:c r="K2848" s="12" t="str">
        <x:f>LEFT("913206002518345954",18)</x:f>
        <x:v>913206002518346000</x:v>
      </x:c>
    </x:row>
    <x:row r="2849">
      <x:c r="A2849" s="4" t="n">
        <x:v>2848</x:v>
      </x:c>
      <x:c r="B2849" s="4" t="inlineStr">
        <x:is>
          <x:t xml:space="preserve">300128</x:t>
        </x:is>
      </x:c>
      <x:c r="C2849" s="5" t="inlineStr">
        <x:is>
          <x:t xml:space="preserve">锦富技术</x:t>
        </x:is>
      </x:c>
      <x:c r="D2849" s="5" t="inlineStr">
        <x:is>
          <x:t xml:space="preserve">苏州锦富技术股份有限公司</x:t>
        </x:is>
      </x:c>
      <x:c r="E2849" s="4" t="inlineStr">
        <x:is>
          <x:t xml:space="preserve">江苏省</x:t>
        </x:is>
      </x:c>
      <x:c r="F2849" s="4" t="inlineStr">
        <x:is>
          <x:t xml:space="preserve">苏州市</x:t>
        </x:is>
      </x:c>
      <x:c r="G2849" s="5" t="inlineStr">
        <x:is>
          <x:t xml:space="preserve">江苏省-苏州市</x:t>
        </x:is>
      </x:c>
      <x:c r="H2849" s="4" t="inlineStr">
        <x:is>
          <x:t xml:space="preserve">光学光电子</x:t>
        </x:is>
      </x:c>
      <x:c r="I2849" s="4" t="inlineStr">
        <x:is>
          <x:t xml:space="preserve">2010-10-13</x:t>
        </x:is>
      </x:c>
      <x:c r="J2849" s="5" t="inlineStr">
        <x:is>
          <x:t xml:space="preserve">苏州工业园区江浦路39号</x:t>
        </x:is>
      </x:c>
      <x:c r="K2849" s="12" t="str">
        <x:f>LEFT("9132000075966171X9",18)</x:f>
        <x:v>9132000075966171X9</x:v>
      </x:c>
    </x:row>
    <x:row r="2850">
      <x:c r="A2850" s="2" t="n">
        <x:v>2849</x:v>
      </x:c>
      <x:c r="B2850" s="2" t="inlineStr">
        <x:is>
          <x:t xml:space="preserve">300135</x:t>
        </x:is>
      </x:c>
      <x:c r="C2850" s="3" t="inlineStr">
        <x:is>
          <x:t xml:space="preserve">宝利国际</x:t>
        </x:is>
      </x:c>
      <x:c r="D2850" s="3" t="inlineStr">
        <x:is>
          <x:t xml:space="preserve">江苏宝利国际投资股份有限公司</x:t>
        </x:is>
      </x:c>
      <x:c r="E2850" s="2" t="inlineStr">
        <x:is>
          <x:t xml:space="preserve">江苏省</x:t>
        </x:is>
      </x:c>
      <x:c r="F2850" s="2" t="inlineStr">
        <x:is>
          <x:t xml:space="preserve">江阴市</x:t>
        </x:is>
      </x:c>
      <x:c r="G2850" s="3" t="inlineStr">
        <x:is>
          <x:t xml:space="preserve">江苏省-江阴市</x:t>
        </x:is>
      </x:c>
      <x:c r="H2850" s="2" t="inlineStr">
        <x:is>
          <x:t xml:space="preserve">化工行业</x:t>
        </x:is>
      </x:c>
      <x:c r="I2850" s="2" t="inlineStr">
        <x:is>
          <x:t xml:space="preserve">2010-10-26</x:t>
        </x:is>
      </x:c>
      <x:c r="J2850" s="3" t="inlineStr">
        <x:is>
          <x:t xml:space="preserve">江阴市云亭街道澄杨路502号</x:t>
        </x:is>
      </x:c>
      <x:c r="K2850" s="12" t="str">
        <x:f>LEFT("91320200743917821Q",18)</x:f>
        <x:v>91320200743917821Q</x:v>
      </x:c>
    </x:row>
    <x:row r="2851">
      <x:c r="A2851" s="4" t="n">
        <x:v>2850</x:v>
      </x:c>
      <x:c r="B2851" s="4" t="inlineStr">
        <x:is>
          <x:t xml:space="preserve">300141</x:t>
        </x:is>
      </x:c>
      <x:c r="C2851" s="5" t="inlineStr">
        <x:is>
          <x:t xml:space="preserve">和顺电气</x:t>
        </x:is>
      </x:c>
      <x:c r="D2851" s="5" t="inlineStr">
        <x:is>
          <x:t xml:space="preserve">苏州工业园区和顺电气股份有限公司</x:t>
        </x:is>
      </x:c>
      <x:c r="E2851" s="4" t="inlineStr">
        <x:is>
          <x:t xml:space="preserve">江苏省</x:t>
        </x:is>
      </x:c>
      <x:c r="F2851" s="4" t="inlineStr">
        <x:is>
          <x:t xml:space="preserve">苏州市</x:t>
        </x:is>
      </x:c>
      <x:c r="G2851" s="5" t="inlineStr">
        <x:is>
          <x:t xml:space="preserve">江苏省-苏州市</x:t>
        </x:is>
      </x:c>
      <x:c r="H2851" s="4" t="inlineStr">
        <x:is>
          <x:t xml:space="preserve">输配电气</x:t>
        </x:is>
      </x:c>
      <x:c r="I2851" s="4" t="inlineStr">
        <x:is>
          <x:t xml:space="preserve">2010-11-12</x:t>
        </x:is>
      </x:c>
      <x:c r="J2851" s="5" t="inlineStr">
        <x:is>
          <x:t xml:space="preserve">苏州工业园区和顺路8号</x:t>
        </x:is>
      </x:c>
      <x:c r="K2851" s="12" t="str">
        <x:f>LEFT("913200007132443988",18)</x:f>
        <x:v>913200007132444000</x:v>
      </x:c>
    </x:row>
    <x:row r="2852">
      <x:c r="A2852" s="2" t="n">
        <x:v>2851</x:v>
      </x:c>
      <x:c r="B2852" s="2" t="inlineStr">
        <x:is>
          <x:t xml:space="preserve">300160</x:t>
        </x:is>
      </x:c>
      <x:c r="C2852" s="3" t="inlineStr">
        <x:is>
          <x:t xml:space="preserve">秀强股份</x:t>
        </x:is>
      </x:c>
      <x:c r="D2852" s="3" t="inlineStr">
        <x:is>
          <x:t xml:space="preserve">江苏秀强玻璃工艺股份有限公司</x:t>
        </x:is>
      </x:c>
      <x:c r="E2852" s="2" t="inlineStr">
        <x:is>
          <x:t xml:space="preserve">江苏省</x:t>
        </x:is>
      </x:c>
      <x:c r="F2852" s="2" t="inlineStr">
        <x:is>
          <x:t xml:space="preserve">宿迁市</x:t>
        </x:is>
      </x:c>
      <x:c r="G2852" s="3" t="inlineStr">
        <x:is>
          <x:t xml:space="preserve">江苏省-宿迁市</x:t>
        </x:is>
      </x:c>
      <x:c r="H2852" s="2" t="inlineStr">
        <x:is>
          <x:t xml:space="preserve">家电行业</x:t>
        </x:is>
      </x:c>
      <x:c r="I2852" s="2" t="inlineStr">
        <x:is>
          <x:t xml:space="preserve">2011-01-13</x:t>
        </x:is>
      </x:c>
      <x:c r="J2852" s="3" t="inlineStr">
        <x:is>
          <x:t xml:space="preserve">江苏省宿迁市宿豫区江山大道28号</x:t>
        </x:is>
      </x:c>
      <x:c r="K2852" s="12" t="str">
        <x:f>LEFT("91321300732499521G",18)</x:f>
        <x:v>91321300732499521G</x:v>
      </x:c>
    </x:row>
    <x:row r="2853">
      <x:c r="A2853" s="4" t="n">
        <x:v>2852</x:v>
      </x:c>
      <x:c r="B2853" s="4" t="inlineStr">
        <x:is>
          <x:t xml:space="preserve">300165</x:t>
        </x:is>
      </x:c>
      <x:c r="C2853" s="5" t="inlineStr">
        <x:is>
          <x:t xml:space="preserve">ST天瑞</x:t>
        </x:is>
      </x:c>
      <x:c r="D2853" s="5" t="inlineStr">
        <x:is>
          <x:t xml:space="preserve">江苏天瑞仪器股份有限公司</x:t>
        </x:is>
      </x:c>
      <x:c r="E2853" s="4" t="inlineStr">
        <x:is>
          <x:t xml:space="preserve">江苏省</x:t>
        </x:is>
      </x:c>
      <x:c r="F2853" s="4" t="inlineStr">
        <x:is>
          <x:t xml:space="preserve">苏省昆山市</x:t>
        </x:is>
      </x:c>
      <x:c r="G2853" s="5" t="inlineStr">
        <x:is>
          <x:t xml:space="preserve">江苏省-苏省昆山市</x:t>
        </x:is>
      </x:c>
      <x:c r="H2853" s="4" t="inlineStr">
        <x:is>
          <x:t xml:space="preserve">仪器仪表</x:t>
        </x:is>
      </x:c>
      <x:c r="I2853" s="4" t="inlineStr">
        <x:is>
          <x:t xml:space="preserve">2011-01-25</x:t>
        </x:is>
      </x:c>
      <x:c r="J2853" s="5" t="inlineStr">
        <x:is>
          <x:t xml:space="preserve">江苏省昆山市玉山镇中华园西路1888号天瑞大厦</x:t>
        </x:is>
      </x:c>
      <x:c r="K2853" s="12" t="str">
        <x:f>LEFT("913205007899341254",18)</x:f>
        <x:v>913205007899341300</x:v>
      </x:c>
    </x:row>
    <x:row r="2854">
      <x:c r="A2854" s="2" t="n">
        <x:v>2853</x:v>
      </x:c>
      <x:c r="B2854" s="2" t="inlineStr">
        <x:is>
          <x:t xml:space="preserve">300169</x:t>
        </x:is>
      </x:c>
      <x:c r="C2854" s="3" t="inlineStr">
        <x:is>
          <x:t xml:space="preserve">天晟新材</x:t>
        </x:is>
      </x:c>
      <x:c r="D2854" s="3" t="inlineStr">
        <x:is>
          <x:t xml:space="preserve">常州天晟新材料集团股份有限公司</x:t>
        </x:is>
      </x:c>
      <x:c r="E2854" s="2" t="inlineStr">
        <x:is>
          <x:t xml:space="preserve">江苏省</x:t>
        </x:is>
      </x:c>
      <x:c r="F2854" s="2" t="inlineStr">
        <x:is>
          <x:t xml:space="preserve">常州市</x:t>
        </x:is>
      </x:c>
      <x:c r="G2854" s="3" t="inlineStr">
        <x:is>
          <x:t xml:space="preserve">江苏省-常州市</x:t>
        </x:is>
      </x:c>
      <x:c r="H2854" s="2" t="inlineStr">
        <x:is>
          <x:t xml:space="preserve">化学制品</x:t>
        </x:is>
      </x:c>
      <x:c r="I2854" s="2" t="inlineStr">
        <x:is>
          <x:t xml:space="preserve">2011-01-25</x:t>
        </x:is>
      </x:c>
      <x:c r="J2854" s="3" t="inlineStr">
        <x:is>
          <x:t xml:space="preserve">江苏省常州市龙锦路508号</x:t>
        </x:is>
      </x:c>
      <x:c r="K2854" s="12" t="str">
        <x:f>LEFT("91320400703606586Q",18)</x:f>
        <x:v>91320400703606586Q</x:v>
      </x:c>
    </x:row>
    <x:row r="2855">
      <x:c r="A2855" s="4" t="n">
        <x:v>2854</x:v>
      </x:c>
      <x:c r="B2855" s="4" t="inlineStr">
        <x:is>
          <x:t xml:space="preserve">300172</x:t>
        </x:is>
      </x:c>
      <x:c r="C2855" s="5" t="inlineStr">
        <x:is>
          <x:t xml:space="preserve">中电环保</x:t>
        </x:is>
      </x:c>
      <x:c r="D2855" s="5" t="inlineStr">
        <x:is>
          <x:t xml:space="preserve">中电环保股份有限公司</x:t>
        </x:is>
      </x:c>
      <x:c r="E2855" s="4" t="inlineStr">
        <x:is>
          <x:t xml:space="preserve">江苏省</x:t>
        </x:is>
      </x:c>
      <x:c r="F2855" s="4" t="inlineStr">
        <x:is>
          <x:t xml:space="preserve">南京市</x:t>
        </x:is>
      </x:c>
      <x:c r="G2855" s="5" t="inlineStr">
        <x:is>
          <x:t xml:space="preserve">江苏省-南京市</x:t>
        </x:is>
      </x:c>
      <x:c r="H2855" s="4" t="inlineStr">
        <x:is>
          <x:t xml:space="preserve">环保工程</x:t>
        </x:is>
      </x:c>
      <x:c r="I2855" s="4" t="inlineStr">
        <x:is>
          <x:t xml:space="preserve">2011-02-01</x:t>
        </x:is>
      </x:c>
      <x:c r="J2855" s="5" t="inlineStr">
        <x:is>
          <x:t xml:space="preserve">南京市江宁开发区诚信大道1800号</x:t>
        </x:is>
      </x:c>
      <x:c r="K2855" s="12" t="str">
        <x:f>LEFT("913201007217996411",18)</x:f>
        <x:v>913201007217996400</x:v>
      </x:c>
    </x:row>
    <x:row r="2856">
      <x:c r="A2856" s="2" t="n">
        <x:v>2855</x:v>
      </x:c>
      <x:c r="B2856" s="2" t="inlineStr">
        <x:is>
          <x:t xml:space="preserve">300190</x:t>
        </x:is>
      </x:c>
      <x:c r="C2856" s="3" t="inlineStr">
        <x:is>
          <x:t xml:space="preserve">维尔利</x:t>
        </x:is>
      </x:c>
      <x:c r="D2856" s="3" t="inlineStr">
        <x:is>
          <x:t xml:space="preserve">维尔利环保科技集团股份有限公司</x:t>
        </x:is>
      </x:c>
      <x:c r="E2856" s="2" t="inlineStr">
        <x:is>
          <x:t xml:space="preserve">江苏省</x:t>
        </x:is>
      </x:c>
      <x:c r="F2856" s="2" t="inlineStr">
        <x:is>
          <x:t xml:space="preserve">常州市</x:t>
        </x:is>
      </x:c>
      <x:c r="G2856" s="3" t="inlineStr">
        <x:is>
          <x:t xml:space="preserve">江苏省-常州市</x:t>
        </x:is>
      </x:c>
      <x:c r="H2856" s="2" t="inlineStr">
        <x:is>
          <x:t xml:space="preserve">环保工程</x:t>
        </x:is>
      </x:c>
      <x:c r="I2856" s="2" t="inlineStr">
        <x:is>
          <x:t xml:space="preserve">2011-03-16</x:t>
        </x:is>
      </x:c>
      <x:c r="J2856" s="3" t="inlineStr">
        <x:is>
          <x:t xml:space="preserve">常州市汉江路156号</x:t>
        </x:is>
      </x:c>
      <x:c r="K2856" s="12" t="str">
        <x:f>LEFT("91320400745573735E",18)</x:f>
        <x:v>91320400745573735E</x:v>
      </x:c>
    </x:row>
    <x:row r="2857">
      <x:c r="A2857" s="4" t="n">
        <x:v>2856</x:v>
      </x:c>
      <x:c r="B2857" s="4" t="inlineStr">
        <x:is>
          <x:t xml:space="preserve">300192</x:t>
        </x:is>
      </x:c>
      <x:c r="C2857" s="5" t="inlineStr">
        <x:is>
          <x:t xml:space="preserve">科德教育</x:t>
        </x:is>
      </x:c>
      <x:c r="D2857" s="5" t="inlineStr">
        <x:is>
          <x:t xml:space="preserve">苏州科德教育科技股份有限公司</x:t>
        </x:is>
      </x:c>
      <x:c r="E2857" s="4" t="inlineStr">
        <x:is>
          <x:t xml:space="preserve">江苏省</x:t>
        </x:is>
      </x:c>
      <x:c r="F2857" s="4" t="inlineStr">
        <x:is>
          <x:t xml:space="preserve">苏州市</x:t>
        </x:is>
      </x:c>
      <x:c r="G2857" s="5" t="inlineStr">
        <x:is>
          <x:t xml:space="preserve">江苏省-苏州市</x:t>
        </x:is>
      </x:c>
      <x:c r="H2857" s="4" t="inlineStr">
        <x:is>
          <x:t xml:space="preserve">教育</x:t>
        </x:is>
      </x:c>
      <x:c r="I2857" s="4" t="inlineStr">
        <x:is>
          <x:t xml:space="preserve">2011-03-22</x:t>
        </x:is>
      </x:c>
      <x:c r="J2857" s="5" t="inlineStr">
        <x:is>
          <x:t xml:space="preserve">苏州市相城区黄埭镇春申路989号</x:t>
        </x:is>
      </x:c>
      <x:c r="K2857" s="12" t="str">
        <x:f>LEFT("91320500745569066M",18)</x:f>
        <x:v>91320500745569066M</x:v>
      </x:c>
    </x:row>
    <x:row r="2858">
      <x:c r="A2858" s="2" t="n">
        <x:v>2857</x:v>
      </x:c>
      <x:c r="B2858" s="2" t="inlineStr">
        <x:is>
          <x:t xml:space="preserve">300196</x:t>
        </x:is>
      </x:c>
      <x:c r="C2858" s="3" t="inlineStr">
        <x:is>
          <x:t xml:space="preserve">长海股份</x:t>
        </x:is>
      </x:c>
      <x:c r="D2858" s="3" t="inlineStr">
        <x:is>
          <x:t xml:space="preserve">江苏长海复合材料股份有限公司</x:t>
        </x:is>
      </x:c>
      <x:c r="E2858" s="2" t="inlineStr">
        <x:is>
          <x:t xml:space="preserve">江苏省</x:t>
        </x:is>
      </x:c>
      <x:c r="F2858" s="2" t="inlineStr">
        <x:is>
          <x:t xml:space="preserve">常州市</x:t>
        </x:is>
      </x:c>
      <x:c r="G2858" s="3" t="inlineStr">
        <x:is>
          <x:t xml:space="preserve">江苏省-常州市</x:t>
        </x:is>
      </x:c>
      <x:c r="H2858" s="2" t="inlineStr">
        <x:is>
          <x:t xml:space="preserve">玻璃玻纤</x:t>
        </x:is>
      </x:c>
      <x:c r="I2858" s="2" t="inlineStr">
        <x:is>
          <x:t xml:space="preserve">2011-03-29</x:t>
        </x:is>
      </x:c>
      <x:c r="J2858" s="3" t="inlineStr">
        <x:is>
          <x:t xml:space="preserve">江苏省常州市武进区遥观镇长虹东路308号</x:t>
        </x:is>
      </x:c>
      <x:c r="K2858" s="12" t="str">
        <x:f>LEFT("91320400743721247W",18)</x:f>
        <x:v>91320400743721247W</x:v>
      </x:c>
    </x:row>
    <x:row r="2859">
      <x:c r="A2859" s="4" t="n">
        <x:v>2858</x:v>
      </x:c>
      <x:c r="B2859" s="4" t="inlineStr">
        <x:is>
          <x:t xml:space="preserve">300201</x:t>
        </x:is>
      </x:c>
      <x:c r="C2859" s="5" t="inlineStr">
        <x:is>
          <x:t xml:space="preserve">海伦哲</x:t>
        </x:is>
      </x:c>
      <x:c r="D2859" s="5" t="inlineStr">
        <x:is>
          <x:t xml:space="preserve">徐州海伦哲专用车辆股份有限公司</x:t>
        </x:is>
      </x:c>
      <x:c r="E2859" s="4" t="inlineStr">
        <x:is>
          <x:t xml:space="preserve">江苏省</x:t>
        </x:is>
      </x:c>
      <x:c r="F2859" s="4" t="inlineStr">
        <x:is>
          <x:t xml:space="preserve">徐州市</x:t>
        </x:is>
      </x:c>
      <x:c r="G2859" s="5" t="inlineStr">
        <x:is>
          <x:t xml:space="preserve">江苏省-徐州市</x:t>
        </x:is>
      </x:c>
      <x:c r="H2859" s="4" t="inlineStr">
        <x:is>
          <x:t xml:space="preserve">工程机械</x:t>
        </x:is>
      </x:c>
      <x:c r="I2859" s="4" t="inlineStr">
        <x:is>
          <x:t xml:space="preserve">2011-04-07</x:t>
        </x:is>
      </x:c>
      <x:c r="J2859" s="5" t="inlineStr">
        <x:is>
          <x:t xml:space="preserve">徐州经济开发区螺山路19号</x:t>
        </x:is>
      </x:c>
      <x:c r="K2859" s="12" t="str">
        <x:f>LEFT("913203007698575565",18)</x:f>
        <x:v>913203007698575600</x:v>
      </x:c>
    </x:row>
    <x:row r="2860">
      <x:c r="A2860" s="2" t="n">
        <x:v>2859</x:v>
      </x:c>
      <x:c r="B2860" s="2" t="inlineStr">
        <x:is>
          <x:t xml:space="preserve">300211</x:t>
        </x:is>
      </x:c>
      <x:c r="C2860" s="3" t="inlineStr">
        <x:is>
          <x:t xml:space="preserve">亿通科技</x:t>
        </x:is>
      </x:c>
      <x:c r="D2860" s="3" t="inlineStr">
        <x:is>
          <x:t xml:space="preserve">江苏亿通高科技股份有限公司</x:t>
        </x:is>
      </x:c>
      <x:c r="E2860" s="2" t="inlineStr">
        <x:is>
          <x:t xml:space="preserve">江苏省</x:t>
        </x:is>
      </x:c>
      <x:c r="F2860" s="2" t="inlineStr">
        <x:is>
          <x:t xml:space="preserve">苏省常熟市</x:t>
        </x:is>
      </x:c>
      <x:c r="G2860" s="3" t="inlineStr">
        <x:is>
          <x:t xml:space="preserve">江苏省-苏省常熟市</x:t>
        </x:is>
      </x:c>
      <x:c r="H2860" s="2" t="inlineStr">
        <x:is>
          <x:t xml:space="preserve">通信服务</x:t>
        </x:is>
      </x:c>
      <x:c r="I2860" s="2" t="inlineStr">
        <x:is>
          <x:t xml:space="preserve">2011-05-05</x:t>
        </x:is>
      </x:c>
      <x:c r="J2860" s="3" t="inlineStr">
        <x:is>
          <x:t xml:space="preserve">江苏省常熟市通林路28号</x:t>
        </x:is>
      </x:c>
      <x:c r="K2860" s="12" t="str">
        <x:f>LEFT("913205007205473036",18)</x:f>
        <x:v>913205007205473000</x:v>
      </x:c>
    </x:row>
    <x:row r="2861">
      <x:c r="A2861" s="4" t="n">
        <x:v>2860</x:v>
      </x:c>
      <x:c r="B2861" s="4" t="inlineStr">
        <x:is>
          <x:t xml:space="preserve">300215</x:t>
        </x:is>
      </x:c>
      <x:c r="C2861" s="5" t="inlineStr">
        <x:is>
          <x:t xml:space="preserve">电科院</x:t>
        </x:is>
      </x:c>
      <x:c r="D2861" s="5" t="inlineStr">
        <x:is>
          <x:t xml:space="preserve">苏州电器科学研究院股份有限公司</x:t>
        </x:is>
      </x:c>
      <x:c r="E2861" s="4" t="inlineStr">
        <x:is>
          <x:t xml:space="preserve">江苏省</x:t>
        </x:is>
      </x:c>
      <x:c r="F2861" s="4" t="inlineStr">
        <x:is>
          <x:t xml:space="preserve">苏州市</x:t>
        </x:is>
      </x:c>
      <x:c r="G2861" s="5" t="inlineStr">
        <x:is>
          <x:t xml:space="preserve">江苏省-苏州市</x:t>
        </x:is>
      </x:c>
      <x:c r="H2861" s="4" t="inlineStr">
        <x:is>
          <x:t xml:space="preserve">专业服务</x:t>
        </x:is>
      </x:c>
      <x:c r="I2861" s="4" t="inlineStr">
        <x:is>
          <x:t xml:space="preserve">2011-05-11</x:t>
        </x:is>
      </x:c>
      <x:c r="J2861" s="5" t="inlineStr">
        <x:is>
          <x:t xml:space="preserve">苏州市吴中区越溪前珠路5号</x:t>
        </x:is>
      </x:c>
      <x:c r="K2861" s="12" t="str">
        <x:f>LEFT("91320500608202591U",18)</x:f>
        <x:v>91320500608202591U</x:v>
      </x:c>
    </x:row>
    <x:row r="2862">
      <x:c r="A2862" s="2" t="n">
        <x:v>2861</x:v>
      </x:c>
      <x:c r="B2862" s="2" t="inlineStr">
        <x:is>
          <x:t xml:space="preserve">300217</x:t>
        </x:is>
      </x:c>
      <x:c r="C2862" s="3" t="inlineStr">
        <x:is>
          <x:t xml:space="preserve">东方电热</x:t>
        </x:is>
      </x:c>
      <x:c r="D2862" s="3" t="inlineStr">
        <x:is>
          <x:t xml:space="preserve">镇江东方电热科技股份有限公司</x:t>
        </x:is>
      </x:c>
      <x:c r="E2862" s="2" t="inlineStr">
        <x:is>
          <x:t xml:space="preserve">江苏省</x:t>
        </x:is>
      </x:c>
      <x:c r="F2862" s="2" t="inlineStr">
        <x:is>
          <x:t xml:space="preserve">镇江市</x:t>
        </x:is>
      </x:c>
      <x:c r="G2862" s="3" t="inlineStr">
        <x:is>
          <x:t xml:space="preserve">江苏省-镇江市</x:t>
        </x:is>
      </x:c>
      <x:c r="H2862" s="2" t="inlineStr">
        <x:is>
          <x:t xml:space="preserve">专用设备</x:t>
        </x:is>
      </x:c>
      <x:c r="I2862" s="2" t="inlineStr">
        <x:is>
          <x:t xml:space="preserve">2011-05-18</x:t>
        </x:is>
      </x:c>
      <x:c r="J2862" s="3" t="inlineStr">
        <x:is>
          <x:t xml:space="preserve">江苏省镇江市新区大港镇五峰山路18号</x:t>
        </x:is>
      </x:c>
      <x:c r="K2862" s="12" t="str">
        <x:f>LEFT("91321100718698874L",18)</x:f>
        <x:v>91321100718698874L</x:v>
      </x:c>
    </x:row>
    <x:row r="2863">
      <x:c r="A2863" s="4" t="n">
        <x:v>2862</x:v>
      </x:c>
      <x:c r="B2863" s="4" t="inlineStr">
        <x:is>
          <x:t xml:space="preserve">300228</x:t>
        </x:is>
      </x:c>
      <x:c r="C2863" s="5" t="inlineStr">
        <x:is>
          <x:t xml:space="preserve">富瑞特装</x:t>
        </x:is>
      </x:c>
      <x:c r="D2863" s="5" t="inlineStr">
        <x:is>
          <x:t xml:space="preserve">张家港富瑞特种装备股份有限公司</x:t>
        </x:is>
      </x:c>
      <x:c r="E2863" s="4" t="inlineStr">
        <x:is>
          <x:t xml:space="preserve">江苏省</x:t>
        </x:is>
      </x:c>
      <x:c r="F2863" s="4" t="inlineStr">
        <x:is>
          <x:t xml:space="preserve">省张家港市</x:t>
        </x:is>
      </x:c>
      <x:c r="G2863" s="5" t="inlineStr">
        <x:is>
          <x:t xml:space="preserve">江苏省-省张家港市</x:t>
        </x:is>
      </x:c>
      <x:c r="H2863" s="4" t="inlineStr">
        <x:is>
          <x:t xml:space="preserve">专用设备</x:t>
        </x:is>
      </x:c>
      <x:c r="I2863" s="4" t="inlineStr">
        <x:is>
          <x:t xml:space="preserve">2011-06-08</x:t>
        </x:is>
      </x:c>
      <x:c r="J2863" s="5" t="inlineStr">
        <x:is>
          <x:t xml:space="preserve">江苏省张家港市杨舍镇晨新路19号</x:t>
        </x:is>
      </x:c>
      <x:c r="K2863" s="12" t="str">
        <x:f>LEFT("913205007514219819",18)</x:f>
        <x:v>913205007514219800</x:v>
      </x:c>
    </x:row>
    <x:row r="2864">
      <x:c r="A2864" s="2" t="n">
        <x:v>2863</x:v>
      </x:c>
      <x:c r="B2864" s="2" t="inlineStr">
        <x:is>
          <x:t xml:space="preserve">300240</x:t>
        </x:is>
      </x:c>
      <x:c r="C2864" s="3" t="inlineStr">
        <x:is>
          <x:t xml:space="preserve">飞力达</x:t>
        </x:is>
      </x:c>
      <x:c r="D2864" s="3" t="inlineStr">
        <x:is>
          <x:t xml:space="preserve">江苏飞力达国际物流股份有限公司</x:t>
        </x:is>
      </x:c>
      <x:c r="E2864" s="2" t="inlineStr">
        <x:is>
          <x:t xml:space="preserve">江苏省</x:t>
        </x:is>
      </x:c>
      <x:c r="F2864" s="2" t="inlineStr">
        <x:is>
          <x:t xml:space="preserve">苏州市</x:t>
        </x:is>
      </x:c>
      <x:c r="G2864" s="3" t="inlineStr">
        <x:is>
          <x:t xml:space="preserve">江苏省-苏州市</x:t>
        </x:is>
      </x:c>
      <x:c r="H2864" s="2" t="inlineStr">
        <x:is>
          <x:t xml:space="preserve">交运物流</x:t>
        </x:is>
      </x:c>
      <x:c r="I2864" s="2" t="inlineStr">
        <x:is>
          <x:t xml:space="preserve">2011-07-06</x:t>
        </x:is>
      </x:c>
      <x:c r="J2864" s="3" t="inlineStr">
        <x:is>
          <x:t xml:space="preserve">昆山开发区玫瑰路999号</x:t>
        </x:is>
      </x:c>
      <x:c r="K2864" s="12" t="str">
        <x:f>LEFT("91320500608273920M",18)</x:f>
        <x:v>91320500608273920M</x:v>
      </x:c>
    </x:row>
    <x:row r="2865">
      <x:c r="A2865" s="4" t="n">
        <x:v>2864</x:v>
      </x:c>
      <x:c r="B2865" s="4" t="inlineStr">
        <x:is>
          <x:t xml:space="preserve">300258</x:t>
        </x:is>
      </x:c>
      <x:c r="C2865" s="5" t="inlineStr">
        <x:is>
          <x:t xml:space="preserve">精锻科技</x:t>
        </x:is>
      </x:c>
      <x:c r="D2865" s="5" t="inlineStr">
        <x:is>
          <x:t xml:space="preserve">江苏太平洋精锻科技股份有限公司</x:t>
        </x:is>
      </x:c>
      <x:c r="E2865" s="4" t="inlineStr">
        <x:is>
          <x:t xml:space="preserve">江苏省</x:t>
        </x:is>
      </x:c>
      <x:c r="F2865" s="4" t="inlineStr">
        <x:is>
          <x:t xml:space="preserve">泰州市</x:t>
        </x:is>
      </x:c>
      <x:c r="G2865" s="5" t="inlineStr">
        <x:is>
          <x:t xml:space="preserve">江苏省-泰州市</x:t>
        </x:is>
      </x:c>
      <x:c r="H2865" s="4" t="inlineStr">
        <x:is>
          <x:t xml:space="preserve">汽车行业</x:t>
        </x:is>
      </x:c>
      <x:c r="I2865" s="4" t="inlineStr">
        <x:is>
          <x:t xml:space="preserve">2011-08-26</x:t>
        </x:is>
      </x:c>
      <x:c r="J2865" s="5" t="inlineStr">
        <x:is>
          <x:t xml:space="preserve">江苏省泰州市姜堰区姜堰大道91号</x:t>
        </x:is>
      </x:c>
      <x:c r="K2865" s="12" t="str">
        <x:f>LEFT("91321200608812146K",18)</x:f>
        <x:v>91321200608812146K</x:v>
      </x:c>
    </x:row>
    <x:row r="2866">
      <x:c r="A2866" s="2" t="n">
        <x:v>2865</x:v>
      </x:c>
      <x:c r="B2866" s="2" t="inlineStr">
        <x:is>
          <x:t xml:space="preserve">300260</x:t>
        </x:is>
      </x:c>
      <x:c r="C2866" s="3" t="inlineStr">
        <x:is>
          <x:t xml:space="preserve">新莱应材</x:t>
        </x:is>
      </x:c>
      <x:c r="D2866" s="3" t="inlineStr">
        <x:is>
          <x:t xml:space="preserve">昆山新莱洁净应用材料股份有限公司</x:t>
        </x:is>
      </x:c>
      <x:c r="E2866" s="2" t="inlineStr">
        <x:is>
          <x:t xml:space="preserve">江苏省</x:t>
        </x:is>
      </x:c>
      <x:c r="F2866" s="2" t="inlineStr">
        <x:is>
          <x:t xml:space="preserve">苏省昆山市</x:t>
        </x:is>
      </x:c>
      <x:c r="G2866" s="3" t="inlineStr">
        <x:is>
          <x:t xml:space="preserve">江苏省-苏省昆山市</x:t>
        </x:is>
      </x:c>
      <x:c r="H2866" s="2" t="inlineStr">
        <x:is>
          <x:t xml:space="preserve">通用设备</x:t>
        </x:is>
      </x:c>
      <x:c r="I2866" s="2" t="inlineStr">
        <x:is>
          <x:t xml:space="preserve">2011-09-06</x:t>
        </x:is>
      </x:c>
      <x:c r="J2866" s="3" t="inlineStr">
        <x:is>
          <x:t xml:space="preserve">江苏省昆山市陆家镇陆丰西路22号</x:t>
        </x:is>
      </x:c>
      <x:c r="K2866" s="12" t="str">
        <x:f>LEFT("91320500722260584E",18)</x:f>
        <x:v>91320500722260584E</x:v>
      </x:c>
    </x:row>
    <x:row r="2867">
      <x:c r="A2867" s="4" t="n">
        <x:v>2866</x:v>
      </x:c>
      <x:c r="B2867" s="4" t="inlineStr">
        <x:is>
          <x:t xml:space="preserve">300261</x:t>
        </x:is>
      </x:c>
      <x:c r="C2867" s="5" t="inlineStr">
        <x:is>
          <x:t xml:space="preserve">雅本化学</x:t>
        </x:is>
      </x:c>
      <x:c r="D2867" s="5" t="inlineStr">
        <x:is>
          <x:t xml:space="preserve">雅本化学股份有限公司</x:t>
        </x:is>
      </x:c>
      <x:c r="E2867" s="4" t="inlineStr">
        <x:is>
          <x:t xml:space="preserve">江苏省</x:t>
        </x:is>
      </x:c>
      <x:c r="F2867" s="4" t="inlineStr">
        <x:is>
          <x:t xml:space="preserve">苏省太仓市</x:t>
        </x:is>
      </x:c>
      <x:c r="G2867" s="5" t="inlineStr">
        <x:is>
          <x:t xml:space="preserve">江苏省-苏省太仓市</x:t>
        </x:is>
      </x:c>
      <x:c r="H2867" s="4" t="inlineStr">
        <x:is>
          <x:t xml:space="preserve">农药兽药</x:t>
        </x:is>
      </x:c>
      <x:c r="I2867" s="4" t="inlineStr">
        <x:is>
          <x:t xml:space="preserve">2011-09-06</x:t>
        </x:is>
      </x:c>
      <x:c r="J2867" s="5" t="inlineStr">
        <x:is>
          <x:t xml:space="preserve">江苏省太仓市太仓港港口开发区石化区东方东路18号</x:t>
        </x:is>
      </x:c>
      <x:c r="K2867" s="12" t="str">
        <x:f>LEFT("91320500782722859L",18)</x:f>
        <x:v>91320500782722859L</x:v>
      </x:c>
    </x:row>
    <x:row r="2868">
      <x:c r="A2868" s="2" t="n">
        <x:v>2867</x:v>
      </x:c>
      <x:c r="B2868" s="2" t="inlineStr">
        <x:is>
          <x:t xml:space="preserve">300265</x:t>
        </x:is>
      </x:c>
      <x:c r="C2868" s="3" t="inlineStr">
        <x:is>
          <x:t xml:space="preserve">通光线缆</x:t>
        </x:is>
      </x:c>
      <x:c r="D2868" s="3" t="inlineStr">
        <x:is>
          <x:t xml:space="preserve">江苏通光电子线缆股份有限公司</x:t>
        </x:is>
      </x:c>
      <x:c r="E2868" s="2" t="inlineStr">
        <x:is>
          <x:t xml:space="preserve">江苏省</x:t>
        </x:is>
      </x:c>
      <x:c r="F2868" s="2" t="inlineStr">
        <x:is>
          <x:t xml:space="preserve">南通市</x:t>
        </x:is>
      </x:c>
      <x:c r="G2868" s="3" t="inlineStr">
        <x:is>
          <x:t xml:space="preserve">江苏省-南通市</x:t>
        </x:is>
      </x:c>
      <x:c r="H2868" s="2" t="inlineStr">
        <x:is>
          <x:t xml:space="preserve">输配电气</x:t>
        </x:is>
      </x:c>
      <x:c r="I2868" s="2" t="inlineStr">
        <x:is>
          <x:t xml:space="preserve">2011-09-16</x:t>
        </x:is>
      </x:c>
      <x:c r="J2868" s="3" t="inlineStr">
        <x:is>
          <x:t xml:space="preserve">江苏省南通市海门区海门街道渤海路169号</x:t>
        </x:is>
      </x:c>
      <x:c r="K2868" s="12" t="str">
        <x:f>LEFT("91320600732524934W",18)</x:f>
        <x:v>91320600732524934W</x:v>
      </x:c>
    </x:row>
    <x:row r="2869">
      <x:c r="A2869" s="4" t="n">
        <x:v>2868</x:v>
      </x:c>
      <x:c r="B2869" s="4" t="inlineStr">
        <x:is>
          <x:t xml:space="preserve">300279</x:t>
        </x:is>
      </x:c>
      <x:c r="C2869" s="5" t="inlineStr">
        <x:is>
          <x:t xml:space="preserve">和晶科技</x:t>
        </x:is>
      </x:c>
      <x:c r="D2869" s="5" t="inlineStr">
        <x:is>
          <x:t xml:space="preserve">无锡和晶科技股份有限公司</x:t>
        </x:is>
      </x:c>
      <x:c r="E2869" s="4" t="inlineStr">
        <x:is>
          <x:t xml:space="preserve">江苏省</x:t>
        </x:is>
      </x:c>
      <x:c r="F2869" s="4" t="inlineStr">
        <x:is>
          <x:t xml:space="preserve">无锡市</x:t>
        </x:is>
      </x:c>
      <x:c r="G2869" s="5" t="inlineStr">
        <x:is>
          <x:t xml:space="preserve">江苏省-无锡市</x:t>
        </x:is>
      </x:c>
      <x:c r="H2869" s="4" t="inlineStr">
        <x:is>
          <x:t xml:space="preserve">消费电子</x:t>
        </x:is>
      </x:c>
      <x:c r="I2869" s="4" t="inlineStr">
        <x:is>
          <x:t xml:space="preserve">2011-12-29</x:t>
        </x:is>
      </x:c>
      <x:c r="J2869" s="5" t="inlineStr">
        <x:is>
          <x:t xml:space="preserve">无锡市长江东路177号</x:t>
        </x:is>
      </x:c>
      <x:c r="K2869" s="12" t="str">
        <x:f>LEFT("91320200607924226D",18)</x:f>
        <x:v>91320200607924226D</x:v>
      </x:c>
    </x:row>
    <x:row r="2870">
      <x:c r="A2870" s="2" t="n">
        <x:v>2869</x:v>
      </x:c>
      <x:c r="B2870" s="2" t="inlineStr">
        <x:is>
          <x:t xml:space="preserve">300284</x:t>
        </x:is>
      </x:c>
      <x:c r="C2870" s="3" t="inlineStr">
        <x:is>
          <x:t xml:space="preserve">苏交科</x:t>
        </x:is>
      </x:c>
      <x:c r="D2870" s="3" t="inlineStr">
        <x:is>
          <x:t xml:space="preserve">苏交科集团股份有限公司</x:t>
        </x:is>
      </x:c>
      <x:c r="E2870" s="2" t="inlineStr">
        <x:is>
          <x:t xml:space="preserve">江苏省</x:t>
        </x:is>
      </x:c>
      <x:c r="F2870" s="2" t="inlineStr">
        <x:is>
          <x:t xml:space="preserve">南京市</x:t>
        </x:is>
      </x:c>
      <x:c r="G2870" s="3" t="inlineStr">
        <x:is>
          <x:t xml:space="preserve">江苏省-南京市</x:t>
        </x:is>
      </x:c>
      <x:c r="H2870" s="2" t="inlineStr">
        <x:is>
          <x:t xml:space="preserve">工程咨询服务</x:t>
        </x:is>
      </x:c>
      <x:c r="I2870" s="2" t="inlineStr">
        <x:is>
          <x:t xml:space="preserve">2012-01-10</x:t>
        </x:is>
      </x:c>
      <x:c r="J2870" s="3" t="inlineStr">
        <x:is>
          <x:t xml:space="preserve">江苏省南京市水西门大街223号</x:t>
        </x:is>
      </x:c>
      <x:c r="K2870" s="12" t="str">
        <x:f>LEFT("91320000741339087U",18)</x:f>
        <x:v>91320000741339087U</x:v>
      </x:c>
    </x:row>
    <x:row r="2871">
      <x:c r="A2871" s="4" t="n">
        <x:v>2870</x:v>
      </x:c>
      <x:c r="B2871" s="4" t="inlineStr">
        <x:is>
          <x:t xml:space="preserve">300292</x:t>
        </x:is>
      </x:c>
      <x:c r="C2871" s="5" t="inlineStr">
        <x:is>
          <x:t xml:space="preserve">吴通控股</x:t>
        </x:is>
      </x:c>
      <x:c r="D2871" s="5" t="inlineStr">
        <x:is>
          <x:t xml:space="preserve">吴通控股集团股份有限公司</x:t>
        </x:is>
      </x:c>
      <x:c r="E2871" s="4" t="inlineStr">
        <x:is>
          <x:t xml:space="preserve">江苏省</x:t>
        </x:is>
      </x:c>
      <x:c r="F2871" s="4" t="inlineStr">
        <x:is>
          <x:t xml:space="preserve">苏州市</x:t>
        </x:is>
      </x:c>
      <x:c r="G2871" s="5" t="inlineStr">
        <x:is>
          <x:t xml:space="preserve">江苏省-苏州市</x:t>
        </x:is>
      </x:c>
      <x:c r="H2871" s="4" t="inlineStr">
        <x:is>
          <x:t xml:space="preserve">通信服务</x:t>
        </x:is>
      </x:c>
      <x:c r="I2871" s="4" t="inlineStr">
        <x:is>
          <x:t xml:space="preserve">2012-02-29</x:t>
        </x:is>
      </x:c>
      <x:c r="J2871" s="5" t="inlineStr">
        <x:is>
          <x:t xml:space="preserve">苏州市漕湖街道太东路2596号</x:t>
        </x:is>
      </x:c>
      <x:c r="K2871" s="12" t="str">
        <x:f>LEFT("913205001381896946",18)</x:f>
        <x:v>913205001381897000</x:v>
      </x:c>
    </x:row>
    <x:row r="2872">
      <x:c r="A2872" s="2" t="n">
        <x:v>2871</x:v>
      </x:c>
      <x:c r="B2872" s="2" t="inlineStr">
        <x:is>
          <x:t xml:space="preserve">300295</x:t>
        </x:is>
      </x:c>
      <x:c r="C2872" s="3" t="inlineStr">
        <x:is>
          <x:t xml:space="preserve">三六五网</x:t>
        </x:is>
      </x:c>
      <x:c r="D2872" s="3" t="inlineStr">
        <x:is>
          <x:t xml:space="preserve">江苏三六五网络股份有限公司</x:t>
        </x:is>
      </x:c>
      <x:c r="E2872" s="2" t="inlineStr">
        <x:is>
          <x:t xml:space="preserve">江苏省</x:t>
        </x:is>
      </x:c>
      <x:c r="F2872" s="2" t="inlineStr">
        <x:is>
          <x:t xml:space="preserve">南京市</x:t>
        </x:is>
      </x:c>
      <x:c r="G2872" s="3" t="inlineStr">
        <x:is>
          <x:t xml:space="preserve">江苏省-南京市</x:t>
        </x:is>
      </x:c>
      <x:c r="H2872" s="2" t="inlineStr">
        <x:is>
          <x:t xml:space="preserve">互联网服务</x:t>
        </x:is>
      </x:c>
      <x:c r="I2872" s="2" t="inlineStr">
        <x:is>
          <x:t xml:space="preserve">2012-03-15</x:t>
        </x:is>
      </x:c>
      <x:c r="J2872" s="3" t="inlineStr">
        <x:is>
          <x:t xml:space="preserve">南京市六合区龙池街道新东路</x:t>
        </x:is>
      </x:c>
      <x:c r="K2872" s="12" t="str">
        <x:f>LEFT("91320000782717144Y",18)</x:f>
        <x:v>91320000782717144Y</x:v>
      </x:c>
    </x:row>
    <x:row r="2873">
      <x:c r="A2873" s="4" t="n">
        <x:v>2872</x:v>
      </x:c>
      <x:c r="B2873" s="4" t="inlineStr">
        <x:is>
          <x:t xml:space="preserve">300304</x:t>
        </x:is>
      </x:c>
      <x:c r="C2873" s="5" t="inlineStr">
        <x:is>
          <x:t xml:space="preserve">云意电气</x:t>
        </x:is>
      </x:c>
      <x:c r="D2873" s="5" t="inlineStr">
        <x:is>
          <x:t xml:space="preserve">江苏云意电气股份有限公司</x:t>
        </x:is>
      </x:c>
      <x:c r="E2873" s="4" t="inlineStr">
        <x:is>
          <x:t xml:space="preserve">江苏省</x:t>
        </x:is>
      </x:c>
      <x:c r="F2873" s="4" t="inlineStr">
        <x:is>
          <x:t xml:space="preserve">徐州市</x:t>
        </x:is>
      </x:c>
      <x:c r="G2873" s="5" t="inlineStr">
        <x:is>
          <x:t xml:space="preserve">江苏省-徐州市</x:t>
        </x:is>
      </x:c>
      <x:c r="H2873" s="4" t="inlineStr">
        <x:is>
          <x:t xml:space="preserve">汽车行业</x:t>
        </x:is>
      </x:c>
      <x:c r="I2873" s="4" t="inlineStr">
        <x:is>
          <x:t xml:space="preserve">2012-03-21</x:t>
        </x:is>
      </x:c>
      <x:c r="J2873" s="5" t="inlineStr">
        <x:is>
          <x:t xml:space="preserve">江苏省徐州市铜山经济开发区黄山路26号</x:t>
        </x:is>
      </x:c>
      <x:c r="K2873" s="12" t="str">
        <x:f>LEFT("91320300660802674Q",18)</x:f>
        <x:v>91320300660802674Q</x:v>
      </x:c>
    </x:row>
    <x:row r="2874">
      <x:c r="A2874" s="2" t="n">
        <x:v>2873</x:v>
      </x:c>
      <x:c r="B2874" s="2" t="inlineStr">
        <x:is>
          <x:t xml:space="preserve">300305</x:t>
        </x:is>
      </x:c>
      <x:c r="C2874" s="3" t="inlineStr">
        <x:is>
          <x:t xml:space="preserve">裕兴股份</x:t>
        </x:is>
      </x:c>
      <x:c r="D2874" s="3" t="inlineStr">
        <x:is>
          <x:t xml:space="preserve">江苏裕兴薄膜科技股份有限公司</x:t>
        </x:is>
      </x:c>
      <x:c r="E2874" s="2" t="inlineStr">
        <x:is>
          <x:t xml:space="preserve">江苏省</x:t>
        </x:is>
      </x:c>
      <x:c r="F2874" s="2" t="inlineStr">
        <x:is>
          <x:t xml:space="preserve">常州市</x:t>
        </x:is>
      </x:c>
      <x:c r="G2874" s="3" t="inlineStr">
        <x:is>
          <x:t xml:space="preserve">江苏省-常州市</x:t>
        </x:is>
      </x:c>
      <x:c r="H2874" s="2" t="inlineStr">
        <x:is>
          <x:t xml:space="preserve">塑料制品</x:t>
        </x:is>
      </x:c>
      <x:c r="I2874" s="2" t="inlineStr">
        <x:is>
          <x:t xml:space="preserve">2012-03-29</x:t>
        </x:is>
      </x:c>
      <x:c r="J2874" s="3" t="inlineStr">
        <x:is>
          <x:t xml:space="preserve">常州市钟楼经济开发区童子河西路8-8号(一照多址)</x:t>
        </x:is>
      </x:c>
      <x:c r="K2874" s="12" t="str">
        <x:f>LEFT("91320400769102807C",18)</x:f>
        <x:v>91320400769102807C</x:v>
      </x:c>
    </x:row>
    <x:row r="2875">
      <x:c r="A2875" s="4" t="n">
        <x:v>2874</x:v>
      </x:c>
      <x:c r="B2875" s="4" t="inlineStr">
        <x:is>
          <x:t xml:space="preserve">300320</x:t>
        </x:is>
      </x:c>
      <x:c r="C2875" s="5" t="inlineStr">
        <x:is>
          <x:t xml:space="preserve">海达股份</x:t>
        </x:is>
      </x:c>
      <x:c r="D2875" s="5" t="inlineStr">
        <x:is>
          <x:t xml:space="preserve">江阴海达橡塑股份有限公司</x:t>
        </x:is>
      </x:c>
      <x:c r="E2875" s="4" t="inlineStr">
        <x:is>
          <x:t xml:space="preserve">江苏省</x:t>
        </x:is>
      </x:c>
      <x:c r="F2875" s="4" t="inlineStr">
        <x:is>
          <x:t xml:space="preserve">苏省江阴市</x:t>
        </x:is>
      </x:c>
      <x:c r="G2875" s="5" t="inlineStr">
        <x:is>
          <x:t xml:space="preserve">江苏省-苏省江阴市</x:t>
        </x:is>
      </x:c>
      <x:c r="H2875" s="4" t="inlineStr">
        <x:is>
          <x:t xml:space="preserve">橡胶制品</x:t>
        </x:is>
      </x:c>
      <x:c r="I2875" s="4" t="inlineStr">
        <x:is>
          <x:t xml:space="preserve">2012-06-01</x:t>
        </x:is>
      </x:c>
      <x:c r="J2875" s="5" t="inlineStr">
        <x:is>
          <x:t xml:space="preserve">江苏省江阴市周庄镇云顾路585号</x:t>
        </x:is>
      </x:c>
      <x:c r="K2875" s="12" t="str">
        <x:f>LEFT("913202007168331397",18)</x:f>
        <x:v>913202007168331400</x:v>
      </x:c>
    </x:row>
    <x:row r="2876">
      <x:c r="A2876" s="2" t="n">
        <x:v>2875</x:v>
      </x:c>
      <x:c r="B2876" s="2" t="inlineStr">
        <x:is>
          <x:t xml:space="preserve">300331</x:t>
        </x:is>
      </x:c>
      <x:c r="C2876" s="3" t="inlineStr">
        <x:is>
          <x:t xml:space="preserve">苏大维格</x:t>
        </x:is>
      </x:c>
      <x:c r="D2876" s="3" t="inlineStr">
        <x:is>
          <x:t xml:space="preserve">苏州苏大维格科技集团股份有限公司</x:t>
        </x:is>
      </x:c>
      <x:c r="E2876" s="2" t="inlineStr">
        <x:is>
          <x:t xml:space="preserve">江苏省</x:t>
        </x:is>
      </x:c>
      <x:c r="F2876" s="2" t="inlineStr">
        <x:is>
          <x:t xml:space="preserve">苏州市</x:t>
        </x:is>
      </x:c>
      <x:c r="G2876" s="3" t="inlineStr">
        <x:is>
          <x:t xml:space="preserve">江苏省-苏州市</x:t>
        </x:is>
      </x:c>
      <x:c r="H2876" s="2" t="inlineStr">
        <x:is>
          <x:t xml:space="preserve">光学光电子</x:t>
        </x:is>
      </x:c>
      <x:c r="I2876" s="2" t="inlineStr">
        <x:is>
          <x:t xml:space="preserve">2012-06-28</x:t>
        </x:is>
      </x:c>
      <x:c r="J2876" s="3" t="inlineStr">
        <x:is>
          <x:t xml:space="preserve">中国(江苏)自由贸易试验区苏州片区苏虹东路北钟南街478号;苏州工业园区新昌路68号</x:t>
        </x:is>
      </x:c>
      <x:c r="K2876" s="12" t="str">
        <x:f>LEFT("913200007325123786",18)</x:f>
        <x:v>913200007325123800</x:v>
      </x:c>
    </x:row>
    <x:row r="2877">
      <x:c r="A2877" s="4" t="n">
        <x:v>2876</x:v>
      </x:c>
      <x:c r="B2877" s="4" t="inlineStr">
        <x:is>
          <x:t xml:space="preserve">300337</x:t>
        </x:is>
      </x:c>
      <x:c r="C2877" s="5" t="inlineStr">
        <x:is>
          <x:t xml:space="preserve">银邦股份</x:t>
        </x:is>
      </x:c>
      <x:c r="D2877" s="5" t="inlineStr">
        <x:is>
          <x:t xml:space="preserve">银邦金属复合材料股份有限公司</x:t>
        </x:is>
      </x:c>
      <x:c r="E2877" s="4" t="inlineStr">
        <x:is>
          <x:t xml:space="preserve">江苏省</x:t>
        </x:is>
      </x:c>
      <x:c r="F2877" s="4" t="inlineStr">
        <x:is>
          <x:t xml:space="preserve">无锡市</x:t>
        </x:is>
      </x:c>
      <x:c r="G2877" s="5" t="inlineStr">
        <x:is>
          <x:t xml:space="preserve">江苏省-无锡市</x:t>
        </x:is>
      </x:c>
      <x:c r="H2877" s="4" t="inlineStr">
        <x:is>
          <x:t xml:space="preserve">有色金属</x:t>
        </x:is>
      </x:c>
      <x:c r="I2877" s="4" t="inlineStr">
        <x:is>
          <x:t xml:space="preserve">2012-07-18</x:t>
        </x:is>
      </x:c>
      <x:c r="J2877" s="5" t="inlineStr">
        <x:is>
          <x:t xml:space="preserve">无锡市新吴区鸿山街道后宅鸿山路99号</x:t>
        </x:is>
      </x:c>
      <x:c r="K2877" s="12" t="str">
        <x:f>LEFT("91320200704074497B",18)</x:f>
        <x:v>91320200704074497B</x:v>
      </x:c>
    </x:row>
    <x:row r="2878">
      <x:c r="A2878" s="2" t="n">
        <x:v>2877</x:v>
      </x:c>
      <x:c r="B2878" s="2" t="inlineStr">
        <x:is>
          <x:t xml:space="preserve">300339</x:t>
        </x:is>
      </x:c>
      <x:c r="C2878" s="3" t="inlineStr">
        <x:is>
          <x:t xml:space="preserve">润和软件</x:t>
        </x:is>
      </x:c>
      <x:c r="D2878" s="3" t="inlineStr">
        <x:is>
          <x:t xml:space="preserve">江苏润和软件股份有限公司</x:t>
        </x:is>
      </x:c>
      <x:c r="E2878" s="2" t="inlineStr">
        <x:is>
          <x:t xml:space="preserve">江苏省</x:t>
        </x:is>
      </x:c>
      <x:c r="F2878" s="2" t="inlineStr">
        <x:is>
          <x:t xml:space="preserve">南京市</x:t>
        </x:is>
      </x:c>
      <x:c r="G2878" s="3" t="inlineStr">
        <x:is>
          <x:t xml:space="preserve">江苏省-南京市</x:t>
        </x:is>
      </x:c>
      <x:c r="H2878" s="2" t="inlineStr">
        <x:is>
          <x:t xml:space="preserve">软件开发</x:t>
        </x:is>
      </x:c>
      <x:c r="I2878" s="2" t="inlineStr">
        <x:is>
          <x:t xml:space="preserve">2012-07-18</x:t>
        </x:is>
      </x:c>
      <x:c r="J2878" s="3" t="inlineStr">
        <x:is>
          <x:t xml:space="preserve">南京市雨花台区软件大道168号</x:t>
        </x:is>
      </x:c>
      <x:c r="K2878" s="12" t="str">
        <x:f>LEFT("913200007888658698",18)</x:f>
        <x:v>913200007888658700</x:v>
      </x:c>
    </x:row>
    <x:row r="2879">
      <x:c r="A2879" s="4" t="n">
        <x:v>2878</x:v>
      </x:c>
      <x:c r="B2879" s="4" t="inlineStr">
        <x:is>
          <x:t xml:space="preserve">300342</x:t>
        </x:is>
      </x:c>
      <x:c r="C2879" s="5" t="inlineStr">
        <x:is>
          <x:t xml:space="preserve">天银机电</x:t>
        </x:is>
      </x:c>
      <x:c r="D2879" s="5" t="inlineStr">
        <x:is>
          <x:t xml:space="preserve">常熟市天银机电股份有限公司</x:t>
        </x:is>
      </x:c>
      <x:c r="E2879" s="4" t="inlineStr">
        <x:is>
          <x:t xml:space="preserve">江苏省</x:t>
        </x:is>
      </x:c>
      <x:c r="F2879" s="4" t="inlineStr">
        <x:is>
          <x:t xml:space="preserve">苏省常熟市</x:t>
        </x:is>
      </x:c>
      <x:c r="G2879" s="5" t="inlineStr">
        <x:is>
          <x:t xml:space="preserve">江苏省-苏省常熟市</x:t>
        </x:is>
      </x:c>
      <x:c r="H2879" s="4" t="inlineStr">
        <x:is>
          <x:t xml:space="preserve">家电行业</x:t>
        </x:is>
      </x:c>
      <x:c r="I2879" s="4" t="inlineStr">
        <x:is>
          <x:t xml:space="preserve">2012-07-26</x:t>
        </x:is>
      </x:c>
      <x:c r="J2879" s="5" t="inlineStr">
        <x:is>
          <x:t xml:space="preserve">江苏省常熟市碧溪街道电厂路19号</x:t>
        </x:is>
      </x:c>
      <x:c r="K2879" s="12" t="str">
        <x:f>LEFT("91320500741304044W",18)</x:f>
        <x:v>91320500741304044W</x:v>
      </x:c>
    </x:row>
    <x:row r="2880">
      <x:c r="A2880" s="2" t="n">
        <x:v>2879</x:v>
      </x:c>
      <x:c r="B2880" s="2" t="inlineStr">
        <x:is>
          <x:t xml:space="preserve">300346</x:t>
        </x:is>
      </x:c>
      <x:c r="C2880" s="3" t="inlineStr">
        <x:is>
          <x:t xml:space="preserve">南大光电</x:t>
        </x:is>
      </x:c>
      <x:c r="D2880" s="3" t="inlineStr">
        <x:is>
          <x:t xml:space="preserve">江苏南大光电材料股份有限公司</x:t>
        </x:is>
      </x:c>
      <x:c r="E2880" s="2" t="inlineStr">
        <x:is>
          <x:t xml:space="preserve">江苏省</x:t>
        </x:is>
      </x:c>
      <x:c r="F2880" s="2" t="inlineStr">
        <x:is>
          <x:t xml:space="preserve">苏州市</x:t>
        </x:is>
      </x:c>
      <x:c r="G2880" s="3" t="inlineStr">
        <x:is>
          <x:t xml:space="preserve">江苏省-苏州市</x:t>
        </x:is>
      </x:c>
      <x:c r="H2880" s="2" t="inlineStr">
        <x:is>
          <x:t xml:space="preserve">电子化学品</x:t>
        </x:is>
      </x:c>
      <x:c r="I2880" s="2" t="inlineStr">
        <x:is>
          <x:t xml:space="preserve">2012-08-07</x:t>
        </x:is>
      </x:c>
      <x:c r="J2880" s="3" t="inlineStr">
        <x:is>
          <x:t xml:space="preserve">苏州工业园区胜浦平胜路67号</x:t>
        </x:is>
      </x:c>
      <x:c r="K2880" s="12" t="str">
        <x:f>LEFT("91320000724448484T",18)</x:f>
        <x:v>91320000724448484T</x:v>
      </x:c>
    </x:row>
    <x:row r="2881">
      <x:c r="A2881" s="4" t="n">
        <x:v>2880</x:v>
      </x:c>
      <x:c r="B2881" s="4" t="inlineStr">
        <x:is>
          <x:t xml:space="preserve">300354</x:t>
        </x:is>
      </x:c>
      <x:c r="C2881" s="5" t="inlineStr">
        <x:is>
          <x:t xml:space="preserve">东华测试</x:t>
        </x:is>
      </x:c>
      <x:c r="D2881" s="5" t="inlineStr">
        <x:is>
          <x:t xml:space="preserve">江苏东华测试技术股份有限公司</x:t>
        </x:is>
      </x:c>
      <x:c r="E2881" s="4" t="inlineStr">
        <x:is>
          <x:t xml:space="preserve">江苏省</x:t>
        </x:is>
      </x:c>
      <x:c r="F2881" s="4" t="inlineStr">
        <x:is>
          <x:t xml:space="preserve">苏省靖江市</x:t>
        </x:is>
      </x:c>
      <x:c r="G2881" s="5" t="inlineStr">
        <x:is>
          <x:t xml:space="preserve">江苏省-苏省靖江市</x:t>
        </x:is>
      </x:c>
      <x:c r="H2881" s="4" t="inlineStr">
        <x:is>
          <x:t xml:space="preserve">仪器仪表</x:t>
        </x:is>
      </x:c>
      <x:c r="I2881" s="4" t="inlineStr">
        <x:is>
          <x:t xml:space="preserve">2012-09-20</x:t>
        </x:is>
      </x:c>
      <x:c r="J2881" s="5" t="inlineStr">
        <x:is>
          <x:t xml:space="preserve">江苏省靖江市新港大道208号(沿江公路罗家港桥东北侧)</x:t>
        </x:is>
      </x:c>
      <x:c r="K2881" s="12" t="str">
        <x:f>LEFT("91321200608775189J",18)</x:f>
        <x:v>91321200608775189J</x:v>
      </x:c>
    </x:row>
    <x:row r="2882">
      <x:c r="A2882" s="2" t="n">
        <x:v>2881</x:v>
      </x:c>
      <x:c r="B2882" s="2" t="inlineStr">
        <x:is>
          <x:t xml:space="preserve">300373</x:t>
        </x:is>
      </x:c>
      <x:c r="C2882" s="3" t="inlineStr">
        <x:is>
          <x:t xml:space="preserve">扬杰科技</x:t>
        </x:is>
      </x:c>
      <x:c r="D2882" s="3" t="inlineStr">
        <x:is>
          <x:t xml:space="preserve">扬州扬杰电子科技股份有限公司</x:t>
        </x:is>
      </x:c>
      <x:c r="E2882" s="2" t="inlineStr">
        <x:is>
          <x:t xml:space="preserve">江苏省</x:t>
        </x:is>
      </x:c>
      <x:c r="F2882" s="2" t="inlineStr">
        <x:is>
          <x:t xml:space="preserve">扬州市</x:t>
        </x:is>
      </x:c>
      <x:c r="G2882" s="3" t="inlineStr">
        <x:is>
          <x:t xml:space="preserve">江苏省-扬州市</x:t>
        </x:is>
      </x:c>
      <x:c r="H2882" s="2" t="inlineStr">
        <x:is>
          <x:t xml:space="preserve">半导体</x:t>
        </x:is>
      </x:c>
      <x:c r="I2882" s="2" t="inlineStr">
        <x:is>
          <x:t xml:space="preserve">2014-01-23</x:t>
        </x:is>
      </x:c>
      <x:c r="J2882" s="3" t="inlineStr">
        <x:is>
          <x:t xml:space="preserve">江苏省扬州市维扬经济开发区</x:t>
        </x:is>
      </x:c>
      <x:c r="K2882" s="12" t="str">
        <x:f>LEFT("913210007908906337",18)</x:f>
        <x:v>913210007908906400</x:v>
      </x:c>
    </x:row>
    <x:row r="2883">
      <x:c r="A2883" s="4" t="n">
        <x:v>2882</x:v>
      </x:c>
      <x:c r="B2883" s="4" t="inlineStr">
        <x:is>
          <x:t xml:space="preserve">300382</x:t>
        </x:is>
      </x:c>
      <x:c r="C2883" s="5" t="inlineStr">
        <x:is>
          <x:t xml:space="preserve">斯莱克</x:t>
        </x:is>
      </x:c>
      <x:c r="D2883" s="5" t="inlineStr">
        <x:is>
          <x:t xml:space="preserve">苏州斯莱克精密设备股份有限公司</x:t>
        </x:is>
      </x:c>
      <x:c r="E2883" s="4" t="inlineStr">
        <x:is>
          <x:t xml:space="preserve">江苏省</x:t>
        </x:is>
      </x:c>
      <x:c r="F2883" s="4" t="inlineStr">
        <x:is>
          <x:t xml:space="preserve">苏州市</x:t>
        </x:is>
      </x:c>
      <x:c r="G2883" s="5" t="inlineStr">
        <x:is>
          <x:t xml:space="preserve">江苏省-苏州市</x:t>
        </x:is>
      </x:c>
      <x:c r="H2883" s="4" t="inlineStr">
        <x:is>
          <x:t xml:space="preserve">专用设备</x:t>
        </x:is>
      </x:c>
      <x:c r="I2883" s="4" t="inlineStr">
        <x:is>
          <x:t xml:space="preserve">2014-01-29</x:t>
        </x:is>
      </x:c>
      <x:c r="J2883" s="5" t="inlineStr">
        <x:is>
          <x:t xml:space="preserve">苏州市吴中区胥口镇孙武路1028号</x:t>
        </x:is>
      </x:c>
      <x:c r="K2883" s="12" t="str">
        <x:f>LEFT("91320500755883972B",18)</x:f>
        <x:v>91320500755883972B</x:v>
      </x:c>
    </x:row>
    <x:row r="2884">
      <x:c r="A2884" s="2" t="n">
        <x:v>2883</x:v>
      </x:c>
      <x:c r="B2884" s="2" t="inlineStr">
        <x:is>
          <x:t xml:space="preserve">300385</x:t>
        </x:is>
      </x:c>
      <x:c r="C2884" s="3" t="inlineStr">
        <x:is>
          <x:t xml:space="preserve">雪浪环境</x:t>
        </x:is>
      </x:c>
      <x:c r="D2884" s="3" t="inlineStr">
        <x:is>
          <x:t xml:space="preserve">无锡雪浪环境科技股份有限公司</x:t>
        </x:is>
      </x:c>
      <x:c r="E2884" s="2" t="inlineStr">
        <x:is>
          <x:t xml:space="preserve">江苏省</x:t>
        </x:is>
      </x:c>
      <x:c r="F2884" s="2" t="inlineStr">
        <x:is>
          <x:t xml:space="preserve">无锡市</x:t>
        </x:is>
      </x:c>
      <x:c r="G2884" s="3" t="inlineStr">
        <x:is>
          <x:t xml:space="preserve">江苏省-无锡市</x:t>
        </x:is>
      </x:c>
      <x:c r="H2884" s="2" t="inlineStr">
        <x:is>
          <x:t xml:space="preserve">环保行业</x:t>
        </x:is>
      </x:c>
      <x:c r="I2884" s="2" t="inlineStr">
        <x:is>
          <x:t xml:space="preserve">2014-06-26</x:t>
        </x:is>
      </x:c>
      <x:c r="J2884" s="3" t="inlineStr">
        <x:is>
          <x:t xml:space="preserve">江苏省无锡市滨湖区蠡湖大道2020号</x:t>
        </x:is>
      </x:c>
      <x:c r="K2884" s="12" t="str">
        <x:f>LEFT("9132020072653508XD",18)</x:f>
        <x:v>9132020072653508XD</x:v>
      </x:c>
    </x:row>
    <x:row r="2885">
      <x:c r="A2885" s="4" t="n">
        <x:v>2884</x:v>
      </x:c>
      <x:c r="B2885" s="4" t="inlineStr">
        <x:is>
          <x:t xml:space="preserve">300390</x:t>
        </x:is>
      </x:c>
      <x:c r="C2885" s="5" t="inlineStr">
        <x:is>
          <x:t xml:space="preserve">天华新能</x:t>
        </x:is>
      </x:c>
      <x:c r="D2885" s="5" t="inlineStr">
        <x:is>
          <x:t xml:space="preserve">苏州天华新能源科技股份有限公司</x:t>
        </x:is>
      </x:c>
      <x:c r="E2885" s="4" t="inlineStr">
        <x:is>
          <x:t xml:space="preserve">江苏省</x:t>
        </x:is>
      </x:c>
      <x:c r="F2885" s="4" t="inlineStr">
        <x:is>
          <x:t xml:space="preserve">苏州市</x:t>
        </x:is>
      </x:c>
      <x:c r="G2885" s="5" t="inlineStr">
        <x:is>
          <x:t xml:space="preserve">江苏省-苏州市</x:t>
        </x:is>
      </x:c>
      <x:c r="H2885" s="4" t="inlineStr">
        <x:is>
          <x:t xml:space="preserve">能源金属</x:t>
        </x:is>
      </x:c>
      <x:c r="I2885" s="4" t="inlineStr">
        <x:is>
          <x:t xml:space="preserve">2014-07-31</x:t>
        </x:is>
      </x:c>
      <x:c r="J2885" s="5" t="inlineStr">
        <x:is>
          <x:t xml:space="preserve">江苏省苏州工业园区双马街99号</x:t>
        </x:is>
      </x:c>
      <x:c r="K2885" s="12" t="str">
        <x:f>LEFT("913200001348442685",18)</x:f>
        <x:v>913200001348442600</x:v>
      </x:c>
    </x:row>
    <x:row r="2886">
      <x:c r="A2886" s="2" t="n">
        <x:v>2885</x:v>
      </x:c>
      <x:c r="B2886" s="2" t="inlineStr">
        <x:is>
          <x:t xml:space="preserve">300393</x:t>
        </x:is>
      </x:c>
      <x:c r="C2886" s="3" t="inlineStr">
        <x:is>
          <x:t xml:space="preserve">中来股份</x:t>
        </x:is>
      </x:c>
      <x:c r="D2886" s="3" t="inlineStr">
        <x:is>
          <x:t xml:space="preserve">苏州中来光伏新材股份有限公司</x:t>
        </x:is>
      </x:c>
      <x:c r="E2886" s="2" t="inlineStr">
        <x:is>
          <x:t xml:space="preserve">江苏省</x:t>
        </x:is>
      </x:c>
      <x:c r="F2886" s="2" t="inlineStr">
        <x:is>
          <x:t xml:space="preserve">苏省常熟市</x:t>
        </x:is>
      </x:c>
      <x:c r="G2886" s="3" t="inlineStr">
        <x:is>
          <x:t xml:space="preserve">江苏省-苏省常熟市</x:t>
        </x:is>
      </x:c>
      <x:c r="H2886" s="2" t="inlineStr">
        <x:is>
          <x:t xml:space="preserve">光伏设备</x:t>
        </x:is>
      </x:c>
      <x:c r="I2886" s="2" t="inlineStr">
        <x:is>
          <x:t xml:space="preserve">2014-09-12</x:t>
        </x:is>
      </x:c>
      <x:c r="J2886" s="3" t="inlineStr">
        <x:is>
          <x:t xml:space="preserve">江苏省常熟市沙家浜镇常昆工业园区青年路</x:t>
        </x:is>
      </x:c>
      <x:c r="K2886" s="12" t="str">
        <x:f>LEFT("9132050067253913XG",18)</x:f>
        <x:v>9132050067253913XG</x:v>
      </x:c>
    </x:row>
    <x:row r="2887">
      <x:c r="A2887" s="4" t="n">
        <x:v>2886</x:v>
      </x:c>
      <x:c r="B2887" s="4" t="inlineStr">
        <x:is>
          <x:t xml:space="preserve">300394</x:t>
        </x:is>
      </x:c>
      <x:c r="C2887" s="5" t="inlineStr">
        <x:is>
          <x:t xml:space="preserve">天孚通信</x:t>
        </x:is>
      </x:c>
      <x:c r="D2887" s="5" t="inlineStr">
        <x:is>
          <x:t xml:space="preserve">苏州天孚光通信股份有限公司</x:t>
        </x:is>
      </x:c>
      <x:c r="E2887" s="4" t="inlineStr">
        <x:is>
          <x:t xml:space="preserve">江苏省</x:t>
        </x:is>
      </x:c>
      <x:c r="F2887" s="4" t="inlineStr">
        <x:is>
          <x:t xml:space="preserve">苏州市</x:t>
        </x:is>
      </x:c>
      <x:c r="G2887" s="5" t="inlineStr">
        <x:is>
          <x:t xml:space="preserve">江苏省-苏州市</x:t>
        </x:is>
      </x:c>
      <x:c r="H2887" s="4" t="inlineStr">
        <x:is>
          <x:t xml:space="preserve">通讯行业</x:t>
        </x:is>
      </x:c>
      <x:c r="I2887" s="4" t="inlineStr">
        <x:is>
          <x:t xml:space="preserve">2015-02-17</x:t>
        </x:is>
      </x:c>
      <x:c r="J2887" s="5" t="inlineStr">
        <x:is>
          <x:t xml:space="preserve">苏州高新区长江路695号</x:t>
        </x:is>
      </x:c>
      <x:c r="K2887" s="12" t="str">
        <x:f>LEFT("913205007764477744",18)</x:f>
        <x:v>913205007764477700</x:v>
      </x:c>
    </x:row>
    <x:row r="2888">
      <x:c r="A2888" s="2" t="n">
        <x:v>2887</x:v>
      </x:c>
      <x:c r="B2888" s="2" t="inlineStr">
        <x:is>
          <x:t xml:space="preserve">300402</x:t>
        </x:is>
      </x:c>
      <x:c r="C2888" s="3" t="inlineStr">
        <x:is>
          <x:t xml:space="preserve">宝色股份</x:t>
        </x:is>
      </x:c>
      <x:c r="D2888" s="3" t="inlineStr">
        <x:is>
          <x:t xml:space="preserve">南京宝色股份公司</x:t>
        </x:is>
      </x:c>
      <x:c r="E2888" s="2" t="inlineStr">
        <x:is>
          <x:t xml:space="preserve">江苏省</x:t>
        </x:is>
      </x:c>
      <x:c r="F2888" s="2" t="inlineStr">
        <x:is>
          <x:t xml:space="preserve">南京市</x:t>
        </x:is>
      </x:c>
      <x:c r="G2888" s="3" t="inlineStr">
        <x:is>
          <x:t xml:space="preserve">江苏省-南京市</x:t>
        </x:is>
      </x:c>
      <x:c r="H2888" s="2" t="inlineStr">
        <x:is>
          <x:t xml:space="preserve">专用设备</x:t>
        </x:is>
      </x:c>
      <x:c r="I2888" s="2" t="inlineStr">
        <x:is>
          <x:t xml:space="preserve">2014-10-10</x:t>
        </x:is>
      </x:c>
      <x:c r="J2888" s="3" t="inlineStr">
        <x:is>
          <x:t xml:space="preserve">南京市江宁滨江经济开发区景明大街15号</x:t>
        </x:is>
      </x:c>
      <x:c r="K2888" s="12" t="str">
        <x:f>LEFT("91320100135626086T",18)</x:f>
        <x:v>91320100135626086T</x:v>
      </x:c>
    </x:row>
    <x:row r="2889">
      <x:c r="A2889" s="4" t="n">
        <x:v>2888</x:v>
      </x:c>
      <x:c r="B2889" s="4" t="inlineStr">
        <x:is>
          <x:t xml:space="preserve">300416</x:t>
        </x:is>
      </x:c>
      <x:c r="C2889" s="5" t="inlineStr">
        <x:is>
          <x:t xml:space="preserve">苏试试验</x:t>
        </x:is>
      </x:c>
      <x:c r="D2889" s="5" t="inlineStr">
        <x:is>
          <x:t xml:space="preserve">苏州苏试试验集团股份有限公司</x:t>
        </x:is>
      </x:c>
      <x:c r="E2889" s="4" t="inlineStr">
        <x:is>
          <x:t xml:space="preserve">江苏省</x:t>
        </x:is>
      </x:c>
      <x:c r="F2889" s="4" t="inlineStr">
        <x:is>
          <x:t xml:space="preserve">苏州市</x:t>
        </x:is>
      </x:c>
      <x:c r="G2889" s="5" t="inlineStr">
        <x:is>
          <x:t xml:space="preserve">江苏省-苏州市</x:t>
        </x:is>
      </x:c>
      <x:c r="H2889" s="4" t="inlineStr">
        <x:is>
          <x:t xml:space="preserve">专业服务</x:t>
        </x:is>
      </x:c>
      <x:c r="I2889" s="4" t="inlineStr">
        <x:is>
          <x:t xml:space="preserve">2015-01-22</x:t>
        </x:is>
      </x:c>
      <x:c r="J2889" s="5" t="inlineStr">
        <x:is>
          <x:t xml:space="preserve">苏州工业园区中新科技城唯亭镇科峰路18号</x:t>
        </x:is>
      </x:c>
      <x:c r="K2889" s="12" t="str">
        <x:f>LEFT("91320000670145129U",18)</x:f>
        <x:v>91320000670145129U</x:v>
      </x:c>
    </x:row>
    <x:row r="2890">
      <x:c r="A2890" s="2" t="n">
        <x:v>2889</x:v>
      </x:c>
      <x:c r="B2890" s="2" t="inlineStr">
        <x:is>
          <x:t xml:space="preserve">300420</x:t>
        </x:is>
      </x:c>
      <x:c r="C2890" s="3" t="inlineStr">
        <x:is>
          <x:t xml:space="preserve">五洋自控</x:t>
        </x:is>
      </x:c>
      <x:c r="D2890" s="3" t="inlineStr">
        <x:is>
          <x:t xml:space="preserve">江苏五洋自控技术股份有限公司</x:t>
        </x:is>
      </x:c>
      <x:c r="E2890" s="2" t="inlineStr">
        <x:is>
          <x:t xml:space="preserve">江苏省</x:t>
        </x:is>
      </x:c>
      <x:c r="F2890" s="2" t="inlineStr">
        <x:is>
          <x:t xml:space="preserve">徐州市</x:t>
        </x:is>
      </x:c>
      <x:c r="G2890" s="3" t="inlineStr">
        <x:is>
          <x:t xml:space="preserve">江苏省-徐州市</x:t>
        </x:is>
      </x:c>
      <x:c r="H2890" s="2" t="inlineStr">
        <x:is>
          <x:t xml:space="preserve">机械行业</x:t>
        </x:is>
      </x:c>
      <x:c r="I2890" s="2" t="inlineStr">
        <x:is>
          <x:t xml:space="preserve">2015-02-17</x:t>
        </x:is>
      </x:c>
      <x:c r="J2890" s="3" t="inlineStr">
        <x:is>
          <x:t xml:space="preserve">江苏省徐州市铜山新区工业园珠江路北、银山路东</x:t>
        </x:is>
      </x:c>
      <x:c r="K2890" s="12" t="str">
        <x:f>LEFT("9132030072931977X4",18)</x:f>
        <x:v>9132030072931977X4</x:v>
      </x:c>
    </x:row>
    <x:row r="2891">
      <x:c r="A2891" s="4" t="n">
        <x:v>2890</x:v>
      </x:c>
      <x:c r="B2891" s="4" t="inlineStr">
        <x:is>
          <x:t xml:space="preserve">300421</x:t>
        </x:is>
      </x:c>
      <x:c r="C2891" s="5" t="inlineStr">
        <x:is>
          <x:t xml:space="preserve">力星股份</x:t>
        </x:is>
      </x:c>
      <x:c r="D2891" s="5" t="inlineStr">
        <x:is>
          <x:t xml:space="preserve">江苏力星通用钢球股份有限公司</x:t>
        </x:is>
      </x:c>
      <x:c r="E2891" s="4" t="inlineStr">
        <x:is>
          <x:t xml:space="preserve">江苏省</x:t>
        </x:is>
      </x:c>
      <x:c r="F2891" s="4" t="inlineStr">
        <x:is>
          <x:t xml:space="preserve">苏省如皋市</x:t>
        </x:is>
      </x:c>
      <x:c r="G2891" s="5" t="inlineStr">
        <x:is>
          <x:t xml:space="preserve">江苏省-苏省如皋市</x:t>
        </x:is>
      </x:c>
      <x:c r="H2891" s="4" t="inlineStr">
        <x:is>
          <x:t xml:space="preserve">通用设备</x:t>
        </x:is>
      </x:c>
      <x:c r="I2891" s="4" t="inlineStr">
        <x:is>
          <x:t xml:space="preserve">2015-02-17</x:t>
        </x:is>
      </x:c>
      <x:c r="J2891" s="5" t="inlineStr">
        <x:is>
          <x:t xml:space="preserve">江苏省如皋市如城街道兴源大道68号</x:t>
        </x:is>
      </x:c>
      <x:c r="K2891" s="12" t="str">
        <x:f>LEFT("913206007141344737",18)</x:f>
        <x:v>913206007141344800</x:v>
      </x:c>
    </x:row>
    <x:row r="2892">
      <x:c r="A2892" s="2" t="n">
        <x:v>2891</x:v>
      </x:c>
      <x:c r="B2892" s="2" t="inlineStr">
        <x:is>
          <x:t xml:space="preserve">300429</x:t>
        </x:is>
      </x:c>
      <x:c r="C2892" s="3" t="inlineStr">
        <x:is>
          <x:t xml:space="preserve">强力新材</x:t>
        </x:is>
      </x:c>
      <x:c r="D2892" s="3" t="inlineStr">
        <x:is>
          <x:t xml:space="preserve">常州强力电子新材料股份有限公司</x:t>
        </x:is>
      </x:c>
      <x:c r="E2892" s="2" t="inlineStr">
        <x:is>
          <x:t xml:space="preserve">江苏省</x:t>
        </x:is>
      </x:c>
      <x:c r="F2892" s="2" t="inlineStr">
        <x:is>
          <x:t xml:space="preserve">常州市</x:t>
        </x:is>
      </x:c>
      <x:c r="G2892" s="3" t="inlineStr">
        <x:is>
          <x:t xml:space="preserve">江苏省-常州市</x:t>
        </x:is>
      </x:c>
      <x:c r="H2892" s="2" t="inlineStr">
        <x:is>
          <x:t xml:space="preserve">电子化学品</x:t>
        </x:is>
      </x:c>
      <x:c r="I2892" s="2" t="inlineStr">
        <x:is>
          <x:t xml:space="preserve">2015-03-24</x:t>
        </x:is>
      </x:c>
      <x:c r="J2892" s="3" t="inlineStr">
        <x:is>
          <x:t xml:space="preserve">武进区遥观镇钱家工业园</x:t>
        </x:is>
      </x:c>
      <x:c r="K2892" s="12" t="str">
        <x:f>LEFT("91320400250972865L",18)</x:f>
        <x:v>91320400250972865L</x:v>
      </x:c>
    </x:row>
    <x:row r="2893">
      <x:c r="A2893" s="4" t="n">
        <x:v>2892</x:v>
      </x:c>
      <x:c r="B2893" s="4" t="inlineStr">
        <x:is>
          <x:t xml:space="preserve">300447</x:t>
        </x:is>
      </x:c>
      <x:c r="C2893" s="5" t="inlineStr">
        <x:is>
          <x:t xml:space="preserve">全信股份</x:t>
        </x:is>
      </x:c>
      <x:c r="D2893" s="5" t="inlineStr">
        <x:is>
          <x:t xml:space="preserve">南京全信传输科技股份有限公司</x:t>
        </x:is>
      </x:c>
      <x:c r="E2893" s="4" t="inlineStr">
        <x:is>
          <x:t xml:space="preserve">江苏省</x:t>
        </x:is>
      </x:c>
      <x:c r="F2893" s="4" t="inlineStr">
        <x:is>
          <x:t xml:space="preserve">南京市</x:t>
        </x:is>
      </x:c>
      <x:c r="G2893" s="5" t="inlineStr">
        <x:is>
          <x:t xml:space="preserve">江苏省-南京市</x:t>
        </x:is>
      </x:c>
      <x:c r="H2893" s="4" t="inlineStr">
        <x:is>
          <x:t xml:space="preserve">输配电气</x:t>
        </x:is>
      </x:c>
      <x:c r="I2893" s="4" t="inlineStr">
        <x:is>
          <x:t xml:space="preserve">2015-04-22</x:t>
        </x:is>
      </x:c>
      <x:c r="J2893" s="5" t="inlineStr">
        <x:is>
          <x:t xml:space="preserve">南京市鼓楼区清江南路18号5幢12楼</x:t>
        </x:is>
      </x:c>
      <x:c r="K2893" s="12" t="str">
        <x:f>LEFT("91320100730567068P",18)</x:f>
        <x:v>91320100730567068P</x:v>
      </x:c>
    </x:row>
    <x:row r="2894">
      <x:c r="A2894" s="2" t="n">
        <x:v>2893</x:v>
      </x:c>
      <x:c r="B2894" s="2" t="inlineStr">
        <x:is>
          <x:t xml:space="preserve">300450</x:t>
        </x:is>
      </x:c>
      <x:c r="C2894" s="3" t="inlineStr">
        <x:is>
          <x:t xml:space="preserve">先导智能</x:t>
        </x:is>
      </x:c>
      <x:c r="D2894" s="3" t="inlineStr">
        <x:is>
          <x:t xml:space="preserve">无锡先导智能装备股份有限公司</x:t>
        </x:is>
      </x:c>
      <x:c r="E2894" s="2" t="inlineStr">
        <x:is>
          <x:t xml:space="preserve">江苏省</x:t>
        </x:is>
      </x:c>
      <x:c r="F2894" s="2" t="inlineStr">
        <x:is>
          <x:t xml:space="preserve">无锡市</x:t>
        </x:is>
      </x:c>
      <x:c r="G2894" s="3" t="inlineStr">
        <x:is>
          <x:t xml:space="preserve">江苏省-无锡市</x:t>
        </x:is>
      </x:c>
      <x:c r="H2894" s="2" t="inlineStr">
        <x:is>
          <x:t xml:space="preserve">电池</x:t>
        </x:is>
      </x:c>
      <x:c r="I2894" s="2" t="inlineStr">
        <x:is>
          <x:t xml:space="preserve">2015-05-18</x:t>
        </x:is>
      </x:c>
      <x:c r="J2894" s="3" t="inlineStr">
        <x:is>
          <x:t xml:space="preserve">江苏省无锡市新吴区新锡路20号(经营场所:无锡市新吴区新洲路18号)</x:t>
        </x:is>
      </x:c>
      <x:c r="K2894" s="12" t="str">
        <x:f>LEFT("91320200735716149R",18)</x:f>
        <x:v>91320200735716149R</x:v>
      </x:c>
    </x:row>
    <x:row r="2895">
      <x:c r="A2895" s="4" t="n">
        <x:v>2894</x:v>
      </x:c>
      <x:c r="B2895" s="4" t="inlineStr">
        <x:is>
          <x:t xml:space="preserve">300466</x:t>
        </x:is>
      </x:c>
      <x:c r="C2895" s="5" t="inlineStr">
        <x:is>
          <x:t xml:space="preserve">赛摩智能</x:t>
        </x:is>
      </x:c>
      <x:c r="D2895" s="5" t="inlineStr">
        <x:is>
          <x:t xml:space="preserve">赛摩智能科技集团股份有限公司</x:t>
        </x:is>
      </x:c>
      <x:c r="E2895" s="4" t="inlineStr">
        <x:is>
          <x:t xml:space="preserve">江苏省</x:t>
        </x:is>
      </x:c>
      <x:c r="F2895" s="4" t="inlineStr">
        <x:is>
          <x:t xml:space="preserve">徐州市</x:t>
        </x:is>
      </x:c>
      <x:c r="G2895" s="5" t="inlineStr">
        <x:is>
          <x:t xml:space="preserve">江苏省-徐州市</x:t>
        </x:is>
      </x:c>
      <x:c r="H2895" s="4" t="inlineStr">
        <x:is>
          <x:t xml:space="preserve">仪器仪表</x:t>
        </x:is>
      </x:c>
      <x:c r="I2895" s="4" t="inlineStr">
        <x:is>
          <x:t xml:space="preserve">2015-05-28</x:t>
        </x:is>
      </x:c>
      <x:c r="J2895" s="5" t="inlineStr">
        <x:is>
          <x:t xml:space="preserve">江苏省徐州经济技术开发区螺山2号</x:t>
        </x:is>
      </x:c>
      <x:c r="K2895" s="12" t="str">
        <x:f>LEFT("91320300608014945G",18)</x:f>
        <x:v>91320300608014945G</x:v>
      </x:c>
    </x:row>
    <x:row r="2896">
      <x:c r="A2896" s="2" t="n">
        <x:v>2895</x:v>
      </x:c>
      <x:c r="B2896" s="2" t="inlineStr">
        <x:is>
          <x:t xml:space="preserve">300500</x:t>
        </x:is>
      </x:c>
      <x:c r="C2896" s="3" t="inlineStr">
        <x:is>
          <x:t xml:space="preserve">启迪设计</x:t>
        </x:is>
      </x:c>
      <x:c r="D2896" s="3" t="inlineStr">
        <x:is>
          <x:t xml:space="preserve">启迪设计集团股份有限公司</x:t>
        </x:is>
      </x:c>
      <x:c r="E2896" s="2" t="inlineStr">
        <x:is>
          <x:t xml:space="preserve">江苏省</x:t>
        </x:is>
      </x:c>
      <x:c r="F2896" s="2" t="inlineStr">
        <x:is>
          <x:t xml:space="preserve">苏州市</x:t>
        </x:is>
      </x:c>
      <x:c r="G2896" s="3" t="inlineStr">
        <x:is>
          <x:t xml:space="preserve">江苏省-苏州市</x:t>
        </x:is>
      </x:c>
      <x:c r="H2896" s="2" t="inlineStr">
        <x:is>
          <x:t xml:space="preserve">工程咨询服务</x:t>
        </x:is>
      </x:c>
      <x:c r="I2896" s="2" t="inlineStr">
        <x:is>
          <x:t xml:space="preserve">2016-02-04</x:t>
        </x:is>
      </x:c>
      <x:c r="J2896" s="3" t="inlineStr">
        <x:is>
          <x:t xml:space="preserve">中国(江苏)自由贸易试验区苏州片区苏州工业园区旺茂街9号</x:t>
        </x:is>
      </x:c>
      <x:c r="K2896" s="12" t="str">
        <x:f>LEFT("91320000740696277G",18)</x:f>
        <x:v>91320000740696277G</x:v>
      </x:c>
    </x:row>
    <x:row r="2897">
      <x:c r="A2897" s="4" t="n">
        <x:v>2896</x:v>
      </x:c>
      <x:c r="B2897" s="4" t="inlineStr">
        <x:is>
          <x:t xml:space="preserve">300507</x:t>
        </x:is>
      </x:c>
      <x:c r="C2897" s="5" t="inlineStr">
        <x:is>
          <x:t xml:space="preserve">苏奥传感</x:t>
        </x:is>
      </x:c>
      <x:c r="D2897" s="5" t="inlineStr">
        <x:is>
          <x:t xml:space="preserve">江苏奥力威传感高科股份有限公司</x:t>
        </x:is>
      </x:c>
      <x:c r="E2897" s="4" t="inlineStr">
        <x:is>
          <x:t xml:space="preserve">江苏省</x:t>
        </x:is>
      </x:c>
      <x:c r="F2897" s="4" t="inlineStr">
        <x:is>
          <x:t xml:space="preserve">扬州市</x:t>
        </x:is>
      </x:c>
      <x:c r="G2897" s="5" t="inlineStr">
        <x:is>
          <x:t xml:space="preserve">江苏省-扬州市</x:t>
        </x:is>
      </x:c>
      <x:c r="H2897" s="4" t="inlineStr">
        <x:is>
          <x:t xml:space="preserve">汽车行业</x:t>
        </x:is>
      </x:c>
      <x:c r="I2897" s="4" t="inlineStr">
        <x:is>
          <x:t xml:space="preserve">2016-04-29</x:t>
        </x:is>
      </x:c>
      <x:c r="J2897" s="5" t="inlineStr">
        <x:is>
          <x:t xml:space="preserve">江苏省扬州高新技术产业开发区祥园路158号</x:t>
        </x:is>
      </x:c>
      <x:c r="K2897" s="12" t="str">
        <x:f>LEFT("91321000608707880C",18)</x:f>
        <x:v>91321000608707880C</x:v>
      </x:c>
    </x:row>
    <x:row r="2898">
      <x:c r="A2898" s="2" t="n">
        <x:v>2897</x:v>
      </x:c>
      <x:c r="B2898" s="2" t="inlineStr">
        <x:is>
          <x:t xml:space="preserve">300509</x:t>
        </x:is>
      </x:c>
      <x:c r="C2898" s="3" t="inlineStr">
        <x:is>
          <x:t xml:space="preserve">新美星</x:t>
        </x:is>
      </x:c>
      <x:c r="D2898" s="3" t="inlineStr">
        <x:is>
          <x:t xml:space="preserve">江苏新美星包装机械股份有限公司</x:t>
        </x:is>
      </x:c>
      <x:c r="E2898" s="2" t="inlineStr">
        <x:is>
          <x:t xml:space="preserve">江苏省</x:t>
        </x:is>
      </x:c>
      <x:c r="F2898" s="2" t="inlineStr">
        <x:is>
          <x:t xml:space="preserve">苏州市</x:t>
        </x:is>
      </x:c>
      <x:c r="G2898" s="3" t="inlineStr">
        <x:is>
          <x:t xml:space="preserve">江苏省-苏州市</x:t>
        </x:is>
      </x:c>
      <x:c r="H2898" s="2" t="inlineStr">
        <x:is>
          <x:t xml:space="preserve">专用设备</x:t>
        </x:is>
      </x:c>
      <x:c r="I2898" s="2" t="inlineStr">
        <x:is>
          <x:t xml:space="preserve">2016-04-25</x:t>
        </x:is>
      </x:c>
      <x:c r="J2898" s="3" t="inlineStr">
        <x:is>
          <x:t xml:space="preserve">张家港经济开发区南区(新泾东路)</x:t>
        </x:is>
      </x:c>
      <x:c r="K2898" s="12" t="str">
        <x:f>LEFT("913205007539426414",18)</x:f>
        <x:v>913205007539426400</x:v>
      </x:c>
    </x:row>
    <x:row r="2899">
      <x:c r="A2899" s="4" t="n">
        <x:v>2898</x:v>
      </x:c>
      <x:c r="B2899" s="4" t="inlineStr">
        <x:is>
          <x:t xml:space="preserve">300522</x:t>
        </x:is>
      </x:c>
      <x:c r="C2899" s="5" t="inlineStr">
        <x:is>
          <x:t xml:space="preserve">世名科技</x:t>
        </x:is>
      </x:c>
      <x:c r="D2899" s="5" t="inlineStr">
        <x:is>
          <x:t xml:space="preserve">苏州世名科技股份有限公司</x:t>
        </x:is>
      </x:c>
      <x:c r="E2899" s="4" t="inlineStr">
        <x:is>
          <x:t xml:space="preserve">江苏省</x:t>
        </x:is>
      </x:c>
      <x:c r="F2899" s="4" t="inlineStr">
        <x:is>
          <x:t xml:space="preserve">昆山市</x:t>
        </x:is>
      </x:c>
      <x:c r="G2899" s="5" t="inlineStr">
        <x:is>
          <x:t xml:space="preserve">江苏省-昆山市</x:t>
        </x:is>
      </x:c>
      <x:c r="H2899" s="4" t="inlineStr">
        <x:is>
          <x:t xml:space="preserve">化工行业</x:t>
        </x:is>
      </x:c>
      <x:c r="I2899" s="4" t="inlineStr">
        <x:is>
          <x:t xml:space="preserve">2016-07-05</x:t>
        </x:is>
      </x:c>
      <x:c r="J2899" s="5" t="inlineStr">
        <x:is>
          <x:t xml:space="preserve">昆山市周市镇黄浦江北路219号</x:t>
        </x:is>
      </x:c>
      <x:c r="K2899" s="12" t="str">
        <x:f>LEFT("91320500733331093T",18)</x:f>
        <x:v>91320500733331093T</x:v>
      </x:c>
    </x:row>
    <x:row r="2900">
      <x:c r="A2900" s="2" t="n">
        <x:v>2899</x:v>
      </x:c>
      <x:c r="B2900" s="2" t="inlineStr">
        <x:is>
          <x:t xml:space="preserve">300528</x:t>
        </x:is>
      </x:c>
      <x:c r="C2900" s="3" t="inlineStr">
        <x:is>
          <x:t xml:space="preserve">幸福蓝海</x:t>
        </x:is>
      </x:c>
      <x:c r="D2900" s="3" t="inlineStr">
        <x:is>
          <x:t xml:space="preserve">幸福蓝海影视文化集团股份有限公司</x:t>
        </x:is>
      </x:c>
      <x:c r="E2900" s="2" t="inlineStr">
        <x:is>
          <x:t xml:space="preserve">江苏省</x:t>
        </x:is>
      </x:c>
      <x:c r="F2900" s="2" t="inlineStr">
        <x:is>
          <x:t xml:space="preserve">南京市</x:t>
        </x:is>
      </x:c>
      <x:c r="G2900" s="3" t="inlineStr">
        <x:is>
          <x:t xml:space="preserve">江苏省-南京市</x:t>
        </x:is>
      </x:c>
      <x:c r="H2900" s="2" t="inlineStr">
        <x:is>
          <x:t xml:space="preserve">文化传媒</x:t>
        </x:is>
      </x:c>
      <x:c r="I2900" s="2" t="inlineStr">
        <x:is>
          <x:t xml:space="preserve">2016-08-08</x:t>
        </x:is>
      </x:c>
      <x:c r="J2900" s="3" t="inlineStr">
        <x:is>
          <x:t xml:space="preserve">江苏省南京市栖霞区元化路8号28幢</x:t>
        </x:is>
      </x:c>
      <x:c r="K2900" s="12" t="str">
        <x:f>LEFT("91320000780270537G",18)</x:f>
        <x:v>91320000780270537G</x:v>
      </x:c>
    </x:row>
    <x:row r="2901">
      <x:c r="A2901" s="4" t="n">
        <x:v>2900</x:v>
      </x:c>
      <x:c r="B2901" s="4" t="inlineStr">
        <x:is>
          <x:t xml:space="preserve">300537</x:t>
        </x:is>
      </x:c>
      <x:c r="C2901" s="5" t="inlineStr">
        <x:is>
          <x:t xml:space="preserve">广信材料</x:t>
        </x:is>
      </x:c>
      <x:c r="D2901" s="5" t="inlineStr">
        <x:is>
          <x:t xml:space="preserve">江苏广信感光新材料股份有限公司</x:t>
        </x:is>
      </x:c>
      <x:c r="E2901" s="4" t="inlineStr">
        <x:is>
          <x:t xml:space="preserve">江苏省</x:t>
        </x:is>
      </x:c>
      <x:c r="F2901" s="4" t="inlineStr">
        <x:is>
          <x:t xml:space="preserve">江阴市</x:t>
        </x:is>
      </x:c>
      <x:c r="G2901" s="5" t="inlineStr">
        <x:is>
          <x:t xml:space="preserve">江苏省-江阴市</x:t>
        </x:is>
      </x:c>
      <x:c r="H2901" s="4" t="inlineStr">
        <x:is>
          <x:t xml:space="preserve">电子化学品</x:t>
        </x:is>
      </x:c>
      <x:c r="I2901" s="4" t="inlineStr">
        <x:is>
          <x:t xml:space="preserve">2016-08-30</x:t>
        </x:is>
      </x:c>
      <x:c r="J2901" s="5" t="inlineStr">
        <x:is>
          <x:t xml:space="preserve">江阴市青阳镇工业集中区华澄路18号</x:t>
        </x:is>
      </x:c>
      <x:c r="K2901" s="12" t="str">
        <x:f>LEFT("91320200784366544H",18)</x:f>
        <x:v>91320200784366544H</x:v>
      </x:c>
    </x:row>
    <x:row r="2902">
      <x:c r="A2902" s="2" t="n">
        <x:v>2901</x:v>
      </x:c>
      <x:c r="B2902" s="2" t="inlineStr">
        <x:is>
          <x:t xml:space="preserve">300549</x:t>
        </x:is>
      </x:c>
      <x:c r="C2902" s="3" t="inlineStr">
        <x:is>
          <x:t xml:space="preserve">优德精密</x:t>
        </x:is>
      </x:c>
      <x:c r="D2902" s="3" t="inlineStr">
        <x:is>
          <x:t xml:space="preserve">优德精密工业(昆山)股份有限公司</x:t>
        </x:is>
      </x:c>
      <x:c r="E2902" s="2" t="inlineStr">
        <x:is>
          <x:t xml:space="preserve">江苏省</x:t>
        </x:is>
      </x:c>
      <x:c r="F2902" s="2" t="inlineStr">
        <x:is>
          <x:t xml:space="preserve">苏省昆山市</x:t>
        </x:is>
      </x:c>
      <x:c r="G2902" s="3" t="inlineStr">
        <x:is>
          <x:t xml:space="preserve">江苏省-苏省昆山市</x:t>
        </x:is>
      </x:c>
      <x:c r="H2902" s="2" t="inlineStr">
        <x:is>
          <x:t xml:space="preserve">专用设备</x:t>
        </x:is>
      </x:c>
      <x:c r="I2902" s="2" t="inlineStr">
        <x:is>
          <x:t xml:space="preserve">2016-09-30</x:t>
        </x:is>
      </x:c>
      <x:c r="J2902" s="3" t="inlineStr">
        <x:is>
          <x:t xml:space="preserve">江苏省昆山市玉山镇迎宾中路1123号</x:t>
        </x:is>
      </x:c>
      <x:c r="K2902" s="12" t="str">
        <x:f>LEFT("913205007115020313",18)</x:f>
        <x:v>913205007115020300</x:v>
      </x:c>
    </x:row>
    <x:row r="2903">
      <x:c r="A2903" s="4" t="n">
        <x:v>2902</x:v>
      </x:c>
      <x:c r="B2903" s="4" t="inlineStr">
        <x:is>
          <x:t xml:space="preserve">300554</x:t>
        </x:is>
      </x:c>
      <x:c r="C2903" s="5" t="inlineStr">
        <x:is>
          <x:t xml:space="preserve">三超新材</x:t>
        </x:is>
      </x:c>
      <x:c r="D2903" s="5" t="inlineStr">
        <x:is>
          <x:t xml:space="preserve">南京三超新材料股份有限公司</x:t>
        </x:is>
      </x:c>
      <x:c r="E2903" s="4" t="inlineStr">
        <x:is>
          <x:t xml:space="preserve">江苏省</x:t>
        </x:is>
      </x:c>
      <x:c r="F2903" s="4" t="inlineStr">
        <x:is>
          <x:t xml:space="preserve">南京市</x:t>
        </x:is>
      </x:c>
      <x:c r="G2903" s="5" t="inlineStr">
        <x:is>
          <x:t xml:space="preserve">江苏省-南京市</x:t>
        </x:is>
      </x:c>
      <x:c r="H2903" s="4" t="inlineStr">
        <x:is>
          <x:t xml:space="preserve">机械行业</x:t>
        </x:is>
      </x:c>
      <x:c r="I2903" s="4" t="inlineStr">
        <x:is>
          <x:t xml:space="preserve">2017-04-21</x:t>
        </x:is>
      </x:c>
      <x:c r="J2903" s="5" t="inlineStr">
        <x:is>
          <x:t xml:space="preserve">南京市江宁区淳化街道泽诚路77号</x:t>
        </x:is>
      </x:c>
      <x:c r="K2903" s="12" t="str">
        <x:f>LEFT("91320100704161021T",18)</x:f>
        <x:v>91320100704161021T</x:v>
      </x:c>
    </x:row>
    <x:row r="2904">
      <x:c r="A2904" s="2" t="n">
        <x:v>2903</x:v>
      </x:c>
      <x:c r="B2904" s="2" t="inlineStr">
        <x:is>
          <x:t xml:space="preserve">300555</x:t>
        </x:is>
      </x:c>
      <x:c r="C2904" s="3" t="inlineStr">
        <x:is>
          <x:t xml:space="preserve">ST路通</x:t>
        </x:is>
      </x:c>
      <x:c r="D2904" s="3" t="inlineStr">
        <x:is>
          <x:t xml:space="preserve">无锡路通视信网络股份有限公司</x:t>
        </x:is>
      </x:c>
      <x:c r="E2904" s="2" t="inlineStr">
        <x:is>
          <x:t xml:space="preserve">江苏省</x:t>
        </x:is>
      </x:c>
      <x:c r="F2904" s="2" t="inlineStr">
        <x:is>
          <x:t xml:space="preserve">无锡市</x:t>
        </x:is>
      </x:c>
      <x:c r="G2904" s="3" t="inlineStr">
        <x:is>
          <x:t xml:space="preserve">江苏省-无锡市</x:t>
        </x:is>
      </x:c>
      <x:c r="H2904" s="2" t="inlineStr">
        <x:is>
          <x:t xml:space="preserve">通讯行业</x:t>
        </x:is>
      </x:c>
      <x:c r="I2904" s="2" t="inlineStr">
        <x:is>
          <x:t xml:space="preserve">2016-10-18</x:t>
        </x:is>
      </x:c>
      <x:c r="J2904" s="3" t="inlineStr">
        <x:is>
          <x:t xml:space="preserve">无锡市滨湖区五三零大厦1号十八层1802室</x:t>
        </x:is>
      </x:c>
      <x:c r="K2904" s="12" t="str">
        <x:f>LEFT("913202007983409510",18)</x:f>
        <x:v>913202007983409500</x:v>
      </x:c>
    </x:row>
    <x:row r="2905">
      <x:c r="A2905" s="4" t="n">
        <x:v>2904</x:v>
      </x:c>
      <x:c r="B2905" s="4" t="inlineStr">
        <x:is>
          <x:t xml:space="preserve">300563</x:t>
        </x:is>
      </x:c>
      <x:c r="C2905" s="5" t="inlineStr">
        <x:is>
          <x:t xml:space="preserve">神宇股份</x:t>
        </x:is>
      </x:c>
      <x:c r="D2905" s="5" t="inlineStr">
        <x:is>
          <x:t xml:space="preserve">神宇通信科技股份公司</x:t>
        </x:is>
      </x:c>
      <x:c r="E2905" s="4" t="inlineStr">
        <x:is>
          <x:t xml:space="preserve">江苏省</x:t>
        </x:is>
      </x:c>
      <x:c r="F2905" s="4" t="inlineStr">
        <x:is>
          <x:t xml:space="preserve">江阴市</x:t>
        </x:is>
      </x:c>
      <x:c r="G2905" s="5" t="inlineStr">
        <x:is>
          <x:t xml:space="preserve">江苏省-江阴市</x:t>
        </x:is>
      </x:c>
      <x:c r="H2905" s="4" t="inlineStr">
        <x:is>
          <x:t xml:space="preserve">通信设备</x:t>
        </x:is>
      </x:c>
      <x:c r="I2905" s="4" t="inlineStr">
        <x:is>
          <x:t xml:space="preserve">2016-11-14</x:t>
        </x:is>
      </x:c>
      <x:c r="J2905" s="5" t="inlineStr">
        <x:is>
          <x:t xml:space="preserve">江阴市长山大道22号</x:t>
        </x:is>
      </x:c>
      <x:c r="K2905" s="12" t="str">
        <x:f>LEFT("91320200752749700A",18)</x:f>
        <x:v>91320200752749700A</x:v>
      </x:c>
    </x:row>
    <x:row r="2906">
      <x:c r="A2906" s="2" t="n">
        <x:v>2905</x:v>
      </x:c>
      <x:c r="B2906" s="2" t="inlineStr">
        <x:is>
          <x:t xml:space="preserve">300575</x:t>
        </x:is>
      </x:c>
      <x:c r="C2906" s="3" t="inlineStr">
        <x:is>
          <x:t xml:space="preserve">中旗股份</x:t>
        </x:is>
      </x:c>
      <x:c r="D2906" s="3" t="inlineStr">
        <x:is>
          <x:t xml:space="preserve">江苏中旗科技股份有限公司</x:t>
        </x:is>
      </x:c>
      <x:c r="E2906" s="2" t="inlineStr">
        <x:is>
          <x:t xml:space="preserve">江苏省</x:t>
        </x:is>
      </x:c>
      <x:c r="F2906" s="2" t="inlineStr">
        <x:is>
          <x:t xml:space="preserve">南京市</x:t>
        </x:is>
      </x:c>
      <x:c r="G2906" s="3" t="inlineStr">
        <x:is>
          <x:t xml:space="preserve">江苏省-南京市</x:t>
        </x:is>
      </x:c>
      <x:c r="H2906" s="2" t="inlineStr">
        <x:is>
          <x:t xml:space="preserve">农药兽药</x:t>
        </x:is>
      </x:c>
      <x:c r="I2906" s="2" t="inlineStr">
        <x:is>
          <x:t xml:space="preserve">2016-12-20</x:t>
        </x:is>
      </x:c>
      <x:c r="J2906" s="3" t="inlineStr">
        <x:is>
          <x:t xml:space="preserve">南京化学工业园区长丰河路309号</x:t>
        </x:is>
      </x:c>
      <x:c r="K2906" s="12" t="str">
        <x:f>LEFT("91320100752701061X",18)</x:f>
        <x:v>91320100752701061X</x:v>
      </x:c>
    </x:row>
    <x:row r="2907">
      <x:c r="A2907" s="4" t="n">
        <x:v>2906</x:v>
      </x:c>
      <x:c r="B2907" s="4" t="inlineStr">
        <x:is>
          <x:t xml:space="preserve">300580</x:t>
        </x:is>
      </x:c>
      <x:c r="C2907" s="5" t="inlineStr">
        <x:is>
          <x:t xml:space="preserve">贝斯特</x:t>
        </x:is>
      </x:c>
      <x:c r="D2907" s="5" t="inlineStr">
        <x:is>
          <x:t xml:space="preserve">无锡贝斯特精机股份有限公司</x:t>
        </x:is>
      </x:c>
      <x:c r="E2907" s="4" t="inlineStr">
        <x:is>
          <x:t xml:space="preserve">江苏省</x:t>
        </x:is>
      </x:c>
      <x:c r="F2907" s="4" t="inlineStr">
        <x:is>
          <x:t xml:space="preserve">无锡市</x:t>
        </x:is>
      </x:c>
      <x:c r="G2907" s="5" t="inlineStr">
        <x:is>
          <x:t xml:space="preserve">江苏省-无锡市</x:t>
        </x:is>
      </x:c>
      <x:c r="H2907" s="4" t="inlineStr">
        <x:is>
          <x:t xml:space="preserve">汽车行业</x:t>
        </x:is>
      </x:c>
      <x:c r="I2907" s="4" t="inlineStr">
        <x:is>
          <x:t xml:space="preserve">2017-01-11</x:t>
        </x:is>
      </x:c>
      <x:c r="J2907" s="5" t="inlineStr">
        <x:is>
          <x:t xml:space="preserve">无锡市建筑西路777(A10)-20层</x:t>
        </x:is>
      </x:c>
      <x:c r="K2907" s="12" t="str">
        <x:f>LEFT("91320200240505438W",18)</x:f>
        <x:v>91320200240505438W</x:v>
      </x:c>
    </x:row>
    <x:row r="2908">
      <x:c r="A2908" s="2" t="n">
        <x:v>2907</x:v>
      </x:c>
      <x:c r="B2908" s="2" t="inlineStr">
        <x:is>
          <x:t xml:space="preserve">300584</x:t>
        </x:is>
      </x:c>
      <x:c r="C2908" s="3" t="inlineStr">
        <x:is>
          <x:t xml:space="preserve">海辰药业</x:t>
        </x:is>
      </x:c>
      <x:c r="D2908" s="3" t="inlineStr">
        <x:is>
          <x:t xml:space="preserve">南京海辰药业股份有限公司</x:t>
        </x:is>
      </x:c>
      <x:c r="E2908" s="2" t="inlineStr">
        <x:is>
          <x:t xml:space="preserve">江苏省</x:t>
        </x:is>
      </x:c>
      <x:c r="F2908" s="2" t="inlineStr">
        <x:is>
          <x:t xml:space="preserve">南京市</x:t>
        </x:is>
      </x:c>
      <x:c r="G2908" s="3" t="inlineStr">
        <x:is>
          <x:t xml:space="preserve">江苏省-南京市</x:t>
        </x:is>
      </x:c>
      <x:c r="H2908" s="2" t="inlineStr">
        <x:is>
          <x:t xml:space="preserve">医药制造</x:t>
        </x:is>
      </x:c>
      <x:c r="I2908" s="2" t="inlineStr">
        <x:is>
          <x:t xml:space="preserve">2017-01-12</x:t>
        </x:is>
      </x:c>
      <x:c r="J2908" s="3" t="inlineStr">
        <x:is>
          <x:t xml:space="preserve">江苏省南京市经济技术开发区恒发路1号</x:t>
        </x:is>
      </x:c>
      <x:c r="K2908" s="12" t="str">
        <x:f>LEFT("913201927453675877",18)</x:f>
        <x:v>913201927453675900</x:v>
      </x:c>
    </x:row>
    <x:row r="2909">
      <x:c r="A2909" s="4" t="n">
        <x:v>2908</x:v>
      </x:c>
      <x:c r="B2909" s="4" t="inlineStr">
        <x:is>
          <x:t xml:space="preserve">300585</x:t>
        </x:is>
      </x:c>
      <x:c r="C2909" s="5" t="inlineStr">
        <x:is>
          <x:t xml:space="preserve">奥联电子</x:t>
        </x:is>
      </x:c>
      <x:c r="D2909" s="5" t="inlineStr">
        <x:is>
          <x:t xml:space="preserve">南京奥联汽车电子电器股份有限公司</x:t>
        </x:is>
      </x:c>
      <x:c r="E2909" s="4" t="inlineStr">
        <x:is>
          <x:t xml:space="preserve">江苏省</x:t>
        </x:is>
      </x:c>
      <x:c r="F2909" s="4" t="inlineStr">
        <x:is>
          <x:t xml:space="preserve">南京市</x:t>
        </x:is>
      </x:c>
      <x:c r="G2909" s="5" t="inlineStr">
        <x:is>
          <x:t xml:space="preserve">江苏省-南京市</x:t>
        </x:is>
      </x:c>
      <x:c r="H2909" s="4" t="inlineStr">
        <x:is>
          <x:t xml:space="preserve">汽车行业</x:t>
        </x:is>
      </x:c>
      <x:c r="I2909" s="4" t="inlineStr">
        <x:is>
          <x:t xml:space="preserve">2016-12-29</x:t>
        </x:is>
      </x:c>
      <x:c r="J2909" s="5" t="inlineStr">
        <x:is>
          <x:t xml:space="preserve">南京市江宁区谷里街道东善桥工业集中区</x:t>
        </x:is>
      </x:c>
      <x:c r="K2909" s="12" t="str">
        <x:f>LEFT("913201007260974891",18)</x:f>
        <x:v>913201007260974800</x:v>
      </x:c>
    </x:row>
    <x:row r="2910">
      <x:c r="A2910" s="2" t="n">
        <x:v>2909</x:v>
      </x:c>
      <x:c r="B2910" s="2" t="inlineStr">
        <x:is>
          <x:t xml:space="preserve">300598</x:t>
        </x:is>
      </x:c>
      <x:c r="C2910" s="3" t="inlineStr">
        <x:is>
          <x:t xml:space="preserve">诚迈科技</x:t>
        </x:is>
      </x:c>
      <x:c r="D2910" s="3" t="inlineStr">
        <x:is>
          <x:t xml:space="preserve">诚迈科技股份有限公司</x:t>
        </x:is>
      </x:c>
      <x:c r="E2910" s="2" t="inlineStr">
        <x:is>
          <x:t xml:space="preserve">江苏省</x:t>
        </x:is>
      </x:c>
      <x:c r="F2910" s="2" t="inlineStr">
        <x:is>
          <x:t xml:space="preserve">南京市</x:t>
        </x:is>
      </x:c>
      <x:c r="G2910" s="3" t="inlineStr">
        <x:is>
          <x:t xml:space="preserve">江苏省-南京市</x:t>
        </x:is>
      </x:c>
      <x:c r="H2910" s="2" t="inlineStr">
        <x:is>
          <x:t xml:space="preserve">软件服务</x:t>
        </x:is>
      </x:c>
      <x:c r="I2910" s="2" t="inlineStr">
        <x:is>
          <x:t xml:space="preserve">2017-01-20</x:t>
        </x:is>
      </x:c>
      <x:c r="J2910" s="3" t="inlineStr">
        <x:is>
          <x:t xml:space="preserve">南京市雨花台区宁双路19号4幢</x:t>
        </x:is>
      </x:c>
      <x:c r="K2910" s="12" t="str">
        <x:f>LEFT("91320100790434320Q",18)</x:f>
        <x:v>91320100790434320Q</x:v>
      </x:c>
    </x:row>
    <x:row r="2911">
      <x:c r="A2911" s="4" t="n">
        <x:v>2910</x:v>
      </x:c>
      <x:c r="B2911" s="4" t="inlineStr">
        <x:is>
          <x:t xml:space="preserve">300600</x:t>
        </x:is>
      </x:c>
      <x:c r="C2911" s="5" t="inlineStr">
        <x:is>
          <x:t xml:space="preserve">国瑞科技</x:t>
        </x:is>
      </x:c>
      <x:c r="D2911" s="5" t="inlineStr">
        <x:is>
          <x:t xml:space="preserve">常熟市国瑞科技股份有限公司</x:t>
        </x:is>
      </x:c>
      <x:c r="E2911" s="4" t="inlineStr">
        <x:is>
          <x:t xml:space="preserve">江苏省</x:t>
        </x:is>
      </x:c>
      <x:c r="F2911" s="4" t="inlineStr">
        <x:is>
          <x:t xml:space="preserve">常熟市</x:t>
        </x:is>
      </x:c>
      <x:c r="G2911" s="5" t="inlineStr">
        <x:is>
          <x:t xml:space="preserve">江苏省-常熟市</x:t>
        </x:is>
      </x:c>
      <x:c r="H2911" s="4" t="inlineStr">
        <x:is>
          <x:t xml:space="preserve">船舶制造</x:t>
        </x:is>
      </x:c>
      <x:c r="I2911" s="4" t="inlineStr">
        <x:is>
          <x:t xml:space="preserve">2017-01-25</x:t>
        </x:is>
      </x:c>
      <x:c r="J2911" s="5" t="inlineStr">
        <x:is>
          <x:t xml:space="preserve">常熟市虞山镇高新技术产业园青岛路2号</x:t>
        </x:is>
      </x:c>
      <x:c r="K2911" s="12" t="str">
        <x:f>LEFT("9132050062822013XT",18)</x:f>
        <x:v>9132050062822013XT</x:v>
      </x:c>
    </x:row>
    <x:row r="2912">
      <x:c r="A2912" s="2" t="n">
        <x:v>2911</x:v>
      </x:c>
      <x:c r="B2912" s="2" t="inlineStr">
        <x:is>
          <x:t xml:space="preserve">300610</x:t>
        </x:is>
      </x:c>
      <x:c r="C2912" s="3" t="inlineStr">
        <x:is>
          <x:t xml:space="preserve">晨化股份</x:t>
        </x:is>
      </x:c>
      <x:c r="D2912" s="3" t="inlineStr">
        <x:is>
          <x:t xml:space="preserve">扬州晨化新材料股份有限公司</x:t>
        </x:is>
      </x:c>
      <x:c r="E2912" s="2" t="inlineStr">
        <x:is>
          <x:t xml:space="preserve">江苏省</x:t>
        </x:is>
      </x:c>
      <x:c r="F2912" s="2" t="inlineStr">
        <x:is>
          <x:t xml:space="preserve">扬州市</x:t>
        </x:is>
      </x:c>
      <x:c r="G2912" s="3" t="inlineStr">
        <x:is>
          <x:t xml:space="preserve">江苏省-扬州市</x:t>
        </x:is>
      </x:c>
      <x:c r="H2912" s="2" t="inlineStr">
        <x:is>
          <x:t xml:space="preserve">塑料制品</x:t>
        </x:is>
      </x:c>
      <x:c r="I2912" s="2" t="inlineStr">
        <x:is>
          <x:t xml:space="preserve">2017-02-13</x:t>
        </x:is>
      </x:c>
      <x:c r="J2912" s="3" t="inlineStr">
        <x:is>
          <x:t xml:space="preserve">宝应县曹甸镇镇中路231号</x:t>
        </x:is>
      </x:c>
      <x:c r="K2912" s="12" t="str">
        <x:f>LEFT("913210001410496687",18)</x:f>
        <x:v>913210001410496600</x:v>
      </x:c>
    </x:row>
    <x:row r="2913">
      <x:c r="A2913" s="4" t="n">
        <x:v>2912</x:v>
      </x:c>
      <x:c r="B2913" s="4" t="inlineStr">
        <x:is>
          <x:t xml:space="preserve">300617</x:t>
        </x:is>
      </x:c>
      <x:c r="C2913" s="5" t="inlineStr">
        <x:is>
          <x:t xml:space="preserve">安靠智电</x:t>
        </x:is>
      </x:c>
      <x:c r="D2913" s="5" t="inlineStr">
        <x:is>
          <x:t xml:space="preserve">江苏安靠智电股份有限公司</x:t>
        </x:is>
      </x:c>
      <x:c r="E2913" s="4" t="inlineStr">
        <x:is>
          <x:t xml:space="preserve">江苏省</x:t>
        </x:is>
      </x:c>
      <x:c r="F2913" s="4" t="inlineStr">
        <x:is>
          <x:t xml:space="preserve">溧阳市</x:t>
        </x:is>
      </x:c>
      <x:c r="G2913" s="5" t="inlineStr">
        <x:is>
          <x:t xml:space="preserve">江苏省-溧阳市</x:t>
        </x:is>
      </x:c>
      <x:c r="H2913" s="4" t="inlineStr">
        <x:is>
          <x:t xml:space="preserve">电网设备</x:t>
        </x:is>
      </x:c>
      <x:c r="I2913" s="4" t="inlineStr">
        <x:is>
          <x:t xml:space="preserve">2017-02-28</x:t>
        </x:is>
      </x:c>
      <x:c r="J2913" s="5" t="inlineStr">
        <x:is>
          <x:t xml:space="preserve">溧阳市经济开发区天目湖工业园</x:t>
        </x:is>
      </x:c>
      <x:c r="K2913" s="12" t="str">
        <x:f>LEFT("91320400761509565N",18)</x:f>
        <x:v>91320400761509565N</x:v>
      </x:c>
    </x:row>
    <x:row r="2914">
      <x:c r="A2914" s="2" t="n">
        <x:v>2913</x:v>
      </x:c>
      <x:c r="B2914" s="2" t="inlineStr">
        <x:is>
          <x:t xml:space="preserve">300618</x:t>
        </x:is>
      </x:c>
      <x:c r="C2914" s="3" t="inlineStr">
        <x:is>
          <x:t xml:space="preserve">寒锐钴业</x:t>
        </x:is>
      </x:c>
      <x:c r="D2914" s="3" t="inlineStr">
        <x:is>
          <x:t xml:space="preserve">南京寒锐钴业股份有限公司</x:t>
        </x:is>
      </x:c>
      <x:c r="E2914" s="2" t="inlineStr">
        <x:is>
          <x:t xml:space="preserve">江苏省</x:t>
        </x:is>
      </x:c>
      <x:c r="F2914" s="2" t="inlineStr">
        <x:is>
          <x:t xml:space="preserve">南京市</x:t>
        </x:is>
      </x:c>
      <x:c r="G2914" s="3" t="inlineStr">
        <x:is>
          <x:t xml:space="preserve">江苏省-南京市</x:t>
        </x:is>
      </x:c>
      <x:c r="H2914" s="2" t="inlineStr">
        <x:is>
          <x:t xml:space="preserve">能源金属</x:t>
        </x:is>
      </x:c>
      <x:c r="I2914" s="2" t="inlineStr">
        <x:is>
          <x:t xml:space="preserve">2017-03-06</x:t>
        </x:is>
      </x:c>
      <x:c r="J2914" s="3" t="inlineStr">
        <x:is>
          <x:t xml:space="preserve">南京市江宁区将军大道527号</x:t>
        </x:is>
      </x:c>
      <x:c r="K2914" s="12" t="str">
        <x:f>LEFT("91320100249801399X",18)</x:f>
        <x:v>91320100249801399X</x:v>
      </x:c>
    </x:row>
    <x:row r="2915">
      <x:c r="A2915" s="4" t="n">
        <x:v>2914</x:v>
      </x:c>
      <x:c r="B2915" s="4" t="inlineStr">
        <x:is>
          <x:t xml:space="preserve">300623</x:t>
        </x:is>
      </x:c>
      <x:c r="C2915" s="5" t="inlineStr">
        <x:is>
          <x:t xml:space="preserve">捷捷微电</x:t>
        </x:is>
      </x:c>
      <x:c r="D2915" s="5" t="inlineStr">
        <x:is>
          <x:t xml:space="preserve">江苏捷捷微电子股份有限公司</x:t>
        </x:is>
      </x:c>
      <x:c r="E2915" s="4" t="inlineStr">
        <x:is>
          <x:t xml:space="preserve">江苏省</x:t>
        </x:is>
      </x:c>
      <x:c r="F2915" s="4" t="inlineStr">
        <x:is>
          <x:t xml:space="preserve">苏省启东市</x:t>
        </x:is>
      </x:c>
      <x:c r="G2915" s="5" t="inlineStr">
        <x:is>
          <x:t xml:space="preserve">江苏省-苏省启东市</x:t>
        </x:is>
      </x:c>
      <x:c r="H2915" s="4" t="inlineStr">
        <x:is>
          <x:t xml:space="preserve">半导体</x:t>
        </x:is>
      </x:c>
      <x:c r="I2915" s="4" t="inlineStr">
        <x:is>
          <x:t xml:space="preserve">2017-03-14</x:t>
        </x:is>
      </x:c>
      <x:c r="J2915" s="5" t="inlineStr">
        <x:is>
          <x:t xml:space="preserve">江苏省启东市经济开发区钱塘江路3000号</x:t>
        </x:is>
      </x:c>
      <x:c r="K2915" s="12" t="str">
        <x:f>LEFT("913206001383726757",18)</x:f>
        <x:v>913206001383726700</x:v>
      </x:c>
    </x:row>
    <x:row r="2916">
      <x:c r="A2916" s="2" t="n">
        <x:v>2915</x:v>
      </x:c>
      <x:c r="B2916" s="2" t="inlineStr">
        <x:is>
          <x:t xml:space="preserve">300631</x:t>
        </x:is>
      </x:c>
      <x:c r="C2916" s="3" t="inlineStr">
        <x:is>
          <x:t xml:space="preserve">久吾高科</x:t>
        </x:is>
      </x:c>
      <x:c r="D2916" s="3" t="inlineStr">
        <x:is>
          <x:t xml:space="preserve">江苏久吾高科技股份有限公司</x:t>
        </x:is>
      </x:c>
      <x:c r="E2916" s="2" t="inlineStr">
        <x:is>
          <x:t xml:space="preserve">江苏省</x:t>
        </x:is>
      </x:c>
      <x:c r="F2916" s="2" t="inlineStr">
        <x:is>
          <x:t xml:space="preserve">南京市</x:t>
        </x:is>
      </x:c>
      <x:c r="G2916" s="3" t="inlineStr">
        <x:is>
          <x:t xml:space="preserve">江苏省-南京市</x:t>
        </x:is>
      </x:c>
      <x:c r="H2916" s="2" t="inlineStr">
        <x:is>
          <x:t xml:space="preserve">环保行业</x:t>
        </x:is>
      </x:c>
      <x:c r="I2916" s="2" t="inlineStr">
        <x:is>
          <x:t xml:space="preserve">2017-03-23</x:t>
        </x:is>
      </x:c>
      <x:c r="J2916" s="3" t="inlineStr">
        <x:is>
          <x:t xml:space="preserve">南京市浦口区园思路9号</x:t>
        </x:is>
      </x:c>
      <x:c r="K2916" s="12" t="str">
        <x:f>LEFT("91320000134793384D",18)</x:f>
        <x:v>91320000134793384D</x:v>
      </x:c>
    </x:row>
    <x:row r="2917">
      <x:c r="A2917" s="4" t="n">
        <x:v>2916</x:v>
      </x:c>
      <x:c r="B2917" s="4" t="inlineStr">
        <x:is>
          <x:t xml:space="preserve">300641</x:t>
        </x:is>
      </x:c>
      <x:c r="C2917" s="5" t="inlineStr">
        <x:is>
          <x:t xml:space="preserve">正丹股份</x:t>
        </x:is>
      </x:c>
      <x:c r="D2917" s="5" t="inlineStr">
        <x:is>
          <x:t xml:space="preserve">江苏正丹化学工业股份有限公司</x:t>
        </x:is>
      </x:c>
      <x:c r="E2917" s="4" t="inlineStr">
        <x:is>
          <x:t xml:space="preserve">江苏省</x:t>
        </x:is>
      </x:c>
      <x:c r="F2917" s="4" t="inlineStr">
        <x:is>
          <x:t xml:space="preserve">镇江市</x:t>
        </x:is>
      </x:c>
      <x:c r="G2917" s="5" t="inlineStr">
        <x:is>
          <x:t xml:space="preserve">江苏省-镇江市</x:t>
        </x:is>
      </x:c>
      <x:c r="H2917" s="4" t="inlineStr">
        <x:is>
          <x:t xml:space="preserve">化工行业</x:t>
        </x:is>
      </x:c>
      <x:c r="I2917" s="4" t="inlineStr">
        <x:is>
          <x:t xml:space="preserve">2017-04-18</x:t>
        </x:is>
      </x:c>
      <x:c r="J2917" s="5" t="inlineStr">
        <x:is>
          <x:t xml:space="preserve">镇江新区国际化学工业园松林山路南</x:t>
        </x:is>
      </x:c>
      <x:c r="K2917" s="12" t="str">
        <x:f>LEFT("913211007965274641",18)</x:f>
        <x:v>913211007965274600</x:v>
      </x:c>
    </x:row>
    <x:row r="2918">
      <x:c r="A2918" s="2" t="n">
        <x:v>2917</x:v>
      </x:c>
      <x:c r="B2918" s="2" t="inlineStr">
        <x:is>
          <x:t xml:space="preserve">300644</x:t>
        </x:is>
      </x:c>
      <x:c r="C2918" s="3" t="inlineStr">
        <x:is>
          <x:t xml:space="preserve">南京聚隆</x:t>
        </x:is>
      </x:c>
      <x:c r="D2918" s="3" t="inlineStr">
        <x:is>
          <x:t xml:space="preserve">南京聚隆科技股份有限公司</x:t>
        </x:is>
      </x:c>
      <x:c r="E2918" s="2" t="inlineStr">
        <x:is>
          <x:t xml:space="preserve">江苏省</x:t>
        </x:is>
      </x:c>
      <x:c r="F2918" s="2" t="inlineStr">
        <x:is>
          <x:t xml:space="preserve">南京市</x:t>
        </x:is>
      </x:c>
      <x:c r="G2918" s="3" t="inlineStr">
        <x:is>
          <x:t xml:space="preserve">江苏省-南京市</x:t>
        </x:is>
      </x:c>
      <x:c r="H2918" s="2" t="inlineStr">
        <x:is>
          <x:t xml:space="preserve">塑胶制品</x:t>
        </x:is>
      </x:c>
      <x:c r="I2918" s="2" t="inlineStr">
        <x:is>
          <x:t xml:space="preserve">2018-02-06</x:t>
        </x:is>
      </x:c>
      <x:c r="J2918" s="3" t="inlineStr">
        <x:is>
          <x:t xml:space="preserve">南京江北新区聚龙路8号</x:t>
        </x:is>
      </x:c>
      <x:c r="K2918" s="12" t="str">
        <x:f>LEFT("913201917041934615",18)</x:f>
        <x:v>913201917041934600</x:v>
      </x:c>
    </x:row>
    <x:row r="2919">
      <x:c r="A2919" s="4" t="n">
        <x:v>2918</x:v>
      </x:c>
      <x:c r="B2919" s="4" t="inlineStr">
        <x:is>
          <x:t xml:space="preserve">300651</x:t>
        </x:is>
      </x:c>
      <x:c r="C2919" s="5" t="inlineStr">
        <x:is>
          <x:t xml:space="preserve">金陵体育</x:t>
        </x:is>
      </x:c>
      <x:c r="D2919" s="5" t="inlineStr">
        <x:is>
          <x:t xml:space="preserve">江苏金陵体育器材股份有限公司</x:t>
        </x:is>
      </x:c>
      <x:c r="E2919" s="4" t="inlineStr">
        <x:is>
          <x:t xml:space="preserve">江苏省</x:t>
        </x:is>
      </x:c>
      <x:c r="F2919" s="4" t="inlineStr">
        <x:is>
          <x:t xml:space="preserve">省张家港市</x:t>
        </x:is>
      </x:c>
      <x:c r="G2919" s="5" t="inlineStr">
        <x:is>
          <x:t xml:space="preserve">江苏省-省张家港市</x:t>
        </x:is>
      </x:c>
      <x:c r="H2919" s="4" t="inlineStr">
        <x:is>
          <x:t xml:space="preserve">家用轻工</x:t>
        </x:is>
      </x:c>
      <x:c r="I2919" s="4" t="inlineStr">
        <x:is>
          <x:t xml:space="preserve">2017-05-09</x:t>
        </x:is>
      </x:c>
      <x:c r="J2919" s="5" t="inlineStr">
        <x:is>
          <x:t xml:space="preserve">江苏省张家港市南丰镇海丰路11号</x:t>
        </x:is>
      </x:c>
      <x:c r="K2919" s="12" t="str">
        <x:f>LEFT("91320500758988550M",18)</x:f>
        <x:v>91320500758988550M</x:v>
      </x:c>
    </x:row>
    <x:row r="2920">
      <x:c r="A2920" s="2" t="n">
        <x:v>2919</x:v>
      </x:c>
      <x:c r="B2920" s="2" t="inlineStr">
        <x:is>
          <x:t xml:space="preserve">300655</x:t>
        </x:is>
      </x:c>
      <x:c r="C2920" s="3" t="inlineStr">
        <x:is>
          <x:t xml:space="preserve">晶瑞电材</x:t>
        </x:is>
      </x:c>
      <x:c r="D2920" s="3" t="inlineStr">
        <x:is>
          <x:t xml:space="preserve">晶瑞电子材料股份有限公司</x:t>
        </x:is>
      </x:c>
      <x:c r="E2920" s="2" t="inlineStr">
        <x:is>
          <x:t xml:space="preserve">江苏省</x:t>
        </x:is>
      </x:c>
      <x:c r="F2920" s="2" t="inlineStr">
        <x:is>
          <x:t xml:space="preserve">苏州市</x:t>
        </x:is>
      </x:c>
      <x:c r="G2920" s="3" t="inlineStr">
        <x:is>
          <x:t xml:space="preserve">江苏省-苏州市</x:t>
        </x:is>
      </x:c>
      <x:c r="H2920" s="2" t="inlineStr">
        <x:is>
          <x:t xml:space="preserve">电子化学品</x:t>
        </x:is>
      </x:c>
      <x:c r="I2920" s="2" t="inlineStr">
        <x:is>
          <x:t xml:space="preserve">2017-05-23</x:t>
        </x:is>
      </x:c>
      <x:c r="J2920" s="3" t="inlineStr">
        <x:is>
          <x:t xml:space="preserve">苏州市吴中经济开发区河东工业园善丰路168号</x:t>
        </x:is>
      </x:c>
      <x:c r="K2920" s="12" t="str">
        <x:f>LEFT("91320500732526198B",18)</x:f>
        <x:v>91320500732526198B</x:v>
      </x:c>
    </x:row>
    <x:row r="2921">
      <x:c r="A2921" s="4" t="n">
        <x:v>2920</x:v>
      </x:c>
      <x:c r="B2921" s="4" t="inlineStr">
        <x:is>
          <x:t xml:space="preserve">300660</x:t>
        </x:is>
      </x:c>
      <x:c r="C2921" s="5" t="inlineStr">
        <x:is>
          <x:t xml:space="preserve">江苏雷利</x:t>
        </x:is>
      </x:c>
      <x:c r="D2921" s="5" t="inlineStr">
        <x:is>
          <x:t xml:space="preserve">江苏雷利电机股份有限公司</x:t>
        </x:is>
      </x:c>
      <x:c r="E2921" s="4" t="inlineStr">
        <x:is>
          <x:t xml:space="preserve">江苏省</x:t>
        </x:is>
      </x:c>
      <x:c r="F2921" s="4" t="inlineStr">
        <x:is>
          <x:t xml:space="preserve">常州市</x:t>
        </x:is>
      </x:c>
      <x:c r="G2921" s="5" t="inlineStr">
        <x:is>
          <x:t xml:space="preserve">江苏省-常州市</x:t>
        </x:is>
      </x:c>
      <x:c r="H2921" s="4" t="inlineStr">
        <x:is>
          <x:t xml:space="preserve">电机</x:t>
        </x:is>
      </x:c>
      <x:c r="I2921" s="4" t="inlineStr">
        <x:is>
          <x:t xml:space="preserve">2017-06-02</x:t>
        </x:is>
      </x:c>
      <x:c r="J2921" s="5" t="inlineStr">
        <x:is>
          <x:t xml:space="preserve">江苏省常州市武进区遥观镇钱家塘路19号</x:t>
        </x:is>
      </x:c>
      <x:c r="K2921" s="12" t="str">
        <x:f>LEFT("913204007876980429",18)</x:f>
        <x:v>913204007876980500</x:v>
      </x:c>
    </x:row>
    <x:row r="2922">
      <x:c r="A2922" s="2" t="n">
        <x:v>2921</x:v>
      </x:c>
      <x:c r="B2922" s="2" t="inlineStr">
        <x:is>
          <x:t xml:space="preserve">300664</x:t>
        </x:is>
      </x:c>
      <x:c r="C2922" s="3" t="inlineStr">
        <x:is>
          <x:t xml:space="preserve">鹏鹞环保</x:t>
        </x:is>
      </x:c>
      <x:c r="D2922" s="3" t="inlineStr">
        <x:is>
          <x:t xml:space="preserve">鹏鹞环保股份有限公司</x:t>
        </x:is>
      </x:c>
      <x:c r="E2922" s="2" t="inlineStr">
        <x:is>
          <x:t xml:space="preserve">江苏省</x:t>
        </x:is>
      </x:c>
      <x:c r="F2922" s="2" t="inlineStr">
        <x:is>
          <x:t xml:space="preserve">宜兴市</x:t>
        </x:is>
      </x:c>
      <x:c r="G2922" s="3" t="inlineStr">
        <x:is>
          <x:t xml:space="preserve">江苏省-宜兴市</x:t>
        </x:is>
      </x:c>
      <x:c r="H2922" s="2" t="inlineStr">
        <x:is>
          <x:t xml:space="preserve">环保工程</x:t>
        </x:is>
      </x:c>
      <x:c r="I2922" s="2" t="inlineStr">
        <x:is>
          <x:t xml:space="preserve">2018-01-05</x:t>
        </x:is>
      </x:c>
      <x:c r="J2922" s="3" t="inlineStr">
        <x:is>
          <x:t xml:space="preserve">宜兴市高塍镇工业集中区(胥井村)</x:t>
        </x:is>
      </x:c>
      <x:c r="K2922" s="12" t="str">
        <x:f>LEFT("91320200703530323W",18)</x:f>
        <x:v>91320200703530323W</x:v>
      </x:c>
    </x:row>
    <x:row r="2923">
      <x:c r="A2923" s="4" t="n">
        <x:v>2922</x:v>
      </x:c>
      <x:c r="B2923" s="4" t="inlineStr">
        <x:is>
          <x:t xml:space="preserve">300670</x:t>
        </x:is>
      </x:c>
      <x:c r="C2923" s="5" t="inlineStr">
        <x:is>
          <x:t xml:space="preserve">大烨智能</x:t>
        </x:is>
      </x:c>
      <x:c r="D2923" s="5" t="inlineStr">
        <x:is>
          <x:t xml:space="preserve">江苏大烨智能电气股份有限公司</x:t>
        </x:is>
      </x:c>
      <x:c r="E2923" s="4" t="inlineStr">
        <x:is>
          <x:t xml:space="preserve">江苏省</x:t>
        </x:is>
      </x:c>
      <x:c r="F2923" s="4" t="inlineStr">
        <x:is>
          <x:t xml:space="preserve">南京市</x:t>
        </x:is>
      </x:c>
      <x:c r="G2923" s="5" t="inlineStr">
        <x:is>
          <x:t xml:space="preserve">江苏省-南京市</x:t>
        </x:is>
      </x:c>
      <x:c r="H2923" s="4" t="inlineStr">
        <x:is>
          <x:t xml:space="preserve">输配电气</x:t>
        </x:is>
      </x:c>
      <x:c r="I2923" s="4" t="inlineStr">
        <x:is>
          <x:t xml:space="preserve">2017-07-03</x:t>
        </x:is>
      </x:c>
      <x:c r="J2923" s="5" t="inlineStr">
        <x:is>
          <x:t xml:space="preserve">江苏省南京市江宁区将军大道223号</x:t>
        </x:is>
      </x:c>
      <x:c r="K2923" s="12" t="str">
        <x:f>LEFT("91320000588414609P",18)</x:f>
        <x:v>91320000588414609P</x:v>
      </x:c>
    </x:row>
    <x:row r="2924">
      <x:c r="A2924" s="2" t="n">
        <x:v>2923</x:v>
      </x:c>
      <x:c r="B2924" s="2" t="inlineStr">
        <x:is>
          <x:t xml:space="preserve">300680</x:t>
        </x:is>
      </x:c>
      <x:c r="C2924" s="3" t="inlineStr">
        <x:is>
          <x:t xml:space="preserve">隆盛科技</x:t>
        </x:is>
      </x:c>
      <x:c r="D2924" s="3" t="inlineStr">
        <x:is>
          <x:t xml:space="preserve">无锡隆盛科技股份有限公司</x:t>
        </x:is>
      </x:c>
      <x:c r="E2924" s="2" t="inlineStr">
        <x:is>
          <x:t xml:space="preserve">江苏省</x:t>
        </x:is>
      </x:c>
      <x:c r="F2924" s="2" t="inlineStr">
        <x:is>
          <x:t xml:space="preserve">无锡市</x:t>
        </x:is>
      </x:c>
      <x:c r="G2924" s="3" t="inlineStr">
        <x:is>
          <x:t xml:space="preserve">江苏省-无锡市</x:t>
        </x:is>
      </x:c>
      <x:c r="H2924" s="2" t="inlineStr">
        <x:is>
          <x:t xml:space="preserve">汽车行业</x:t>
        </x:is>
      </x:c>
      <x:c r="I2924" s="2" t="inlineStr">
        <x:is>
          <x:t xml:space="preserve">2017-07-25</x:t>
        </x:is>
      </x:c>
      <x:c r="J2924" s="3" t="inlineStr">
        <x:is>
          <x:t xml:space="preserve">无锡新区城南路231-3号(经营场所:无锡市新吴区珠江路99号)</x:t>
        </x:is>
      </x:c>
      <x:c r="K2924" s="12" t="str">
        <x:f>LEFT("91320200763551927E",18)</x:f>
        <x:v>91320200763551927E</x:v>
      </x:c>
    </x:row>
    <x:row r="2925">
      <x:c r="A2925" s="4" t="n">
        <x:v>2924</x:v>
      </x:c>
      <x:c r="B2925" s="4" t="inlineStr">
        <x:is>
          <x:t xml:space="preserve">300682</x:t>
        </x:is>
      </x:c>
      <x:c r="C2925" s="5" t="inlineStr">
        <x:is>
          <x:t xml:space="preserve">朗新科技</x:t>
        </x:is>
      </x:c>
      <x:c r="D2925" s="5" t="inlineStr">
        <x:is>
          <x:t xml:space="preserve">朗新科技集团股份有限公司</x:t>
        </x:is>
      </x:c>
      <x:c r="E2925" s="4" t="inlineStr">
        <x:is>
          <x:t xml:space="preserve">江苏省</x:t>
        </x:is>
      </x:c>
      <x:c r="F2925" s="4" t="inlineStr">
        <x:is>
          <x:t xml:space="preserve">无锡市</x:t>
        </x:is>
      </x:c>
      <x:c r="G2925" s="5" t="inlineStr">
        <x:is>
          <x:t xml:space="preserve">江苏省-无锡市</x:t>
        </x:is>
      </x:c>
      <x:c r="H2925" s="4" t="inlineStr">
        <x:is>
          <x:t xml:space="preserve">软件开发</x:t>
        </x:is>
      </x:c>
      <x:c r="I2925" s="4" t="inlineStr">
        <x:is>
          <x:t xml:space="preserve">2017-08-01</x:t>
        </x:is>
      </x:c>
      <x:c r="J2925" s="5" t="inlineStr">
        <x:is>
          <x:t xml:space="preserve">无锡市新吴区净慧东道118号1楼</x:t>
        </x:is>
      </x:c>
      <x:c r="K2925" s="12" t="str">
        <x:f>LEFT("91320200747189665N",18)</x:f>
        <x:v>91320200747189665N</x:v>
      </x:c>
    </x:row>
    <x:row r="2926">
      <x:c r="A2926" s="2" t="n">
        <x:v>2925</x:v>
      </x:c>
      <x:c r="B2926" s="2" t="inlineStr">
        <x:is>
          <x:t xml:space="preserve">300694</x:t>
        </x:is>
      </x:c>
      <x:c r="C2926" s="3" t="inlineStr">
        <x:is>
          <x:t xml:space="preserve">蠡湖股份</x:t>
        </x:is>
      </x:c>
      <x:c r="D2926" s="3" t="inlineStr">
        <x:is>
          <x:t xml:space="preserve">无锡蠡湖增压技术股份有限公司</x:t>
        </x:is>
      </x:c>
      <x:c r="E2926" s="2" t="inlineStr">
        <x:is>
          <x:t xml:space="preserve">江苏省</x:t>
        </x:is>
      </x:c>
      <x:c r="F2926" s="2" t="inlineStr">
        <x:is>
          <x:t xml:space="preserve">无锡市</x:t>
        </x:is>
      </x:c>
      <x:c r="G2926" s="3" t="inlineStr">
        <x:is>
          <x:t xml:space="preserve">江苏省-无锡市</x:t>
        </x:is>
      </x:c>
      <x:c r="H2926" s="2" t="inlineStr">
        <x:is>
          <x:t xml:space="preserve">汽车行业</x:t>
        </x:is>
      </x:c>
      <x:c r="I2926" s="2" t="inlineStr">
        <x:is>
          <x:t xml:space="preserve">2018-10-15</x:t>
        </x:is>
      </x:c>
      <x:c r="J2926" s="3" t="inlineStr">
        <x:is>
          <x:t xml:space="preserve">无锡滨湖区胡埭镇天竹路2号</x:t>
        </x:is>
      </x:c>
      <x:c r="K2926" s="12" t="str">
        <x:f>LEFT("913202006079522354",18)</x:f>
        <x:v>913202006079522300</x:v>
      </x:c>
    </x:row>
    <x:row r="2927">
      <x:c r="A2927" s="4" t="n">
        <x:v>2926</x:v>
      </x:c>
      <x:c r="B2927" s="4" t="inlineStr">
        <x:is>
          <x:t xml:space="preserve">300697</x:t>
        </x:is>
      </x:c>
      <x:c r="C2927" s="5" t="inlineStr">
        <x:is>
          <x:t xml:space="preserve">电工合金</x:t>
        </x:is>
      </x:c>
      <x:c r="D2927" s="5" t="inlineStr">
        <x:is>
          <x:t xml:space="preserve">江阴电工合金股份有限公司</x:t>
        </x:is>
      </x:c>
      <x:c r="E2927" s="4" t="inlineStr">
        <x:is>
          <x:t xml:space="preserve">江苏省</x:t>
        </x:is>
      </x:c>
      <x:c r="F2927" s="4" t="inlineStr">
        <x:is>
          <x:t xml:space="preserve">江阴市</x:t>
        </x:is>
      </x:c>
      <x:c r="G2927" s="5" t="inlineStr">
        <x:is>
          <x:t xml:space="preserve">江苏省-江阴市</x:t>
        </x:is>
      </x:c>
      <x:c r="H2927" s="4" t="inlineStr">
        <x:is>
          <x:t xml:space="preserve">有色金属</x:t>
        </x:is>
      </x:c>
      <x:c r="I2927" s="4" t="inlineStr">
        <x:is>
          <x:t xml:space="preserve">2017-09-07</x:t>
        </x:is>
      </x:c>
      <x:c r="J2927" s="5" t="inlineStr">
        <x:is>
          <x:t xml:space="preserve">江阴市周庄镇世纪大道北段398号</x:t>
        </x:is>
      </x:c>
      <x:c r="K2927" s="12" t="str">
        <x:f>LEFT("91320200842255667P",18)</x:f>
        <x:v>91320200842255667P</x:v>
      </x:c>
    </x:row>
    <x:row r="2928">
      <x:c r="A2928" s="2" t="n">
        <x:v>2927</x:v>
      </x:c>
      <x:c r="B2928" s="2" t="inlineStr">
        <x:is>
          <x:t xml:space="preserve">300707</x:t>
        </x:is>
      </x:c>
      <x:c r="C2928" s="3" t="inlineStr">
        <x:is>
          <x:t xml:space="preserve">威唐工业</x:t>
        </x:is>
      </x:c>
      <x:c r="D2928" s="3" t="inlineStr">
        <x:is>
          <x:t xml:space="preserve">无锡威唐工业技术股份有限公司</x:t>
        </x:is>
      </x:c>
      <x:c r="E2928" s="2" t="inlineStr">
        <x:is>
          <x:t xml:space="preserve">江苏省</x:t>
        </x:is>
      </x:c>
      <x:c r="F2928" s="2" t="inlineStr">
        <x:is>
          <x:t xml:space="preserve">无锡市</x:t>
        </x:is>
      </x:c>
      <x:c r="G2928" s="3" t="inlineStr">
        <x:is>
          <x:t xml:space="preserve">江苏省-无锡市</x:t>
        </x:is>
      </x:c>
      <x:c r="H2928" s="2" t="inlineStr">
        <x:is>
          <x:t xml:space="preserve">汽车行业</x:t>
        </x:is>
      </x:c>
      <x:c r="I2928" s="2" t="inlineStr">
        <x:is>
          <x:t xml:space="preserve">2017-10-10</x:t>
        </x:is>
      </x:c>
      <x:c r="J2928" s="3" t="inlineStr">
        <x:is>
          <x:t xml:space="preserve">无锡市新吴区鸿山街道建鸿路32号</x:t>
        </x:is>
      </x:c>
      <x:c r="K2928" s="12" t="str">
        <x:f>LEFT("91320200673924654N",18)</x:f>
        <x:v>91320200673924654N</x:v>
      </x:c>
    </x:row>
    <x:row r="2929">
      <x:c r="A2929" s="4" t="n">
        <x:v>2928</x:v>
      </x:c>
      <x:c r="B2929" s="4" t="inlineStr">
        <x:is>
          <x:t xml:space="preserve">300708</x:t>
        </x:is>
      </x:c>
      <x:c r="C2929" s="5" t="inlineStr">
        <x:is>
          <x:t xml:space="preserve">聚灿光电</x:t>
        </x:is>
      </x:c>
      <x:c r="D2929" s="5" t="inlineStr">
        <x:is>
          <x:t xml:space="preserve">聚灿光电科技股份有限公司</x:t>
        </x:is>
      </x:c>
      <x:c r="E2929" s="4" t="inlineStr">
        <x:is>
          <x:t xml:space="preserve">江苏省</x:t>
        </x:is>
      </x:c>
      <x:c r="F2929" s="4" t="inlineStr">
        <x:is>
          <x:t xml:space="preserve">苏州市</x:t>
        </x:is>
      </x:c>
      <x:c r="G2929" s="5" t="inlineStr">
        <x:is>
          <x:t xml:space="preserve">江苏省-苏州市</x:t>
        </x:is>
      </x:c>
      <x:c r="H2929" s="4" t="inlineStr">
        <x:is>
          <x:t xml:space="preserve">光学光电子</x:t>
        </x:is>
      </x:c>
      <x:c r="I2929" s="4" t="inlineStr">
        <x:is>
          <x:t xml:space="preserve">2017-10-16</x:t>
        </x:is>
      </x:c>
      <x:c r="J2929" s="5" t="inlineStr">
        <x:is>
          <x:t xml:space="preserve">苏州工业园区月亮湾路15号中新大厦32楼01-05室</x:t>
        </x:is>
      </x:c>
      <x:c r="K2929" s="12" t="str">
        <x:f>LEFT("91320000553774401L",18)</x:f>
        <x:v>91320000553774401L</x:v>
      </x:c>
    </x:row>
    <x:row r="2930">
      <x:c r="A2930" s="2" t="n">
        <x:v>2929</x:v>
      </x:c>
      <x:c r="B2930" s="2" t="inlineStr">
        <x:is>
          <x:t xml:space="preserve">300709</x:t>
        </x:is>
      </x:c>
      <x:c r="C2930" s="3" t="inlineStr">
        <x:is>
          <x:t xml:space="preserve">精研科技</x:t>
        </x:is>
      </x:c>
      <x:c r="D2930" s="3" t="inlineStr">
        <x:is>
          <x:t xml:space="preserve">江苏精研科技股份有限公司</x:t>
        </x:is>
      </x:c>
      <x:c r="E2930" s="2" t="inlineStr">
        <x:is>
          <x:t xml:space="preserve">江苏省</x:t>
        </x:is>
      </x:c>
      <x:c r="F2930" s="2" t="inlineStr">
        <x:is>
          <x:t xml:space="preserve">常州市</x:t>
        </x:is>
      </x:c>
      <x:c r="G2930" s="3" t="inlineStr">
        <x:is>
          <x:t xml:space="preserve">江苏省-常州市</x:t>
        </x:is>
      </x:c>
      <x:c r="H2930" s="2" t="inlineStr">
        <x:is>
          <x:t xml:space="preserve">消费电子</x:t>
        </x:is>
      </x:c>
      <x:c r="I2930" s="2" t="inlineStr">
        <x:is>
          <x:t xml:space="preserve">2017-10-19</x:t>
        </x:is>
      </x:c>
      <x:c r="J2930" s="3" t="inlineStr">
        <x:is>
          <x:t xml:space="preserve">江苏省常州市钟楼经济开发区棕榈路59号</x:t>
        </x:is>
      </x:c>
      <x:c r="K2930" s="12" t="str">
        <x:f>LEFT("913204007691020574",18)</x:f>
        <x:v>913204007691020500</x:v>
      </x:c>
    </x:row>
    <x:row r="2931">
      <x:c r="A2931" s="4" t="n">
        <x:v>2930</x:v>
      </x:c>
      <x:c r="B2931" s="4" t="inlineStr">
        <x:is>
          <x:t xml:space="preserve">300715</x:t>
        </x:is>
      </x:c>
      <x:c r="C2931" s="5" t="inlineStr">
        <x:is>
          <x:t xml:space="preserve">凯伦股份</x:t>
        </x:is>
      </x:c>
      <x:c r="D2931" s="5" t="inlineStr">
        <x:is>
          <x:t xml:space="preserve">江苏凯伦建材股份有限公司</x:t>
        </x:is>
      </x:c>
      <x:c r="E2931" s="4" t="inlineStr">
        <x:is>
          <x:t xml:space="preserve">江苏省</x:t>
        </x:is>
      </x:c>
      <x:c r="F2931" s="4" t="inlineStr">
        <x:is>
          <x:t xml:space="preserve">苏州市</x:t>
        </x:is>
      </x:c>
      <x:c r="G2931" s="5" t="inlineStr">
        <x:is>
          <x:t xml:space="preserve">江苏省-苏州市</x:t>
        </x:is>
      </x:c>
      <x:c r="H2931" s="4" t="inlineStr">
        <x:is>
          <x:t xml:space="preserve">装修建材</x:t>
        </x:is>
      </x:c>
      <x:c r="I2931" s="4" t="inlineStr">
        <x:is>
          <x:t xml:space="preserve">2017-10-26</x:t>
        </x:is>
      </x:c>
      <x:c r="J2931" s="5" t="inlineStr">
        <x:is>
          <x:t xml:space="preserve">苏州市吴江区七都镇亨通大道8号</x:t>
        </x:is>
      </x:c>
      <x:c r="K2931" s="12" t="str">
        <x:f>LEFT("9132050057817586XW",18)</x:f>
        <x:v>9132050057817586XW</x:v>
      </x:c>
    </x:row>
    <x:row r="2932">
      <x:c r="A2932" s="2" t="n">
        <x:v>2931</x:v>
      </x:c>
      <x:c r="B2932" s="2" t="inlineStr">
        <x:is>
          <x:t xml:space="preserve">300717</x:t>
        </x:is>
      </x:c>
      <x:c r="C2932" s="3" t="inlineStr">
        <x:is>
          <x:t xml:space="preserve">华信新材</x:t>
        </x:is>
      </x:c>
      <x:c r="D2932" s="3" t="inlineStr">
        <x:is>
          <x:t xml:space="preserve">江苏华信新材料股份有限公司</x:t>
        </x:is>
      </x:c>
      <x:c r="E2932" s="2" t="inlineStr">
        <x:is>
          <x:t xml:space="preserve">江苏省</x:t>
        </x:is>
      </x:c>
      <x:c r="F2932" s="2" t="inlineStr">
        <x:is>
          <x:t xml:space="preserve">新沂市</x:t>
        </x:is>
      </x:c>
      <x:c r="G2932" s="3" t="inlineStr">
        <x:is>
          <x:t xml:space="preserve">江苏省-新沂市</x:t>
        </x:is>
      </x:c>
      <x:c r="H2932" s="2" t="inlineStr">
        <x:is>
          <x:t xml:space="preserve">塑胶制品</x:t>
        </x:is>
      </x:c>
      <x:c r="I2932" s="2" t="inlineStr">
        <x:is>
          <x:t xml:space="preserve">2017-11-06</x:t>
        </x:is>
      </x:c>
      <x:c r="J2932" s="3" t="inlineStr">
        <x:is>
          <x:t xml:space="preserve">新沂市珠江路18号</x:t>
        </x:is>
      </x:c>
      <x:c r="K2932" s="12" t="str">
        <x:f>LEFT("913203007036025426",18)</x:f>
        <x:v>913203007036025500</x:v>
      </x:c>
    </x:row>
    <x:row r="2933">
      <x:c r="A2933" s="4" t="n">
        <x:v>2932</x:v>
      </x:c>
      <x:c r="B2933" s="4" t="inlineStr">
        <x:is>
          <x:t xml:space="preserve">300721</x:t>
        </x:is>
      </x:c>
      <x:c r="C2933" s="5" t="inlineStr">
        <x:is>
          <x:t xml:space="preserve">怡达股份</x:t>
        </x:is>
      </x:c>
      <x:c r="D2933" s="5" t="inlineStr">
        <x:is>
          <x:t xml:space="preserve">江苏怡达化学股份有限公司</x:t>
        </x:is>
      </x:c>
      <x:c r="E2933" s="4" t="inlineStr">
        <x:is>
          <x:t xml:space="preserve">江苏省</x:t>
        </x:is>
      </x:c>
      <x:c r="F2933" s="4" t="inlineStr">
        <x:is>
          <x:t xml:space="preserve">苏省江阴市</x:t>
        </x:is>
      </x:c>
      <x:c r="G2933" s="5" t="inlineStr">
        <x:is>
          <x:t xml:space="preserve">江苏省-苏省江阴市</x:t>
        </x:is>
      </x:c>
      <x:c r="H2933" s="4" t="inlineStr">
        <x:is>
          <x:t xml:space="preserve">化工行业</x:t>
        </x:is>
      </x:c>
      <x:c r="I2933" s="4" t="inlineStr">
        <x:is>
          <x:t xml:space="preserve">2017-11-15</x:t>
        </x:is>
      </x:c>
      <x:c r="J2933" s="5" t="inlineStr">
        <x:is>
          <x:t xml:space="preserve">江苏省江阴市西石桥球庄村</x:t>
        </x:is>
      </x:c>
      <x:c r="K2933" s="12" t="str">
        <x:f>LEFT("913202002504174232",18)</x:f>
        <x:v>913202002504174200</x:v>
      </x:c>
    </x:row>
    <x:row r="2934">
      <x:c r="A2934" s="2" t="n">
        <x:v>2933</x:v>
      </x:c>
      <x:c r="B2934" s="2" t="inlineStr">
        <x:is>
          <x:t xml:space="preserve">300725</x:t>
        </x:is>
      </x:c>
      <x:c r="C2934" s="3" t="inlineStr">
        <x:is>
          <x:t xml:space="preserve">药石科技</x:t>
        </x:is>
      </x:c>
      <x:c r="D2934" s="3" t="inlineStr">
        <x:is>
          <x:t xml:space="preserve">南京药石科技股份有限公司</x:t>
        </x:is>
      </x:c>
      <x:c r="E2934" s="2" t="inlineStr">
        <x:is>
          <x:t xml:space="preserve">江苏省</x:t>
        </x:is>
      </x:c>
      <x:c r="F2934" s="2" t="inlineStr">
        <x:is>
          <x:t xml:space="preserve">南京市</x:t>
        </x:is>
      </x:c>
      <x:c r="G2934" s="3" t="inlineStr">
        <x:is>
          <x:t xml:space="preserve">江苏省-南京市</x:t>
        </x:is>
      </x:c>
      <x:c r="H2934" s="2" t="inlineStr">
        <x:is>
          <x:t xml:space="preserve">化学制药</x:t>
        </x:is>
      </x:c>
      <x:c r="I2934" s="2" t="inlineStr">
        <x:is>
          <x:t xml:space="preserve">2017-11-10</x:t>
        </x:is>
      </x:c>
      <x:c r="J2934" s="3" t="inlineStr">
        <x:is>
          <x:t xml:space="preserve">南京江北新区华盛路81号</x:t>
        </x:is>
      </x:c>
      <x:c r="K2934" s="12" t="str">
        <x:f>LEFT("913201917937313394",18)</x:f>
        <x:v>913201917937313400</x:v>
      </x:c>
    </x:row>
    <x:row r="2935">
      <x:c r="A2935" s="4" t="n">
        <x:v>2934</x:v>
      </x:c>
      <x:c r="B2935" s="4" t="inlineStr">
        <x:is>
          <x:t xml:space="preserve">300751</x:t>
        </x:is>
      </x:c>
      <x:c r="C2935" s="5" t="inlineStr">
        <x:is>
          <x:t xml:space="preserve">迈为股份</x:t>
        </x:is>
      </x:c>
      <x:c r="D2935" s="5" t="inlineStr">
        <x:is>
          <x:t xml:space="preserve">苏州迈为科技股份有限公司</x:t>
        </x:is>
      </x:c>
      <x:c r="E2935" s="4" t="inlineStr">
        <x:is>
          <x:t xml:space="preserve">江苏省</x:t>
        </x:is>
      </x:c>
      <x:c r="F2935" s="4" t="inlineStr">
        <x:is>
          <x:t xml:space="preserve">苏州市</x:t>
        </x:is>
      </x:c>
      <x:c r="G2935" s="5" t="inlineStr">
        <x:is>
          <x:t xml:space="preserve">江苏省-苏州市</x:t>
        </x:is>
      </x:c>
      <x:c r="H2935" s="4" t="inlineStr">
        <x:is>
          <x:t xml:space="preserve">光伏设备</x:t>
        </x:is>
      </x:c>
      <x:c r="I2935" s="4" t="inlineStr">
        <x:is>
          <x:t xml:space="preserve">2018-11-09</x:t>
        </x:is>
      </x:c>
      <x:c r="J2935" s="5" t="inlineStr">
        <x:is>
          <x:t xml:space="preserve">江苏省苏州市吴江区芦荡路228号</x:t>
        </x:is>
      </x:c>
      <x:c r="K2935" s="12" t="str">
        <x:f>LEFT("91320509561804316D",18)</x:f>
        <x:v>91320509561804316D</x:v>
      </x:c>
    </x:row>
    <x:row r="2936">
      <x:c r="A2936" s="2" t="n">
        <x:v>2935</x:v>
      </x:c>
      <x:c r="B2936" s="2" t="inlineStr">
        <x:is>
          <x:t xml:space="preserve">300753</x:t>
        </x:is>
      </x:c>
      <x:c r="C2936" s="3" t="inlineStr">
        <x:is>
          <x:t xml:space="preserve">爱朋医疗</x:t>
        </x:is>
      </x:c>
      <x:c r="D2936" s="3" t="inlineStr">
        <x:is>
          <x:t xml:space="preserve">江苏爱朋医疗科技股份有限公司</x:t>
        </x:is>
      </x:c>
      <x:c r="E2936" s="2" t="inlineStr">
        <x:is>
          <x:t xml:space="preserve">江苏省</x:t>
        </x:is>
      </x:c>
      <x:c r="F2936" s="2" t="inlineStr">
        <x:is>
          <x:t xml:space="preserve">南通市</x:t>
        </x:is>
      </x:c>
      <x:c r="G2936" s="3" t="inlineStr">
        <x:is>
          <x:t xml:space="preserve">江苏省-南通市</x:t>
        </x:is>
      </x:c>
      <x:c r="H2936" s="2" t="inlineStr">
        <x:is>
          <x:t xml:space="preserve">医疗器械</x:t>
        </x:is>
      </x:c>
      <x:c r="I2936" s="2" t="inlineStr">
        <x:is>
          <x:t xml:space="preserve">2018-12-13</x:t>
        </x:is>
      </x:c>
      <x:c r="J2936" s="3" t="inlineStr">
        <x:is>
          <x:t xml:space="preserve">江苏省南通市如东县经济开发区永通大道东侧</x:t>
        </x:is>
      </x:c>
      <x:c r="K2936" s="12" t="str">
        <x:f>LEFT("9132062372933999XT",18)</x:f>
        <x:v>9132062372933999XT</x:v>
      </x:c>
    </x:row>
    <x:row r="2937">
      <x:c r="A2937" s="4" t="n">
        <x:v>2936</x:v>
      </x:c>
      <x:c r="B2937" s="4" t="inlineStr">
        <x:is>
          <x:t xml:space="preserve">300757</x:t>
        </x:is>
      </x:c>
      <x:c r="C2937" s="5" t="inlineStr">
        <x:is>
          <x:t xml:space="preserve">罗博特科</x:t>
        </x:is>
      </x:c>
      <x:c r="D2937" s="5" t="inlineStr">
        <x:is>
          <x:t xml:space="preserve">罗博特科智能科技股份有限公司</x:t>
        </x:is>
      </x:c>
      <x:c r="E2937" s="4" t="inlineStr">
        <x:is>
          <x:t xml:space="preserve">江苏省</x:t>
        </x:is>
      </x:c>
      <x:c r="F2937" s="4" t="inlineStr">
        <x:is>
          <x:t xml:space="preserve">苏州市</x:t>
        </x:is>
      </x:c>
      <x:c r="G2937" s="5" t="inlineStr">
        <x:is>
          <x:t xml:space="preserve">江苏省-苏州市</x:t>
        </x:is>
      </x:c>
      <x:c r="H2937" s="4" t="inlineStr">
        <x:is>
          <x:t xml:space="preserve">专用设备</x:t>
        </x:is>
      </x:c>
      <x:c r="I2937" s="4" t="inlineStr">
        <x:is>
          <x:t xml:space="preserve">2019-01-08</x:t>
        </x:is>
      </x:c>
      <x:c r="J2937" s="5" t="inlineStr">
        <x:is>
          <x:t xml:space="preserve">江苏省苏州市苏州工业园区唯亭港浪路3号</x:t>
        </x:is>
      </x:c>
      <x:c r="K2937" s="12" t="str">
        <x:f>LEFT("91320594573751223F",18)</x:f>
        <x:v>91320594573751223F</x:v>
      </x:c>
    </x:row>
    <x:row r="2938">
      <x:c r="A2938" s="2" t="n">
        <x:v>2937</x:v>
      </x:c>
      <x:c r="B2938" s="2" t="inlineStr">
        <x:is>
          <x:t xml:space="preserve">300761</x:t>
        </x:is>
      </x:c>
      <x:c r="C2938" s="3" t="inlineStr">
        <x:is>
          <x:t xml:space="preserve">立华股份</x:t>
        </x:is>
      </x:c>
      <x:c r="D2938" s="3" t="inlineStr">
        <x:is>
          <x:t xml:space="preserve">江苏立华食品集团股份有限公司</x:t>
        </x:is>
      </x:c>
      <x:c r="E2938" s="2" t="inlineStr">
        <x:is>
          <x:t xml:space="preserve">江苏省</x:t>
        </x:is>
      </x:c>
      <x:c r="F2938" s="2" t="inlineStr">
        <x:is>
          <x:t xml:space="preserve">常州市</x:t>
        </x:is>
      </x:c>
      <x:c r="G2938" s="3" t="inlineStr">
        <x:is>
          <x:t xml:space="preserve">江苏省-常州市</x:t>
        </x:is>
      </x:c>
      <x:c r="H2938" s="2" t="inlineStr">
        <x:is>
          <x:t xml:space="preserve">农牧饲渔</x:t>
        </x:is>
      </x:c>
      <x:c r="I2938" s="2" t="inlineStr">
        <x:is>
          <x:t xml:space="preserve">2019-02-18</x:t>
        </x:is>
      </x:c>
      <x:c r="J2938" s="3" t="inlineStr">
        <x:is>
          <x:t xml:space="preserve">常州市武进区牛塘镇漕溪路66号</x:t>
        </x:is>
      </x:c>
      <x:c r="K2938" s="12" t="str">
        <x:f>LEFT("91320400725219448Q",18)</x:f>
        <x:v>91320400725219448Q</x:v>
      </x:c>
    </x:row>
    <x:row r="2939">
      <x:c r="A2939" s="4" t="n">
        <x:v>2938</x:v>
      </x:c>
      <x:c r="B2939" s="4" t="inlineStr">
        <x:is>
          <x:t xml:space="preserve">300777</x:t>
        </x:is>
      </x:c>
      <x:c r="C2939" s="5" t="inlineStr">
        <x:is>
          <x:t xml:space="preserve">中简科技</x:t>
        </x:is>
      </x:c>
      <x:c r="D2939" s="5" t="inlineStr">
        <x:is>
          <x:t xml:space="preserve">中简科技股份有限公司</x:t>
        </x:is>
      </x:c>
      <x:c r="E2939" s="4" t="inlineStr">
        <x:is>
          <x:t xml:space="preserve">江苏省</x:t>
        </x:is>
      </x:c>
      <x:c r="F2939" s="4" t="inlineStr">
        <x:is>
          <x:t xml:space="preserve">常州市</x:t>
        </x:is>
      </x:c>
      <x:c r="G2939" s="5" t="inlineStr">
        <x:is>
          <x:t xml:space="preserve">江苏省-常州市</x:t>
        </x:is>
      </x:c>
      <x:c r="H2939" s="4" t="inlineStr">
        <x:is>
          <x:t xml:space="preserve">化纤行业</x:t>
        </x:is>
      </x:c>
      <x:c r="I2939" s="4" t="inlineStr">
        <x:is>
          <x:t xml:space="preserve">2019-05-16</x:t>
        </x:is>
      </x:c>
      <x:c r="J2939" s="5" t="inlineStr">
        <x:is>
          <x:t xml:space="preserve">常州市新北区玉龙北路569号</x:t>
        </x:is>
      </x:c>
      <x:c r="K2939" s="12" t="str">
        <x:f>LEFT("91320400674857975P",18)</x:f>
        <x:v>91320400674857975P</x:v>
      </x:c>
    </x:row>
    <x:row r="2940">
      <x:c r="A2940" s="2" t="n">
        <x:v>2939</x:v>
      </x:c>
      <x:c r="B2940" s="2" t="inlineStr">
        <x:is>
          <x:t xml:space="preserve">300782</x:t>
        </x:is>
      </x:c>
      <x:c r="C2940" s="3" t="inlineStr">
        <x:is>
          <x:t xml:space="preserve">卓胜微</x:t>
        </x:is>
      </x:c>
      <x:c r="D2940" s="3" t="inlineStr">
        <x:is>
          <x:t xml:space="preserve">江苏卓胜微电子股份有限公司</x:t>
        </x:is>
      </x:c>
      <x:c r="E2940" s="2" t="inlineStr">
        <x:is>
          <x:t xml:space="preserve">江苏省</x:t>
        </x:is>
      </x:c>
      <x:c r="F2940" s="2" t="inlineStr">
        <x:is>
          <x:t xml:space="preserve">无锡市</x:t>
        </x:is>
      </x:c>
      <x:c r="G2940" s="3" t="inlineStr">
        <x:is>
          <x:t xml:space="preserve">江苏省-无锡市</x:t>
        </x:is>
      </x:c>
      <x:c r="H2940" s="2" t="inlineStr">
        <x:is>
          <x:t xml:space="preserve">半导体</x:t>
        </x:is>
      </x:c>
      <x:c r="I2940" s="2" t="inlineStr">
        <x:is>
          <x:t xml:space="preserve">2019-06-18</x:t>
        </x:is>
      </x:c>
      <x:c r="J2940" s="3" t="inlineStr">
        <x:is>
          <x:t xml:space="preserve">无锡市滨湖区建筑西路777号A3幢11层</x:t>
        </x:is>
      </x:c>
      <x:c r="K2940" s="12" t="str">
        <x:f>LEFT("913202110518277888",18)</x:f>
        <x:v>913202110518277900</x:v>
      </x:c>
    </x:row>
    <x:row r="2941">
      <x:c r="A2941" s="4" t="n">
        <x:v>2940</x:v>
      </x:c>
      <x:c r="B2941" s="4" t="inlineStr">
        <x:is>
          <x:t xml:space="preserve">300798</x:t>
        </x:is>
      </x:c>
      <x:c r="C2941" s="5" t="inlineStr">
        <x:is>
          <x:t xml:space="preserve">锦鸡股份</x:t>
        </x:is>
      </x:c>
      <x:c r="D2941" s="5" t="inlineStr">
        <x:is>
          <x:t xml:space="preserve">江苏锦鸡实业股份有限公司</x:t>
        </x:is>
      </x:c>
      <x:c r="E2941" s="4" t="inlineStr">
        <x:is>
          <x:t xml:space="preserve">江苏省</x:t>
        </x:is>
      </x:c>
      <x:c r="F2941" s="4" t="inlineStr">
        <x:is>
          <x:t xml:space="preserve">泰州市</x:t>
        </x:is>
      </x:c>
      <x:c r="G2941" s="5" t="inlineStr">
        <x:is>
          <x:t xml:space="preserve">江苏省-泰州市</x:t>
        </x:is>
      </x:c>
      <x:c r="H2941" s="4" t="inlineStr">
        <x:is>
          <x:t xml:space="preserve">化工行业</x:t>
        </x:is>
      </x:c>
      <x:c r="I2941" s="4" t="inlineStr">
        <x:is>
          <x:t xml:space="preserve">2019-11-22</x:t>
        </x:is>
      </x:c>
      <x:c r="J2941" s="5" t="inlineStr">
        <x:is>
          <x:t xml:space="preserve">泰兴经济开发区新港路10号</x:t>
        </x:is>
      </x:c>
      <x:c r="K2941" s="12" t="str">
        <x:f>LEFT("91321283704004683N",18)</x:f>
        <x:v>91321283704004683N</x:v>
      </x:c>
    </x:row>
    <x:row r="2942">
      <x:c r="A2942" s="2" t="n">
        <x:v>2941</x:v>
      </x:c>
      <x:c r="B2942" s="2" t="inlineStr">
        <x:is>
          <x:t xml:space="preserve">300806</x:t>
        </x:is>
      </x:c>
      <x:c r="C2942" s="3" t="inlineStr">
        <x:is>
          <x:t xml:space="preserve">斯迪克</x:t>
        </x:is>
      </x:c>
      <x:c r="D2942" s="3" t="inlineStr">
        <x:is>
          <x:t xml:space="preserve">江苏斯迪克新材料科技股份有限公司</x:t>
        </x:is>
      </x:c>
      <x:c r="E2942" s="2" t="inlineStr">
        <x:is>
          <x:t xml:space="preserve">江苏省</x:t>
        </x:is>
      </x:c>
      <x:c r="F2942" s="2" t="inlineStr">
        <x:is>
          <x:t xml:space="preserve">宿迁市</x:t>
        </x:is>
      </x:c>
      <x:c r="G2942" s="3" t="inlineStr">
        <x:is>
          <x:t xml:space="preserve">江苏省-宿迁市</x:t>
        </x:is>
      </x:c>
      <x:c r="H2942" s="2" t="inlineStr">
        <x:is>
          <x:t xml:space="preserve">塑料制品</x:t>
        </x:is>
      </x:c>
      <x:c r="I2942" s="2" t="inlineStr">
        <x:is>
          <x:t xml:space="preserve">2019-11-25</x:t>
        </x:is>
      </x:c>
      <x:c r="J2942" s="3" t="inlineStr">
        <x:is>
          <x:t xml:space="preserve">江苏省泗洪经济开发区双洋西路6号</x:t>
        </x:is>
      </x:c>
      <x:c r="K2942" s="12" t="str">
        <x:f>LEFT("913205007890695060",18)</x:f>
        <x:v>913205007890695000</x:v>
      </x:c>
    </x:row>
    <x:row r="2943">
      <x:c r="A2943" s="4" t="n">
        <x:v>2942</x:v>
      </x:c>
      <x:c r="B2943" s="4" t="inlineStr">
        <x:is>
          <x:t xml:space="preserve">300809</x:t>
        </x:is>
      </x:c>
      <x:c r="C2943" s="5" t="inlineStr">
        <x:is>
          <x:t xml:space="preserve">华辰装备</x:t>
        </x:is>
      </x:c>
      <x:c r="D2943" s="5" t="inlineStr">
        <x:is>
          <x:t xml:space="preserve">华辰精密装备(昆山)股份有限公司</x:t>
        </x:is>
      </x:c>
      <x:c r="E2943" s="4" t="inlineStr">
        <x:is>
          <x:t xml:space="preserve">江苏省</x:t>
        </x:is>
      </x:c>
      <x:c r="F2943" s="4" t="inlineStr">
        <x:is>
          <x:t xml:space="preserve">苏州市</x:t>
        </x:is>
      </x:c>
      <x:c r="G2943" s="5" t="inlineStr">
        <x:is>
          <x:t xml:space="preserve">江苏省-苏州市</x:t>
        </x:is>
      </x:c>
      <x:c r="H2943" s="4" t="inlineStr">
        <x:is>
          <x:t xml:space="preserve">机械行业</x:t>
        </x:is>
      </x:c>
      <x:c r="I2943" s="4" t="inlineStr">
        <x:is>
          <x:t xml:space="preserve">2019-12-04</x:t>
        </x:is>
      </x:c>
      <x:c r="J2943" s="5" t="inlineStr">
        <x:is>
          <x:t xml:space="preserve">苏州市周市镇横长泾路333号</x:t>
        </x:is>
      </x:c>
      <x:c r="K2943" s="12" t="str">
        <x:f>LEFT("91320583666396160B",18)</x:f>
        <x:v>91320583666396160B</x:v>
      </x:c>
    </x:row>
    <x:row r="2944">
      <x:c r="A2944" s="2" t="n">
        <x:v>2943</x:v>
      </x:c>
      <x:c r="B2944" s="2" t="inlineStr">
        <x:is>
          <x:t xml:space="preserve">300819</x:t>
        </x:is>
      </x:c>
      <x:c r="C2944" s="3" t="inlineStr">
        <x:is>
          <x:t xml:space="preserve">聚杰微纤</x:t>
        </x:is>
      </x:c>
      <x:c r="D2944" s="3" t="inlineStr">
        <x:is>
          <x:t xml:space="preserve">江苏聚杰微纤科技集团股份有限公司</x:t>
        </x:is>
      </x:c>
      <x:c r="E2944" s="2" t="inlineStr">
        <x:is>
          <x:t xml:space="preserve">江苏省</x:t>
        </x:is>
      </x:c>
      <x:c r="F2944" s="2" t="inlineStr">
        <x:is>
          <x:t xml:space="preserve">苏州市</x:t>
        </x:is>
      </x:c>
      <x:c r="G2944" s="3" t="inlineStr">
        <x:is>
          <x:t xml:space="preserve">江苏省-苏州市</x:t>
        </x:is>
      </x:c>
      <x:c r="H2944" s="2" t="inlineStr">
        <x:is>
          <x:t xml:space="preserve">纺织服装</x:t>
        </x:is>
      </x:c>
      <x:c r="I2944" s="2" t="inlineStr">
        <x:is>
          <x:t xml:space="preserve">2020-03-12</x:t>
        </x:is>
      </x:c>
      <x:c r="J2944" s="3" t="inlineStr">
        <x:is>
          <x:t xml:space="preserve">苏州市吴江区八坼镇南郊</x:t>
        </x:is>
      </x:c>
      <x:c r="K2944" s="12" t="str">
        <x:f>LEFT("91320509724190698L",18)</x:f>
        <x:v>91320509724190698L</x:v>
      </x:c>
    </x:row>
    <x:row r="2945">
      <x:c r="A2945" s="4" t="n">
        <x:v>2944</x:v>
      </x:c>
      <x:c r="B2945" s="4" t="inlineStr">
        <x:is>
          <x:t xml:space="preserve">300826</x:t>
        </x:is>
      </x:c>
      <x:c r="C2945" s="5" t="inlineStr">
        <x:is>
          <x:t xml:space="preserve">测绘股份</x:t>
        </x:is>
      </x:c>
      <x:c r="D2945" s="5" t="inlineStr">
        <x:is>
          <x:t xml:space="preserve">南京市测绘勘察研究院股份有限公司</x:t>
        </x:is>
      </x:c>
      <x:c r="E2945" s="4" t="inlineStr">
        <x:is>
          <x:t xml:space="preserve">江苏省</x:t>
        </x:is>
      </x:c>
      <x:c r="F2945" s="4" t="inlineStr">
        <x:is>
          <x:t xml:space="preserve">南京市</x:t>
        </x:is>
      </x:c>
      <x:c r="G2945" s="5" t="inlineStr">
        <x:is>
          <x:t xml:space="preserve">江苏省-南京市</x:t>
        </x:is>
      </x:c>
      <x:c r="H2945" s="4" t="inlineStr">
        <x:is>
          <x:t xml:space="preserve">工程咨询服务</x:t>
        </x:is>
      </x:c>
      <x:c r="I2945" s="4" t="inlineStr">
        <x:is>
          <x:t xml:space="preserve">2020-04-03</x:t>
        </x:is>
      </x:c>
      <x:c r="J2945" s="5" t="inlineStr">
        <x:is>
          <x:t xml:space="preserve">江苏省南京市建邺区创意路88号</x:t>
        </x:is>
      </x:c>
      <x:c r="K2945" s="12" t="str">
        <x:f>LEFT("91320100425800521U",18)</x:f>
        <x:v>91320100425800521U</x:v>
      </x:c>
    </x:row>
    <x:row r="2946">
      <x:c r="A2946" s="2" t="n">
        <x:v>2945</x:v>
      </x:c>
      <x:c r="B2946" s="2" t="inlineStr">
        <x:is>
          <x:t xml:space="preserve">300827</x:t>
        </x:is>
      </x:c>
      <x:c r="C2946" s="3" t="inlineStr">
        <x:is>
          <x:t xml:space="preserve">上能电气</x:t>
        </x:is>
      </x:c>
      <x:c r="D2946" s="3" t="inlineStr">
        <x:is>
          <x:t xml:space="preserve">上能电气股份有限公司</x:t>
        </x:is>
      </x:c>
      <x:c r="E2946" s="2" t="inlineStr">
        <x:is>
          <x:t xml:space="preserve">江苏省</x:t>
        </x:is>
      </x:c>
      <x:c r="F2946" s="2" t="inlineStr">
        <x:is>
          <x:t xml:space="preserve">无锡市</x:t>
        </x:is>
      </x:c>
      <x:c r="G2946" s="3" t="inlineStr">
        <x:is>
          <x:t xml:space="preserve">江苏省-无锡市</x:t>
        </x:is>
      </x:c>
      <x:c r="H2946" s="2" t="inlineStr">
        <x:is>
          <x:t xml:space="preserve">光伏设备</x:t>
        </x:is>
      </x:c>
      <x:c r="I2946" s="2" t="inlineStr">
        <x:is>
          <x:t xml:space="preserve">2020-04-10</x:t>
        </x:is>
      </x:c>
      <x:c r="J2946" s="3" t="inlineStr">
        <x:is>
          <x:t xml:space="preserve">江苏省无锡市惠山区和惠路6号</x:t>
        </x:is>
      </x:c>
      <x:c r="K2946" s="12" t="str">
        <x:f>LEFT("91320200592583130B",18)</x:f>
        <x:v>91320200592583130B</x:v>
      </x:c>
    </x:row>
    <x:row r="2947">
      <x:c r="A2947" s="4" t="n">
        <x:v>2946</x:v>
      </x:c>
      <x:c r="B2947" s="4" t="inlineStr">
        <x:is>
          <x:t xml:space="preserve">300836</x:t>
        </x:is>
      </x:c>
      <x:c r="C2947" s="5" t="inlineStr">
        <x:is>
          <x:t xml:space="preserve">佰奥智能</x:t>
        </x:is>
      </x:c>
      <x:c r="D2947" s="5" t="inlineStr">
        <x:is>
          <x:t xml:space="preserve">昆山佰奥智能装备股份有限公司</x:t>
        </x:is>
      </x:c>
      <x:c r="E2947" s="4" t="inlineStr">
        <x:is>
          <x:t xml:space="preserve">江苏省</x:t>
        </x:is>
      </x:c>
      <x:c r="F2947" s="4" t="inlineStr">
        <x:is>
          <x:t xml:space="preserve">昆山市</x:t>
        </x:is>
      </x:c>
      <x:c r="G2947" s="5" t="inlineStr">
        <x:is>
          <x:t xml:space="preserve">江苏省-昆山市</x:t>
        </x:is>
      </x:c>
      <x:c r="H2947" s="4" t="inlineStr">
        <x:is>
          <x:t xml:space="preserve">专用设备</x:t>
        </x:is>
      </x:c>
      <x:c r="I2947" s="4" t="inlineStr">
        <x:is>
          <x:t xml:space="preserve">2020-05-28</x:t>
        </x:is>
      </x:c>
      <x:c r="J2947" s="5" t="inlineStr">
        <x:is>
          <x:t xml:space="preserve">昆山市玉山镇龙华路8号</x:t>
        </x:is>
      </x:c>
      <x:c r="K2947" s="12" t="str">
        <x:f>LEFT("91320500783395300Y",18)</x:f>
        <x:v>91320500783395300Y</x:v>
      </x:c>
    </x:row>
    <x:row r="2948">
      <x:c r="A2948" s="2" t="n">
        <x:v>2947</x:v>
      </x:c>
      <x:c r="B2948" s="2" t="inlineStr">
        <x:is>
          <x:t xml:space="preserve">300842</x:t>
        </x:is>
      </x:c>
      <x:c r="C2948" s="3" t="inlineStr">
        <x:is>
          <x:t xml:space="preserve">帝科股份</x:t>
        </x:is>
      </x:c>
      <x:c r="D2948" s="3" t="inlineStr">
        <x:is>
          <x:t xml:space="preserve">无锡帝科电子材料股份有限公司</x:t>
        </x:is>
      </x:c>
      <x:c r="E2948" s="2" t="inlineStr">
        <x:is>
          <x:t xml:space="preserve">江苏省</x:t>
        </x:is>
      </x:c>
      <x:c r="F2948" s="2" t="inlineStr">
        <x:is>
          <x:t xml:space="preserve">无锡市</x:t>
        </x:is>
      </x:c>
      <x:c r="G2948" s="3" t="inlineStr">
        <x:is>
          <x:t xml:space="preserve">江苏省-无锡市</x:t>
        </x:is>
      </x:c>
      <x:c r="H2948" s="2" t="inlineStr">
        <x:is>
          <x:t xml:space="preserve">光伏设备</x:t>
        </x:is>
      </x:c>
      <x:c r="I2948" s="2" t="inlineStr">
        <x:is>
          <x:t xml:space="preserve">2020-06-18</x:t>
        </x:is>
      </x:c>
      <x:c r="J2948" s="3" t="inlineStr">
        <x:is>
          <x:t xml:space="preserve">江苏省无锡市宜兴市屺亭街道永盛路8号</x:t>
        </x:is>
      </x:c>
      <x:c r="K2948" s="12" t="str">
        <x:f>LEFT("91320282559266993J",18)</x:f>
        <x:v>91320282559266993J</x:v>
      </x:c>
    </x:row>
    <x:row r="2949">
      <x:c r="A2949" s="4" t="n">
        <x:v>2948</x:v>
      </x:c>
      <x:c r="B2949" s="4" t="inlineStr">
        <x:is>
          <x:t xml:space="preserve">300855</x:t>
        </x:is>
      </x:c>
      <x:c r="C2949" s="5" t="inlineStr">
        <x:is>
          <x:t xml:space="preserve">图南股份</x:t>
        </x:is>
      </x:c>
      <x:c r="D2949" s="5" t="inlineStr">
        <x:is>
          <x:t xml:space="preserve">江苏图南合金股份有限公司</x:t>
        </x:is>
      </x:c>
      <x:c r="E2949" s="4" t="inlineStr">
        <x:is>
          <x:t xml:space="preserve">江苏省</x:t>
        </x:is>
      </x:c>
      <x:c r="F2949" s="4" t="inlineStr">
        <x:is>
          <x:t xml:space="preserve">苏省丹阳市</x:t>
        </x:is>
      </x:c>
      <x:c r="G2949" s="5" t="inlineStr">
        <x:is>
          <x:t xml:space="preserve">江苏省-苏省丹阳市</x:t>
        </x:is>
      </x:c>
      <x:c r="H2949" s="4" t="inlineStr">
        <x:is>
          <x:t xml:space="preserve">有色金属</x:t>
        </x:is>
      </x:c>
      <x:c r="I2949" s="4" t="inlineStr">
        <x:is>
          <x:t xml:space="preserve">2020-07-23</x:t>
        </x:is>
      </x:c>
      <x:c r="J2949" s="5" t="inlineStr">
        <x:is>
          <x:t xml:space="preserve">江苏省丹阳市凤林大道9号</x:t>
        </x:is>
      </x:c>
      <x:c r="K2949" s="12" t="str">
        <x:f>LEFT("91321100142415527U",18)</x:f>
        <x:v>91321100142415527U</x:v>
      </x:c>
    </x:row>
    <x:row r="2950">
      <x:c r="A2950" s="2" t="n">
        <x:v>2949</x:v>
      </x:c>
      <x:c r="B2950" s="2" t="inlineStr">
        <x:is>
          <x:t xml:space="preserve">300856</x:t>
        </x:is>
      </x:c>
      <x:c r="C2950" s="3" t="inlineStr">
        <x:is>
          <x:t xml:space="preserve">科思股份</x:t>
        </x:is>
      </x:c>
      <x:c r="D2950" s="3" t="inlineStr">
        <x:is>
          <x:t xml:space="preserve">南京科思化学股份有限公司</x:t>
        </x:is>
      </x:c>
      <x:c r="E2950" s="2" t="inlineStr">
        <x:is>
          <x:t xml:space="preserve">江苏省</x:t>
        </x:is>
      </x:c>
      <x:c r="F2950" s="2" t="inlineStr">
        <x:is>
          <x:t xml:space="preserve">南京市</x:t>
        </x:is>
      </x:c>
      <x:c r="G2950" s="3" t="inlineStr">
        <x:is>
          <x:t xml:space="preserve">江苏省-南京市</x:t>
        </x:is>
      </x:c>
      <x:c r="H2950" s="2" t="inlineStr">
        <x:is>
          <x:t xml:space="preserve">美容护理</x:t>
        </x:is>
      </x:c>
      <x:c r="I2950" s="2" t="inlineStr">
        <x:is>
          <x:t xml:space="preserve">2020-07-22</x:t>
        </x:is>
      </x:c>
      <x:c r="J2950" s="3" t="inlineStr">
        <x:is>
          <x:t xml:space="preserve">江苏省南京市江宁经济技术开发区苏源大道19号</x:t>
        </x:is>
      </x:c>
      <x:c r="K2950" s="12" t="str">
        <x:f>LEFT("91320115721793100R",18)</x:f>
        <x:v>91320115721793100R</x:v>
      </x:c>
    </x:row>
    <x:row r="2951">
      <x:c r="A2951" s="4" t="n">
        <x:v>2950</x:v>
      </x:c>
      <x:c r="B2951" s="4" t="inlineStr">
        <x:is>
          <x:t xml:space="preserve">300864</x:t>
        </x:is>
      </x:c>
      <x:c r="C2951" s="5" t="inlineStr">
        <x:is>
          <x:t xml:space="preserve">南大环境</x:t>
        </x:is>
      </x:c>
      <x:c r="D2951" s="5" t="inlineStr">
        <x:is>
          <x:t xml:space="preserve">南京大学环境规划设计研究院集团股份公司</x:t>
        </x:is>
      </x:c>
      <x:c r="E2951" s="4" t="inlineStr">
        <x:is>
          <x:t xml:space="preserve">江苏省</x:t>
        </x:is>
      </x:c>
      <x:c r="F2951" s="4" t="inlineStr">
        <x:is>
          <x:t xml:space="preserve">南京市</x:t>
        </x:is>
      </x:c>
      <x:c r="G2951" s="5" t="inlineStr">
        <x:is>
          <x:t xml:space="preserve">江苏省-南京市</x:t>
        </x:is>
      </x:c>
      <x:c r="H2951" s="4" t="inlineStr">
        <x:is>
          <x:t xml:space="preserve">环保工程</x:t>
        </x:is>
      </x:c>
      <x:c r="I2951" s="4" t="inlineStr">
        <x:is>
          <x:t xml:space="preserve">2020-08-24</x:t>
        </x:is>
      </x:c>
      <x:c r="J2951" s="5" t="inlineStr">
        <x:is>
          <x:t xml:space="preserve">南京市六合区科创大道9号A6栋5层</x:t>
        </x:is>
      </x:c>
      <x:c r="K2951" s="12" t="str">
        <x:f>LEFT("91320116598034087A",18)</x:f>
        <x:v>91320116598034087A</x:v>
      </x:c>
    </x:row>
    <x:row r="2952">
      <x:c r="A2952" s="2" t="n">
        <x:v>2951</x:v>
      </x:c>
      <x:c r="B2952" s="2" t="inlineStr">
        <x:is>
          <x:t xml:space="preserve">300873</x:t>
        </x:is>
      </x:c>
      <x:c r="C2952" s="3" t="inlineStr">
        <x:is>
          <x:t xml:space="preserve">海晨股份</x:t>
        </x:is>
      </x:c>
      <x:c r="D2952" s="3" t="inlineStr">
        <x:is>
          <x:t xml:space="preserve">江苏海晨物流股份有限公司</x:t>
        </x:is>
      </x:c>
      <x:c r="E2952" s="2" t="inlineStr">
        <x:is>
          <x:t xml:space="preserve">江苏省</x:t>
        </x:is>
      </x:c>
      <x:c r="F2952" s="2" t="inlineStr">
        <x:is>
          <x:t xml:space="preserve">苏州市</x:t>
        </x:is>
      </x:c>
      <x:c r="G2952" s="3" t="inlineStr">
        <x:is>
          <x:t xml:space="preserve">江苏省-苏州市</x:t>
        </x:is>
      </x:c>
      <x:c r="H2952" s="2" t="inlineStr">
        <x:is>
          <x:t xml:space="preserve">交运物流</x:t>
        </x:is>
      </x:c>
      <x:c r="I2952" s="2" t="inlineStr">
        <x:is>
          <x:t xml:space="preserve">2020-08-24</x:t>
        </x:is>
      </x:c>
      <x:c r="J2952" s="3" t="inlineStr">
        <x:is>
          <x:t xml:space="preserve">江苏省苏州市吴江经济技术开发区泉海路111号</x:t>
        </x:is>
      </x:c>
      <x:c r="K2952" s="12" t="str">
        <x:f>LEFT("913205095810498801",18)</x:f>
        <x:v>913205095810498800</x:v>
      </x:c>
    </x:row>
    <x:row r="2953">
      <x:c r="A2953" s="4" t="n">
        <x:v>2952</x:v>
      </x:c>
      <x:c r="B2953" s="4" t="inlineStr">
        <x:is>
          <x:t xml:space="preserve">300881</x:t>
        </x:is>
      </x:c>
      <x:c r="C2953" s="5" t="inlineStr">
        <x:is>
          <x:t xml:space="preserve">盛德鑫泰</x:t>
        </x:is>
      </x:c>
      <x:c r="D2953" s="5" t="inlineStr">
        <x:is>
          <x:t xml:space="preserve">盛德鑫泰新材料股份有限公司</x:t>
        </x:is>
      </x:c>
      <x:c r="E2953" s="4" t="inlineStr">
        <x:is>
          <x:t xml:space="preserve">江苏省</x:t>
        </x:is>
      </x:c>
      <x:c r="F2953" s="4" t="inlineStr">
        <x:is>
          <x:t xml:space="preserve">常州市</x:t>
        </x:is>
      </x:c>
      <x:c r="G2953" s="5" t="inlineStr">
        <x:is>
          <x:t xml:space="preserve">江苏省-常州市</x:t>
        </x:is>
      </x:c>
      <x:c r="H2953" s="4" t="inlineStr">
        <x:is>
          <x:t xml:space="preserve">钢铁行业</x:t>
        </x:is>
      </x:c>
      <x:c r="I2953" s="4" t="inlineStr">
        <x:is>
          <x:t xml:space="preserve">2020-09-01</x:t>
        </x:is>
      </x:c>
      <x:c r="J2953" s="5" t="inlineStr">
        <x:is>
          <x:t xml:space="preserve">江苏省常州市钟楼区邹区镇邹区村周家湾</x:t>
        </x:is>
      </x:c>
      <x:c r="K2953" s="12" t="str">
        <x:f>LEFT("91320404732247754G",18)</x:f>
        <x:v>91320404732247754G</x:v>
      </x:c>
    </x:row>
    <x:row r="2954">
      <x:c r="A2954" s="2" t="n">
        <x:v>2953</x:v>
      </x:c>
      <x:c r="B2954" s="2" t="inlineStr">
        <x:is>
          <x:t xml:space="preserve">300885</x:t>
        </x:is>
      </x:c>
      <x:c r="C2954" s="3" t="inlineStr">
        <x:is>
          <x:t xml:space="preserve">海昌新材</x:t>
        </x:is>
      </x:c>
      <x:c r="D2954" s="3" t="inlineStr">
        <x:is>
          <x:t xml:space="preserve">扬州海昌新材股份有限公司</x:t>
        </x:is>
      </x:c>
      <x:c r="E2954" s="2" t="inlineStr">
        <x:is>
          <x:t xml:space="preserve">江苏省</x:t>
        </x:is>
      </x:c>
      <x:c r="F2954" s="2" t="inlineStr">
        <x:is>
          <x:t xml:space="preserve">扬州市</x:t>
        </x:is>
      </x:c>
      <x:c r="G2954" s="3" t="inlineStr">
        <x:is>
          <x:t xml:space="preserve">江苏省-扬州市</x:t>
        </x:is>
      </x:c>
      <x:c r="H2954" s="2" t="inlineStr">
        <x:is>
          <x:t xml:space="preserve">通用设备</x:t>
        </x:is>
      </x:c>
      <x:c r="I2954" s="2" t="inlineStr">
        <x:is>
          <x:t xml:space="preserve">2020-09-10</x:t>
        </x:is>
      </x:c>
      <x:c r="J2954" s="3" t="inlineStr">
        <x:is>
          <x:t xml:space="preserve">扬州市邗江区维扬经济开发区新甘泉西路71号</x:t>
        </x:is>
      </x:c>
      <x:c r="K2954" s="12" t="str">
        <x:f>LEFT("91321003725216976F",18)</x:f>
        <x:v>91321003725216976F</x:v>
      </x:c>
    </x:row>
    <x:row r="2955">
      <x:c r="A2955" s="4" t="n">
        <x:v>2954</x:v>
      </x:c>
      <x:c r="B2955" s="4" t="inlineStr">
        <x:is>
          <x:t xml:space="preserve">300905</x:t>
        </x:is>
      </x:c>
      <x:c r="C2955" s="5" t="inlineStr">
        <x:is>
          <x:t xml:space="preserve">宝丽迪</x:t>
        </x:is>
      </x:c>
      <x:c r="D2955" s="5" t="inlineStr">
        <x:is>
          <x:t xml:space="preserve">苏州宝丽迪材料科技股份有限公司</x:t>
        </x:is>
      </x:c>
      <x:c r="E2955" s="4" t="inlineStr">
        <x:is>
          <x:t xml:space="preserve">江苏省</x:t>
        </x:is>
      </x:c>
      <x:c r="F2955" s="4" t="inlineStr">
        <x:is>
          <x:t xml:space="preserve">苏州市</x:t>
        </x:is>
      </x:c>
      <x:c r="G2955" s="5" t="inlineStr">
        <x:is>
          <x:t xml:space="preserve">江苏省-苏州市</x:t>
        </x:is>
      </x:c>
      <x:c r="H2955" s="4" t="inlineStr">
        <x:is>
          <x:t xml:space="preserve">塑料制品</x:t>
        </x:is>
      </x:c>
      <x:c r="I2955" s="4" t="inlineStr">
        <x:is>
          <x:t xml:space="preserve">2020-11-05</x:t>
        </x:is>
      </x:c>
      <x:c r="J2955" s="5" t="inlineStr">
        <x:is>
          <x:t xml:space="preserve">苏州市相城区北桥街道徐家观路29号</x:t>
        </x:is>
      </x:c>
      <x:c r="K2955" s="12" t="str">
        <x:f>LEFT("913205077439440375",18)</x:f>
        <x:v>913205077439440400</x:v>
      </x:c>
    </x:row>
    <x:row r="2956">
      <x:c r="A2956" s="2" t="n">
        <x:v>2955</x:v>
      </x:c>
      <x:c r="B2956" s="2" t="inlineStr">
        <x:is>
          <x:t xml:space="preserve">300907</x:t>
        </x:is>
      </x:c>
      <x:c r="C2956" s="3" t="inlineStr">
        <x:is>
          <x:t xml:space="preserve">康平科技</x:t>
        </x:is>
      </x:c>
      <x:c r="D2956" s="3" t="inlineStr">
        <x:is>
          <x:t xml:space="preserve">康平科技(苏州)股份有限公司</x:t>
        </x:is>
      </x:c>
      <x:c r="E2956" s="2" t="inlineStr">
        <x:is>
          <x:t xml:space="preserve">江苏省</x:t>
        </x:is>
      </x:c>
      <x:c r="F2956" s="2" t="inlineStr">
        <x:is>
          <x:t xml:space="preserve">苏州市</x:t>
        </x:is>
      </x:c>
      <x:c r="G2956" s="3" t="inlineStr">
        <x:is>
          <x:t xml:space="preserve">江苏省-苏州市</x:t>
        </x:is>
      </x:c>
      <x:c r="H2956" s="2" t="inlineStr">
        <x:is>
          <x:t xml:space="preserve">电机</x:t>
        </x:is>
      </x:c>
      <x:c r="I2956" s="2" t="inlineStr">
        <x:is>
          <x:t xml:space="preserve">2020-11-18</x:t>
        </x:is>
      </x:c>
      <x:c r="J2956" s="3" t="inlineStr">
        <x:is>
          <x:t xml:space="preserve">苏州相城经济开发区华元路18号</x:t>
        </x:is>
      </x:c>
      <x:c r="K2956" s="12" t="str">
        <x:f>LEFT("91320500758990626Q",18)</x:f>
        <x:v>91320500758990626Q</x:v>
      </x:c>
    </x:row>
    <x:row r="2957">
      <x:c r="A2957" s="4" t="n">
        <x:v>2956</x:v>
      </x:c>
      <x:c r="B2957" s="4" t="inlineStr">
        <x:is>
          <x:t xml:space="preserve">300912</x:t>
        </x:is>
      </x:c>
      <x:c r="C2957" s="5" t="inlineStr">
        <x:is>
          <x:t xml:space="preserve">凯龙高科</x:t>
        </x:is>
      </x:c>
      <x:c r="D2957" s="5" t="inlineStr">
        <x:is>
          <x:t xml:space="preserve">凯龙高科技股份有限公司</x:t>
        </x:is>
      </x:c>
      <x:c r="E2957" s="4" t="inlineStr">
        <x:is>
          <x:t xml:space="preserve">江苏省</x:t>
        </x:is>
      </x:c>
      <x:c r="F2957" s="4" t="inlineStr">
        <x:is>
          <x:t xml:space="preserve">无锡市</x:t>
        </x:is>
      </x:c>
      <x:c r="G2957" s="5" t="inlineStr">
        <x:is>
          <x:t xml:space="preserve">江苏省-无锡市</x:t>
        </x:is>
      </x:c>
      <x:c r="H2957" s="4" t="inlineStr">
        <x:is>
          <x:t xml:space="preserve">汽车零部件</x:t>
        </x:is>
      </x:c>
      <x:c r="I2957" s="4" t="inlineStr">
        <x:is>
          <x:t xml:space="preserve">2020-12-07</x:t>
        </x:is>
      </x:c>
      <x:c r="J2957" s="5" t="inlineStr">
        <x:is>
          <x:t xml:space="preserve">无锡惠山经济开发区钱桥配套区庙塘桥</x:t>
        </x:is>
      </x:c>
      <x:c r="K2957" s="12" t="str">
        <x:f>LEFT("91320200733313338L",18)</x:f>
        <x:v>91320200733313338L</x:v>
      </x:c>
    </x:row>
    <x:row r="2958">
      <x:c r="A2958" s="2" t="n">
        <x:v>2957</x:v>
      </x:c>
      <x:c r="B2958" s="2" t="inlineStr">
        <x:is>
          <x:t xml:space="preserve">300926</x:t>
        </x:is>
      </x:c>
      <x:c r="C2958" s="3" t="inlineStr">
        <x:is>
          <x:t xml:space="preserve">博俊科技</x:t>
        </x:is>
      </x:c>
      <x:c r="D2958" s="3" t="inlineStr">
        <x:is>
          <x:t xml:space="preserve">江苏博俊工业科技股份有限公司</x:t>
        </x:is>
      </x:c>
      <x:c r="E2958" s="2" t="inlineStr">
        <x:is>
          <x:t xml:space="preserve">江苏省</x:t>
        </x:is>
      </x:c>
      <x:c r="F2958" s="2" t="inlineStr">
        <x:is>
          <x:t xml:space="preserve">苏州市</x:t>
        </x:is>
      </x:c>
      <x:c r="G2958" s="3" t="inlineStr">
        <x:is>
          <x:t xml:space="preserve">江苏省-苏州市</x:t>
        </x:is>
      </x:c>
      <x:c r="H2958" s="2" t="inlineStr">
        <x:is>
          <x:t xml:space="preserve">汽车行业</x:t>
        </x:is>
      </x:c>
      <x:c r="I2958" s="2" t="inlineStr">
        <x:is>
          <x:t xml:space="preserve">2021-01-07</x:t>
        </x:is>
      </x:c>
      <x:c r="J2958" s="3" t="inlineStr">
        <x:is>
          <x:t xml:space="preserve">昆山开发区龙江路88号</x:t>
        </x:is>
      </x:c>
      <x:c r="K2958" s="12" t="str">
        <x:f>LEFT("913205005714293884",18)</x:f>
        <x:v>913205005714293900</x:v>
      </x:c>
    </x:row>
    <x:row r="2959">
      <x:c r="A2959" s="4" t="n">
        <x:v>2958</x:v>
      </x:c>
      <x:c r="B2959" s="4" t="inlineStr">
        <x:is>
          <x:t xml:space="preserve">300927</x:t>
        </x:is>
      </x:c>
      <x:c r="C2959" s="5" t="inlineStr">
        <x:is>
          <x:t xml:space="preserve">江天化学</x:t>
        </x:is>
      </x:c>
      <x:c r="D2959" s="5" t="inlineStr">
        <x:is>
          <x:t xml:space="preserve">南通江天化学股份有限公司</x:t>
        </x:is>
      </x:c>
      <x:c r="E2959" s="4" t="inlineStr">
        <x:is>
          <x:t xml:space="preserve">江苏省</x:t>
        </x:is>
      </x:c>
      <x:c r="F2959" s="4" t="inlineStr">
        <x:is>
          <x:t xml:space="preserve">南通市</x:t>
        </x:is>
      </x:c>
      <x:c r="G2959" s="5" t="inlineStr">
        <x:is>
          <x:t xml:space="preserve">江苏省-南通市</x:t>
        </x:is>
      </x:c>
      <x:c r="H2959" s="4" t="inlineStr">
        <x:is>
          <x:t xml:space="preserve">化学原料</x:t>
        </x:is>
      </x:c>
      <x:c r="I2959" s="4" t="inlineStr">
        <x:is>
          <x:t xml:space="preserve">2021-01-07</x:t>
        </x:is>
      </x:c>
      <x:c r="J2959" s="5" t="inlineStr">
        <x:is>
          <x:t xml:space="preserve">南通市经济技术开发区中央路16号</x:t>
        </x:is>
      </x:c>
      <x:c r="K2959" s="12" t="str">
        <x:f>LEFT("91320600717452733F",18)</x:f>
        <x:v>91320600717452733F</x:v>
      </x:c>
    </x:row>
    <x:row r="2960">
      <x:c r="A2960" s="2" t="n">
        <x:v>2959</x:v>
      </x:c>
      <x:c r="B2960" s="2" t="inlineStr">
        <x:is>
          <x:t xml:space="preserve">300931</x:t>
        </x:is>
      </x:c>
      <x:c r="C2960" s="3" t="inlineStr">
        <x:is>
          <x:t xml:space="preserve">通用电梯</x:t>
        </x:is>
      </x:c>
      <x:c r="D2960" s="3" t="inlineStr">
        <x:is>
          <x:t xml:space="preserve">通用电梯股份有限公司</x:t>
        </x:is>
      </x:c>
      <x:c r="E2960" s="2" t="inlineStr">
        <x:is>
          <x:t xml:space="preserve">江苏省</x:t>
        </x:is>
      </x:c>
      <x:c r="F2960" s="2" t="inlineStr">
        <x:is>
          <x:t xml:space="preserve">苏州市</x:t>
        </x:is>
      </x:c>
      <x:c r="G2960" s="3" t="inlineStr">
        <x:is>
          <x:t xml:space="preserve">江苏省-苏州市</x:t>
        </x:is>
      </x:c>
      <x:c r="H2960" s="2" t="inlineStr">
        <x:is>
          <x:t xml:space="preserve">专用设备</x:t>
        </x:is>
      </x:c>
      <x:c r="I2960" s="2" t="inlineStr">
        <x:is>
          <x:t xml:space="preserve">2021-01-21</x:t>
        </x:is>
      </x:c>
      <x:c r="J2960" s="3" t="inlineStr">
        <x:is>
          <x:t xml:space="preserve">江苏省苏州市吴江区七都镇港东开发区</x:t>
        </x:is>
      </x:c>
      <x:c r="K2960" s="12" t="str">
        <x:f>LEFT("91320509752742592D",18)</x:f>
        <x:v>91320509752742592D</x:v>
      </x:c>
    </x:row>
    <x:row r="2961">
      <x:c r="A2961" s="4" t="n">
        <x:v>2960</x:v>
      </x:c>
      <x:c r="B2961" s="4" t="inlineStr">
        <x:is>
          <x:t xml:space="preserve">300933</x:t>
        </x:is>
      </x:c>
      <x:c r="C2961" s="5" t="inlineStr">
        <x:is>
          <x:t xml:space="preserve">中辰股份</x:t>
        </x:is>
      </x:c>
      <x:c r="D2961" s="5" t="inlineStr">
        <x:is>
          <x:t xml:space="preserve">中辰电缆股份有限公司</x:t>
        </x:is>
      </x:c>
      <x:c r="E2961" s="4" t="inlineStr">
        <x:is>
          <x:t xml:space="preserve">江苏省</x:t>
        </x:is>
      </x:c>
      <x:c r="F2961" s="4" t="inlineStr">
        <x:is>
          <x:t xml:space="preserve">宜兴市</x:t>
        </x:is>
      </x:c>
      <x:c r="G2961" s="5" t="inlineStr">
        <x:is>
          <x:t xml:space="preserve">江苏省-宜兴市</x:t>
        </x:is>
      </x:c>
      <x:c r="H2961" s="4" t="inlineStr">
        <x:is>
          <x:t xml:space="preserve">输配电气</x:t>
        </x:is>
      </x:c>
      <x:c r="I2961" s="4" t="inlineStr">
        <x:is>
          <x:t xml:space="preserve">2021-01-22</x:t>
        </x:is>
      </x:c>
      <x:c r="J2961" s="5" t="inlineStr">
        <x:is>
          <x:t xml:space="preserve">宜兴环科园氿南路8号(经营场所:宜兴市新街街道百合村)</x:t>
        </x:is>
      </x:c>
      <x:c r="K2961" s="12" t="str">
        <x:f>LEFT("91320200750524073X",18)</x:f>
        <x:v>91320200750524073X</x:v>
      </x:c>
    </x:row>
    <x:row r="2962">
      <x:c r="A2962" s="2" t="n">
        <x:v>2961</x:v>
      </x:c>
      <x:c r="B2962" s="2" t="inlineStr">
        <x:is>
          <x:t xml:space="preserve">300936</x:t>
        </x:is>
      </x:c>
      <x:c r="C2962" s="3" t="inlineStr">
        <x:is>
          <x:t xml:space="preserve">中英科技</x:t>
        </x:is>
      </x:c>
      <x:c r="D2962" s="3" t="inlineStr">
        <x:is>
          <x:t xml:space="preserve">常州中英科技股份有限公司</x:t>
        </x:is>
      </x:c>
      <x:c r="E2962" s="2" t="inlineStr">
        <x:is>
          <x:t xml:space="preserve">江苏省</x:t>
        </x:is>
      </x:c>
      <x:c r="F2962" s="2" t="inlineStr">
        <x:is>
          <x:t xml:space="preserve">常州市</x:t>
        </x:is>
      </x:c>
      <x:c r="G2962" s="3" t="inlineStr">
        <x:is>
          <x:t xml:space="preserve">江苏省-常州市</x:t>
        </x:is>
      </x:c>
      <x:c r="H2962" s="2" t="inlineStr">
        <x:is>
          <x:t xml:space="preserve">电子元件</x:t>
        </x:is>
      </x:c>
      <x:c r="I2962" s="2" t="inlineStr">
        <x:is>
          <x:t xml:space="preserve">2021-01-26</x:t>
        </x:is>
      </x:c>
      <x:c r="J2962" s="3" t="inlineStr">
        <x:is>
          <x:t xml:space="preserve">常州市钟楼区正强路28号</x:t>
        </x:is>
      </x:c>
      <x:c r="K2962" s="12" t="str">
        <x:f>LEFT("91320400786311897W",18)</x:f>
        <x:v>91320400786311897W</x:v>
      </x:c>
    </x:row>
    <x:row r="2963">
      <x:c r="A2963" s="4" t="n">
        <x:v>2962</x:v>
      </x:c>
      <x:c r="B2963" s="4" t="inlineStr">
        <x:is>
          <x:t xml:space="preserve">300952</x:t>
        </x:is>
      </x:c>
      <x:c r="C2963" s="5" t="inlineStr">
        <x:is>
          <x:t xml:space="preserve">恒辉安防</x:t>
        </x:is>
      </x:c>
      <x:c r="D2963" s="5" t="inlineStr">
        <x:is>
          <x:t xml:space="preserve">江苏恒辉安防集团股份有限公司</x:t>
        </x:is>
      </x:c>
      <x:c r="E2963" s="4" t="inlineStr">
        <x:is>
          <x:t xml:space="preserve">江苏省</x:t>
        </x:is>
      </x:c>
      <x:c r="F2963" s="4" t="inlineStr">
        <x:is>
          <x:t xml:space="preserve">南通市</x:t>
        </x:is>
      </x:c>
      <x:c r="G2963" s="5" t="inlineStr">
        <x:is>
          <x:t xml:space="preserve">江苏省-南通市</x:t>
        </x:is>
      </x:c>
      <x:c r="H2963" s="4" t="inlineStr">
        <x:is>
          <x:t xml:space="preserve">纺织服装</x:t>
        </x:is>
      </x:c>
      <x:c r="I2963" s="4" t="inlineStr">
        <x:is>
          <x:t xml:space="preserve">2021-03-11</x:t>
        </x:is>
      </x:c>
      <x:c r="J2963" s="5" t="inlineStr">
        <x:is>
          <x:t xml:space="preserve">江苏省如东经济开发区工业新区黄山路西侧</x:t>
        </x:is>
      </x:c>
      <x:c r="K2963" s="12" t="str">
        <x:f>LEFT("913206237605410889",18)</x:f>
        <x:v>913206237605411000</x:v>
      </x:c>
    </x:row>
    <x:row r="2964">
      <x:c r="A2964" s="2" t="n">
        <x:v>2963</x:v>
      </x:c>
      <x:c r="B2964" s="2" t="inlineStr">
        <x:is>
          <x:t xml:space="preserve">300959</x:t>
        </x:is>
      </x:c>
      <x:c r="C2964" s="3" t="inlineStr">
        <x:is>
          <x:t xml:space="preserve">线上线下</x:t>
        </x:is>
      </x:c>
      <x:c r="D2964" s="3" t="inlineStr">
        <x:is>
          <x:t xml:space="preserve">无锡线上线下通讯信息技术股份有限公司</x:t>
        </x:is>
      </x:c>
      <x:c r="E2964" s="2" t="inlineStr">
        <x:is>
          <x:t xml:space="preserve">江苏省</x:t>
        </x:is>
      </x:c>
      <x:c r="F2964" s="2" t="inlineStr">
        <x:is>
          <x:t xml:space="preserve">无锡市</x:t>
        </x:is>
      </x:c>
      <x:c r="G2964" s="3" t="inlineStr">
        <x:is>
          <x:t xml:space="preserve">江苏省-无锡市</x:t>
        </x:is>
      </x:c>
      <x:c r="H2964" s="2" t="inlineStr">
        <x:is>
          <x:t xml:space="preserve">通信服务</x:t>
        </x:is>
      </x:c>
      <x:c r="I2964" s="2" t="inlineStr">
        <x:is>
          <x:t xml:space="preserve">2021-03-22</x:t>
        </x:is>
      </x:c>
      <x:c r="J2964" s="3" t="inlineStr">
        <x:is>
          <x:t xml:space="preserve">无锡市高浪东路999号-8-C1-701</x:t>
        </x:is>
      </x:c>
      <x:c r="K2964" s="12" t="str">
        <x:f>LEFT("913202110535042298",18)</x:f>
        <x:v>913202110535042300</x:v>
      </x:c>
    </x:row>
    <x:row r="2965">
      <x:c r="A2965" s="4" t="n">
        <x:v>2964</x:v>
      </x:c>
      <x:c r="B2965" s="4" t="inlineStr">
        <x:is>
          <x:t xml:space="preserve">300964</x:t>
        </x:is>
      </x:c>
      <x:c r="C2965" s="5" t="inlineStr">
        <x:is>
          <x:t xml:space="preserve">本川智能</x:t>
        </x:is>
      </x:c>
      <x:c r="D2965" s="5" t="inlineStr">
        <x:is>
          <x:t xml:space="preserve">江苏本川智能电路科技股份有限公司</x:t>
        </x:is>
      </x:c>
      <x:c r="E2965" s="4" t="inlineStr">
        <x:is>
          <x:t xml:space="preserve">江苏省</x:t>
        </x:is>
      </x:c>
      <x:c r="F2965" s="4" t="inlineStr">
        <x:is>
          <x:t xml:space="preserve">南京市</x:t>
        </x:is>
      </x:c>
      <x:c r="G2965" s="5" t="inlineStr">
        <x:is>
          <x:t xml:space="preserve">江苏省-南京市</x:t>
        </x:is>
      </x:c>
      <x:c r="H2965" s="4" t="inlineStr">
        <x:is>
          <x:t xml:space="preserve">电子元件</x:t>
        </x:is>
      </x:c>
      <x:c r="I2965" s="4" t="inlineStr">
        <x:is>
          <x:t xml:space="preserve">2021-08-05</x:t>
        </x:is>
      </x:c>
      <x:c r="J2965" s="5" t="inlineStr">
        <x:is>
          <x:t xml:space="preserve">南京市溧水经济开发区孔家路7号</x:t>
        </x:is>
      </x:c>
      <x:c r="K2965" s="12" t="str">
        <x:f>LEFT("913201177904499284",18)</x:f>
        <x:v>913201177904499300</x:v>
      </x:c>
    </x:row>
    <x:row r="2966">
      <x:c r="A2966" s="2" t="n">
        <x:v>2965</x:v>
      </x:c>
      <x:c r="B2966" s="2" t="inlineStr">
        <x:is>
          <x:t xml:space="preserve">300970</x:t>
        </x:is>
      </x:c>
      <x:c r="C2966" s="3" t="inlineStr">
        <x:is>
          <x:t xml:space="preserve">华绿生物</x:t>
        </x:is>
      </x:c>
      <x:c r="D2966" s="3" t="inlineStr">
        <x:is>
          <x:t xml:space="preserve">江苏华绿生物科技集团股份有限公司</x:t>
        </x:is>
      </x:c>
      <x:c r="E2966" s="2" t="inlineStr">
        <x:is>
          <x:t xml:space="preserve">江苏省</x:t>
        </x:is>
      </x:c>
      <x:c r="F2966" s="2" t="inlineStr">
        <x:is>
          <x:t xml:space="preserve">宿迁市</x:t>
        </x:is>
      </x:c>
      <x:c r="G2966" s="3" t="inlineStr">
        <x:is>
          <x:t xml:space="preserve">江苏省-宿迁市</x:t>
        </x:is>
      </x:c>
      <x:c r="H2966" s="2" t="inlineStr">
        <x:is>
          <x:t xml:space="preserve">农牧饲渔</x:t>
        </x:is>
      </x:c>
      <x:c r="I2966" s="2" t="inlineStr">
        <x:is>
          <x:t xml:space="preserve">2021-04-12</x:t>
        </x:is>
      </x:c>
      <x:c r="J2966" s="3" t="inlineStr">
        <x:is>
          <x:t xml:space="preserve">泗阳县绿都大道88号</x:t>
        </x:is>
      </x:c>
      <x:c r="K2966" s="12" t="str">
        <x:f>LEFT("91321300557081397F",18)</x:f>
        <x:v>91321300557081397F</x:v>
      </x:c>
    </x:row>
    <x:row r="2967">
      <x:c r="A2967" s="4" t="n">
        <x:v>2966</x:v>
      </x:c>
      <x:c r="B2967" s="4" t="inlineStr">
        <x:is>
          <x:t xml:space="preserve">300975</x:t>
        </x:is>
      </x:c>
      <x:c r="C2967" s="5" t="inlineStr">
        <x:is>
          <x:t xml:space="preserve">商络电子</x:t>
        </x:is>
      </x:c>
      <x:c r="D2967" s="5" t="inlineStr">
        <x:is>
          <x:t xml:space="preserve">南京商络电子股份有限公司</x:t>
        </x:is>
      </x:c>
      <x:c r="E2967" s="4" t="inlineStr">
        <x:is>
          <x:t xml:space="preserve">江苏省</x:t>
        </x:is>
      </x:c>
      <x:c r="F2967" s="4" t="inlineStr">
        <x:is>
          <x:t xml:space="preserve">南京市</x:t>
        </x:is>
      </x:c>
      <x:c r="G2967" s="5" t="inlineStr">
        <x:is>
          <x:t xml:space="preserve">江苏省-南京市</x:t>
        </x:is>
      </x:c>
      <x:c r="H2967" s="4" t="inlineStr">
        <x:is>
          <x:t xml:space="preserve">贸易行业</x:t>
        </x:is>
      </x:c>
      <x:c r="I2967" s="4" t="inlineStr">
        <x:is>
          <x:t xml:space="preserve">2021-04-21</x:t>
        </x:is>
      </x:c>
      <x:c r="J2967" s="5" t="inlineStr">
        <x:is>
          <x:t xml:space="preserve">南京市鼓楼区湖北路3号</x:t>
        </x:is>
      </x:c>
      <x:c r="K2967" s="12" t="str">
        <x:f>LEFT("913201007162390095",18)</x:f>
        <x:v>913201007162390100</x:v>
      </x:c>
    </x:row>
    <x:row r="2968">
      <x:c r="A2968" s="2" t="n">
        <x:v>2967</x:v>
      </x:c>
      <x:c r="B2968" s="2" t="inlineStr">
        <x:is>
          <x:t xml:space="preserve">300982</x:t>
        </x:is>
      </x:c>
      <x:c r="C2968" s="3" t="inlineStr">
        <x:is>
          <x:t xml:space="preserve">苏文电能</x:t>
        </x:is>
      </x:c>
      <x:c r="D2968" s="3" t="inlineStr">
        <x:is>
          <x:t xml:space="preserve">苏文电能科技股份有限公司</x:t>
        </x:is>
      </x:c>
      <x:c r="E2968" s="2" t="inlineStr">
        <x:is>
          <x:t xml:space="preserve">江苏省</x:t>
        </x:is>
      </x:c>
      <x:c r="F2968" s="2" t="inlineStr">
        <x:is>
          <x:t xml:space="preserve">常州市</x:t>
        </x:is>
      </x:c>
      <x:c r="G2968" s="3" t="inlineStr">
        <x:is>
          <x:t xml:space="preserve">江苏省-常州市</x:t>
        </x:is>
      </x:c>
      <x:c r="H2968" s="2" t="inlineStr">
        <x:is>
          <x:t xml:space="preserve">工程建设</x:t>
        </x:is>
      </x:c>
      <x:c r="I2968" s="2" t="inlineStr">
        <x:is>
          <x:t xml:space="preserve">2021-04-27</x:t>
        </x:is>
      </x:c>
      <x:c r="J2968" s="3" t="inlineStr">
        <x:is>
          <x:t xml:space="preserve">常州市武进区西太湖科技园长帆路3号</x:t>
        </x:is>
      </x:c>
      <x:c r="K2968" s="12" t="str">
        <x:f>LEFT("91320412660099528F",18)</x:f>
        <x:v>91320412660099528F</x:v>
      </x:c>
    </x:row>
    <x:row r="2969">
      <x:c r="A2969" s="4" t="n">
        <x:v>2968</x:v>
      </x:c>
      <x:c r="B2969" s="4" t="inlineStr">
        <x:is>
          <x:t xml:space="preserve">301003</x:t>
        </x:is>
      </x:c>
      <x:c r="C2969" s="5" t="inlineStr">
        <x:is>
          <x:t xml:space="preserve">江苏博云</x:t>
        </x:is>
      </x:c>
      <x:c r="D2969" s="5" t="inlineStr">
        <x:is>
          <x:t xml:space="preserve">江苏博云塑业股份有限公司</x:t>
        </x:is>
      </x:c>
      <x:c r="E2969" s="4" t="inlineStr">
        <x:is>
          <x:t xml:space="preserve">江苏省</x:t>
        </x:is>
      </x:c>
      <x:c r="F2969" s="4" t="inlineStr">
        <x:is>
          <x:t xml:space="preserve">苏州市</x:t>
        </x:is>
      </x:c>
      <x:c r="G2969" s="5" t="inlineStr">
        <x:is>
          <x:t xml:space="preserve">江苏省-苏州市</x:t>
        </x:is>
      </x:c>
      <x:c r="H2969" s="4" t="inlineStr">
        <x:is>
          <x:t xml:space="preserve">塑胶制品</x:t>
        </x:is>
      </x:c>
      <x:c r="I2969" s="4" t="inlineStr">
        <x:is>
          <x:t xml:space="preserve">2021-06-01</x:t>
        </x:is>
      </x:c>
      <x:c r="J2969" s="5" t="inlineStr">
        <x:is>
          <x:t xml:space="preserve">苏州市张家港锦丰镇星火村(一照多址)</x:t>
        </x:is>
      </x:c>
      <x:c r="K2969" s="12" t="str">
        <x:f>LEFT("913205827888919524",18)</x:f>
        <x:v>913205827888919600</x:v>
      </x:c>
    </x:row>
    <x:row r="2970">
      <x:c r="A2970" s="2" t="n">
        <x:v>2969</x:v>
      </x:c>
      <x:c r="B2970" s="2" t="inlineStr">
        <x:is>
          <x:t xml:space="preserve">301006</x:t>
        </x:is>
      </x:c>
      <x:c r="C2970" s="3" t="inlineStr">
        <x:is>
          <x:t xml:space="preserve">迈拓股份</x:t>
        </x:is>
      </x:c>
      <x:c r="D2970" s="3" t="inlineStr">
        <x:is>
          <x:t xml:space="preserve">迈拓仪表股份有限公司</x:t>
        </x:is>
      </x:c>
      <x:c r="E2970" s="2" t="inlineStr">
        <x:is>
          <x:t xml:space="preserve">江苏省</x:t>
        </x:is>
      </x:c>
      <x:c r="F2970" s="2" t="inlineStr">
        <x:is>
          <x:t xml:space="preserve">南京市</x:t>
        </x:is>
      </x:c>
      <x:c r="G2970" s="3" t="inlineStr">
        <x:is>
          <x:t xml:space="preserve">江苏省-南京市</x:t>
        </x:is>
      </x:c>
      <x:c r="H2970" s="2" t="inlineStr">
        <x:is>
          <x:t xml:space="preserve">仪器仪表</x:t>
        </x:is>
      </x:c>
      <x:c r="I2970" s="2" t="inlineStr">
        <x:is>
          <x:t xml:space="preserve">2021-06-07</x:t>
        </x:is>
      </x:c>
      <x:c r="J2970" s="3" t="inlineStr">
        <x:is>
          <x:t xml:space="preserve">南京江宁滨江经济开发区喜燕路5号</x:t>
        </x:is>
      </x:c>
      <x:c r="K2970" s="12" t="str">
        <x:f>LEFT("91320000795354485T",18)</x:f>
        <x:v>91320000795354485T</x:v>
      </x:c>
    </x:row>
    <x:row r="2971">
      <x:c r="A2971" s="4" t="n">
        <x:v>2970</x:v>
      </x:c>
      <x:c r="B2971" s="4" t="inlineStr">
        <x:is>
          <x:t xml:space="preserve">301010</x:t>
        </x:is>
      </x:c>
      <x:c r="C2971" s="5" t="inlineStr">
        <x:is>
          <x:t xml:space="preserve">晶雪节能</x:t>
        </x:is>
      </x:c>
      <x:c r="D2971" s="5" t="inlineStr">
        <x:is>
          <x:t xml:space="preserve">江苏晶雪节能科技股份有限公司</x:t>
        </x:is>
      </x:c>
      <x:c r="E2971" s="4" t="inlineStr">
        <x:is>
          <x:t xml:space="preserve">江苏省</x:t>
        </x:is>
      </x:c>
      <x:c r="F2971" s="4" t="inlineStr">
        <x:is>
          <x:t xml:space="preserve">常州市</x:t>
        </x:is>
      </x:c>
      <x:c r="G2971" s="5" t="inlineStr">
        <x:is>
          <x:t xml:space="preserve">江苏省-常州市</x:t>
        </x:is>
      </x:c>
      <x:c r="H2971" s="4" t="inlineStr">
        <x:is>
          <x:t xml:space="preserve">装修建材</x:t>
        </x:is>
      </x:c>
      <x:c r="I2971" s="4" t="inlineStr">
        <x:is>
          <x:t xml:space="preserve">2021-06-18</x:t>
        </x:is>
      </x:c>
      <x:c r="J2971" s="5" t="inlineStr">
        <x:is>
          <x:t xml:space="preserve">江苏武进经济开发区丰泽路18号</x:t>
        </x:is>
      </x:c>
      <x:c r="K2971" s="12" t="str">
        <x:f>LEFT("91320412608119552R",18)</x:f>
        <x:v>91320412608119552R</x:v>
      </x:c>
    </x:row>
    <x:row r="2972">
      <x:c r="A2972" s="2" t="n">
        <x:v>2971</x:v>
      </x:c>
      <x:c r="B2972" s="2" t="inlineStr">
        <x:is>
          <x:t xml:space="preserve">301012</x:t>
        </x:is>
      </x:c>
      <x:c r="C2972" s="3" t="inlineStr">
        <x:is>
          <x:t xml:space="preserve">扬电科技</x:t>
        </x:is>
      </x:c>
      <x:c r="D2972" s="3" t="inlineStr">
        <x:is>
          <x:t xml:space="preserve">江苏扬电科技股份有限公司</x:t>
        </x:is>
      </x:c>
      <x:c r="E2972" s="2" t="inlineStr">
        <x:is>
          <x:t xml:space="preserve">江苏省</x:t>
        </x:is>
      </x:c>
      <x:c r="F2972" s="2" t="inlineStr">
        <x:is>
          <x:t xml:space="preserve">泰州市</x:t>
        </x:is>
      </x:c>
      <x:c r="G2972" s="3" t="inlineStr">
        <x:is>
          <x:t xml:space="preserve">江苏省-泰州市</x:t>
        </x:is>
      </x:c>
      <x:c r="H2972" s="2" t="inlineStr">
        <x:is>
          <x:t xml:space="preserve">输配电气</x:t>
        </x:is>
      </x:c>
      <x:c r="I2972" s="2" t="inlineStr">
        <x:is>
          <x:t xml:space="preserve">2021-06-22</x:t>
        </x:is>
      </x:c>
      <x:c r="J2972" s="3" t="inlineStr">
        <x:is>
          <x:t xml:space="preserve">江苏省泰州市姜堰经济开发区天目路690号</x:t>
        </x:is>
      </x:c>
      <x:c r="K2972" s="12" t="str">
        <x:f>LEFT("91321204140797736U",18)</x:f>
        <x:v>91321204140797736U</x:v>
      </x:c>
    </x:row>
    <x:row r="2973">
      <x:c r="A2973" s="4" t="n">
        <x:v>2972</x:v>
      </x:c>
      <x:c r="B2973" s="4" t="inlineStr">
        <x:is>
          <x:t xml:space="preserve">301016</x:t>
        </x:is>
      </x:c>
      <x:c r="C2973" s="5" t="inlineStr">
        <x:is>
          <x:t xml:space="preserve">雷尔伟</x:t>
        </x:is>
      </x:c>
      <x:c r="D2973" s="5" t="inlineStr">
        <x:is>
          <x:t xml:space="preserve">南京雷尔伟新技术股份有限公司</x:t>
        </x:is>
      </x:c>
      <x:c r="E2973" s="4" t="inlineStr">
        <x:is>
          <x:t xml:space="preserve">江苏省</x:t>
        </x:is>
      </x:c>
      <x:c r="F2973" s="4" t="inlineStr">
        <x:is>
          <x:t xml:space="preserve">南京市</x:t>
        </x:is>
      </x:c>
      <x:c r="G2973" s="5" t="inlineStr">
        <x:is>
          <x:t xml:space="preserve">江苏省-南京市</x:t>
        </x:is>
      </x:c>
      <x:c r="H2973" s="4" t="inlineStr">
        <x:is>
          <x:t xml:space="preserve">交运设备</x:t>
        </x:is>
      </x:c>
      <x:c r="I2973" s="4" t="inlineStr">
        <x:is>
          <x:t xml:space="preserve">2021-06-30</x:t>
        </x:is>
      </x:c>
      <x:c r="J2973" s="5" t="inlineStr">
        <x:is>
          <x:t xml:space="preserve">江苏省南京市江北新区龙泰路19号</x:t>
        </x:is>
      </x:c>
      <x:c r="K2973" s="12" t="str">
        <x:f>LEFT("91320191135364311P",18)</x:f>
        <x:v>91320191135364311P</x:v>
      </x:c>
    </x:row>
    <x:row r="2974">
      <x:c r="A2974" s="2" t="n">
        <x:v>2973</x:v>
      </x:c>
      <x:c r="B2974" s="2" t="inlineStr">
        <x:is>
          <x:t xml:space="preserve">301023</x:t>
        </x:is>
      </x:c>
      <x:c r="C2974" s="3" t="inlineStr">
        <x:is>
          <x:t xml:space="preserve">奕帆传动</x:t>
        </x:is>
      </x:c>
      <x:c r="D2974" s="3" t="inlineStr">
        <x:is>
          <x:t xml:space="preserve">无锡江南奕帆电力传动科技股份有限公司</x:t>
        </x:is>
      </x:c>
      <x:c r="E2974" s="2" t="inlineStr">
        <x:is>
          <x:t xml:space="preserve">江苏省</x:t>
        </x:is>
      </x:c>
      <x:c r="F2974" s="2" t="inlineStr">
        <x:is>
          <x:t xml:space="preserve">无锡市</x:t>
        </x:is>
      </x:c>
      <x:c r="G2974" s="3" t="inlineStr">
        <x:is>
          <x:t xml:space="preserve">江苏省-无锡市</x:t>
        </x:is>
      </x:c>
      <x:c r="H2974" s="2" t="inlineStr">
        <x:is>
          <x:t xml:space="preserve">电机</x:t>
        </x:is>
      </x:c>
      <x:c r="I2974" s="2" t="inlineStr">
        <x:is>
          <x:t xml:space="preserve">2021-07-07</x:t>
        </x:is>
      </x:c>
      <x:c r="J2974" s="3" t="inlineStr">
        <x:is>
          <x:t xml:space="preserve">无锡惠山经济开发区堰桥配套区堰裕路7号</x:t>
        </x:is>
      </x:c>
      <x:c r="K2974" s="12" t="str">
        <x:f>LEFT("91320200578117344H",18)</x:f>
        <x:v>91320200578117344H</x:v>
      </x:c>
    </x:row>
    <x:row r="2975">
      <x:c r="A2975" s="4" t="n">
        <x:v>2974</x:v>
      </x:c>
      <x:c r="B2975" s="4" t="inlineStr">
        <x:is>
          <x:t xml:space="preserve">301026</x:t>
        </x:is>
      </x:c>
      <x:c r="C2975" s="5" t="inlineStr">
        <x:is>
          <x:t xml:space="preserve">浩通科技</x:t>
        </x:is>
      </x:c>
      <x:c r="D2975" s="5" t="inlineStr">
        <x:is>
          <x:t xml:space="preserve">徐州浩通新材料科技集团股份有限公司</x:t>
        </x:is>
      </x:c>
      <x:c r="E2975" s="4" t="inlineStr">
        <x:is>
          <x:t xml:space="preserve">江苏省</x:t>
        </x:is>
      </x:c>
      <x:c r="F2975" s="4" t="inlineStr">
        <x:is>
          <x:t xml:space="preserve">徐州市</x:t>
        </x:is>
      </x:c>
      <x:c r="G2975" s="5" t="inlineStr">
        <x:is>
          <x:t xml:space="preserve">江苏省-徐州市</x:t>
        </x:is>
      </x:c>
      <x:c r="H2975" s="4" t="inlineStr">
        <x:is>
          <x:t xml:space="preserve">小金属</x:t>
        </x:is>
      </x:c>
      <x:c r="I2975" s="4" t="inlineStr">
        <x:is>
          <x:t xml:space="preserve">2021-07-16</x:t>
        </x:is>
      </x:c>
      <x:c r="J2975" s="5" t="inlineStr">
        <x:is>
          <x:t xml:space="preserve">徐州市经济技术开发区刘荆路1号</x:t>
        </x:is>
      </x:c>
      <x:c r="K2975" s="12" t="str">
        <x:f>LEFT("9132030077469267XW",18)</x:f>
        <x:v>9132030077469267XW</x:v>
      </x:c>
    </x:row>
    <x:row r="2976">
      <x:c r="A2976" s="2" t="n">
        <x:v>2975</x:v>
      </x:c>
      <x:c r="B2976" s="2" t="inlineStr">
        <x:is>
          <x:t xml:space="preserve">301030</x:t>
        </x:is>
      </x:c>
      <x:c r="C2976" s="3" t="inlineStr">
        <x:is>
          <x:t xml:space="preserve">仕净科技</x:t>
        </x:is>
      </x:c>
      <x:c r="D2976" s="3" t="inlineStr">
        <x:is>
          <x:t xml:space="preserve">苏州仕净科技股份有限公司</x:t>
        </x:is>
      </x:c>
      <x:c r="E2976" s="2" t="inlineStr">
        <x:is>
          <x:t xml:space="preserve">江苏省</x:t>
        </x:is>
      </x:c>
      <x:c r="F2976" s="2" t="inlineStr">
        <x:is>
          <x:t xml:space="preserve">苏州市</x:t>
        </x:is>
      </x:c>
      <x:c r="G2976" s="3" t="inlineStr">
        <x:is>
          <x:t xml:space="preserve">江苏省-苏州市</x:t>
        </x:is>
      </x:c>
      <x:c r="H2976" s="2" t="inlineStr">
        <x:is>
          <x:t xml:space="preserve">专用设备</x:t>
        </x:is>
      </x:c>
      <x:c r="I2976" s="2" t="inlineStr">
        <x:is>
          <x:t xml:space="preserve">2021-07-22</x:t>
        </x:is>
      </x:c>
      <x:c r="J2976" s="3" t="inlineStr">
        <x:is>
          <x:t xml:space="preserve">苏州市相城区太平街道金瑞路58号</x:t>
        </x:is>
      </x:c>
      <x:c r="K2976" s="12" t="str">
        <x:f>LEFT("91320500773222051M",18)</x:f>
        <x:v>91320500773222051M</x:v>
      </x:c>
    </x:row>
    <x:row r="2977">
      <x:c r="A2977" s="4" t="n">
        <x:v>2976</x:v>
      </x:c>
      <x:c r="B2977" s="4" t="inlineStr">
        <x:is>
          <x:t xml:space="preserve">301036</x:t>
        </x:is>
      </x:c>
      <x:c r="C2977" s="5" t="inlineStr">
        <x:is>
          <x:t xml:space="preserve">双乐股份</x:t>
        </x:is>
      </x:c>
      <x:c r="D2977" s="5" t="inlineStr">
        <x:is>
          <x:t xml:space="preserve">双乐颜料股份有限公司</x:t>
        </x:is>
      </x:c>
      <x:c r="E2977" s="4" t="inlineStr">
        <x:is>
          <x:t xml:space="preserve">江苏省</x:t>
        </x:is>
      </x:c>
      <x:c r="F2977" s="4" t="inlineStr">
        <x:is>
          <x:t xml:space="preserve">泰州市</x:t>
        </x:is>
      </x:c>
      <x:c r="G2977" s="5" t="inlineStr">
        <x:is>
          <x:t xml:space="preserve">江苏省-泰州市</x:t>
        </x:is>
      </x:c>
      <x:c r="H2977" s="4" t="inlineStr">
        <x:is>
          <x:t xml:space="preserve">化工行业</x:t>
        </x:is>
      </x:c>
      <x:c r="I2977" s="4" t="inlineStr">
        <x:is>
          <x:t xml:space="preserve">2021-07-29</x:t>
        </x:is>
      </x:c>
      <x:c r="J2977" s="5" t="inlineStr">
        <x:is>
          <x:t xml:space="preserve">江苏省泰州市兴化市戴南镇人民路958号</x:t>
        </x:is>
      </x:c>
      <x:c r="K2977" s="12" t="str">
        <x:f>LEFT("9132128114265267XQ",18)</x:f>
        <x:v>9132128114265267XQ</x:v>
      </x:c>
    </x:row>
    <x:row r="2978">
      <x:c r="A2978" s="2" t="n">
        <x:v>2977</x:v>
      </x:c>
      <x:c r="B2978" s="2" t="inlineStr">
        <x:is>
          <x:t xml:space="preserve">301040</x:t>
        </x:is>
      </x:c>
      <x:c r="C2978" s="3" t="inlineStr">
        <x:is>
          <x:t xml:space="preserve">中环海陆</x:t>
        </x:is>
      </x:c>
      <x:c r="D2978" s="3" t="inlineStr">
        <x:is>
          <x:t xml:space="preserve">张家港中环海陆高端装备股份有限公司</x:t>
        </x:is>
      </x:c>
      <x:c r="E2978" s="2" t="inlineStr">
        <x:is>
          <x:t xml:space="preserve">江苏省</x:t>
        </x:is>
      </x:c>
      <x:c r="F2978" s="2" t="inlineStr">
        <x:is>
          <x:t xml:space="preserve">苏州市</x:t>
        </x:is>
      </x:c>
      <x:c r="G2978" s="3" t="inlineStr">
        <x:is>
          <x:t xml:space="preserve">江苏省-苏州市</x:t>
        </x:is>
      </x:c>
      <x:c r="H2978" s="2" t="inlineStr">
        <x:is>
          <x:t xml:space="preserve">风电设备</x:t>
        </x:is>
      </x:c>
      <x:c r="I2978" s="2" t="inlineStr">
        <x:is>
          <x:t xml:space="preserve">2021-08-03</x:t>
        </x:is>
      </x:c>
      <x:c r="J2978" s="3" t="inlineStr">
        <x:is>
          <x:t xml:space="preserve">江苏省苏州市张家港市锦丰镇合兴华山路</x:t>
        </x:is>
      </x:c>
      <x:c r="K2978" s="12" t="str">
        <x:f>LEFT("913205007185439367",18)</x:f>
        <x:v>913205007185439400</x:v>
      </x:c>
    </x:row>
    <x:row r="2979">
      <x:c r="A2979" s="4" t="n">
        <x:v>2978</x:v>
      </x:c>
      <x:c r="B2979" s="4" t="inlineStr">
        <x:is>
          <x:t xml:space="preserve">301045</x:t>
        </x:is>
      </x:c>
      <x:c r="C2979" s="5" t="inlineStr">
        <x:is>
          <x:t xml:space="preserve">天禄科技</x:t>
        </x:is>
      </x:c>
      <x:c r="D2979" s="5" t="inlineStr">
        <x:is>
          <x:t xml:space="preserve">苏州天禄光科技股份有限公司</x:t>
        </x:is>
      </x:c>
      <x:c r="E2979" s="4" t="inlineStr">
        <x:is>
          <x:t xml:space="preserve">江苏省</x:t>
        </x:is>
      </x:c>
      <x:c r="F2979" s="4" t="inlineStr">
        <x:is>
          <x:t xml:space="preserve">苏州市</x:t>
        </x:is>
      </x:c>
      <x:c r="G2979" s="5" t="inlineStr">
        <x:is>
          <x:t xml:space="preserve">江苏省-苏州市</x:t>
        </x:is>
      </x:c>
      <x:c r="H2979" s="4" t="inlineStr">
        <x:is>
          <x:t xml:space="preserve">光学光电子</x:t>
        </x:is>
      </x:c>
      <x:c r="I2979" s="4" t="inlineStr">
        <x:is>
          <x:t xml:space="preserve">2021-08-13</x:t>
        </x:is>
      </x:c>
      <x:c r="J2979" s="5" t="inlineStr">
        <x:is>
          <x:t xml:space="preserve">苏州市相城区黄埭镇太东公路2990号</x:t>
        </x:is>
      </x:c>
      <x:c r="K2979" s="12" t="str">
        <x:f>LEFT("913205075643226621",18)</x:f>
        <x:v>913205075643226600</x:v>
      </x:c>
    </x:row>
    <x:row r="2980">
      <x:c r="A2980" s="2" t="n">
        <x:v>2979</x:v>
      </x:c>
      <x:c r="B2980" s="2" t="inlineStr">
        <x:is>
          <x:t xml:space="preserve">301058</x:t>
        </x:is>
      </x:c>
      <x:c r="C2980" s="3" t="inlineStr">
        <x:is>
          <x:t xml:space="preserve">中粮科工</x:t>
        </x:is>
      </x:c>
      <x:c r="D2980" s="3" t="inlineStr">
        <x:is>
          <x:t xml:space="preserve">中粮科工股份有限公司</x:t>
        </x:is>
      </x:c>
      <x:c r="E2980" s="2" t="inlineStr">
        <x:is>
          <x:t xml:space="preserve">江苏省</x:t>
        </x:is>
      </x:c>
      <x:c r="F2980" s="2" t="inlineStr">
        <x:is>
          <x:t xml:space="preserve">无锡市</x:t>
        </x:is>
      </x:c>
      <x:c r="G2980" s="3" t="inlineStr">
        <x:is>
          <x:t xml:space="preserve">江苏省-无锡市</x:t>
        </x:is>
      </x:c>
      <x:c r="H2980" s="2" t="inlineStr">
        <x:is>
          <x:t xml:space="preserve">工程建设</x:t>
        </x:is>
      </x:c>
      <x:c r="I2980" s="2" t="inlineStr">
        <x:is>
          <x:t xml:space="preserve">2021-09-09</x:t>
        </x:is>
      </x:c>
      <x:c r="J2980" s="3" t="inlineStr">
        <x:is>
          <x:t xml:space="preserve">无锡市惠河路186号</x:t>
        </x:is>
      </x:c>
      <x:c r="K2980" s="12" t="str">
        <x:f>LEFT("91320211100013394P",18)</x:f>
        <x:v>91320211100013394P</x:v>
      </x:c>
    </x:row>
    <x:row r="2981">
      <x:c r="A2981" s="4" t="n">
        <x:v>2980</x:v>
      </x:c>
      <x:c r="B2981" s="4" t="inlineStr">
        <x:is>
          <x:t xml:space="preserve">301061</x:t>
        </x:is>
      </x:c>
      <x:c r="C2981" s="5" t="inlineStr">
        <x:is>
          <x:t xml:space="preserve">匠心家居</x:t>
        </x:is>
      </x:c>
      <x:c r="D2981" s="5" t="inlineStr">
        <x:is>
          <x:t xml:space="preserve">常州匠心独具智能家居股份有限公司</x:t>
        </x:is>
      </x:c>
      <x:c r="E2981" s="4" t="inlineStr">
        <x:is>
          <x:t xml:space="preserve">江苏省</x:t>
        </x:is>
      </x:c>
      <x:c r="F2981" s="4" t="inlineStr">
        <x:is>
          <x:t xml:space="preserve">常州市</x:t>
        </x:is>
      </x:c>
      <x:c r="G2981" s="5" t="inlineStr">
        <x:is>
          <x:t xml:space="preserve">江苏省-常州市</x:t>
        </x:is>
      </x:c>
      <x:c r="H2981" s="4" t="inlineStr">
        <x:is>
          <x:t xml:space="preserve">家电行业</x:t>
        </x:is>
      </x:c>
      <x:c r="I2981" s="4" t="inlineStr">
        <x:is>
          <x:t xml:space="preserve">2021-09-13</x:t>
        </x:is>
      </x:c>
      <x:c r="J2981" s="5" t="inlineStr">
        <x:is>
          <x:t xml:space="preserve">常州市星港路61号</x:t>
        </x:is>
      </x:c>
      <x:c r="K2981" s="12" t="str">
        <x:f>LEFT("9132040073826482XM",18)</x:f>
        <x:v>9132040073826482XM</x:v>
      </x:c>
    </x:row>
    <x:row r="2982">
      <x:c r="A2982" s="2" t="n">
        <x:v>2981</x:v>
      </x:c>
      <x:c r="B2982" s="2" t="inlineStr">
        <x:is>
          <x:t xml:space="preserve">301063</x:t>
        </x:is>
      </x:c>
      <x:c r="C2982" s="3" t="inlineStr">
        <x:is>
          <x:t xml:space="preserve">海锅股份</x:t>
        </x:is>
      </x:c>
      <x:c r="D2982" s="3" t="inlineStr">
        <x:is>
          <x:t xml:space="preserve">张家港海锅新能源装备股份有限公司</x:t>
        </x:is>
      </x:c>
      <x:c r="E2982" s="2" t="inlineStr">
        <x:is>
          <x:t xml:space="preserve">江苏省</x:t>
        </x:is>
      </x:c>
      <x:c r="F2982" s="2" t="inlineStr">
        <x:is>
          <x:t xml:space="preserve">张家港市</x:t>
        </x:is>
      </x:c>
      <x:c r="G2982" s="3" t="inlineStr">
        <x:is>
          <x:t xml:space="preserve">江苏省-张家港市</x:t>
        </x:is>
      </x:c>
      <x:c r="H2982" s="2" t="inlineStr">
        <x:is>
          <x:t xml:space="preserve">风电设备</x:t>
        </x:is>
      </x:c>
      <x:c r="I2982" s="2" t="inlineStr">
        <x:is>
          <x:t xml:space="preserve">2021-09-24</x:t>
        </x:is>
      </x:c>
      <x:c r="J2982" s="3" t="inlineStr">
        <x:is>
          <x:t xml:space="preserve">张家港市南丰镇南丰村</x:t>
        </x:is>
      </x:c>
      <x:c r="K2982" s="12" t="str">
        <x:f>LEFT("91320582729023768R",18)</x:f>
        <x:v>91320582729023768R</x:v>
      </x:c>
    </x:row>
    <x:row r="2983">
      <x:c r="A2983" s="4" t="n">
        <x:v>2982</x:v>
      </x:c>
      <x:c r="B2983" s="4" t="inlineStr">
        <x:is>
          <x:t xml:space="preserve">301072</x:t>
        </x:is>
      </x:c>
      <x:c r="C2983" s="5" t="inlineStr">
        <x:is>
          <x:t xml:space="preserve">中捷精工</x:t>
        </x:is>
      </x:c>
      <x:c r="D2983" s="5" t="inlineStr">
        <x:is>
          <x:t xml:space="preserve">江苏中捷精工科技股份有限公司</x:t>
        </x:is>
      </x:c>
      <x:c r="E2983" s="4" t="inlineStr">
        <x:is>
          <x:t xml:space="preserve">江苏省</x:t>
        </x:is>
      </x:c>
      <x:c r="F2983" s="4" t="inlineStr">
        <x:is>
          <x:t xml:space="preserve">无锡市</x:t>
        </x:is>
      </x:c>
      <x:c r="G2983" s="5" t="inlineStr">
        <x:is>
          <x:t xml:space="preserve">江苏省-无锡市</x:t>
        </x:is>
      </x:c>
      <x:c r="H2983" s="4" t="inlineStr">
        <x:is>
          <x:t xml:space="preserve">汽车行业</x:t>
        </x:is>
      </x:c>
      <x:c r="I2983" s="4" t="inlineStr">
        <x:is>
          <x:t xml:space="preserve">2021-09-29</x:t>
        </x:is>
      </x:c>
      <x:c r="J2983" s="5" t="inlineStr">
        <x:is>
          <x:t xml:space="preserve">无锡市锡山区东港镇港下</x:t>
        </x:is>
      </x:c>
      <x:c r="K2983" s="12" t="str">
        <x:f>LEFT("91320205704071771A",18)</x:f>
        <x:v>91320205704071771A</x:v>
      </x:c>
    </x:row>
    <x:row r="2984">
      <x:c r="A2984" s="2" t="n">
        <x:v>2983</x:v>
      </x:c>
      <x:c r="B2984" s="2" t="inlineStr">
        <x:is>
          <x:t xml:space="preserve">301076</x:t>
        </x:is>
      </x:c>
      <x:c r="C2984" s="3" t="inlineStr">
        <x:is>
          <x:t xml:space="preserve">新瀚新材</x:t>
        </x:is>
      </x:c>
      <x:c r="D2984" s="3" t="inlineStr">
        <x:is>
          <x:t xml:space="preserve">江苏新瀚新材料股份有限公司</x:t>
        </x:is>
      </x:c>
      <x:c r="E2984" s="2" t="inlineStr">
        <x:is>
          <x:t xml:space="preserve">江苏省</x:t>
        </x:is>
      </x:c>
      <x:c r="F2984" s="2" t="inlineStr">
        <x:is>
          <x:t xml:space="preserve">南京市</x:t>
        </x:is>
      </x:c>
      <x:c r="G2984" s="3" t="inlineStr">
        <x:is>
          <x:t xml:space="preserve">江苏省-南京市</x:t>
        </x:is>
      </x:c>
      <x:c r="H2984" s="2" t="inlineStr">
        <x:is>
          <x:t xml:space="preserve">化学原料</x:t>
        </x:is>
      </x:c>
      <x:c r="I2984" s="2" t="inlineStr">
        <x:is>
          <x:t xml:space="preserve">2021-10-11</x:t>
        </x:is>
      </x:c>
      <x:c r="J2984" s="3" t="inlineStr">
        <x:is>
          <x:t xml:space="preserve">南京化学工业园区崇福路51号</x:t>
        </x:is>
      </x:c>
      <x:c r="K2984" s="12" t="str">
        <x:f>LEFT("91320000678952216F",18)</x:f>
        <x:v>91320000678952216F</x:v>
      </x:c>
    </x:row>
    <x:row r="2985">
      <x:c r="A2985" s="4" t="n">
        <x:v>2984</x:v>
      </x:c>
      <x:c r="B2985" s="4" t="inlineStr">
        <x:is>
          <x:t xml:space="preserve">301078</x:t>
        </x:is>
      </x:c>
      <x:c r="C2985" s="5" t="inlineStr">
        <x:is>
          <x:t xml:space="preserve">孩子王</x:t>
        </x:is>
      </x:c>
      <x:c r="D2985" s="5" t="inlineStr">
        <x:is>
          <x:t xml:space="preserve">孩子王儿童用品股份有限公司</x:t>
        </x:is>
      </x:c>
      <x:c r="E2985" s="4" t="inlineStr">
        <x:is>
          <x:t xml:space="preserve">江苏省</x:t>
        </x:is>
      </x:c>
      <x:c r="F2985" s="4" t="inlineStr">
        <x:is>
          <x:t xml:space="preserve">南京市</x:t>
        </x:is>
      </x:c>
      <x:c r="G2985" s="5" t="inlineStr">
        <x:is>
          <x:t xml:space="preserve">江苏省-南京市</x:t>
        </x:is>
      </x:c>
      <x:c r="H2985" s="4" t="inlineStr">
        <x:is>
          <x:t xml:space="preserve">商业百货</x:t>
        </x:is>
      </x:c>
      <x:c r="I2985" s="4" t="inlineStr">
        <x:is>
          <x:t xml:space="preserve">2021-10-14</x:t>
        </x:is>
      </x:c>
      <x:c r="J2985" s="5" t="inlineStr">
        <x:is>
          <x:t xml:space="preserve">南京市江宁区沧波门南街108号3幢1701室</x:t>
        </x:is>
      </x:c>
      <x:c r="K2985" s="12" t="str">
        <x:f>LEFT("91320100593534197Q",18)</x:f>
        <x:v>91320100593534197Q</x:v>
      </x:c>
    </x:row>
    <x:row r="2986">
      <x:c r="A2986" s="2" t="n">
        <x:v>2985</x:v>
      </x:c>
      <x:c r="B2986" s="2" t="inlineStr">
        <x:is>
          <x:t xml:space="preserve">301088</x:t>
        </x:is>
      </x:c>
      <x:c r="C2986" s="3" t="inlineStr">
        <x:is>
          <x:t xml:space="preserve">戎美股份</x:t>
        </x:is>
      </x:c>
      <x:c r="D2986" s="3" t="inlineStr">
        <x:is>
          <x:t xml:space="preserve">日禾戎美股份有限公司</x:t>
        </x:is>
      </x:c>
      <x:c r="E2986" s="2" t="inlineStr">
        <x:is>
          <x:t xml:space="preserve">江苏省</x:t>
        </x:is>
      </x:c>
      <x:c r="F2986" s="2" t="inlineStr">
        <x:is>
          <x:t xml:space="preserve">常熟市</x:t>
        </x:is>
      </x:c>
      <x:c r="G2986" s="3" t="inlineStr">
        <x:is>
          <x:t xml:space="preserve">江苏省-常熟市</x:t>
        </x:is>
      </x:c>
      <x:c r="H2986" s="2" t="inlineStr">
        <x:is>
          <x:t xml:space="preserve">纺织服装</x:t>
        </x:is>
      </x:c>
      <x:c r="I2986" s="2" t="inlineStr">
        <x:is>
          <x:t xml:space="preserve">2021-10-28</x:t>
        </x:is>
      </x:c>
      <x:c r="J2986" s="3" t="inlineStr">
        <x:is>
          <x:t xml:space="preserve">常熟市常福街道深圳路86号</x:t>
        </x:is>
      </x:c>
      <x:c r="K2986" s="12" t="str">
        <x:f>LEFT("91320581591184437J",18)</x:f>
        <x:v>91320581591184437J</x:v>
      </x:c>
    </x:row>
    <x:row r="2987">
      <x:c r="A2987" s="4" t="n">
        <x:v>2986</x:v>
      </x:c>
      <x:c r="B2987" s="4" t="inlineStr">
        <x:is>
          <x:t xml:space="preserve">301090</x:t>
        </x:is>
      </x:c>
      <x:c r="C2987" s="5" t="inlineStr">
        <x:is>
          <x:t xml:space="preserve">华润材料</x:t>
        </x:is>
      </x:c>
      <x:c r="D2987" s="5" t="inlineStr">
        <x:is>
          <x:t xml:space="preserve">华润化学材料科技股份有限公司</x:t>
        </x:is>
      </x:c>
      <x:c r="E2987" s="4" t="inlineStr">
        <x:is>
          <x:t xml:space="preserve">江苏省</x:t>
        </x:is>
      </x:c>
      <x:c r="F2987" s="4" t="inlineStr">
        <x:is>
          <x:t xml:space="preserve">常州市</x:t>
        </x:is>
      </x:c>
      <x:c r="G2987" s="5" t="inlineStr">
        <x:is>
          <x:t xml:space="preserve">江苏省-常州市</x:t>
        </x:is>
      </x:c>
      <x:c r="H2987" s="4" t="inlineStr">
        <x:is>
          <x:t xml:space="preserve">化学原料</x:t>
        </x:is>
      </x:c>
      <x:c r="I2987" s="4" t="inlineStr">
        <x:is>
          <x:t xml:space="preserve">2021-10-26</x:t>
        </x:is>
      </x:c>
      <x:c r="J2987" s="5" t="inlineStr">
        <x:is>
          <x:t xml:space="preserve">常州新北区春江镇圩塘综合工业园</x:t>
        </x:is>
      </x:c>
      <x:c r="K2987" s="12" t="str">
        <x:f>LEFT("913204117520039178",18)</x:f>
        <x:v>913204117520039200</x:v>
      </x:c>
    </x:row>
    <x:row r="2988">
      <x:c r="A2988" s="2" t="n">
        <x:v>2987</x:v>
      </x:c>
      <x:c r="B2988" s="2" t="inlineStr">
        <x:is>
          <x:t xml:space="preserve">301093</x:t>
        </x:is>
      </x:c>
      <x:c r="C2988" s="3" t="inlineStr">
        <x:is>
          <x:t xml:space="preserve">华兰股份</x:t>
        </x:is>
      </x:c>
      <x:c r="D2988" s="3" t="inlineStr">
        <x:is>
          <x:t xml:space="preserve">江苏华兰药用新材料股份有限公司</x:t>
        </x:is>
      </x:c>
      <x:c r="E2988" s="2" t="inlineStr">
        <x:is>
          <x:t xml:space="preserve">江苏省</x:t>
        </x:is>
      </x:c>
      <x:c r="F2988" s="2" t="inlineStr">
        <x:is>
          <x:t xml:space="preserve">苏省江阴市</x:t>
        </x:is>
      </x:c>
      <x:c r="G2988" s="3" t="inlineStr">
        <x:is>
          <x:t xml:space="preserve">江苏省-苏省江阴市</x:t>
        </x:is>
      </x:c>
      <x:c r="H2988" s="2" t="inlineStr">
        <x:is>
          <x:t xml:space="preserve">医疗器械</x:t>
        </x:is>
      </x:c>
      <x:c r="I2988" s="2" t="inlineStr">
        <x:is>
          <x:t xml:space="preserve">2021-11-01</x:t>
        </x:is>
      </x:c>
      <x:c r="J2988" s="3" t="inlineStr">
        <x:is>
          <x:t xml:space="preserve">江苏省江阴市临港新城申港镇澄路1488号</x:t>
        </x:is>
      </x:c>
      <x:c r="K2988" s="12" t="str">
        <x:f>LEFT("913202006079820552",18)</x:f>
        <x:v>913202006079820500</x:v>
      </x:c>
    </x:row>
    <x:row r="2989">
      <x:c r="A2989" s="4" t="n">
        <x:v>2988</x:v>
      </x:c>
      <x:c r="B2989" s="4" t="inlineStr">
        <x:is>
          <x:t xml:space="preserve">301098</x:t>
        </x:is>
      </x:c>
      <x:c r="C2989" s="5" t="inlineStr">
        <x:is>
          <x:t xml:space="preserve">金埔园林</x:t>
        </x:is>
      </x:c>
      <x:c r="D2989" s="5" t="inlineStr">
        <x:is>
          <x:t xml:space="preserve">金埔园林股份有限公司</x:t>
        </x:is>
      </x:c>
      <x:c r="E2989" s="4" t="inlineStr">
        <x:is>
          <x:t xml:space="preserve">江苏省</x:t>
        </x:is>
      </x:c>
      <x:c r="F2989" s="4" t="inlineStr">
        <x:is>
          <x:t xml:space="preserve">南京市</x:t>
        </x:is>
      </x:c>
      <x:c r="G2989" s="5" t="inlineStr">
        <x:is>
          <x:t xml:space="preserve">江苏省-南京市</x:t>
        </x:is>
      </x:c>
      <x:c r="H2989" s="4" t="inlineStr">
        <x:is>
          <x:t xml:space="preserve">工程建设</x:t>
        </x:is>
      </x:c>
      <x:c r="I2989" s="4" t="inlineStr">
        <x:is>
          <x:t xml:space="preserve">2021-11-12</x:t>
        </x:is>
      </x:c>
      <x:c r="J2989" s="5" t="inlineStr">
        <x:is>
          <x:t xml:space="preserve">南京市江宁区东山街道润麒路70号</x:t>
        </x:is>
      </x:c>
      <x:c r="K2989" s="12" t="str">
        <x:f>LEFT("91320100249798476X",18)</x:f>
        <x:v>91320100249798476X</x:v>
      </x:c>
    </x:row>
    <x:row r="2990">
      <x:c r="A2990" s="2" t="n">
        <x:v>2989</x:v>
      </x:c>
      <x:c r="B2990" s="2" t="inlineStr">
        <x:is>
          <x:t xml:space="preserve">301101</x:t>
        </x:is>
      </x:c>
      <x:c r="C2990" s="3" t="inlineStr">
        <x:is>
          <x:t xml:space="preserve">明月镜片</x:t>
        </x:is>
      </x:c>
      <x:c r="D2990" s="3" t="inlineStr">
        <x:is>
          <x:t xml:space="preserve">明月镜片股份有限公司</x:t>
        </x:is>
      </x:c>
      <x:c r="E2990" s="2" t="inlineStr">
        <x:is>
          <x:t xml:space="preserve">江苏省</x:t>
        </x:is>
      </x:c>
      <x:c r="F2990" s="2" t="inlineStr">
        <x:is>
          <x:t xml:space="preserve">镇江市</x:t>
        </x:is>
      </x:c>
      <x:c r="G2990" s="3" t="inlineStr">
        <x:is>
          <x:t xml:space="preserve">江苏省-镇江市</x:t>
        </x:is>
      </x:c>
      <x:c r="H2990" s="2" t="inlineStr">
        <x:is>
          <x:t xml:space="preserve">家用轻工</x:t>
        </x:is>
      </x:c>
      <x:c r="I2990" s="2" t="inlineStr">
        <x:is>
          <x:t xml:space="preserve">2021-12-16</x:t>
        </x:is>
      </x:c>
      <x:c r="J2990" s="3" t="inlineStr">
        <x:is>
          <x:t xml:space="preserve">江苏省丹阳开发区银杏路9号</x:t>
        </x:is>
      </x:c>
      <x:c r="K2990" s="12" t="str">
        <x:f>LEFT("91321181742468227M",18)</x:f>
        <x:v>91321181742468227M</x:v>
      </x:c>
    </x:row>
    <x:row r="2991">
      <x:c r="A2991" s="4" t="n">
        <x:v>2990</x:v>
      </x:c>
      <x:c r="B2991" s="4" t="inlineStr">
        <x:is>
          <x:t xml:space="preserve">301106</x:t>
        </x:is>
      </x:c>
      <x:c r="C2991" s="5" t="inlineStr">
        <x:is>
          <x:t xml:space="preserve">骏成科技</x:t>
        </x:is>
      </x:c>
      <x:c r="D2991" s="5" t="inlineStr">
        <x:is>
          <x:t xml:space="preserve">江苏骏成电子科技股份有限公司</x:t>
        </x:is>
      </x:c>
      <x:c r="E2991" s="4" t="inlineStr">
        <x:is>
          <x:t xml:space="preserve">江苏省</x:t>
        </x:is>
      </x:c>
      <x:c r="F2991" s="4" t="inlineStr">
        <x:is>
          <x:t xml:space="preserve">镇江市</x:t>
        </x:is>
      </x:c>
      <x:c r="G2991" s="5" t="inlineStr">
        <x:is>
          <x:t xml:space="preserve">江苏省-镇江市</x:t>
        </x:is>
      </x:c>
      <x:c r="H2991" s="4" t="inlineStr">
        <x:is>
          <x:t xml:space="preserve">光学光电子</x:t>
        </x:is>
      </x:c>
      <x:c r="I2991" s="4" t="inlineStr">
        <x:is>
          <x:t xml:space="preserve">2022-01-28</x:t>
        </x:is>
      </x:c>
      <x:c r="J2991" s="5" t="inlineStr">
        <x:is>
          <x:t xml:space="preserve">句容经济开发区西环路西侧01幢1-3层</x:t>
        </x:is>
      </x:c>
      <x:c r="K2991" s="12" t="str">
        <x:f>LEFT("91321100692139977F",18)</x:f>
        <x:v>91321100692139977F</x:v>
      </x:c>
    </x:row>
    <x:row r="2992">
      <x:c r="A2992" s="2" t="n">
        <x:v>2991</x:v>
      </x:c>
      <x:c r="B2992" s="2" t="inlineStr">
        <x:is>
          <x:t xml:space="preserve">301115</x:t>
        </x:is>
      </x:c>
      <x:c r="C2992" s="3" t="inlineStr">
        <x:is>
          <x:t xml:space="preserve">联检科技</x:t>
        </x:is>
      </x:c>
      <x:c r="D2992" s="3" t="inlineStr">
        <x:is>
          <x:t xml:space="preserve">联检(江苏)科技股份有限公司</x:t>
        </x:is>
      </x:c>
      <x:c r="E2992" s="2" t="inlineStr">
        <x:is>
          <x:t xml:space="preserve">江苏省</x:t>
        </x:is>
      </x:c>
      <x:c r="F2992" s="2" t="inlineStr">
        <x:is>
          <x:t xml:space="preserve">常州市</x:t>
        </x:is>
      </x:c>
      <x:c r="G2992" s="3" t="inlineStr">
        <x:is>
          <x:t xml:space="preserve">江苏省-常州市</x:t>
        </x:is>
      </x:c>
      <x:c r="H2992" s="2" t="inlineStr">
        <x:is>
          <x:t xml:space="preserve">专业服务</x:t>
        </x:is>
      </x:c>
      <x:c r="I2992" s="2" t="inlineStr">
        <x:is>
          <x:t xml:space="preserve">2022-08-31</x:t>
        </x:is>
      </x:c>
      <x:c r="J2992" s="3" t="inlineStr">
        <x:is>
          <x:t xml:space="preserve">江苏省常州市钟楼区木梳路10号</x:t>
        </x:is>
      </x:c>
      <x:c r="K2992" s="12" t="str">
        <x:f>LEFT("91320400467286786T",18)</x:f>
        <x:v>91320400467286786T</x:v>
      </x:c>
    </x:row>
    <x:row r="2993">
      <x:c r="A2993" s="4" t="n">
        <x:v>2992</x:v>
      </x:c>
      <x:c r="B2993" s="4" t="inlineStr">
        <x:is>
          <x:t xml:space="preserve">301116</x:t>
        </x:is>
      </x:c>
      <x:c r="C2993" s="5" t="inlineStr">
        <x:is>
          <x:t xml:space="preserve">益客食品</x:t>
        </x:is>
      </x:c>
      <x:c r="D2993" s="5" t="inlineStr">
        <x:is>
          <x:t xml:space="preserve">江苏益客食品集团股份有限公司</x:t>
        </x:is>
      </x:c>
      <x:c r="E2993" s="4" t="inlineStr">
        <x:is>
          <x:t xml:space="preserve">江苏省</x:t>
        </x:is>
      </x:c>
      <x:c r="F2993" s="4" t="inlineStr">
        <x:is>
          <x:t xml:space="preserve">宿迁市</x:t>
        </x:is>
      </x:c>
      <x:c r="G2993" s="5" t="inlineStr">
        <x:is>
          <x:t xml:space="preserve">江苏省-宿迁市</x:t>
        </x:is>
      </x:c>
      <x:c r="H2993" s="4" t="inlineStr">
        <x:is>
          <x:t xml:space="preserve">食品饮料</x:t>
        </x:is>
      </x:c>
      <x:c r="I2993" s="4" t="inlineStr">
        <x:is>
          <x:t xml:space="preserve">2022-01-18</x:t>
        </x:is>
      </x:c>
      <x:c r="J2993" s="5" t="inlineStr">
        <x:is>
          <x:t xml:space="preserve">江苏省宿迁市高新技术产业开发区华山路北侧</x:t>
        </x:is>
      </x:c>
      <x:c r="K2993" s="12" t="str">
        <x:f>LEFT("91321311678975661T",18)</x:f>
        <x:v>91321311678975661T</x:v>
      </x:c>
    </x:row>
    <x:row r="2994">
      <x:c r="A2994" s="2" t="n">
        <x:v>2993</x:v>
      </x:c>
      <x:c r="B2994" s="2" t="inlineStr">
        <x:is>
          <x:t xml:space="preserve">301122</x:t>
        </x:is>
      </x:c>
      <x:c r="C2994" s="3" t="inlineStr">
        <x:is>
          <x:t xml:space="preserve">采纳股份</x:t>
        </x:is>
      </x:c>
      <x:c r="D2994" s="3" t="inlineStr">
        <x:is>
          <x:t xml:space="preserve">采纳科技股份有限公司</x:t>
        </x:is>
      </x:c>
      <x:c r="E2994" s="2" t="inlineStr">
        <x:is>
          <x:t xml:space="preserve">江苏省</x:t>
        </x:is>
      </x:c>
      <x:c r="F2994" s="2" t="inlineStr">
        <x:is>
          <x:t xml:space="preserve">江阴市</x:t>
        </x:is>
      </x:c>
      <x:c r="G2994" s="3" t="inlineStr">
        <x:is>
          <x:t xml:space="preserve">江苏省-江阴市</x:t>
        </x:is>
      </x:c>
      <x:c r="H2994" s="2" t="inlineStr">
        <x:is>
          <x:t xml:space="preserve">医疗器械</x:t>
        </x:is>
      </x:c>
      <x:c r="I2994" s="2" t="inlineStr">
        <x:is>
          <x:t xml:space="preserve">2022-01-26</x:t>
        </x:is>
      </x:c>
      <x:c r="J2994" s="3" t="inlineStr">
        <x:is>
          <x:t xml:space="preserve">江阴市华士镇澄鹿路253号</x:t>
        </x:is>
      </x:c>
      <x:c r="K2994" s="12" t="str">
        <x:f>LEFT("913202817641949253",18)</x:f>
        <x:v>913202817641949300</x:v>
      </x:c>
    </x:row>
    <x:row r="2995">
      <x:c r="A2995" s="4" t="n">
        <x:v>2994</x:v>
      </x:c>
      <x:c r="B2995" s="4" t="inlineStr">
        <x:is>
          <x:t xml:space="preserve">301125</x:t>
        </x:is>
      </x:c>
      <x:c r="C2995" s="5" t="inlineStr">
        <x:is>
          <x:t xml:space="preserve">腾亚精工</x:t>
        </x:is>
      </x:c>
      <x:c r="D2995" s="5" t="inlineStr">
        <x:is>
          <x:t xml:space="preserve">南京腾亚精工科技股份有限公司</x:t>
        </x:is>
      </x:c>
      <x:c r="E2995" s="4" t="inlineStr">
        <x:is>
          <x:t xml:space="preserve">江苏省</x:t>
        </x:is>
      </x:c>
      <x:c r="F2995" s="4" t="inlineStr">
        <x:is>
          <x:t xml:space="preserve">南京市</x:t>
        </x:is>
      </x:c>
      <x:c r="G2995" s="5" t="inlineStr">
        <x:is>
          <x:t xml:space="preserve">江苏省-南京市</x:t>
        </x:is>
      </x:c>
      <x:c r="H2995" s="4" t="inlineStr">
        <x:is>
          <x:t xml:space="preserve">通用设备</x:t>
        </x:is>
      </x:c>
      <x:c r="I2995" s="4" t="inlineStr">
        <x:is>
          <x:t xml:space="preserve">2022-06-08</x:t>
        </x:is>
      </x:c>
      <x:c r="J2995" s="5" t="inlineStr">
        <x:is>
          <x:t xml:space="preserve">南京市江宁区东山街道临麒路129号</x:t>
        </x:is>
      </x:c>
      <x:c r="K2995" s="12" t="str">
        <x:f>LEFT("91320115724558026B",18)</x:f>
        <x:v>91320115724558026B</x:v>
      </x:c>
    </x:row>
    <x:row r="2996">
      <x:c r="A2996" s="2" t="n">
        <x:v>2995</x:v>
      </x:c>
      <x:c r="B2996" s="2" t="inlineStr">
        <x:is>
          <x:t xml:space="preserve">301137</x:t>
        </x:is>
      </x:c>
      <x:c r="C2996" s="3" t="inlineStr">
        <x:is>
          <x:t xml:space="preserve">哈焊华通</x:t>
        </x:is>
      </x:c>
      <x:c r="D2996" s="3" t="inlineStr">
        <x:is>
          <x:t xml:space="preserve">哈焊所华通(常州)焊业股份有限公司</x:t>
        </x:is>
      </x:c>
      <x:c r="E2996" s="2" t="inlineStr">
        <x:is>
          <x:t xml:space="preserve">江苏省</x:t>
        </x:is>
      </x:c>
      <x:c r="F2996" s="2" t="inlineStr">
        <x:is>
          <x:t xml:space="preserve">常州市</x:t>
        </x:is>
      </x:c>
      <x:c r="G2996" s="3" t="inlineStr">
        <x:is>
          <x:t xml:space="preserve">江苏省-常州市</x:t>
        </x:is>
      </x:c>
      <x:c r="H2996" s="2" t="inlineStr">
        <x:is>
          <x:t xml:space="preserve">通用设备</x:t>
        </x:is>
      </x:c>
      <x:c r="I2996" s="2" t="inlineStr">
        <x:is>
          <x:t xml:space="preserve">2022-03-22</x:t>
        </x:is>
      </x:c>
      <x:c r="J2996" s="3" t="inlineStr">
        <x:is>
          <x:t xml:space="preserve">常州市武进区遥观镇</x:t>
        </x:is>
      </x:c>
      <x:c r="K2996" s="12" t="str">
        <x:f>LEFT("91320400608130487Q",18)</x:f>
        <x:v>91320400608130487Q</x:v>
      </x:c>
    </x:row>
    <x:row r="2997">
      <x:c r="A2997" s="4" t="n">
        <x:v>2996</x:v>
      </x:c>
      <x:c r="B2997" s="4" t="inlineStr">
        <x:is>
          <x:t xml:space="preserve">301155</x:t>
        </x:is>
      </x:c>
      <x:c r="C2997" s="5" t="inlineStr">
        <x:is>
          <x:t xml:space="preserve">海力风电</x:t>
        </x:is>
      </x:c>
      <x:c r="D2997" s="5" t="inlineStr">
        <x:is>
          <x:t xml:space="preserve">江苏海力风电设备科技股份有限公司</x:t>
        </x:is>
      </x:c>
      <x:c r="E2997" s="4" t="inlineStr">
        <x:is>
          <x:t xml:space="preserve">江苏省</x:t>
        </x:is>
      </x:c>
      <x:c r="F2997" s="4" t="inlineStr">
        <x:is>
          <x:t xml:space="preserve">南通市</x:t>
        </x:is>
      </x:c>
      <x:c r="G2997" s="5" t="inlineStr">
        <x:is>
          <x:t xml:space="preserve">江苏省-南通市</x:t>
        </x:is>
      </x:c>
      <x:c r="H2997" s="4" t="inlineStr">
        <x:is>
          <x:t xml:space="preserve">风电设备</x:t>
        </x:is>
      </x:c>
      <x:c r="I2997" s="4" t="inlineStr">
        <x:is>
          <x:t xml:space="preserve">2021-11-24</x:t>
        </x:is>
      </x:c>
      <x:c r="J2997" s="5" t="inlineStr">
        <x:is>
          <x:t xml:space="preserve">如东经济开发区金沙江路北侧、井冈山路东侧</x:t>
        </x:is>
      </x:c>
      <x:c r="K2997" s="12" t="str">
        <x:f>LEFT("913206236933600247",18)</x:f>
        <x:v>913206236933600300</x:v>
      </x:c>
    </x:row>
    <x:row r="2998">
      <x:c r="A2998" s="2" t="n">
        <x:v>2997</x:v>
      </x:c>
      <x:c r="B2998" s="2" t="inlineStr">
        <x:is>
          <x:t xml:space="preserve">301160</x:t>
        </x:is>
      </x:c>
      <x:c r="C2998" s="3" t="inlineStr">
        <x:is>
          <x:t xml:space="preserve">翔楼新材</x:t>
        </x:is>
      </x:c>
      <x:c r="D2998" s="3" t="inlineStr">
        <x:is>
          <x:t xml:space="preserve">苏州翔楼新材料股份有限公司</x:t>
        </x:is>
      </x:c>
      <x:c r="E2998" s="2" t="inlineStr">
        <x:is>
          <x:t xml:space="preserve">江苏省</x:t>
        </x:is>
      </x:c>
      <x:c r="F2998" s="2" t="inlineStr">
        <x:is>
          <x:t xml:space="preserve">苏州市</x:t>
        </x:is>
      </x:c>
      <x:c r="G2998" s="3" t="inlineStr">
        <x:is>
          <x:t xml:space="preserve">江苏省-苏州市</x:t>
        </x:is>
      </x:c>
      <x:c r="H2998" s="2" t="inlineStr">
        <x:is>
          <x:t xml:space="preserve">汽车零部件</x:t>
        </x:is>
      </x:c>
      <x:c r="I2998" s="2" t="inlineStr">
        <x:is>
          <x:t xml:space="preserve">2022-06-06</x:t>
        </x:is>
      </x:c>
      <x:c r="J2998" s="3" t="inlineStr">
        <x:is>
          <x:t xml:space="preserve">苏州市吴江区八坼街道新营村学营路285号</x:t>
        </x:is>
      </x:c>
      <x:c r="K2998" s="12" t="str">
        <x:f>LEFT("91320500782733355T",18)</x:f>
        <x:v>91320500782733355T</x:v>
      </x:c>
    </x:row>
    <x:row r="2999">
      <x:c r="A2999" s="4" t="n">
        <x:v>2998</x:v>
      </x:c>
      <x:c r="B2999" s="4" t="inlineStr">
        <x:is>
          <x:t xml:space="preserve">301163</x:t>
        </x:is>
      </x:c>
      <x:c r="C2999" s="5" t="inlineStr">
        <x:is>
          <x:t xml:space="preserve">宏德股份</x:t>
        </x:is>
      </x:c>
      <x:c r="D2999" s="5" t="inlineStr">
        <x:is>
          <x:t xml:space="preserve">江苏宏德特种部件股份有限公司</x:t>
        </x:is>
      </x:c>
      <x:c r="E2999" s="4" t="inlineStr">
        <x:is>
          <x:t xml:space="preserve">江苏省</x:t>
        </x:is>
      </x:c>
      <x:c r="F2999" s="4" t="inlineStr">
        <x:is>
          <x:t xml:space="preserve">南通市</x:t>
        </x:is>
      </x:c>
      <x:c r="G2999" s="5" t="inlineStr">
        <x:is>
          <x:t xml:space="preserve">江苏省-南通市</x:t>
        </x:is>
      </x:c>
      <x:c r="H2999" s="4" t="inlineStr">
        <x:is>
          <x:t xml:space="preserve">风电设备</x:t>
        </x:is>
      </x:c>
      <x:c r="I2999" s="4" t="inlineStr">
        <x:is>
          <x:t xml:space="preserve">2022-04-19</x:t>
        </x:is>
      </x:c>
      <x:c r="J2999" s="5" t="inlineStr">
        <x:is>
          <x:t xml:space="preserve">南通市通州区兴仁镇戚桥村四组</x:t>
        </x:is>
      </x:c>
      <x:c r="K2999" s="12" t="str">
        <x:f>LEFT("91320612138360068K",18)</x:f>
        <x:v>91320612138360068K</x:v>
      </x:c>
    </x:row>
    <x:row r="3000">
      <x:c r="A3000" s="2" t="n">
        <x:v>2999</x:v>
      </x:c>
      <x:c r="B3000" s="2" t="inlineStr">
        <x:is>
          <x:t xml:space="preserve">301168</x:t>
        </x:is>
      </x:c>
      <x:c r="C3000" s="3" t="inlineStr">
        <x:is>
          <x:t xml:space="preserve">通灵股份</x:t>
        </x:is>
      </x:c>
      <x:c r="D3000" s="3" t="inlineStr">
        <x:is>
          <x:t xml:space="preserve">江苏通灵电器股份有限公司</x:t>
        </x:is>
      </x:c>
      <x:c r="E3000" s="2" t="inlineStr">
        <x:is>
          <x:t xml:space="preserve">江苏省</x:t>
        </x:is>
      </x:c>
      <x:c r="F3000" s="2" t="inlineStr">
        <x:is>
          <x:t xml:space="preserve">苏省扬中市</x:t>
        </x:is>
      </x:c>
      <x:c r="G3000" s="3" t="inlineStr">
        <x:is>
          <x:t xml:space="preserve">江苏省-苏省扬中市</x:t>
        </x:is>
      </x:c>
      <x:c r="H3000" s="2" t="inlineStr">
        <x:is>
          <x:t xml:space="preserve">光伏设备</x:t>
        </x:is>
      </x:c>
      <x:c r="I3000" s="2" t="inlineStr">
        <x:is>
          <x:t xml:space="preserve">2021-12-10</x:t>
        </x:is>
      </x:c>
      <x:c r="J3000" s="3" t="inlineStr">
        <x:is>
          <x:t xml:space="preserve">江苏省扬中市经济开发区港茂路666号</x:t>
        </x:is>
      </x:c>
      <x:c r="K3000" s="12" t="str">
        <x:f>LEFT("91321100717427845U",18)</x:f>
        <x:v>91321100717427845U</x:v>
      </x:c>
    </x:row>
    <x:row r="3001">
      <x:c r="A3001" s="4" t="n">
        <x:v>3000</x:v>
      </x:c>
      <x:c r="B3001" s="4" t="inlineStr">
        <x:is>
          <x:t xml:space="preserve">301170</x:t>
        </x:is>
      </x:c>
      <x:c r="C3001" s="5" t="inlineStr">
        <x:is>
          <x:t xml:space="preserve">锡南科技</x:t>
        </x:is>
      </x:c>
      <x:c r="D3001" s="5" t="inlineStr">
        <x:is>
          <x:t xml:space="preserve">无锡锡南科技股份有限公司</x:t>
        </x:is>
      </x:c>
      <x:c r="E3001" s="4" t="inlineStr">
        <x:is>
          <x:t xml:space="preserve">江苏省</x:t>
        </x:is>
      </x:c>
      <x:c r="F3001" s="4" t="inlineStr">
        <x:is>
          <x:t xml:space="preserve">无锡市</x:t>
        </x:is>
      </x:c>
      <x:c r="G3001" s="5" t="inlineStr">
        <x:is>
          <x:t xml:space="preserve">江苏省-无锡市</x:t>
        </x:is>
      </x:c>
      <x:c r="H3001" s="4" t="inlineStr">
        <x:is>
          <x:t xml:space="preserve">汽车零部件</x:t>
        </x:is>
      </x:c>
      <x:c r="I3001" s="4" t="inlineStr">
        <x:is>
          <x:t xml:space="preserve">2023-06-27</x:t>
        </x:is>
      </x:c>
      <x:c r="J3001" s="5" t="inlineStr">
        <x:is>
          <x:t xml:space="preserve">无锡市滨湖区旭天智慧园10-501</x:t>
        </x:is>
      </x:c>
      <x:c r="K3001" s="12" t="str">
        <x:f>LEFT("91320211769137321E",18)</x:f>
        <x:v>91320211769137321E</x:v>
      </x:c>
    </x:row>
    <x:row r="3002">
      <x:c r="A3002" s="2" t="n">
        <x:v>3001</x:v>
      </x:c>
      <x:c r="B3002" s="2" t="inlineStr">
        <x:is>
          <x:t xml:space="preserve">301179</x:t>
        </x:is>
      </x:c>
      <x:c r="C3002" s="3" t="inlineStr">
        <x:is>
          <x:t xml:space="preserve">泽宇智能</x:t>
        </x:is>
      </x:c>
      <x:c r="D3002" s="3" t="inlineStr">
        <x:is>
          <x:t xml:space="preserve">江苏泽宇智能电力股份有限公司</x:t>
        </x:is>
      </x:c>
      <x:c r="E3002" s="2" t="inlineStr">
        <x:is>
          <x:t xml:space="preserve">江苏省</x:t>
        </x:is>
      </x:c>
      <x:c r="F3002" s="2" t="inlineStr">
        <x:is>
          <x:t xml:space="preserve">南通市</x:t>
        </x:is>
      </x:c>
      <x:c r="G3002" s="3" t="inlineStr">
        <x:is>
          <x:t xml:space="preserve">江苏省-南通市</x:t>
        </x:is>
      </x:c>
      <x:c r="H3002" s="2" t="inlineStr">
        <x:is>
          <x:t xml:space="preserve">软件服务</x:t>
        </x:is>
      </x:c>
      <x:c r="I3002" s="2" t="inlineStr">
        <x:is>
          <x:t xml:space="preserve">2021-12-08</x:t>
        </x:is>
      </x:c>
      <x:c r="J3002" s="3" t="inlineStr">
        <x:is>
          <x:t xml:space="preserve">南通市崇川区中环路279号1-4幢</x:t>
        </x:is>
      </x:c>
      <x:c r="K3002" s="12" t="str">
        <x:f>LEFT("91320600585592266C",18)</x:f>
        <x:v>91320600585592266C</x:v>
      </x:c>
    </x:row>
    <x:row r="3003">
      <x:c r="A3003" s="4" t="n">
        <x:v>3002</x:v>
      </x:c>
      <x:c r="B3003" s="4" t="inlineStr">
        <x:is>
          <x:t xml:space="preserve">301180</x:t>
        </x:is>
      </x:c>
      <x:c r="C3003" s="5" t="inlineStr">
        <x:is>
          <x:t xml:space="preserve">万祥科技</x:t>
        </x:is>
      </x:c>
      <x:c r="D3003" s="5" t="inlineStr">
        <x:is>
          <x:t xml:space="preserve">苏州万祥科技股份有限公司</x:t>
        </x:is>
      </x:c>
      <x:c r="E3003" s="4" t="inlineStr">
        <x:is>
          <x:t xml:space="preserve">江苏省</x:t>
        </x:is>
      </x:c>
      <x:c r="F3003" s="4" t="inlineStr">
        <x:is>
          <x:t xml:space="preserve">苏州市</x:t>
        </x:is>
      </x:c>
      <x:c r="G3003" s="5" t="inlineStr">
        <x:is>
          <x:t xml:space="preserve">江苏省-苏州市</x:t>
        </x:is>
      </x:c>
      <x:c r="H3003" s="4" t="inlineStr">
        <x:is>
          <x:t xml:space="preserve">消费电子</x:t>
        </x:is>
      </x:c>
      <x:c r="I3003" s="4" t="inlineStr">
        <x:is>
          <x:t xml:space="preserve">2021-11-16</x:t>
        </x:is>
      </x:c>
      <x:c r="J3003" s="5" t="inlineStr">
        <x:is>
          <x:t xml:space="preserve">苏州市吴中经济开发区淞葭路1688号</x:t>
        </x:is>
      </x:c>
      <x:c r="K3003" s="12" t="str">
        <x:f>LEFT("91320506251581655G",18)</x:f>
        <x:v>91320506251581655G</x:v>
      </x:c>
    </x:row>
    <x:row r="3004">
      <x:c r="A3004" s="2" t="n">
        <x:v>3003</x:v>
      </x:c>
      <x:c r="B3004" s="2" t="inlineStr">
        <x:is>
          <x:t xml:space="preserve">301181</x:t>
        </x:is>
      </x:c>
      <x:c r="C3004" s="3" t="inlineStr">
        <x:is>
          <x:t xml:space="preserve">标榜股份</x:t>
        </x:is>
      </x:c>
      <x:c r="D3004" s="3" t="inlineStr">
        <x:is>
          <x:t xml:space="preserve">江阴标榜汽车部件股份有限公司</x:t>
        </x:is>
      </x:c>
      <x:c r="E3004" s="2" t="inlineStr">
        <x:is>
          <x:t xml:space="preserve">江苏省</x:t>
        </x:is>
      </x:c>
      <x:c r="F3004" s="2" t="inlineStr">
        <x:is>
          <x:t xml:space="preserve">江阴市</x:t>
        </x:is>
      </x:c>
      <x:c r="G3004" s="3" t="inlineStr">
        <x:is>
          <x:t xml:space="preserve">江苏省-江阴市</x:t>
        </x:is>
      </x:c>
      <x:c r="H3004" s="2" t="inlineStr">
        <x:is>
          <x:t xml:space="preserve">汽车零部件</x:t>
        </x:is>
      </x:c>
      <x:c r="I3004" s="2" t="inlineStr">
        <x:is>
          <x:t xml:space="preserve">2022-02-21</x:t>
        </x:is>
      </x:c>
      <x:c r="J3004" s="3" t="inlineStr">
        <x:is>
          <x:t xml:space="preserve">江阴市华士镇华西九村蒙娜路1号</x:t>
        </x:is>
      </x:c>
      <x:c r="K3004" s="12" t="str">
        <x:f>LEFT("91320281692589492R",18)</x:f>
        <x:v>91320281692589492R</x:v>
      </x:c>
    </x:row>
    <x:row r="3005">
      <x:c r="A3005" s="4" t="n">
        <x:v>3004</x:v>
      </x:c>
      <x:c r="B3005" s="4" t="inlineStr">
        <x:is>
          <x:t xml:space="preserve">301186</x:t>
        </x:is>
      </x:c>
      <x:c r="C3005" s="5" t="inlineStr">
        <x:is>
          <x:t xml:space="preserve">超达装备</x:t>
        </x:is>
      </x:c>
      <x:c r="D3005" s="5" t="inlineStr">
        <x:is>
          <x:t xml:space="preserve">南通超达装备股份有限公司</x:t>
        </x:is>
      </x:c>
      <x:c r="E3005" s="4" t="inlineStr">
        <x:is>
          <x:t xml:space="preserve">江苏省</x:t>
        </x:is>
      </x:c>
      <x:c r="F3005" s="4" t="inlineStr">
        <x:is>
          <x:t xml:space="preserve">如皋市</x:t>
        </x:is>
      </x:c>
      <x:c r="G3005" s="5" t="inlineStr">
        <x:is>
          <x:t xml:space="preserve">江苏省-如皋市</x:t>
        </x:is>
      </x:c>
      <x:c r="H3005" s="4" t="inlineStr">
        <x:is>
          <x:t xml:space="preserve">汽车零部件</x:t>
        </x:is>
      </x:c>
      <x:c r="I3005" s="4" t="inlineStr">
        <x:is>
          <x:t xml:space="preserve">2021-12-23</x:t>
        </x:is>
      </x:c>
      <x:c r="J3005" s="5" t="inlineStr">
        <x:is>
          <x:t xml:space="preserve">如皋市城南街道申徐村1组</x:t>
        </x:is>
      </x:c>
      <x:c r="K3005" s="12" t="str">
        <x:f>LEFT("91320600774658535L",18)</x:f>
        <x:v>91320600774658535L</x:v>
      </x:c>
    </x:row>
    <x:row r="3006">
      <x:c r="A3006" s="2" t="n">
        <x:v>3005</x:v>
      </x:c>
      <x:c r="B3006" s="2" t="inlineStr">
        <x:is>
          <x:t xml:space="preserve">301187</x:t>
        </x:is>
      </x:c>
      <x:c r="C3006" s="3" t="inlineStr">
        <x:is>
          <x:t xml:space="preserve">欧圣电气</x:t>
        </x:is>
      </x:c>
      <x:c r="D3006" s="3" t="inlineStr">
        <x:is>
          <x:t xml:space="preserve">苏州欧圣电气股份有限公司</x:t>
        </x:is>
      </x:c>
      <x:c r="E3006" s="2" t="inlineStr">
        <x:is>
          <x:t xml:space="preserve">江苏省</x:t>
        </x:is>
      </x:c>
      <x:c r="F3006" s="2" t="inlineStr">
        <x:is>
          <x:t xml:space="preserve">苏州市</x:t>
        </x:is>
      </x:c>
      <x:c r="G3006" s="3" t="inlineStr">
        <x:is>
          <x:t xml:space="preserve">江苏省-苏州市</x:t>
        </x:is>
      </x:c>
      <x:c r="H3006" s="2" t="inlineStr">
        <x:is>
          <x:t xml:space="preserve">家电行业</x:t>
        </x:is>
      </x:c>
      <x:c r="I3006" s="2" t="inlineStr">
        <x:is>
          <x:t xml:space="preserve">2022-04-22</x:t>
        </x:is>
      </x:c>
      <x:c r="J3006" s="3" t="inlineStr">
        <x:is>
          <x:t xml:space="preserve">江苏省苏州市吴江区汾湖高新技术开发区临沪大道北侧、来秀路东侧</x:t>
        </x:is>
      </x:c>
      <x:c r="K3006" s="12" t="str">
        <x:f>LEFT("91320509692573554M",18)</x:f>
        <x:v>91320509692573554M</x:v>
      </x:c>
    </x:row>
    <x:row r="3007">
      <x:c r="A3007" s="4" t="n">
        <x:v>3006</x:v>
      </x:c>
      <x:c r="B3007" s="4" t="inlineStr">
        <x:is>
          <x:t xml:space="preserve">301195</x:t>
        </x:is>
      </x:c>
      <x:c r="C3007" s="5" t="inlineStr">
        <x:is>
          <x:t xml:space="preserve">北路智控</x:t>
        </x:is>
      </x:c>
      <x:c r="D3007" s="5" t="inlineStr">
        <x:is>
          <x:t xml:space="preserve">南京北路智控科技股份有限公司</x:t>
        </x:is>
      </x:c>
      <x:c r="E3007" s="4" t="inlineStr">
        <x:is>
          <x:t xml:space="preserve">江苏省</x:t>
        </x:is>
      </x:c>
      <x:c r="F3007" s="4" t="inlineStr">
        <x:is>
          <x:t xml:space="preserve">南京市</x:t>
        </x:is>
      </x:c>
      <x:c r="G3007" s="5" t="inlineStr">
        <x:is>
          <x:t xml:space="preserve">江苏省-南京市</x:t>
        </x:is>
      </x:c>
      <x:c r="H3007" s="4" t="inlineStr">
        <x:is>
          <x:t xml:space="preserve">软件开发</x:t>
        </x:is>
      </x:c>
      <x:c r="I3007" s="4" t="inlineStr">
        <x:is>
          <x:t xml:space="preserve">2022-08-01</x:t>
        </x:is>
      </x:c>
      <x:c r="J3007" s="5" t="inlineStr">
        <x:is>
          <x:t xml:space="preserve">南京市江宁滨江经济开发区宝象路50号</x:t>
        </x:is>
      </x:c>
      <x:c r="K3007" s="12" t="str">
        <x:f>LEFT("91320115663777275W",18)</x:f>
        <x:v>91320115663777275W</x:v>
      </x:c>
    </x:row>
    <x:row r="3008">
      <x:c r="A3008" s="2" t="n">
        <x:v>3007</x:v>
      </x:c>
      <x:c r="B3008" s="2" t="inlineStr">
        <x:is>
          <x:t xml:space="preserve">301202</x:t>
        </x:is>
      </x:c>
      <x:c r="C3008" s="3" t="inlineStr">
        <x:is>
          <x:t xml:space="preserve">朗威股份</x:t>
        </x:is>
      </x:c>
      <x:c r="D3008" s="3" t="inlineStr">
        <x:is>
          <x:t xml:space="preserve">苏州朗威电子机械股份有限公司</x:t>
        </x:is>
      </x:c>
      <x:c r="E3008" s="2" t="inlineStr">
        <x:is>
          <x:t xml:space="preserve">江苏省</x:t>
        </x:is>
      </x:c>
      <x:c r="F3008" s="2" t="inlineStr">
        <x:is>
          <x:t xml:space="preserve">苏州市</x:t>
        </x:is>
      </x:c>
      <x:c r="G3008" s="3" t="inlineStr">
        <x:is>
          <x:t xml:space="preserve">江苏省-苏州市</x:t>
        </x:is>
      </x:c>
      <x:c r="H3008" s="2" t="inlineStr">
        <x:is>
          <x:t xml:space="preserve">通用设备</x:t>
        </x:is>
      </x:c>
      <x:c r="I3008" s="2" t="inlineStr">
        <x:is>
          <x:t xml:space="preserve">2023-07-05</x:t>
        </x:is>
      </x:c>
      <x:c r="J3008" s="3" t="inlineStr">
        <x:is>
          <x:t xml:space="preserve">苏州市相城区黄埭镇潘阳工业园冯梦龙大道33号</x:t>
        </x:is>
      </x:c>
      <x:c r="K3008" s="12" t="str">
        <x:f>LEFT("91320500550225546Q",18)</x:f>
        <x:v>91320500550225546Q</x:v>
      </x:c>
    </x:row>
    <x:row r="3009">
      <x:c r="A3009" s="4" t="n">
        <x:v>3008</x:v>
      </x:c>
      <x:c r="B3009" s="4" t="inlineStr">
        <x:is>
          <x:t xml:space="preserve">301210</x:t>
        </x:is>
      </x:c>
      <x:c r="C3009" s="5" t="inlineStr">
        <x:is>
          <x:t xml:space="preserve">金杨精密</x:t>
        </x:is>
      </x:c>
      <x:c r="D3009" s="5" t="inlineStr">
        <x:is>
          <x:t xml:space="preserve">无锡金杨精密制造股份有限公司</x:t>
        </x:is>
      </x:c>
      <x:c r="E3009" s="4" t="inlineStr">
        <x:is>
          <x:t xml:space="preserve">江苏省</x:t>
        </x:is>
      </x:c>
      <x:c r="F3009" s="4" t="inlineStr">
        <x:is>
          <x:t xml:space="preserve">无锡市</x:t>
        </x:is>
      </x:c>
      <x:c r="G3009" s="5" t="inlineStr">
        <x:is>
          <x:t xml:space="preserve">江苏省-无锡市</x:t>
        </x:is>
      </x:c>
      <x:c r="H3009" s="4" t="inlineStr">
        <x:is>
          <x:t xml:space="preserve">电池</x:t>
        </x:is>
      </x:c>
      <x:c r="I3009" s="4" t="inlineStr">
        <x:is>
          <x:t xml:space="preserve">2023-06-30</x:t>
        </x:is>
      </x:c>
      <x:c r="J3009" s="5" t="inlineStr">
        <x:is>
          <x:t xml:space="preserve">无锡市锡山区鹅湖镇张马桥路168号</x:t>
        </x:is>
      </x:c>
      <x:c r="K3009" s="12" t="str">
        <x:f>LEFT("91320205250220911F",18)</x:f>
        <x:v>91320205250220911F</x:v>
      </x:c>
    </x:row>
    <x:row r="3010">
      <x:c r="A3010" s="2" t="n">
        <x:v>3009</x:v>
      </x:c>
      <x:c r="B3010" s="2" t="inlineStr">
        <x:is>
          <x:t xml:space="preserve">301215</x:t>
        </x:is>
      </x:c>
      <x:c r="C3010" s="3" t="inlineStr">
        <x:is>
          <x:t xml:space="preserve">中汽股份</x:t>
        </x:is>
      </x:c>
      <x:c r="D3010" s="3" t="inlineStr">
        <x:is>
          <x:t xml:space="preserve">中汽研汽车试验场股份有限公司</x:t>
        </x:is>
      </x:c>
      <x:c r="E3010" s="2" t="inlineStr">
        <x:is>
          <x:t xml:space="preserve">江苏省</x:t>
        </x:is>
      </x:c>
      <x:c r="F3010" s="2" t="inlineStr">
        <x:is>
          <x:t xml:space="preserve">盐城市</x:t>
        </x:is>
      </x:c>
      <x:c r="G3010" s="3" t="inlineStr">
        <x:is>
          <x:t xml:space="preserve">江苏省-盐城市</x:t>
        </x:is>
      </x:c>
      <x:c r="H3010" s="2" t="inlineStr">
        <x:is>
          <x:t xml:space="preserve">汽车服务</x:t>
        </x:is>
      </x:c>
      <x:c r="I3010" s="2" t="inlineStr">
        <x:is>
          <x:t xml:space="preserve">2022-03-08</x:t>
        </x:is>
      </x:c>
      <x:c r="J3010" s="3" t="inlineStr">
        <x:is>
          <x:t xml:space="preserve">盐城市大丰区大丰港经济区</x:t>
        </x:is>
      </x:c>
      <x:c r="K3010" s="12" t="str">
        <x:f>LEFT("91320982571427139M",18)</x:f>
        <x:v>91320982571427139M</x:v>
      </x:c>
    </x:row>
    <x:row r="3011">
      <x:c r="A3011" s="4" t="n">
        <x:v>3010</x:v>
      </x:c>
      <x:c r="B3011" s="4" t="inlineStr">
        <x:is>
          <x:t xml:space="preserve">301220</x:t>
        </x:is>
      </x:c>
      <x:c r="C3011" s="5" t="inlineStr">
        <x:is>
          <x:t xml:space="preserve">亚香股份</x:t>
        </x:is>
      </x:c>
      <x:c r="D3011" s="5" t="inlineStr">
        <x:is>
          <x:t xml:space="preserve">昆山亚香香料股份有限公司</x:t>
        </x:is>
      </x:c>
      <x:c r="E3011" s="4" t="inlineStr">
        <x:is>
          <x:t xml:space="preserve">江苏省</x:t>
        </x:is>
      </x:c>
      <x:c r="F3011" s="4" t="inlineStr">
        <x:is>
          <x:t xml:space="preserve">昆山市</x:t>
        </x:is>
      </x:c>
      <x:c r="G3011" s="5" t="inlineStr">
        <x:is>
          <x:t xml:space="preserve">江苏省-昆山市</x:t>
        </x:is>
      </x:c>
      <x:c r="H3011" s="4" t="inlineStr">
        <x:is>
          <x:t xml:space="preserve">化学制品</x:t>
        </x:is>
      </x:c>
      <x:c r="I3011" s="4" t="inlineStr">
        <x:is>
          <x:t xml:space="preserve">2022-06-22</x:t>
        </x:is>
      </x:c>
      <x:c r="J3011" s="5" t="inlineStr">
        <x:is>
          <x:t xml:space="preserve">昆山市玉山镇晨丰路201号</x:t>
        </x:is>
      </x:c>
      <x:c r="K3011" s="12" t="str">
        <x:f>LEFT("91320583729335649H",18)</x:f>
        <x:v>91320583729335649H</x:v>
      </x:c>
    </x:row>
    <x:row r="3012">
      <x:c r="A3012" s="2" t="n">
        <x:v>3011</x:v>
      </x:c>
      <x:c r="B3012" s="2" t="inlineStr">
        <x:is>
          <x:t xml:space="preserve">301226</x:t>
        </x:is>
      </x:c>
      <x:c r="C3012" s="3" t="inlineStr">
        <x:is>
          <x:t xml:space="preserve">祥明智能</x:t>
        </x:is>
      </x:c>
      <x:c r="D3012" s="3" t="inlineStr">
        <x:is>
          <x:t xml:space="preserve">常州祥明智能动力股份有限公司</x:t>
        </x:is>
      </x:c>
      <x:c r="E3012" s="2" t="inlineStr">
        <x:is>
          <x:t xml:space="preserve">江苏省</x:t>
        </x:is>
      </x:c>
      <x:c r="F3012" s="2" t="inlineStr">
        <x:is>
          <x:t xml:space="preserve">常州市</x:t>
        </x:is>
      </x:c>
      <x:c r="G3012" s="3" t="inlineStr">
        <x:is>
          <x:t xml:space="preserve">江苏省-常州市</x:t>
        </x:is>
      </x:c>
      <x:c r="H3012" s="2" t="inlineStr">
        <x:is>
          <x:t xml:space="preserve">电机</x:t>
        </x:is>
      </x:c>
      <x:c r="I3012" s="2" t="inlineStr">
        <x:is>
          <x:t xml:space="preserve">2022-03-25</x:t>
        </x:is>
      </x:c>
      <x:c r="J3012" s="3" t="inlineStr">
        <x:is>
          <x:t xml:space="preserve">常州市中吴大道518号</x:t>
        </x:is>
      </x:c>
      <x:c r="K3012" s="12" t="str">
        <x:f>LEFT("91320412608126066W",18)</x:f>
        <x:v>91320412608126066W</x:v>
      </x:c>
    </x:row>
    <x:row r="3013">
      <x:c r="A3013" s="4" t="n">
        <x:v>3012</x:v>
      </x:c>
      <x:c r="B3013" s="4" t="inlineStr">
        <x:is>
          <x:t xml:space="preserve">301229</x:t>
        </x:is>
      </x:c>
      <x:c r="C3013" s="5" t="inlineStr">
        <x:is>
          <x:t xml:space="preserve">纽泰格</x:t>
        </x:is>
      </x:c>
      <x:c r="D3013" s="5" t="inlineStr">
        <x:is>
          <x:t xml:space="preserve">江苏纽泰格科技集团股份有限公司</x:t>
        </x:is>
      </x:c>
      <x:c r="E3013" s="4" t="inlineStr">
        <x:is>
          <x:t xml:space="preserve">江苏省</x:t>
        </x:is>
      </x:c>
      <x:c r="F3013" s="4" t="inlineStr">
        <x:is>
          <x:t xml:space="preserve">淮安市</x:t>
        </x:is>
      </x:c>
      <x:c r="G3013" s="5" t="inlineStr">
        <x:is>
          <x:t xml:space="preserve">江苏省-淮安市</x:t>
        </x:is>
      </x:c>
      <x:c r="H3013" s="4" t="inlineStr">
        <x:is>
          <x:t xml:space="preserve">汽车零部件</x:t>
        </x:is>
      </x:c>
      <x:c r="I3013" s="4" t="inlineStr">
        <x:is>
          <x:t xml:space="preserve">2022-02-22</x:t>
        </x:is>
      </x:c>
      <x:c r="J3013" s="5" t="inlineStr">
        <x:is>
          <x:t xml:space="preserve">江苏省淮安市淮阴经济开发区松江路161号</x:t>
        </x:is>
      </x:c>
      <x:c r="K3013" s="12" t="str">
        <x:f>LEFT("91320804564318807D",18)</x:f>
        <x:v>91320804564318807D</x:v>
      </x:c>
    </x:row>
    <x:row r="3014">
      <x:c r="A3014" s="2" t="n">
        <x:v>3013</x:v>
      </x:c>
      <x:c r="B3014" s="2" t="inlineStr">
        <x:is>
          <x:t xml:space="preserve">301238</x:t>
        </x:is>
      </x:c>
      <x:c r="C3014" s="3" t="inlineStr">
        <x:is>
          <x:t xml:space="preserve">瑞泰新材</x:t>
        </x:is>
      </x:c>
      <x:c r="D3014" s="3" t="inlineStr">
        <x:is>
          <x:t xml:space="preserve">江苏瑞泰新能源材料股份有限公司</x:t>
        </x:is>
      </x:c>
      <x:c r="E3014" s="2" t="inlineStr">
        <x:is>
          <x:t xml:space="preserve">江苏省</x:t>
        </x:is>
      </x:c>
      <x:c r="F3014" s="2" t="inlineStr">
        <x:is>
          <x:t xml:space="preserve">纺织原料市</x:t>
        </x:is>
      </x:c>
      <x:c r="G3014" s="3" t="inlineStr">
        <x:is>
          <x:t xml:space="preserve">江苏省-纺织原料市</x:t>
        </x:is>
      </x:c>
      <x:c r="H3014" s="2" t="inlineStr">
        <x:is>
          <x:t xml:space="preserve">电池</x:t>
        </x:is>
      </x:c>
      <x:c r="I3014" s="2" t="inlineStr">
        <x:is>
          <x:t xml:space="preserve">2022-06-17</x:t>
        </x:is>
      </x:c>
      <x:c r="J3014" s="3" t="inlineStr">
        <x:is>
          <x:t xml:space="preserve">张家港保税区纺织原料市场216-2635室</x:t>
        </x:is>
      </x:c>
      <x:c r="K3014" s="12" t="str">
        <x:f>LEFT("91320582MA1NU2QE9N",18)</x:f>
        <x:v>91320582MA1NU2QE9N</x:v>
      </x:c>
    </x:row>
    <x:row r="3015">
      <x:c r="A3015" s="4" t="n">
        <x:v>3014</x:v>
      </x:c>
      <x:c r="B3015" s="4" t="inlineStr">
        <x:is>
          <x:t xml:space="preserve">301258</x:t>
        </x:is>
      </x:c>
      <x:c r="C3015" s="5" t="inlineStr">
        <x:is>
          <x:t xml:space="preserve">富士莱</x:t>
        </x:is>
      </x:c>
      <x:c r="D3015" s="5" t="inlineStr">
        <x:is>
          <x:t xml:space="preserve">苏州富士莱医药股份有限公司</x:t>
        </x:is>
      </x:c>
      <x:c r="E3015" s="4" t="inlineStr">
        <x:is>
          <x:t xml:space="preserve">江苏省</x:t>
        </x:is>
      </x:c>
      <x:c r="F3015" s="4" t="inlineStr">
        <x:is>
          <x:t xml:space="preserve">苏州市</x:t>
        </x:is>
      </x:c>
      <x:c r="G3015" s="5" t="inlineStr">
        <x:is>
          <x:t xml:space="preserve">江苏省-苏州市</x:t>
        </x:is>
      </x:c>
      <x:c r="H3015" s="4" t="inlineStr">
        <x:is>
          <x:t xml:space="preserve">化学制药</x:t>
        </x:is>
      </x:c>
      <x:c r="I3015" s="4" t="inlineStr">
        <x:is>
          <x:t xml:space="preserve">2022-03-29</x:t>
        </x:is>
      </x:c>
      <x:c r="J3015" s="5" t="inlineStr">
        <x:is>
          <x:t xml:space="preserve">江苏省常熟新材料产业园海旺路16号</x:t>
        </x:is>
      </x:c>
      <x:c r="K3015" s="12" t="str">
        <x:f>LEFT("913205007205525400",18)</x:f>
        <x:v>913205007205525400</x:v>
      </x:c>
    </x:row>
    <x:row r="3016">
      <x:c r="A3016" s="2" t="n">
        <x:v>3015</x:v>
      </x:c>
      <x:c r="B3016" s="2" t="inlineStr">
        <x:is>
          <x:t xml:space="preserve">301260</x:t>
        </x:is>
      </x:c>
      <x:c r="C3016" s="3" t="inlineStr">
        <x:is>
          <x:t xml:space="preserve">格力博</x:t>
        </x:is>
      </x:c>
      <x:c r="D3016" s="3" t="inlineStr">
        <x:is>
          <x:t xml:space="preserve">格力博(江苏)股份有限公司</x:t>
        </x:is>
      </x:c>
      <x:c r="E3016" s="2" t="inlineStr">
        <x:is>
          <x:t xml:space="preserve">江苏省</x:t>
        </x:is>
      </x:c>
      <x:c r="F3016" s="2" t="inlineStr">
        <x:is>
          <x:t xml:space="preserve">常州市</x:t>
        </x:is>
      </x:c>
      <x:c r="G3016" s="3" t="inlineStr">
        <x:is>
          <x:t xml:space="preserve">江苏省-常州市</x:t>
        </x:is>
      </x:c>
      <x:c r="H3016" s="2" t="inlineStr">
        <x:is>
          <x:t xml:space="preserve">专用设备</x:t>
        </x:is>
      </x:c>
      <x:c r="I3016" s="2" t="inlineStr">
        <x:is>
          <x:t xml:space="preserve">2023-02-08</x:t>
        </x:is>
      </x:c>
      <x:c r="J3016" s="3" t="inlineStr">
        <x:is>
          <x:t xml:space="preserve">常州市钟楼经济开发区星港路65-1号</x:t>
        </x:is>
      </x:c>
      <x:c r="K3016" s="12" t="str">
        <x:f>LEFT("91320400739433074W",18)</x:f>
        <x:v>91320400739433074W</x:v>
      </x:c>
    </x:row>
    <x:row r="3017">
      <x:c r="A3017" s="4" t="n">
        <x:v>3016</x:v>
      </x:c>
      <x:c r="B3017" s="4" t="inlineStr">
        <x:is>
          <x:t xml:space="preserve">301266</x:t>
        </x:is>
      </x:c>
      <x:c r="C3017" s="5" t="inlineStr">
        <x:is>
          <x:t xml:space="preserve">宇邦新材</x:t>
        </x:is>
      </x:c>
      <x:c r="D3017" s="5" t="inlineStr">
        <x:is>
          <x:t xml:space="preserve">苏州宇邦新型材料股份有限公司</x:t>
        </x:is>
      </x:c>
      <x:c r="E3017" s="4" t="inlineStr">
        <x:is>
          <x:t xml:space="preserve">江苏省</x:t>
        </x:is>
      </x:c>
      <x:c r="F3017" s="4" t="inlineStr">
        <x:is>
          <x:t xml:space="preserve">苏州市</x:t>
        </x:is>
      </x:c>
      <x:c r="G3017" s="5" t="inlineStr">
        <x:is>
          <x:t xml:space="preserve">江苏省-苏州市</x:t>
        </x:is>
      </x:c>
      <x:c r="H3017" s="4" t="inlineStr">
        <x:is>
          <x:t xml:space="preserve">光伏设备</x:t>
        </x:is>
      </x:c>
      <x:c r="I3017" s="4" t="inlineStr">
        <x:is>
          <x:t xml:space="preserve">2022-06-08</x:t>
        </x:is>
      </x:c>
      <x:c r="J3017" s="5" t="inlineStr">
        <x:is>
          <x:t xml:space="preserve">苏州吴中经济开发区郭巷街道淞苇路688号</x:t>
        </x:is>
      </x:c>
      <x:c r="K3017" s="12" t="str">
        <x:f>LEFT("91320500740699099W",18)</x:f>
        <x:v>91320500740699099W</x:v>
      </x:c>
    </x:row>
    <x:row r="3018">
      <x:c r="A3018" s="2" t="n">
        <x:v>3017</x:v>
      </x:c>
      <x:c r="B3018" s="2" t="inlineStr">
        <x:is>
          <x:t xml:space="preserve">301272</x:t>
        </x:is>
      </x:c>
      <x:c r="C3018" s="3" t="inlineStr">
        <x:is>
          <x:t xml:space="preserve">英华特</x:t>
        </x:is>
      </x:c>
      <x:c r="D3018" s="3" t="inlineStr">
        <x:is>
          <x:t xml:space="preserve">苏州英华特涡旋技术股份有限公司</x:t>
        </x:is>
      </x:c>
      <x:c r="E3018" s="2" t="inlineStr">
        <x:is>
          <x:t xml:space="preserve">江苏省</x:t>
        </x:is>
      </x:c>
      <x:c r="F3018" s="2" t="inlineStr">
        <x:is>
          <x:t xml:space="preserve">常熟市</x:t>
        </x:is>
      </x:c>
      <x:c r="G3018" s="3" t="inlineStr">
        <x:is>
          <x:t xml:space="preserve">江苏省-常熟市</x:t>
        </x:is>
      </x:c>
      <x:c r="H3018" s="2" t="inlineStr">
        <x:is>
          <x:t xml:space="preserve">专用设备</x:t>
        </x:is>
      </x:c>
      <x:c r="I3018" s="2" t="inlineStr">
        <x:is>
          <x:t xml:space="preserve">2023-07-13</x:t>
        </x:is>
      </x:c>
      <x:c r="J3018" s="3" t="inlineStr">
        <x:is>
          <x:t xml:space="preserve">常熟市东南街道银通路5号</x:t>
        </x:is>
      </x:c>
      <x:c r="K3018" s="12" t="str">
        <x:f>LEFT("913205815866535425",18)</x:f>
        <x:v>913205815866535400</x:v>
      </x:c>
    </x:row>
    <x:row r="3019">
      <x:c r="A3019" s="4" t="n">
        <x:v>3018</x:v>
      </x:c>
      <x:c r="B3019" s="4" t="inlineStr">
        <x:is>
          <x:t xml:space="preserve">301278</x:t>
        </x:is>
      </x:c>
      <x:c r="C3019" s="5" t="inlineStr">
        <x:is>
          <x:t xml:space="preserve">快可电子</x:t>
        </x:is>
      </x:c>
      <x:c r="D3019" s="5" t="inlineStr">
        <x:is>
          <x:t xml:space="preserve">苏州快可光伏电子股份有限公司</x:t>
        </x:is>
      </x:c>
      <x:c r="E3019" s="4" t="inlineStr">
        <x:is>
          <x:t xml:space="preserve">江苏省</x:t>
        </x:is>
      </x:c>
      <x:c r="F3019" s="4" t="inlineStr">
        <x:is>
          <x:t xml:space="preserve">苏州市</x:t>
        </x:is>
      </x:c>
      <x:c r="G3019" s="5" t="inlineStr">
        <x:is>
          <x:t xml:space="preserve">江苏省-苏州市</x:t>
        </x:is>
      </x:c>
      <x:c r="H3019" s="4" t="inlineStr">
        <x:is>
          <x:t xml:space="preserve">光伏设备</x:t>
        </x:is>
      </x:c>
      <x:c r="I3019" s="4" t="inlineStr">
        <x:is>
          <x:t xml:space="preserve">2022-08-04</x:t>
        </x:is>
      </x:c>
      <x:c r="J3019" s="5" t="inlineStr">
        <x:is>
          <x:t xml:space="preserve">苏州工业园区新发路31号</x:t>
        </x:is>
      </x:c>
      <x:c r="K3019" s="12" t="str">
        <x:f>LEFT("91320000772458468T",18)</x:f>
        <x:v>91320000772458468T</x:v>
      </x:c>
    </x:row>
    <x:row r="3020">
      <x:c r="A3020" s="2" t="n">
        <x:v>3019</x:v>
      </x:c>
      <x:c r="B3020" s="2" t="inlineStr">
        <x:is>
          <x:t xml:space="preserve">301285</x:t>
        </x:is>
      </x:c>
      <x:c r="C3020" s="3" t="inlineStr">
        <x:is>
          <x:t xml:space="preserve">鸿日达</x:t>
        </x:is>
      </x:c>
      <x:c r="D3020" s="3" t="inlineStr">
        <x:is>
          <x:t xml:space="preserve">鸿日达科技股份有限公司</x:t>
        </x:is>
      </x:c>
      <x:c r="E3020" s="2" t="inlineStr">
        <x:is>
          <x:t xml:space="preserve">江苏省</x:t>
        </x:is>
      </x:c>
      <x:c r="F3020" s="2" t="inlineStr">
        <x:is>
          <x:t xml:space="preserve">苏州市</x:t>
        </x:is>
      </x:c>
      <x:c r="G3020" s="3" t="inlineStr">
        <x:is>
          <x:t xml:space="preserve">江苏省-苏州市</x:t>
        </x:is>
      </x:c>
      <x:c r="H3020" s="2" t="inlineStr">
        <x:is>
          <x:t xml:space="preserve">电子元件</x:t>
        </x:is>
      </x:c>
      <x:c r="I3020" s="2" t="inlineStr">
        <x:is>
          <x:t xml:space="preserve">2022-09-28</x:t>
        </x:is>
      </x:c>
      <x:c r="J3020" s="3" t="inlineStr">
        <x:is>
          <x:t xml:space="preserve">江苏省苏州市昆山市玉山镇青淞路89号</x:t>
        </x:is>
      </x:c>
      <x:c r="K3020" s="12" t="str">
        <x:f>LEFT("9132058375050665X4",18)</x:f>
        <x:v>9132058375050665X4</x:v>
      </x:c>
    </x:row>
    <x:row r="3021">
      <x:c r="A3021" s="4" t="n">
        <x:v>3020</x:v>
      </x:c>
      <x:c r="B3021" s="4" t="inlineStr">
        <x:is>
          <x:t xml:space="preserve">301287</x:t>
        </x:is>
      </x:c>
      <x:c r="C3021" s="5" t="inlineStr">
        <x:is>
          <x:t xml:space="preserve">康力源</x:t>
        </x:is>
      </x:c>
      <x:c r="D3021" s="5" t="inlineStr">
        <x:is>
          <x:t xml:space="preserve">江苏康力源体育科技股份有限公司</x:t>
        </x:is>
      </x:c>
      <x:c r="E3021" s="4" t="inlineStr">
        <x:is>
          <x:t xml:space="preserve">江苏省</x:t>
        </x:is>
      </x:c>
      <x:c r="F3021" s="4" t="inlineStr">
        <x:is>
          <x:t xml:space="preserve">邳州市</x:t>
        </x:is>
      </x:c>
      <x:c r="G3021" s="5" t="inlineStr">
        <x:is>
          <x:t xml:space="preserve">江苏省-邳州市</x:t>
        </x:is>
      </x:c>
      <x:c r="H3021" s="4" t="inlineStr">
        <x:is>
          <x:t xml:space="preserve">家用轻工</x:t>
        </x:is>
      </x:c>
      <x:c r="I3021" s="4" t="inlineStr">
        <x:is>
          <x:t xml:space="preserve">2023-06-14</x:t>
        </x:is>
      </x:c>
      <x:c r="J3021" s="5" t="inlineStr">
        <x:is>
          <x:t xml:space="preserve">邳州市炮车街道办事处高新技术产业园滨湖大道北侧</x:t>
        </x:is>
      </x:c>
      <x:c r="K3021" s="12" t="str">
        <x:f>LEFT("913203827035957410",18)</x:f>
        <x:v>913203827035957400</x:v>
      </x:c>
    </x:row>
    <x:row r="3022">
      <x:c r="A3022" s="2" t="n">
        <x:v>3021</x:v>
      </x:c>
      <x:c r="B3022" s="2" t="inlineStr">
        <x:is>
          <x:t xml:space="preserve">301290</x:t>
        </x:is>
      </x:c>
      <x:c r="C3022" s="3" t="inlineStr">
        <x:is>
          <x:t xml:space="preserve">东星医疗</x:t>
        </x:is>
      </x:c>
      <x:c r="D3022" s="3" t="inlineStr">
        <x:is>
          <x:t xml:space="preserve">江苏东星智慧医疗科技股份有限公司</x:t>
        </x:is>
      </x:c>
      <x:c r="E3022" s="2" t="inlineStr">
        <x:is>
          <x:t xml:space="preserve">江苏省</x:t>
        </x:is>
      </x:c>
      <x:c r="F3022" s="2" t="inlineStr">
        <x:is>
          <x:t xml:space="preserve">常州市</x:t>
        </x:is>
      </x:c>
      <x:c r="G3022" s="3" t="inlineStr">
        <x:is>
          <x:t xml:space="preserve">江苏省-常州市</x:t>
        </x:is>
      </x:c>
      <x:c r="H3022" s="2" t="inlineStr">
        <x:is>
          <x:t xml:space="preserve">医疗器械</x:t>
        </x:is>
      </x:c>
      <x:c r="I3022" s="2" t="inlineStr">
        <x:is>
          <x:t xml:space="preserve">2022-11-30</x:t>
        </x:is>
      </x:c>
      <x:c r="J3022" s="3" t="inlineStr">
        <x:is>
          <x:t xml:space="preserve">江苏省常州市武进区长扬路24-4号</x:t>
        </x:is>
      </x:c>
      <x:c r="K3022" s="12" t="str">
        <x:f>LEFT("91320400726569909Q",18)</x:f>
        <x:v>91320400726569909Q</x:v>
      </x:c>
    </x:row>
    <x:row r="3023">
      <x:c r="A3023" s="4" t="n">
        <x:v>3022</x:v>
      </x:c>
      <x:c r="B3023" s="4" t="inlineStr">
        <x:is>
          <x:t xml:space="preserve">301310</x:t>
        </x:is>
      </x:c>
      <x:c r="C3023" s="5" t="inlineStr">
        <x:is>
          <x:t xml:space="preserve">鑫宏业</x:t>
        </x:is>
      </x:c>
      <x:c r="D3023" s="5" t="inlineStr">
        <x:is>
          <x:t xml:space="preserve">无锡鑫宏业线缆科技股份有限公司</x:t>
        </x:is>
      </x:c>
      <x:c r="E3023" s="4" t="inlineStr">
        <x:is>
          <x:t xml:space="preserve">江苏省</x:t>
        </x:is>
      </x:c>
      <x:c r="F3023" s="4" t="inlineStr">
        <x:is>
          <x:t xml:space="preserve">无锡市</x:t>
        </x:is>
      </x:c>
      <x:c r="G3023" s="5" t="inlineStr">
        <x:is>
          <x:t xml:space="preserve">江苏省-无锡市</x:t>
        </x:is>
      </x:c>
      <x:c r="H3023" s="4" t="inlineStr">
        <x:is>
          <x:t xml:space="preserve">电网设备</x:t>
        </x:is>
      </x:c>
      <x:c r="I3023" s="4" t="inlineStr">
        <x:is>
          <x:t xml:space="preserve">2023-06-02</x:t>
        </x:is>
      </x:c>
      <x:c r="J3023" s="5" t="inlineStr">
        <x:is>
          <x:t xml:space="preserve">无锡市锡山经济技术开发区通云南路79号</x:t>
        </x:is>
      </x:c>
      <x:c r="K3023" s="12" t="str">
        <x:f>LEFT("91320205757981568F",18)</x:f>
        <x:v>91320205757981568F</x:v>
      </x:c>
    </x:row>
    <x:row r="3024">
      <x:c r="A3024" s="2" t="n">
        <x:v>3023</x:v>
      </x:c>
      <x:c r="B3024" s="2" t="inlineStr">
        <x:is>
          <x:t xml:space="preserve">301329</x:t>
        </x:is>
      </x:c>
      <x:c r="C3024" s="3" t="inlineStr">
        <x:is>
          <x:t xml:space="preserve">信音电子</x:t>
        </x:is>
      </x:c>
      <x:c r="D3024" s="3" t="inlineStr">
        <x:is>
          <x:t xml:space="preserve">信音电子(中国)股份有限公司</x:t>
        </x:is>
      </x:c>
      <x:c r="E3024" s="2" t="inlineStr">
        <x:is>
          <x:t xml:space="preserve">江苏省</x:t>
        </x:is>
      </x:c>
      <x:c r="F3024" s="2" t="inlineStr">
        <x:is>
          <x:t xml:space="preserve">苏州市</x:t>
        </x:is>
      </x:c>
      <x:c r="G3024" s="3" t="inlineStr">
        <x:is>
          <x:t xml:space="preserve">江苏省-苏州市</x:t>
        </x:is>
      </x:c>
      <x:c r="H3024" s="2" t="inlineStr">
        <x:is>
          <x:t xml:space="preserve">电子元件</x:t>
        </x:is>
      </x:c>
      <x:c r="I3024" s="2" t="inlineStr">
        <x:is>
          <x:t xml:space="preserve">2023-07-17</x:t>
        </x:is>
      </x:c>
      <x:c r="J3024" s="3" t="inlineStr">
        <x:is>
          <x:t xml:space="preserve">苏州市吴中区胥口镇</x:t>
        </x:is>
      </x:c>
      <x:c r="K3024" s="12" t="str">
        <x:f>LEFT("913205007325264979",18)</x:f>
        <x:v>913205007325265000</x:v>
      </x:c>
    </x:row>
    <x:row r="3025">
      <x:c r="A3025" s="4" t="n">
        <x:v>3024</x:v>
      </x:c>
      <x:c r="B3025" s="4" t="inlineStr">
        <x:is>
          <x:t xml:space="preserve">301339</x:t>
        </x:is>
      </x:c>
      <x:c r="C3025" s="5" t="inlineStr">
        <x:is>
          <x:t xml:space="preserve">通行宝</x:t>
        </x:is>
      </x:c>
      <x:c r="D3025" s="5" t="inlineStr">
        <x:is>
          <x:t xml:space="preserve">江苏通行宝智慧交通科技股份有限公司</x:t>
        </x:is>
      </x:c>
      <x:c r="E3025" s="4" t="inlineStr">
        <x:is>
          <x:t xml:space="preserve">江苏省</x:t>
        </x:is>
      </x:c>
      <x:c r="F3025" s="4" t="inlineStr">
        <x:is>
          <x:t xml:space="preserve">南京市</x:t>
        </x:is>
      </x:c>
      <x:c r="G3025" s="5" t="inlineStr">
        <x:is>
          <x:t xml:space="preserve">江苏省-南京市</x:t>
        </x:is>
      </x:c>
      <x:c r="H3025" s="4" t="inlineStr">
        <x:is>
          <x:t xml:space="preserve">软件开发</x:t>
        </x:is>
      </x:c>
      <x:c r="I3025" s="4" t="inlineStr">
        <x:is>
          <x:t xml:space="preserve">2022-09-09</x:t>
        </x:is>
      </x:c>
      <x:c r="J3025" s="5" t="inlineStr">
        <x:is>
          <x:t xml:space="preserve">南京市栖霞区紫东路2号31幢</x:t>
        </x:is>
      </x:c>
      <x:c r="K3025" s="12" t="str">
        <x:f>LEFT("91320000MA1MY2PB90",18)</x:f>
        <x:v>91320000MA1MY2PB90</x:v>
      </x:c>
    </x:row>
    <x:row r="3026">
      <x:c r="A3026" s="2" t="n">
        <x:v>3025</x:v>
      </x:c>
      <x:c r="B3026" s="2" t="inlineStr">
        <x:is>
          <x:t xml:space="preserve">301360</x:t>
        </x:is>
      </x:c>
      <x:c r="C3026" s="3" t="inlineStr">
        <x:is>
          <x:t xml:space="preserve">荣旗科技</x:t>
        </x:is>
      </x:c>
      <x:c r="D3026" s="3" t="inlineStr">
        <x:is>
          <x:t xml:space="preserve">荣旗工业科技(苏州)股份有限公司</x:t>
        </x:is>
      </x:c>
      <x:c r="E3026" s="2" t="inlineStr">
        <x:is>
          <x:t xml:space="preserve">江苏省</x:t>
        </x:is>
      </x:c>
      <x:c r="F3026" s="2" t="inlineStr">
        <x:is>
          <x:t xml:space="preserve">苏州市</x:t>
        </x:is>
      </x:c>
      <x:c r="G3026" s="3" t="inlineStr">
        <x:is>
          <x:t xml:space="preserve">江苏省-苏州市</x:t>
        </x:is>
      </x:c>
      <x:c r="H3026" s="2" t="inlineStr">
        <x:is>
          <x:t xml:space="preserve">专用设备</x:t>
        </x:is>
      </x:c>
      <x:c r="I3026" s="2" t="inlineStr">
        <x:is>
          <x:t xml:space="preserve">2023-04-25</x:t>
        </x:is>
      </x:c>
      <x:c r="J3026" s="3" t="inlineStr">
        <x:is>
          <x:t xml:space="preserve">苏州工业园区淞北路30号</x:t>
        </x:is>
      </x:c>
      <x:c r="K3026" s="12" t="str">
        <x:f>LEFT("91320594581098199Q",18)</x:f>
        <x:v>91320594581098199Q</x:v>
      </x:c>
    </x:row>
    <x:row r="3027">
      <x:c r="A3027" s="4" t="n">
        <x:v>3026</x:v>
      </x:c>
      <x:c r="B3027" s="4" t="inlineStr">
        <x:is>
          <x:t xml:space="preserve">301378</x:t>
        </x:is>
      </x:c>
      <x:c r="C3027" s="5" t="inlineStr">
        <x:is>
          <x:t xml:space="preserve">通达海</x:t>
        </x:is>
      </x:c>
      <x:c r="D3027" s="5" t="inlineStr">
        <x:is>
          <x:t xml:space="preserve">南京通达海科技股份有限公司</x:t>
        </x:is>
      </x:c>
      <x:c r="E3027" s="4" t="inlineStr">
        <x:is>
          <x:t xml:space="preserve">江苏省</x:t>
        </x:is>
      </x:c>
      <x:c r="F3027" s="4" t="inlineStr">
        <x:is>
          <x:t xml:space="preserve">南京市</x:t>
        </x:is>
      </x:c>
      <x:c r="G3027" s="5" t="inlineStr">
        <x:is>
          <x:t xml:space="preserve">江苏省-南京市</x:t>
        </x:is>
      </x:c>
      <x:c r="H3027" s="4" t="inlineStr">
        <x:is>
          <x:t xml:space="preserve">软件开发</x:t>
        </x:is>
      </x:c>
      <x:c r="I3027" s="4" t="inlineStr">
        <x:is>
          <x:t xml:space="preserve">2023-03-20</x:t>
        </x:is>
      </x:c>
      <x:c r="J3027" s="5" t="inlineStr">
        <x:is>
          <x:t xml:space="preserve">南京市鼓楼区丽地路1号1号楼</x:t>
        </x:is>
      </x:c>
      <x:c r="K3027" s="12" t="str">
        <x:f>LEFT("91320106249663766N",18)</x:f>
        <x:v>91320106249663766N</x:v>
      </x:c>
    </x:row>
    <x:row r="3028">
      <x:c r="A3028" s="2" t="n">
        <x:v>3027</x:v>
      </x:c>
      <x:c r="B3028" s="2" t="inlineStr">
        <x:is>
          <x:t xml:space="preserve">301386</x:t>
        </x:is>
      </x:c>
      <x:c r="C3028" s="3" t="inlineStr">
        <x:is>
          <x:t xml:space="preserve">未来电器</x:t>
        </x:is>
      </x:c>
      <x:c r="D3028" s="3" t="inlineStr">
        <x:is>
          <x:t xml:space="preserve">苏州未来电器股份有限公司</x:t>
        </x:is>
      </x:c>
      <x:c r="E3028" s="2" t="inlineStr">
        <x:is>
          <x:t xml:space="preserve">江苏省</x:t>
        </x:is>
      </x:c>
      <x:c r="F3028" s="2" t="inlineStr">
        <x:is>
          <x:t xml:space="preserve">苏州市</x:t>
        </x:is>
      </x:c>
      <x:c r="G3028" s="3" t="inlineStr">
        <x:is>
          <x:t xml:space="preserve">江苏省-苏州市</x:t>
        </x:is>
      </x:c>
      <x:c r="H3028" s="2" t="inlineStr">
        <x:is>
          <x:t xml:space="preserve">电源设备</x:t>
        </x:is>
      </x:c>
      <x:c r="I3028" s="2" t="inlineStr">
        <x:is>
          <x:t xml:space="preserve">2023-03-29</x:t>
        </x:is>
      </x:c>
      <x:c r="J3028" s="3" t="inlineStr">
        <x:is>
          <x:t xml:space="preserve">苏州市相城区北桥街道庄基村</x:t>
        </x:is>
      </x:c>
      <x:c r="K3028" s="12" t="str">
        <x:f>LEFT("9132050073114856XD",18)</x:f>
        <x:v>9132050073114856XD</x:v>
      </x:c>
    </x:row>
    <x:row r="3029">
      <x:c r="A3029" s="4" t="n">
        <x:v>3028</x:v>
      </x:c>
      <x:c r="B3029" s="4" t="inlineStr">
        <x:is>
          <x:t xml:space="preserve">301389</x:t>
        </x:is>
      </x:c>
      <x:c r="C3029" s="5" t="inlineStr">
        <x:is>
          <x:t xml:space="preserve">隆扬电子</x:t>
        </x:is>
      </x:c>
      <x:c r="D3029" s="5" t="inlineStr">
        <x:is>
          <x:t xml:space="preserve">隆扬电子(昆山)股份有限公司</x:t>
        </x:is>
      </x:c>
      <x:c r="E3029" s="4" t="inlineStr">
        <x:is>
          <x:t xml:space="preserve">江苏省</x:t>
        </x:is>
      </x:c>
      <x:c r="F3029" s="4" t="inlineStr">
        <x:is>
          <x:t xml:space="preserve">苏省昆山市</x:t>
        </x:is>
      </x:c>
      <x:c r="G3029" s="5" t="inlineStr">
        <x:is>
          <x:t xml:space="preserve">江苏省-苏省昆山市</x:t>
        </x:is>
      </x:c>
      <x:c r="H3029" s="4" t="inlineStr">
        <x:is>
          <x:t xml:space="preserve">电子元件</x:t>
        </x:is>
      </x:c>
      <x:c r="I3029" s="4" t="inlineStr">
        <x:is>
          <x:t xml:space="preserve">2022-10-31</x:t>
        </x:is>
      </x:c>
      <x:c r="J3029" s="5" t="inlineStr">
        <x:is>
          <x:t xml:space="preserve">江苏省昆山市周市镇顺昶路99号(一照多址)</x:t>
        </x:is>
      </x:c>
      <x:c r="K3029" s="12" t="str">
        <x:f>LEFT("91320583718672527C",18)</x:f>
        <x:v>91320583718672527C</x:v>
      </x:c>
    </x:row>
    <x:row r="3030">
      <x:c r="A3030" s="2" t="n">
        <x:v>3029</x:v>
      </x:c>
      <x:c r="B3030" s="2" t="inlineStr">
        <x:is>
          <x:t xml:space="preserve">301393</x:t>
        </x:is>
      </x:c>
      <x:c r="C3030" s="3" t="inlineStr">
        <x:is>
          <x:t xml:space="preserve">昊帆生物</x:t>
        </x:is>
      </x:c>
      <x:c r="D3030" s="3" t="inlineStr">
        <x:is>
          <x:t xml:space="preserve">苏州昊帆生物股份有限公司</x:t>
        </x:is>
      </x:c>
      <x:c r="E3030" s="2" t="inlineStr">
        <x:is>
          <x:t xml:space="preserve">江苏省</x:t>
        </x:is>
      </x:c>
      <x:c r="F3030" s="2" t="inlineStr">
        <x:is>
          <x:t xml:space="preserve">苏州市</x:t>
        </x:is>
      </x:c>
      <x:c r="G3030" s="3" t="inlineStr">
        <x:is>
          <x:t xml:space="preserve">江苏省-苏州市</x:t>
        </x:is>
      </x:c>
      <x:c r="H3030" s="2" t="inlineStr">
        <x:is>
          <x:t xml:space="preserve">生物制品</x:t>
        </x:is>
      </x:c>
      <x:c r="I3030" s="2" t="inlineStr">
        <x:is>
          <x:t xml:space="preserve">2023-07-12</x:t>
        </x:is>
      </x:c>
      <x:c r="J3030" s="3" t="inlineStr">
        <x:is>
          <x:t xml:space="preserve">苏州高新区长亭路1号</x:t>
        </x:is>
      </x:c>
      <x:c r="K3030" s="12" t="str">
        <x:f>LEFT("913205057564273465",18)</x:f>
        <x:v>913205057564273400</x:v>
      </x:c>
    </x:row>
    <x:row r="3031">
      <x:c r="A3031" s="4" t="n">
        <x:v>3030</x:v>
      </x:c>
      <x:c r="B3031" s="4" t="inlineStr">
        <x:is>
          <x:t xml:space="preserve">301418</x:t>
        </x:is>
      </x:c>
      <x:c r="C3031" s="5" t="inlineStr">
        <x:is>
          <x:t xml:space="preserve">协昌科技</x:t>
        </x:is>
      </x:c>
      <x:c r="D3031" s="5" t="inlineStr">
        <x:is>
          <x:t xml:space="preserve">江苏协昌电子科技集团股份有限公司</x:t>
        </x:is>
      </x:c>
      <x:c r="E3031" s="4" t="inlineStr">
        <x:is>
          <x:t xml:space="preserve">江苏省</x:t>
        </x:is>
      </x:c>
      <x:c r="F3031" s="4" t="inlineStr">
        <x:is>
          <x:t xml:space="preserve">张家港市</x:t>
        </x:is>
      </x:c>
      <x:c r="G3031" s="5" t="inlineStr">
        <x:is>
          <x:t xml:space="preserve">江苏省-张家港市</x:t>
        </x:is>
      </x:c>
      <x:c r="H3031" s="4" t="inlineStr">
        <x:is>
          <x:t xml:space="preserve">专用设备</x:t>
        </x:is>
      </x:c>
      <x:c r="I3031" s="4" t="inlineStr">
        <x:is>
          <x:t xml:space="preserve">2023-08-21</x:t>
        </x:is>
      </x:c>
      <x:c r="J3031" s="5" t="inlineStr">
        <x:is>
          <x:t xml:space="preserve">张家港市凤凰镇港口工业园华泰路1号</x:t>
        </x:is>
      </x:c>
      <x:c r="K3031" s="12" t="str">
        <x:f>LEFT("91320500576716773K",18)</x:f>
        <x:v>91320500576716773K</x:v>
      </x:c>
    </x:row>
    <x:row r="3032">
      <x:c r="A3032" s="2" t="n">
        <x:v>3031</x:v>
      </x:c>
      <x:c r="B3032" s="2" t="inlineStr">
        <x:is>
          <x:t xml:space="preserve">301421</x:t>
        </x:is>
      </x:c>
      <x:c r="C3032" s="3" t="inlineStr">
        <x:is>
          <x:t xml:space="preserve">波长光电</x:t>
        </x:is>
      </x:c>
      <x:c r="D3032" s="3" t="inlineStr">
        <x:is>
          <x:t xml:space="preserve">南京波长光电科技股份有限公司</x:t>
        </x:is>
      </x:c>
      <x:c r="E3032" s="2" t="inlineStr">
        <x:is>
          <x:t xml:space="preserve">江苏省</x:t>
        </x:is>
      </x:c>
      <x:c r="F3032" s="2" t="inlineStr">
        <x:is>
          <x:t xml:space="preserve">南京市</x:t>
        </x:is>
      </x:c>
      <x:c r="G3032" s="3" t="inlineStr">
        <x:is>
          <x:t xml:space="preserve">江苏省-南京市</x:t>
        </x:is>
      </x:c>
      <x:c r="H3032" s="2" t="inlineStr">
        <x:is>
          <x:t xml:space="preserve">光学光电子</x:t>
        </x:is>
      </x:c>
      <x:c r="I3032" s="2" t="inlineStr">
        <x:is>
          <x:t xml:space="preserve">2023-08-23</x:t>
        </x:is>
      </x:c>
      <x:c r="J3032" s="3" t="inlineStr">
        <x:is>
          <x:t xml:space="preserve">南京市江宁区湖熟工业集中区</x:t>
        </x:is>
      </x:c>
      <x:c r="K3032" s="12" t="str">
        <x:f>LEFT("91320100682509778U",18)</x:f>
        <x:v>91320100682509778U</x:v>
      </x:c>
    </x:row>
    <x:row r="3033">
      <x:c r="A3033" s="4" t="n">
        <x:v>3032</x:v>
      </x:c>
      <x:c r="B3033" s="4" t="inlineStr">
        <x:is>
          <x:t xml:space="preserve">301491</x:t>
        </x:is>
      </x:c>
      <x:c r="C3033" s="5" t="inlineStr">
        <x:is>
          <x:t xml:space="preserve">汉桑科技</x:t>
        </x:is>
      </x:c>
      <x:c r="D3033" s="5" t="inlineStr">
        <x:is>
          <x:t xml:space="preserve">汉桑(南京)科技股份有限公司</x:t>
        </x:is>
      </x:c>
      <x:c r="E3033" s="4" t="inlineStr">
        <x:is>
          <x:t xml:space="preserve">江苏省</x:t>
        </x:is>
      </x:c>
      <x:c r="F3033" s="4" t="inlineStr">
        <x:is>
          <x:t xml:space="preserve">南京市</x:t>
        </x:is>
      </x:c>
      <x:c r="G3033" s="5" t="inlineStr">
        <x:is>
          <x:t xml:space="preserve">江苏省-南京市</x:t>
        </x:is>
      </x:c>
      <x:c r="H3033" s="4" t="inlineStr">
        <x:is>
          <x:t xml:space="preserve">消费电子</x:t>
        </x:is>
      </x:c>
      <x:c r="I3033" s="4" t="inlineStr">
        <x:is>
          <x:t xml:space="preserve">2025-08-06</x:t>
        </x:is>
      </x:c>
      <x:c r="J3033" s="5" t="inlineStr">
        <x:is>
          <x:t xml:space="preserve">南京市江宁经济技术开发区康平街8号</x:t>
        </x:is>
      </x:c>
      <x:c r="K3033" s="12" t="str">
        <x:f>LEFT("91320115751297837G",18)</x:f>
        <x:v>91320115751297837G</x:v>
      </x:c>
    </x:row>
    <x:row r="3034">
      <x:c r="A3034" s="2" t="n">
        <x:v>3033</x:v>
      </x:c>
      <x:c r="B3034" s="2" t="inlineStr">
        <x:is>
          <x:t xml:space="preserve">301502</x:t>
        </x:is>
      </x:c>
      <x:c r="C3034" s="3" t="inlineStr">
        <x:is>
          <x:t xml:space="preserve">华阳智能</x:t>
        </x:is>
      </x:c>
      <x:c r="D3034" s="3" t="inlineStr">
        <x:is>
          <x:t xml:space="preserve">江苏华阳智能装备股份有限公司</x:t>
        </x:is>
      </x:c>
      <x:c r="E3034" s="2" t="inlineStr">
        <x:is>
          <x:t xml:space="preserve">江苏省</x:t>
        </x:is>
      </x:c>
      <x:c r="F3034" s="2" t="inlineStr">
        <x:is>
          <x:t xml:space="preserve">常州市</x:t>
        </x:is>
      </x:c>
      <x:c r="G3034" s="3" t="inlineStr">
        <x:is>
          <x:t xml:space="preserve">江苏省-常州市</x:t>
        </x:is>
      </x:c>
      <x:c r="H3034" s="2" t="inlineStr">
        <x:is>
          <x:t xml:space="preserve">电机</x:t>
        </x:is>
      </x:c>
      <x:c r="I3034" s="2" t="inlineStr">
        <x:is>
          <x:t xml:space="preserve">2024-02-02</x:t>
        </x:is>
      </x:c>
      <x:c r="J3034" s="3" t="inlineStr">
        <x:is>
          <x:t xml:space="preserve">武进区洛阳镇岑村村</x:t>
        </x:is>
      </x:c>
      <x:c r="K3034" s="12" t="str">
        <x:f>LEFT("913204127290001795",18)</x:f>
        <x:v>913204127290001800</x:v>
      </x:c>
    </x:row>
    <x:row r="3035">
      <x:c r="A3035" s="4" t="n">
        <x:v>3034</x:v>
      </x:c>
      <x:c r="B3035" s="4" t="inlineStr">
        <x:is>
          <x:t xml:space="preserve">301505</x:t>
        </x:is>
      </x:c>
      <x:c r="C3035" s="5" t="inlineStr">
        <x:is>
          <x:t xml:space="preserve">苏州规划</x:t>
        </x:is>
      </x:c>
      <x:c r="D3035" s="5" t="inlineStr">
        <x:is>
          <x:t xml:space="preserve">苏州规划设计研究院股份有限公司</x:t>
        </x:is>
      </x:c>
      <x:c r="E3035" s="4" t="inlineStr">
        <x:is>
          <x:t xml:space="preserve">江苏省</x:t>
        </x:is>
      </x:c>
      <x:c r="F3035" s="4" t="inlineStr">
        <x:is>
          <x:t xml:space="preserve">苏州市</x:t>
        </x:is>
      </x:c>
      <x:c r="G3035" s="5" t="inlineStr">
        <x:is>
          <x:t xml:space="preserve">江苏省-苏州市</x:t>
        </x:is>
      </x:c>
      <x:c r="H3035" s="4" t="inlineStr">
        <x:is>
          <x:t xml:space="preserve">工程咨询服务</x:t>
        </x:is>
      </x:c>
      <x:c r="I3035" s="4" t="inlineStr">
        <x:is>
          <x:t xml:space="preserve">2023-07-19</x:t>
        </x:is>
      </x:c>
      <x:c r="J3035" s="5" t="inlineStr">
        <x:is>
          <x:t xml:space="preserve">苏州市十全街747号</x:t>
        </x:is>
      </x:c>
      <x:c r="K3035" s="12" t="str">
        <x:f>LEFT("91320500466951123Y",18)</x:f>
        <x:v>91320500466951123Y</x:v>
      </x:c>
    </x:row>
    <x:row r="3036">
      <x:c r="A3036" s="2" t="n">
        <x:v>3035</x:v>
      </x:c>
      <x:c r="B3036" s="2" t="inlineStr">
        <x:is>
          <x:t xml:space="preserve">301518</x:t>
        </x:is>
      </x:c>
      <x:c r="C3036" s="3" t="inlineStr">
        <x:is>
          <x:t xml:space="preserve">长华化学</x:t>
        </x:is>
      </x:c>
      <x:c r="D3036" s="3" t="inlineStr">
        <x:is>
          <x:t xml:space="preserve">长华化学科技股份有限公司</x:t>
        </x:is>
      </x:c>
      <x:c r="E3036" s="2" t="inlineStr">
        <x:is>
          <x:t xml:space="preserve">江苏省</x:t>
        </x:is>
      </x:c>
      <x:c r="F3036" s="2" t="inlineStr">
        <x:is>
          <x:t xml:space="preserve">泰州市</x:t>
        </x:is>
      </x:c>
      <x:c r="G3036" s="3" t="inlineStr">
        <x:is>
          <x:t xml:space="preserve">江苏省-泰州市</x:t>
        </x:is>
      </x:c>
      <x:c r="H3036" s="2" t="inlineStr">
        <x:is>
          <x:t xml:space="preserve">化学制品</x:t>
        </x:is>
      </x:c>
      <x:c r="I3036" s="2" t="inlineStr">
        <x:is>
          <x:t xml:space="preserve">2023-08-03</x:t>
        </x:is>
      </x:c>
      <x:c r="J3036" s="3" t="inlineStr">
        <x:is>
          <x:t xml:space="preserve">江苏扬子江国际化工园北京路20号</x:t>
        </x:is>
      </x:c>
      <x:c r="K3036" s="12" t="str">
        <x:f>LEFT("91320592564267296D",18)</x:f>
        <x:v>91320592564267296D</x:v>
      </x:c>
    </x:row>
    <x:row r="3037">
      <x:c r="A3037" s="4" t="n">
        <x:v>3036</x:v>
      </x:c>
      <x:c r="B3037" s="4" t="inlineStr">
        <x:is>
          <x:t xml:space="preserve">301557</x:t>
        </x:is>
      </x:c>
      <x:c r="C3037" s="5" t="inlineStr">
        <x:is>
          <x:t xml:space="preserve">常友科技</x:t>
        </x:is>
      </x:c>
      <x:c r="D3037" s="5" t="inlineStr">
        <x:is>
          <x:t xml:space="preserve">常友科技集团股份有限公司</x:t>
        </x:is>
      </x:c>
      <x:c r="E3037" s="4" t="inlineStr">
        <x:is>
          <x:t xml:space="preserve">江苏省</x:t>
        </x:is>
      </x:c>
      <x:c r="F3037" s="4" t="inlineStr">
        <x:is>
          <x:t xml:space="preserve">常州市</x:t>
        </x:is>
      </x:c>
      <x:c r="G3037" s="5" t="inlineStr">
        <x:is>
          <x:t xml:space="preserve">江苏省-常州市</x:t>
        </x:is>
      </x:c>
      <x:c r="H3037" s="4" t="inlineStr">
        <x:is>
          <x:t xml:space="preserve">风电设备</x:t>
        </x:is>
      </x:c>
      <x:c r="I3037" s="4" t="inlineStr">
        <x:is>
          <x:t xml:space="preserve">2025-03-04</x:t>
        </x:is>
      </x:c>
      <x:c r="J3037" s="5" t="inlineStr">
        <x:is>
          <x:t xml:space="preserve">常州市金坛区金坛大道92号</x:t>
        </x:is>
      </x:c>
      <x:c r="K3037" s="12" t="str">
        <x:f>LEFT("913204137945826547",18)</x:f>
        <x:v>913204137945826600</x:v>
      </x:c>
    </x:row>
    <x:row r="3038">
      <x:c r="A3038" s="2" t="n">
        <x:v>3037</x:v>
      </x:c>
      <x:c r="B3038" s="2" t="inlineStr">
        <x:is>
          <x:t xml:space="preserve">301559</x:t>
        </x:is>
      </x:c>
      <x:c r="C3038" s="3" t="inlineStr">
        <x:is>
          <x:t xml:space="preserve">中集环科</x:t>
        </x:is>
      </x:c>
      <x:c r="D3038" s="3" t="inlineStr">
        <x:is>
          <x:t xml:space="preserve">中集安瑞环科技股份有限公司</x:t>
        </x:is>
      </x:c>
      <x:c r="E3038" s="2" t="inlineStr">
        <x:is>
          <x:t xml:space="preserve">江苏省</x:t>
        </x:is>
      </x:c>
      <x:c r="F3038" s="2" t="inlineStr">
        <x:is>
          <x:t xml:space="preserve">南通市</x:t>
        </x:is>
      </x:c>
      <x:c r="G3038" s="3" t="inlineStr">
        <x:is>
          <x:t xml:space="preserve">江苏省-南通市</x:t>
        </x:is>
      </x:c>
      <x:c r="H3038" s="2" t="inlineStr">
        <x:is>
          <x:t xml:space="preserve">通用设备</x:t>
        </x:is>
      </x:c>
      <x:c r="I3038" s="2" t="inlineStr">
        <x:is>
          <x:t xml:space="preserve">2023-10-11</x:t>
        </x:is>
      </x:c>
      <x:c r="J3038" s="3" t="inlineStr">
        <x:is>
          <x:t xml:space="preserve">江苏省南通市城港路159号</x:t>
        </x:is>
      </x:c>
      <x:c r="K3038" s="12" t="str">
        <x:f>LEFT("91320600752015352D",18)</x:f>
        <x:v>91320600752015352D</x:v>
      </x:c>
    </x:row>
    <x:row r="3039">
      <x:c r="A3039" s="4" t="n">
        <x:v>3038</x:v>
      </x:c>
      <x:c r="B3039" s="4" t="inlineStr">
        <x:is>
          <x:t xml:space="preserve">301560</x:t>
        </x:is>
      </x:c>
      <x:c r="C3039" s="5" t="inlineStr">
        <x:is>
          <x:t xml:space="preserve">众捷汽车</x:t>
        </x:is>
      </x:c>
      <x:c r="D3039" s="5" t="inlineStr">
        <x:is>
          <x:t xml:space="preserve">苏州众捷汽车零部件股份有限公司</x:t>
        </x:is>
      </x:c>
      <x:c r="E3039" s="4" t="inlineStr">
        <x:is>
          <x:t xml:space="preserve">江苏省</x:t>
        </x:is>
      </x:c>
      <x:c r="F3039" s="4" t="inlineStr">
        <x:is>
          <x:t xml:space="preserve">常熟市</x:t>
        </x:is>
      </x:c>
      <x:c r="G3039" s="5" t="inlineStr">
        <x:is>
          <x:t xml:space="preserve">江苏省-常熟市</x:t>
        </x:is>
      </x:c>
      <x:c r="H3039" s="4" t="inlineStr">
        <x:is>
          <x:t xml:space="preserve">汽车零部件</x:t>
        </x:is>
      </x:c>
      <x:c r="I3039" s="4" t="inlineStr">
        <x:is>
          <x:t xml:space="preserve">2025-04-25</x:t>
        </x:is>
      </x:c>
      <x:c r="J3039" s="5" t="inlineStr">
        <x:is>
          <x:t xml:space="preserve">常熟市尚湖镇练塘工业集中区(翁家庄)</x:t>
        </x:is>
      </x:c>
      <x:c r="K3039" s="12" t="str">
        <x:f>LEFT("91320581551164044U",18)</x:f>
        <x:v>91320581551164044U</x:v>
      </x:c>
    </x:row>
    <x:row r="3040">
      <x:c r="A3040" s="2" t="n">
        <x:v>3039</x:v>
      </x:c>
      <x:c r="B3040" s="2" t="inlineStr">
        <x:is>
          <x:t xml:space="preserve">301587</x:t>
        </x:is>
      </x:c>
      <x:c r="C3040" s="3" t="inlineStr">
        <x:is>
          <x:t xml:space="preserve">中瑞股份</x:t>
        </x:is>
      </x:c>
      <x:c r="D3040" s="3" t="inlineStr">
        <x:is>
          <x:t xml:space="preserve">常州武进中瑞电子科技股份有限公司</x:t>
        </x:is>
      </x:c>
      <x:c r="E3040" s="2" t="inlineStr">
        <x:is>
          <x:t xml:space="preserve">江苏省</x:t>
        </x:is>
      </x:c>
      <x:c r="F3040" s="2" t="inlineStr">
        <x:is>
          <x:t xml:space="preserve">常州市</x:t>
        </x:is>
      </x:c>
      <x:c r="G3040" s="3" t="inlineStr">
        <x:is>
          <x:t xml:space="preserve">江苏省-常州市</x:t>
        </x:is>
      </x:c>
      <x:c r="H3040" s="2" t="inlineStr">
        <x:is>
          <x:t xml:space="preserve">电池</x:t>
        </x:is>
      </x:c>
      <x:c r="I3040" s="2" t="inlineStr">
        <x:is>
          <x:t xml:space="preserve">2024-04-08</x:t>
        </x:is>
      </x:c>
      <x:c r="J3040" s="3" t="inlineStr">
        <x:is>
          <x:t xml:space="preserve">武进国家高新技术产业开发区镜湖路11号、11-1号</x:t>
        </x:is>
      </x:c>
      <x:c r="K3040" s="12" t="str">
        <x:f>LEFT("913204127289985473",18)</x:f>
        <x:v>913204127289985500</x:v>
      </x:c>
    </x:row>
    <x:row r="3041">
      <x:c r="A3041" s="4" t="n">
        <x:v>3040</x:v>
      </x:c>
      <x:c r="B3041" s="4" t="inlineStr">
        <x:is>
          <x:t xml:space="preserve">301591</x:t>
        </x:is>
      </x:c>
      <x:c r="C3041" s="5" t="inlineStr">
        <x:is>
          <x:t xml:space="preserve">肯特股份</x:t>
        </x:is>
      </x:c>
      <x:c r="D3041" s="5" t="inlineStr">
        <x:is>
          <x:t xml:space="preserve">南京肯特复合材料股份有限公司</x:t>
        </x:is>
      </x:c>
      <x:c r="E3041" s="4" t="inlineStr">
        <x:is>
          <x:t xml:space="preserve">江苏省</x:t>
        </x:is>
      </x:c>
      <x:c r="F3041" s="4" t="inlineStr">
        <x:is>
          <x:t xml:space="preserve">南京市</x:t>
        </x:is>
      </x:c>
      <x:c r="G3041" s="5" t="inlineStr">
        <x:is>
          <x:t xml:space="preserve">江苏省-南京市</x:t>
        </x:is>
      </x:c>
      <x:c r="H3041" s="4" t="inlineStr">
        <x:is>
          <x:t xml:space="preserve">塑料制品</x:t>
        </x:is>
      </x:c>
      <x:c r="I3041" s="4" t="inlineStr">
        <x:is>
          <x:t xml:space="preserve">2024-02-28</x:t>
        </x:is>
      </x:c>
      <x:c r="J3041" s="5" t="inlineStr">
        <x:is>
          <x:t xml:space="preserve">南京市江宁区滨溪大道106号</x:t>
        </x:is>
      </x:c>
      <x:c r="K3041" s="12" t="str">
        <x:f>LEFT("9132011572609726X9",18)</x:f>
        <x:v>9132011572609726X9</x:v>
      </x:c>
    </x:row>
    <x:row r="3042">
      <x:c r="A3042" s="2" t="n">
        <x:v>3041</x:v>
      </x:c>
      <x:c r="B3042" s="2" t="inlineStr">
        <x:is>
          <x:t xml:space="preserve">301601</x:t>
        </x:is>
      </x:c>
      <x:c r="C3042" s="3" t="inlineStr">
        <x:is>
          <x:t xml:space="preserve">惠通科技</x:t>
        </x:is>
      </x:c>
      <x:c r="D3042" s="3" t="inlineStr">
        <x:is>
          <x:t xml:space="preserve">扬州惠通科技股份有限公司</x:t>
        </x:is>
      </x:c>
      <x:c r="E3042" s="2" t="inlineStr">
        <x:is>
          <x:t xml:space="preserve">江苏省</x:t>
        </x:is>
      </x:c>
      <x:c r="F3042" s="2" t="inlineStr">
        <x:is>
          <x:t xml:space="preserve">扬州市</x:t>
        </x:is>
      </x:c>
      <x:c r="G3042" s="3" t="inlineStr">
        <x:is>
          <x:t xml:space="preserve">江苏省-扬州市</x:t>
        </x:is>
      </x:c>
      <x:c r="H3042" s="2" t="inlineStr">
        <x:is>
          <x:t xml:space="preserve">专用设备</x:t>
        </x:is>
      </x:c>
      <x:c r="I3042" s="2" t="inlineStr">
        <x:is>
          <x:t xml:space="preserve">2025-01-15</x:t>
        </x:is>
      </x:c>
      <x:c r="J3042" s="3" t="inlineStr">
        <x:is>
          <x:t xml:space="preserve">扬州市开发区望江路301号</x:t>
        </x:is>
      </x:c>
      <x:c r="K3042" s="12" t="str">
        <x:f>LEFT("91321091711549104W",18)</x:f>
        <x:v>91321091711549104W</x:v>
      </x:c>
    </x:row>
    <x:row r="3043">
      <x:c r="A3043" s="4" t="n">
        <x:v>3042</x:v>
      </x:c>
      <x:c r="B3043" s="4" t="inlineStr">
        <x:is>
          <x:t xml:space="preserve">301611</x:t>
        </x:is>
      </x:c>
      <x:c r="C3043" s="5" t="inlineStr">
        <x:is>
          <x:t xml:space="preserve">珂玛科技</x:t>
        </x:is>
      </x:c>
      <x:c r="D3043" s="5" t="inlineStr">
        <x:is>
          <x:t xml:space="preserve">苏州珂玛材料科技股份有限公司</x:t>
        </x:is>
      </x:c>
      <x:c r="E3043" s="4" t="inlineStr">
        <x:is>
          <x:t xml:space="preserve">江苏省</x:t>
        </x:is>
      </x:c>
      <x:c r="F3043" s="4" t="inlineStr">
        <x:is>
          <x:t xml:space="preserve">苏州市</x:t>
        </x:is>
      </x:c>
      <x:c r="G3043" s="5" t="inlineStr">
        <x:is>
          <x:t xml:space="preserve">江苏省-苏州市</x:t>
        </x:is>
      </x:c>
      <x:c r="H3043" s="4" t="inlineStr">
        <x:is>
          <x:t xml:space="preserve">非金属材料</x:t>
        </x:is>
      </x:c>
      <x:c r="I3043" s="4" t="inlineStr">
        <x:is>
          <x:t xml:space="preserve">2024-08-16</x:t>
        </x:is>
      </x:c>
      <x:c r="J3043" s="5" t="inlineStr">
        <x:is>
          <x:t xml:space="preserve">苏州高新区新钱路1号</x:t>
        </x:is>
      </x:c>
      <x:c r="K3043" s="12" t="str">
        <x:f>LEFT("9132050568833792XQ",18)</x:f>
        <x:v>9132050568833792XQ</x:v>
      </x:c>
    </x:row>
    <x:row r="3044">
      <x:c r="A3044" s="2" t="n">
        <x:v>3043</x:v>
      </x:c>
      <x:c r="B3044" s="2" t="inlineStr">
        <x:is>
          <x:t xml:space="preserve">301626</x:t>
        </x:is>
      </x:c>
      <x:c r="C3044" s="3" t="inlineStr">
        <x:is>
          <x:t xml:space="preserve">苏州天脉</x:t>
        </x:is>
      </x:c>
      <x:c r="D3044" s="3" t="inlineStr">
        <x:is>
          <x:t xml:space="preserve">苏州天脉导热科技股份有限公司</x:t>
        </x:is>
      </x:c>
      <x:c r="E3044" s="2" t="inlineStr">
        <x:is>
          <x:t xml:space="preserve">江苏省</x:t>
        </x:is>
      </x:c>
      <x:c r="F3044" s="2" t="inlineStr">
        <x:is>
          <x:t xml:space="preserve">苏州市</x:t>
        </x:is>
      </x:c>
      <x:c r="G3044" s="3" t="inlineStr">
        <x:is>
          <x:t xml:space="preserve">江苏省-苏州市</x:t>
        </x:is>
      </x:c>
      <x:c r="H3044" s="2" t="inlineStr">
        <x:is>
          <x:t xml:space="preserve">消费电子</x:t>
        </x:is>
      </x:c>
      <x:c r="I3044" s="2" t="inlineStr">
        <x:is>
          <x:t xml:space="preserve">2024-10-24</x:t>
        </x:is>
      </x:c>
      <x:c r="J3044" s="3" t="inlineStr">
        <x:is>
          <x:t xml:space="preserve">苏州市吴中区甪直镇汇凯路68号</x:t>
        </x:is>
      </x:c>
      <x:c r="K3044" s="12" t="str">
        <x:f>LEFT("91320506664932978R",18)</x:f>
        <x:v>91320506664932978R</x:v>
      </x:c>
    </x:row>
    <x:row r="3045">
      <x:c r="A3045" s="4" t="n">
        <x:v>3044</x:v>
      </x:c>
      <x:c r="B3045" s="4" t="inlineStr">
        <x:is>
          <x:t xml:space="preserve">301636</x:t>
        </x:is>
      </x:c>
      <x:c r="C3045" s="5" t="inlineStr">
        <x:is>
          <x:t xml:space="preserve">泽润新能</x:t>
        </x:is>
      </x:c>
      <x:c r="D3045" s="5" t="inlineStr">
        <x:is>
          <x:t xml:space="preserve">江苏泽润新能科技股份有限公司</x:t>
        </x:is>
      </x:c>
      <x:c r="E3045" s="4" t="inlineStr">
        <x:is>
          <x:t xml:space="preserve">江苏省</x:t>
        </x:is>
      </x:c>
      <x:c r="F3045" s="4" t="inlineStr">
        <x:is>
          <x:t xml:space="preserve">常州市</x:t>
        </x:is>
      </x:c>
      <x:c r="G3045" s="5" t="inlineStr">
        <x:is>
          <x:t xml:space="preserve">江苏省-常州市</x:t>
        </x:is>
      </x:c>
      <x:c r="H3045" s="4" t="inlineStr">
        <x:is>
          <x:t xml:space="preserve">光伏设备</x:t>
        </x:is>
      </x:c>
      <x:c r="I3045" s="4" t="inlineStr">
        <x:is>
          <x:t xml:space="preserve">2025-05-16</x:t>
        </x:is>
      </x:c>
      <x:c r="J3045" s="5" t="inlineStr">
        <x:is>
          <x:t xml:space="preserve">江苏省常州市金坛区直溪镇亚溪路16号</x:t>
        </x:is>
      </x:c>
      <x:c r="K3045" s="12" t="str">
        <x:f>LEFT("91320413MA1NK8G297",18)</x:f>
        <x:v>91320413MA1NK8G297</x:v>
      </x:c>
    </x:row>
    <x:row r="3046">
      <x:c r="A3046" s="2" t="n">
        <x:v>3045</x:v>
      </x:c>
      <x:c r="B3046" s="2" t="inlineStr">
        <x:is>
          <x:t xml:space="preserve">301656</x:t>
        </x:is>
      </x:c>
      <x:c r="C3046" s="3" t="inlineStr">
        <x:is>
          <x:t xml:space="preserve">联合动力</x:t>
        </x:is>
      </x:c>
      <x:c r="D3046" s="3" t="inlineStr">
        <x:is>
          <x:t xml:space="preserve">苏州汇川联合动力系统股份有限公司</x:t>
        </x:is>
      </x:c>
      <x:c r="E3046" s="2" t="inlineStr">
        <x:is>
          <x:t xml:space="preserve">江苏省</x:t>
        </x:is>
      </x:c>
      <x:c r="F3046" s="2" t="inlineStr">
        <x:is>
          <x:t xml:space="preserve">苏州市</x:t>
        </x:is>
      </x:c>
      <x:c r="G3046" s="3" t="inlineStr">
        <x:is>
          <x:t xml:space="preserve">江苏省-苏州市</x:t>
        </x:is>
      </x:c>
      <x:c r="H3046" s="2" t="inlineStr">
        <x:is>
          <x:t xml:space="preserve">汽车零部件</x:t>
        </x:is>
      </x:c>
      <x:c r="I3046" s="2" t="inlineStr">
        <x:is>
          <x:t xml:space="preserve">2025-09-25</x:t>
        </x:is>
      </x:c>
      <x:c r="J3046" s="3" t="inlineStr">
        <x:is>
          <x:t xml:space="preserve">苏州市吴中区越溪天鹅荡路52号</x:t>
        </x:is>
      </x:c>
      <x:c r="K3046" s="12" t="str">
        <x:f>LEFT("91320506MA1MW7HP53",18)</x:f>
        <x:v>91320506MA1MW7HP53</x:v>
      </x:c>
    </x:row>
    <x:row r="3047">
      <x:c r="A3047" s="4" t="n">
        <x:v>3046</x:v>
      </x:c>
      <x:c r="B3047" s="4" t="inlineStr">
        <x:is>
          <x:t xml:space="preserve">301665</x:t>
        </x:is>
      </x:c>
      <x:c r="C3047" s="5" t="inlineStr">
        <x:is>
          <x:t xml:space="preserve">泰禾股份</x:t>
        </x:is>
      </x:c>
      <x:c r="D3047" s="5" t="inlineStr">
        <x:is>
          <x:t xml:space="preserve">南通泰禾化工股份有限公司</x:t>
        </x:is>
      </x:c>
      <x:c r="E3047" s="4" t="inlineStr">
        <x:is>
          <x:t xml:space="preserve">江苏省</x:t>
        </x:is>
      </x:c>
      <x:c r="F3047" s="4" t="inlineStr">
        <x:is>
          <x:t xml:space="preserve">南通市</x:t>
        </x:is>
      </x:c>
      <x:c r="G3047" s="5" t="inlineStr">
        <x:is>
          <x:t xml:space="preserve">江苏省-南通市</x:t>
        </x:is>
      </x:c>
      <x:c r="H3047" s="4" t="inlineStr">
        <x:is>
          <x:t xml:space="preserve">农药兽药</x:t>
        </x:is>
      </x:c>
      <x:c r="I3047" s="4" t="inlineStr">
        <x:is>
          <x:t xml:space="preserve">2025-04-11</x:t>
        </x:is>
      </x:c>
      <x:c r="J3047" s="5" t="inlineStr">
        <x:is>
          <x:t xml:space="preserve">江苏省如东县洋口化学工业园区</x:t>
        </x:is>
      </x:c>
      <x:c r="K3047" s="12" t="str">
        <x:f>LEFT("913206237605413284",18)</x:f>
        <x:v>913206237605413200</x:v>
      </x:c>
    </x:row>
    <x:row r="3048">
      <x:c r="A3048" s="2" t="n">
        <x:v>3047</x:v>
      </x:c>
      <x:c r="B3048" s="2" t="inlineStr">
        <x:is>
          <x:t xml:space="preserve">301680</x:t>
        </x:is>
      </x:c>
      <x:c r="C3048" s="3" t="inlineStr">
        <x:is>
          <x:t xml:space="preserve">固德电材</x:t>
        </x:is>
      </x:c>
      <x:c r="D3048" s="3" t="inlineStr">
        <x:is>
          <x:t xml:space="preserve">固德电材系统(苏州)股份有限公司</x:t>
        </x:is>
      </x:c>
      <x:c r="E3048" s="2" t="inlineStr">
        <x:is>
          <x:t xml:space="preserve">江苏省</x:t>
        </x:is>
      </x:c>
      <x:c r="F3048" s="2" t="inlineStr">
        <x:is>
          <x:t xml:space="preserve">苏州市</x:t>
        </x:is>
      </x:c>
      <x:c r="G3048" s="3" t="inlineStr">
        <x:is>
          <x:t xml:space="preserve">江苏省-苏州市</x:t>
        </x:is>
      </x:c>
      <x:c r="H3048" s="2" t="inlineStr">
        <x:is>
          <x:t xml:space="preserve">汽车零部件</x:t>
        </x:is>
      </x:c>
      <x:c r="I3048" s="2" t="inlineStr">
        <x:is>
          <x:t xml:space="preserve">2026-03-06</x:t>
        </x:is>
      </x:c>
      <x:c r="J3048" s="3" t="inlineStr">
        <x:is>
          <x:t xml:space="preserve">苏州市吴江区汾湖镇汾杨路88号</x:t>
        </x:is>
      </x:c>
      <x:c r="K3048" s="12" t="str">
        <x:f>LEFT("91320500674433603P",18)</x:f>
        <x:v>91320500674433603P</x:v>
      </x:c>
    </x:row>
    <x:row r="3049">
      <x:c r="A3049" s="4" t="n">
        <x:v>3048</x:v>
      </x:c>
      <x:c r="B3049" s="4" t="inlineStr">
        <x:is>
          <x:t xml:space="preserve">301687</x:t>
        </x:is>
      </x:c>
      <x:c r="C3049" s="5" t="inlineStr">
        <x:is>
          <x:t xml:space="preserve">新广益</x:t>
        </x:is>
      </x:c>
      <x:c r="D3049" s="5" t="inlineStr">
        <x:is>
          <x:t xml:space="preserve">苏州市新广益电子股份有限公司</x:t>
        </x:is>
      </x:c>
      <x:c r="E3049" s="4" t="inlineStr">
        <x:is>
          <x:t xml:space="preserve">江苏省</x:t>
        </x:is>
      </x:c>
      <x:c r="F3049" s="4" t="inlineStr">
        <x:is>
          <x:t xml:space="preserve">苏州市</x:t>
        </x:is>
      </x:c>
      <x:c r="G3049" s="5" t="inlineStr">
        <x:is>
          <x:t xml:space="preserve">江苏省-苏州市</x:t>
        </x:is>
      </x:c>
      <x:c r="H3049" s="4" t="inlineStr">
        <x:is>
          <x:t xml:space="preserve">非金属材料</x:t>
        </x:is>
      </x:c>
      <x:c r="I3049" s="4" t="inlineStr">
        <x:is>
          <x:t xml:space="preserve">2025-12-31</x:t>
        </x:is>
      </x:c>
      <x:c r="J3049" s="5" t="inlineStr">
        <x:is>
          <x:t xml:space="preserve">苏州市吴中区胥口镇曹丰路289号1幢</x:t>
        </x:is>
      </x:c>
      <x:c r="K3049" s="12" t="str">
        <x:f>LEFT("913205067615027420",18)</x:f>
        <x:v>913205067615027500</x:v>
      </x:c>
    </x:row>
    <x:row r="3050">
      <x:c r="A3050" s="2" t="n">
        <x:v>3049</x:v>
      </x:c>
      <x:c r="B3050" s="2" t="inlineStr">
        <x:is>
          <x:t xml:space="preserve">600064</x:t>
        </x:is>
      </x:c>
      <x:c r="C3050" s="3" t="inlineStr">
        <x:is>
          <x:t xml:space="preserve">南京高科</x:t>
        </x:is>
      </x:c>
      <x:c r="D3050" s="3" t="inlineStr">
        <x:is>
          <x:t xml:space="preserve">南京高科股份有限公司</x:t>
        </x:is>
      </x:c>
      <x:c r="E3050" s="2" t="inlineStr">
        <x:is>
          <x:t xml:space="preserve">江苏省</x:t>
        </x:is>
      </x:c>
      <x:c r="F3050" s="2" t="inlineStr">
        <x:is>
          <x:t xml:space="preserve">南京市</x:t>
        </x:is>
      </x:c>
      <x:c r="G3050" s="3" t="inlineStr">
        <x:is>
          <x:t xml:space="preserve">江苏省-南京市</x:t>
        </x:is>
      </x:c>
      <x:c r="H3050" s="2" t="inlineStr">
        <x:is>
          <x:t xml:space="preserve">房地产</x:t>
        </x:is>
      </x:c>
      <x:c r="I3050" s="2" t="inlineStr">
        <x:is>
          <x:t xml:space="preserve">1997-05-06</x:t>
        </x:is>
      </x:c>
      <x:c r="J3050" s="3" t="inlineStr">
        <x:is>
          <x:t xml:space="preserve">南京经济技术开发区恒通大道2号</x:t>
        </x:is>
      </x:c>
      <x:c r="K3050" s="12" t="str">
        <x:f>LEFT("91320192134917922L",18)</x:f>
        <x:v>91320192134917922L</x:v>
      </x:c>
    </x:row>
    <x:row r="3051">
      <x:c r="A3051" s="4" t="n">
        <x:v>3050</x:v>
      </x:c>
      <x:c r="B3051" s="4" t="inlineStr">
        <x:is>
          <x:t xml:space="preserve">600078</x:t>
        </x:is>
      </x:c>
      <x:c r="C3051" s="5" t="inlineStr">
        <x:is>
          <x:t xml:space="preserve">澄星股份</x:t>
        </x:is>
      </x:c>
      <x:c r="D3051" s="5" t="inlineStr">
        <x:is>
          <x:t xml:space="preserve">江苏澄星磷化工股份有限公司</x:t>
        </x:is>
      </x:c>
      <x:c r="E3051" s="4" t="inlineStr">
        <x:is>
          <x:t xml:space="preserve">江苏省</x:t>
        </x:is>
      </x:c>
      <x:c r="F3051" s="4" t="inlineStr">
        <x:is>
          <x:t xml:space="preserve">苏省江阴市</x:t>
        </x:is>
      </x:c>
      <x:c r="G3051" s="5" t="inlineStr">
        <x:is>
          <x:t xml:space="preserve">江苏省-苏省江阴市</x:t>
        </x:is>
      </x:c>
      <x:c r="H3051" s="4" t="inlineStr">
        <x:is>
          <x:t xml:space="preserve">化肥行业</x:t>
        </x:is>
      </x:c>
      <x:c r="I3051" s="4" t="inlineStr">
        <x:is>
          <x:t xml:space="preserve">1997-06-27</x:t>
        </x:is>
      </x:c>
      <x:c r="J3051" s="5" t="inlineStr">
        <x:is>
          <x:t xml:space="preserve">江苏省江阴市梅园大街618号</x:t>
        </x:is>
      </x:c>
      <x:c r="K3051" s="12" t="str">
        <x:f>LEFT("913200002502383371",18)</x:f>
        <x:v>913200002502383400</x:v>
      </x:c>
    </x:row>
    <x:row r="3052">
      <x:c r="A3052" s="2" t="n">
        <x:v>3051</x:v>
      </x:c>
      <x:c r="B3052" s="2" t="inlineStr">
        <x:is>
          <x:t xml:space="preserve">600099</x:t>
        </x:is>
      </x:c>
      <x:c r="C3052" s="3" t="inlineStr">
        <x:is>
          <x:t xml:space="preserve">林海股份</x:t>
        </x:is>
      </x:c>
      <x:c r="D3052" s="3" t="inlineStr">
        <x:is>
          <x:t xml:space="preserve">林海股份有限公司</x:t>
        </x:is>
      </x:c>
      <x:c r="E3052" s="2" t="inlineStr">
        <x:is>
          <x:t xml:space="preserve">江苏省</x:t>
        </x:is>
      </x:c>
      <x:c r="F3052" s="2" t="inlineStr">
        <x:is>
          <x:t xml:space="preserve">泰州市</x:t>
        </x:is>
      </x:c>
      <x:c r="G3052" s="3" t="inlineStr">
        <x:is>
          <x:t xml:space="preserve">江苏省-泰州市</x:t>
        </x:is>
      </x:c>
      <x:c r="H3052" s="2" t="inlineStr">
        <x:is>
          <x:t xml:space="preserve">交运设备</x:t>
        </x:is>
      </x:c>
      <x:c r="I3052" s="2" t="inlineStr">
        <x:is>
          <x:t xml:space="preserve">1997-07-04</x:t>
        </x:is>
      </x:c>
      <x:c r="J3052" s="3" t="inlineStr">
        <x:is>
          <x:t xml:space="preserve">江苏省泰州市迎春西路199号</x:t>
        </x:is>
      </x:c>
      <x:c r="K3052" s="12" t="str">
        <x:f>LEFT("91320000703971102J",18)</x:f>
        <x:v>91320000703971102J</x:v>
      </x:c>
    </x:row>
    <x:row r="3053">
      <x:c r="A3053" s="4" t="n">
        <x:v>3052</x:v>
      </x:c>
      <x:c r="B3053" s="4" t="inlineStr">
        <x:is>
          <x:t xml:space="preserve">600105</x:t>
        </x:is>
      </x:c>
      <x:c r="C3053" s="5" t="inlineStr">
        <x:is>
          <x:t xml:space="preserve">永鼎股份</x:t>
        </x:is>
      </x:c>
      <x:c r="D3053" s="5" t="inlineStr">
        <x:is>
          <x:t xml:space="preserve">江苏永鼎股份有限公司</x:t>
        </x:is>
      </x:c>
      <x:c r="E3053" s="4" t="inlineStr">
        <x:is>
          <x:t xml:space="preserve">江苏省</x:t>
        </x:is>
      </x:c>
      <x:c r="F3053" s="4" t="inlineStr">
        <x:is>
          <x:t xml:space="preserve">苏州市</x:t>
        </x:is>
      </x:c>
      <x:c r="G3053" s="5" t="inlineStr">
        <x:is>
          <x:t xml:space="preserve">江苏省-苏州市</x:t>
        </x:is>
      </x:c>
      <x:c r="H3053" s="4" t="inlineStr">
        <x:is>
          <x:t xml:space="preserve">通讯行业</x:t>
        </x:is>
      </x:c>
      <x:c r="I3053" s="4" t="inlineStr">
        <x:is>
          <x:t xml:space="preserve">1997-09-29</x:t>
        </x:is>
      </x:c>
      <x:c r="J3053" s="5" t="inlineStr">
        <x:is>
          <x:t xml:space="preserve">江苏省苏州市吴江区黎里镇318国道74K处芦墟段北侧</x:t>
        </x:is>
      </x:c>
      <x:c r="K3053" s="12" t="str">
        <x:f>LEFT("913200001347789857",18)</x:f>
        <x:v>913200001347789800</x:v>
      </x:c>
    </x:row>
    <x:row r="3054">
      <x:c r="A3054" s="2" t="n">
        <x:v>3053</x:v>
      </x:c>
      <x:c r="B3054" s="2" t="inlineStr">
        <x:is>
          <x:t xml:space="preserve">600128</x:t>
        </x:is>
      </x:c>
      <x:c r="C3054" s="3" t="inlineStr">
        <x:is>
          <x:t xml:space="preserve">苏豪弘业</x:t>
        </x:is>
      </x:c>
      <x:c r="D3054" s="3" t="inlineStr">
        <x:is>
          <x:t xml:space="preserve">苏豪弘业股份有限公司</x:t>
        </x:is>
      </x:c>
      <x:c r="E3054" s="2" t="inlineStr">
        <x:is>
          <x:t xml:space="preserve">江苏省</x:t>
        </x:is>
      </x:c>
      <x:c r="F3054" s="2" t="inlineStr">
        <x:is>
          <x:t xml:space="preserve">南京市</x:t>
        </x:is>
      </x:c>
      <x:c r="G3054" s="3" t="inlineStr">
        <x:is>
          <x:t xml:space="preserve">江苏省-南京市</x:t>
        </x:is>
      </x:c>
      <x:c r="H3054" s="2" t="inlineStr">
        <x:is>
          <x:t xml:space="preserve">国际贸易</x:t>
        </x:is>
      </x:c>
      <x:c r="I3054" s="2" t="inlineStr">
        <x:is>
          <x:t xml:space="preserve">1997-09-01</x:t>
        </x:is>
      </x:c>
      <x:c r="J3054" s="3" t="inlineStr">
        <x:is>
          <x:t xml:space="preserve">江苏省南京市中华路50号弘业大厦</x:t>
        </x:is>
      </x:c>
      <x:c r="K3054" s="12" t="str">
        <x:f>LEFT("913200001347643058",18)</x:f>
        <x:v>913200001347643000</x:v>
      </x:c>
    </x:row>
    <x:row r="3055">
      <x:c r="A3055" s="4" t="n">
        <x:v>3054</x:v>
      </x:c>
      <x:c r="B3055" s="4" t="inlineStr">
        <x:is>
          <x:t xml:space="preserve">600250</x:t>
        </x:is>
      </x:c>
      <x:c r="C3055" s="5" t="inlineStr">
        <x:is>
          <x:t xml:space="preserve">南京商旅</x:t>
        </x:is>
      </x:c>
      <x:c r="D3055" s="5" t="inlineStr">
        <x:is>
          <x:t xml:space="preserve">南京商贸旅游股份有限公司</x:t>
        </x:is>
      </x:c>
      <x:c r="E3055" s="4" t="inlineStr">
        <x:is>
          <x:t xml:space="preserve">江苏省</x:t>
        </x:is>
      </x:c>
      <x:c r="F3055" s="4" t="inlineStr">
        <x:is>
          <x:t xml:space="preserve">南京市</x:t>
        </x:is>
      </x:c>
      <x:c r="G3055" s="5" t="inlineStr">
        <x:is>
          <x:t xml:space="preserve">江苏省-南京市</x:t>
        </x:is>
      </x:c>
      <x:c r="H3055" s="4" t="inlineStr">
        <x:is>
          <x:t xml:space="preserve">国际贸易</x:t>
        </x:is>
      </x:c>
      <x:c r="I3055" s="4" t="inlineStr">
        <x:is>
          <x:t xml:space="preserve">2001-03-06</x:t>
        </x:is>
      </x:c>
      <x:c r="J3055" s="5" t="inlineStr">
        <x:is>
          <x:t xml:space="preserve">南京市秦淮区小心桥东街18号</x:t>
        </x:is>
      </x:c>
      <x:c r="K3055" s="12" t="str">
        <x:f>LEFT("913201001349674289",18)</x:f>
        <x:v>913201001349674200</x:v>
      </x:c>
    </x:row>
    <x:row r="3056">
      <x:c r="A3056" s="2" t="n">
        <x:v>3055</x:v>
      </x:c>
      <x:c r="B3056" s="2" t="inlineStr">
        <x:is>
          <x:t xml:space="preserve">600268</x:t>
        </x:is>
      </x:c>
      <x:c r="C3056" s="3" t="inlineStr">
        <x:is>
          <x:t xml:space="preserve">国电南自</x:t>
        </x:is>
      </x:c>
      <x:c r="D3056" s="3" t="inlineStr">
        <x:is>
          <x:t xml:space="preserve">国电南京自动化股份有限公司</x:t>
        </x:is>
      </x:c>
      <x:c r="E3056" s="2" t="inlineStr">
        <x:is>
          <x:t xml:space="preserve">江苏省</x:t>
        </x:is>
      </x:c>
      <x:c r="F3056" s="2" t="inlineStr">
        <x:is>
          <x:t xml:space="preserve">南京市</x:t>
        </x:is>
      </x:c>
      <x:c r="G3056" s="3" t="inlineStr">
        <x:is>
          <x:t xml:space="preserve">江苏省-南京市</x:t>
        </x:is>
      </x:c>
      <x:c r="H3056" s="2" t="inlineStr">
        <x:is>
          <x:t xml:space="preserve">输配电气</x:t>
        </x:is>
      </x:c>
      <x:c r="I3056" s="2" t="inlineStr">
        <x:is>
          <x:t xml:space="preserve">1999-11-18</x:t>
        </x:is>
      </x:c>
      <x:c r="J3056" s="3" t="inlineStr">
        <x:is>
          <x:t xml:space="preserve">江苏省南京市江宁开发区水阁路39号</x:t>
        </x:is>
      </x:c>
      <x:c r="K3056" s="12" t="str">
        <x:f>LEFT("913201007162522468",18)</x:f>
        <x:v>913201007162522500</x:v>
      </x:c>
    </x:row>
    <x:row r="3057">
      <x:c r="A3057" s="4" t="n">
        <x:v>3056</x:v>
      </x:c>
      <x:c r="B3057" s="4" t="inlineStr">
        <x:is>
          <x:t xml:space="preserve">600276</x:t>
        </x:is>
      </x:c>
      <x:c r="C3057" s="5" t="inlineStr">
        <x:is>
          <x:t xml:space="preserve">恒瑞医药</x:t>
        </x:is>
      </x:c>
      <x:c r="D3057" s="5" t="inlineStr">
        <x:is>
          <x:t xml:space="preserve">江苏恒瑞医药股份有限公司</x:t>
        </x:is>
      </x:c>
      <x:c r="E3057" s="4" t="inlineStr">
        <x:is>
          <x:t xml:space="preserve">江苏省</x:t>
        </x:is>
      </x:c>
      <x:c r="F3057" s="4" t="inlineStr">
        <x:is>
          <x:t xml:space="preserve">连云港市</x:t>
        </x:is>
      </x:c>
      <x:c r="G3057" s="5" t="inlineStr">
        <x:is>
          <x:t xml:space="preserve">江苏省-连云港市</x:t>
        </x:is>
      </x:c>
      <x:c r="H3057" s="4" t="inlineStr">
        <x:is>
          <x:t xml:space="preserve">医药制造</x:t>
        </x:is>
      </x:c>
      <x:c r="I3057" s="4" t="inlineStr">
        <x:is>
          <x:t xml:space="preserve">2000-10-18</x:t>
        </x:is>
      </x:c>
      <x:c r="J3057" s="5" t="inlineStr">
        <x:is>
          <x:t xml:space="preserve">江苏省连云港市经济技术开发区黄河路38号</x:t>
        </x:is>
      </x:c>
      <x:c r="K3057" s="12" t="str">
        <x:f>LEFT("9132070070404786XB",18)</x:f>
        <x:v>9132070070404786XB</x:v>
      </x:c>
    </x:row>
    <x:row r="3058">
      <x:c r="A3058" s="2" t="n">
        <x:v>3057</x:v>
      </x:c>
      <x:c r="B3058" s="2" t="inlineStr">
        <x:is>
          <x:t xml:space="preserve">600280</x:t>
        </x:is>
      </x:c>
      <x:c r="C3058" s="3" t="inlineStr">
        <x:is>
          <x:t xml:space="preserve">中央商场</x:t>
        </x:is>
      </x:c>
      <x:c r="D3058" s="3" t="inlineStr">
        <x:is>
          <x:t xml:space="preserve">南京中央商场(集团)股份有限公司</x:t>
        </x:is>
      </x:c>
      <x:c r="E3058" s="2" t="inlineStr">
        <x:is>
          <x:t xml:space="preserve">江苏省</x:t>
        </x:is>
      </x:c>
      <x:c r="F3058" s="2" t="inlineStr">
        <x:is>
          <x:t xml:space="preserve">南京市</x:t>
        </x:is>
      </x:c>
      <x:c r="G3058" s="3" t="inlineStr">
        <x:is>
          <x:t xml:space="preserve">江苏省-南京市</x:t>
        </x:is>
      </x:c>
      <x:c r="H3058" s="2" t="inlineStr">
        <x:is>
          <x:t xml:space="preserve">商业百货</x:t>
        </x:is>
      </x:c>
      <x:c r="I3058" s="2" t="inlineStr">
        <x:is>
          <x:t xml:space="preserve">2000-09-26</x:t>
        </x:is>
      </x:c>
      <x:c r="J3058" s="3" t="inlineStr">
        <x:is>
          <x:t xml:space="preserve">南京市秦淮区中山南路79号</x:t>
        </x:is>
      </x:c>
      <x:c r="K3058" s="12" t="str">
        <x:f>LEFT("91320100134881640F",18)</x:f>
        <x:v>91320100134881640F</x:v>
      </x:c>
    </x:row>
    <x:row r="3059">
      <x:c r="A3059" s="4" t="n">
        <x:v>3058</x:v>
      </x:c>
      <x:c r="B3059" s="4" t="inlineStr">
        <x:is>
          <x:t xml:space="preserve">600282</x:t>
        </x:is>
      </x:c>
      <x:c r="C3059" s="5" t="inlineStr">
        <x:is>
          <x:t xml:space="preserve">南钢股份</x:t>
        </x:is>
      </x:c>
      <x:c r="D3059" s="5" t="inlineStr">
        <x:is>
          <x:t xml:space="preserve">南京钢铁股份有限公司</x:t>
        </x:is>
      </x:c>
      <x:c r="E3059" s="4" t="inlineStr">
        <x:is>
          <x:t xml:space="preserve">江苏省</x:t>
        </x:is>
      </x:c>
      <x:c r="F3059" s="4" t="inlineStr">
        <x:is>
          <x:t xml:space="preserve">南京市</x:t>
        </x:is>
      </x:c>
      <x:c r="G3059" s="5" t="inlineStr">
        <x:is>
          <x:t xml:space="preserve">江苏省-南京市</x:t>
        </x:is>
      </x:c>
      <x:c r="H3059" s="4" t="inlineStr">
        <x:is>
          <x:t xml:space="preserve">钢铁行业</x:t>
        </x:is>
      </x:c>
      <x:c r="I3059" s="4" t="inlineStr">
        <x:is>
          <x:t xml:space="preserve">2000-09-19</x:t>
        </x:is>
      </x:c>
      <x:c r="J3059" s="5" t="inlineStr">
        <x:is>
          <x:t xml:space="preserve">江苏省南京市六合区卸甲甸</x:t>
        </x:is>
      </x:c>
      <x:c r="K3059" s="12" t="str">
        <x:f>LEFT("91320000714085405J",18)</x:f>
        <x:v>91320000714085405J</x:v>
      </x:c>
    </x:row>
    <x:row r="3060">
      <x:c r="A3060" s="2" t="n">
        <x:v>3059</x:v>
      </x:c>
      <x:c r="B3060" s="2" t="inlineStr">
        <x:is>
          <x:t xml:space="preserve">600287</x:t>
        </x:is>
      </x:c>
      <x:c r="C3060" s="3" t="inlineStr">
        <x:is>
          <x:t xml:space="preserve">苏豪时尚</x:t>
        </x:is>
      </x:c>
      <x:c r="D3060" s="3" t="inlineStr">
        <x:is>
          <x:t xml:space="preserve">江苏苏豪时尚集团股份有限公司</x:t>
        </x:is>
      </x:c>
      <x:c r="E3060" s="2" t="inlineStr">
        <x:is>
          <x:t xml:space="preserve">江苏省</x:t>
        </x:is>
      </x:c>
      <x:c r="F3060" s="2" t="inlineStr">
        <x:is>
          <x:t xml:space="preserve">南京市</x:t>
        </x:is>
      </x:c>
      <x:c r="G3060" s="3" t="inlineStr">
        <x:is>
          <x:t xml:space="preserve">江苏省-南京市</x:t>
        </x:is>
      </x:c>
      <x:c r="H3060" s="2" t="inlineStr">
        <x:is>
          <x:t xml:space="preserve">商业百货</x:t>
        </x:is>
      </x:c>
      <x:c r="I3060" s="2" t="inlineStr">
        <x:is>
          <x:t xml:space="preserve">2000-09-01</x:t>
        </x:is>
      </x:c>
      <x:c r="J3060" s="3" t="inlineStr">
        <x:is>
          <x:t xml:space="preserve">南京市雨花台区软件大道21号B座</x:t>
        </x:is>
      </x:c>
      <x:c r="K3060" s="12" t="str">
        <x:f>LEFT("91320000134775688R",18)</x:f>
        <x:v>91320000134775688R</x:v>
      </x:c>
    </x:row>
    <x:row r="3061">
      <x:c r="A3061" s="4" t="n">
        <x:v>3060</x:v>
      </x:c>
      <x:c r="B3061" s="4" t="inlineStr">
        <x:is>
          <x:t xml:space="preserve">600300</x:t>
        </x:is>
      </x:c>
      <x:c r="C3061" s="5" t="inlineStr">
        <x:is>
          <x:t xml:space="preserve">维维股份</x:t>
        </x:is>
      </x:c>
      <x:c r="D3061" s="5" t="inlineStr">
        <x:is>
          <x:t xml:space="preserve">维维食品饮料股份有限公司</x:t>
        </x:is>
      </x:c>
      <x:c r="E3061" s="4" t="inlineStr">
        <x:is>
          <x:t xml:space="preserve">江苏省</x:t>
        </x:is>
      </x:c>
      <x:c r="F3061" s="4" t="inlineStr">
        <x:is>
          <x:t xml:space="preserve">徐州市</x:t>
        </x:is>
      </x:c>
      <x:c r="G3061" s="5" t="inlineStr">
        <x:is>
          <x:t xml:space="preserve">江苏省-徐州市</x:t>
        </x:is>
      </x:c>
      <x:c r="H3061" s="4" t="inlineStr">
        <x:is>
          <x:t xml:space="preserve">食品饮料</x:t>
        </x:is>
      </x:c>
      <x:c r="I3061" s="4" t="inlineStr">
        <x:is>
          <x:t xml:space="preserve">2000-06-30</x:t>
        </x:is>
      </x:c>
      <x:c r="J3061" s="5" t="inlineStr">
        <x:is>
          <x:t xml:space="preserve">江苏省徐州市维维大道300号</x:t>
        </x:is>
      </x:c>
      <x:c r="K3061" s="12" t="str">
        <x:f>LEFT("91320000608077903T",18)</x:f>
        <x:v>91320000608077903T</x:v>
      </x:c>
    </x:row>
    <x:row r="3062">
      <x:c r="A3062" s="2" t="n">
        <x:v>3061</x:v>
      </x:c>
      <x:c r="B3062" s="2" t="inlineStr">
        <x:is>
          <x:t xml:space="preserve">600305</x:t>
        </x:is>
      </x:c>
      <x:c r="C3062" s="3" t="inlineStr">
        <x:is>
          <x:t xml:space="preserve">恒顺醋业</x:t>
        </x:is>
      </x:c>
      <x:c r="D3062" s="3" t="inlineStr">
        <x:is>
          <x:t xml:space="preserve">江苏恒顺醋业股份有限公司</x:t>
        </x:is>
      </x:c>
      <x:c r="E3062" s="2" t="inlineStr">
        <x:is>
          <x:t xml:space="preserve">江苏省</x:t>
        </x:is>
      </x:c>
      <x:c r="F3062" s="2" t="inlineStr">
        <x:is>
          <x:t xml:space="preserve">镇江市</x:t>
        </x:is>
      </x:c>
      <x:c r="G3062" s="3" t="inlineStr">
        <x:is>
          <x:t xml:space="preserve">江苏省-镇江市</x:t>
        </x:is>
      </x:c>
      <x:c r="H3062" s="2" t="inlineStr">
        <x:is>
          <x:t xml:space="preserve">食品饮料</x:t>
        </x:is>
      </x:c>
      <x:c r="I3062" s="2" t="inlineStr">
        <x:is>
          <x:t xml:space="preserve">2001-02-06</x:t>
        </x:is>
      </x:c>
      <x:c r="J3062" s="3" t="inlineStr">
        <x:is>
          <x:t xml:space="preserve">江苏省镇江市恒顺大道66号</x:t>
        </x:is>
      </x:c>
      <x:c r="K3062" s="12" t="str">
        <x:f>LEFT("91321100608834062C",18)</x:f>
        <x:v>91321100608834062C</x:v>
      </x:c>
    </x:row>
    <x:row r="3063">
      <x:c r="A3063" s="4" t="n">
        <x:v>3062</x:v>
      </x:c>
      <x:c r="B3063" s="4" t="inlineStr">
        <x:is>
          <x:t xml:space="preserve">600327</x:t>
        </x:is>
      </x:c>
      <x:c r="C3063" s="5" t="inlineStr">
        <x:is>
          <x:t xml:space="preserve">大东方</x:t>
        </x:is>
      </x:c>
      <x:c r="D3063" s="5" t="inlineStr">
        <x:is>
          <x:t xml:space="preserve">无锡商业大厦大东方股份有限公司</x:t>
        </x:is>
      </x:c>
      <x:c r="E3063" s="4" t="inlineStr">
        <x:is>
          <x:t xml:space="preserve">江苏省</x:t>
        </x:is>
      </x:c>
      <x:c r="F3063" s="4" t="inlineStr">
        <x:is>
          <x:t xml:space="preserve">无锡市</x:t>
        </x:is>
      </x:c>
      <x:c r="G3063" s="5" t="inlineStr">
        <x:is>
          <x:t xml:space="preserve">江苏省-无锡市</x:t>
        </x:is>
      </x:c>
      <x:c r="H3063" s="4" t="inlineStr">
        <x:is>
          <x:t xml:space="preserve">医疗服务</x:t>
        </x:is>
      </x:c>
      <x:c r="I3063" s="4" t="inlineStr">
        <x:is>
          <x:t xml:space="preserve">2002-06-25</x:t>
        </x:is>
      </x:c>
      <x:c r="J3063" s="5" t="inlineStr">
        <x:is>
          <x:t xml:space="preserve">江苏省无锡市中山路343号</x:t>
        </x:is>
      </x:c>
      <x:c r="K3063" s="12" t="str">
        <x:f>LEFT("91320200703514737E",18)</x:f>
        <x:v>91320200703514737E</x:v>
      </x:c>
    </x:row>
    <x:row r="3064">
      <x:c r="A3064" s="2" t="n">
        <x:v>3063</x:v>
      </x:c>
      <x:c r="B3064" s="2" t="inlineStr">
        <x:is>
          <x:t xml:space="preserve">600370</x:t>
        </x:is>
      </x:c>
      <x:c r="C3064" s="3" t="inlineStr">
        <x:is>
          <x:t xml:space="preserve">三房巷</x:t>
        </x:is>
      </x:c>
      <x:c r="D3064" s="3" t="inlineStr">
        <x:is>
          <x:t xml:space="preserve">江苏三房巷聚材股份有限公司</x:t>
        </x:is>
      </x:c>
      <x:c r="E3064" s="2" t="inlineStr">
        <x:is>
          <x:t xml:space="preserve">江苏省</x:t>
        </x:is>
      </x:c>
      <x:c r="F3064" s="2" t="inlineStr">
        <x:is>
          <x:t xml:space="preserve">苏省江阴市</x:t>
        </x:is>
      </x:c>
      <x:c r="G3064" s="3" t="inlineStr">
        <x:is>
          <x:t xml:space="preserve">江苏省-苏省江阴市</x:t>
        </x:is>
      </x:c>
      <x:c r="H3064" s="2" t="inlineStr">
        <x:is>
          <x:t xml:space="preserve">化学制品</x:t>
        </x:is>
      </x:c>
      <x:c r="I3064" s="2" t="inlineStr">
        <x:is>
          <x:t xml:space="preserve">2003-03-06</x:t>
        </x:is>
      </x:c>
      <x:c r="J3064" s="3" t="inlineStr">
        <x:is>
          <x:t xml:space="preserve">江苏省江阴市周庄镇三房巷村</x:t>
        </x:is>
      </x:c>
      <x:c r="K3064" s="12" t="str">
        <x:f>LEFT("91320200134792429F",18)</x:f>
        <x:v>91320200134792429F</x:v>
      </x:c>
    </x:row>
    <x:row r="3065">
      <x:c r="A3065" s="4" t="n">
        <x:v>3064</x:v>
      </x:c>
      <x:c r="B3065" s="4" t="inlineStr">
        <x:is>
          <x:t xml:space="preserve">600377</x:t>
        </x:is>
      </x:c>
      <x:c r="C3065" s="5" t="inlineStr">
        <x:is>
          <x:t xml:space="preserve">宁沪高速</x:t>
        </x:is>
      </x:c>
      <x:c r="D3065" s="5" t="inlineStr">
        <x:is>
          <x:t xml:space="preserve">江苏宁沪高速公路股份有限公司</x:t>
        </x:is>
      </x:c>
      <x:c r="E3065" s="4" t="inlineStr">
        <x:is>
          <x:t xml:space="preserve">江苏省</x:t>
        </x:is>
      </x:c>
      <x:c r="F3065" s="4" t="inlineStr">
        <x:is>
          <x:t xml:space="preserve">南京市</x:t>
        </x:is>
      </x:c>
      <x:c r="G3065" s="5" t="inlineStr">
        <x:is>
          <x:t xml:space="preserve">江苏省-南京市</x:t>
        </x:is>
      </x:c>
      <x:c r="H3065" s="4" t="inlineStr">
        <x:is>
          <x:t xml:space="preserve">高速公路</x:t>
        </x:is>
      </x:c>
      <x:c r="I3065" s="4" t="inlineStr">
        <x:is>
          <x:t xml:space="preserve">2001-01-16</x:t>
        </x:is>
      </x:c>
      <x:c r="J3065" s="5" t="inlineStr">
        <x:is>
          <x:t xml:space="preserve">中国江苏省南京市仙林大道6号</x:t>
        </x:is>
      </x:c>
      <x:c r="K3065" s="12" t="str">
        <x:f>LEFT("91320000134762764K",18)</x:f>
        <x:v>91320000134762764K</x:v>
      </x:c>
    </x:row>
    <x:row r="3066">
      <x:c r="A3066" s="2" t="n">
        <x:v>3065</x:v>
      </x:c>
      <x:c r="B3066" s="2" t="inlineStr">
        <x:is>
          <x:t xml:space="preserve">600389</x:t>
        </x:is>
      </x:c>
      <x:c r="C3066" s="3" t="inlineStr">
        <x:is>
          <x:t xml:space="preserve">江山股份</x:t>
        </x:is>
      </x:c>
      <x:c r="D3066" s="3" t="inlineStr">
        <x:is>
          <x:t xml:space="preserve">南通江山农药化工股份有限公司</x:t>
        </x:is>
      </x:c>
      <x:c r="E3066" s="2" t="inlineStr">
        <x:is>
          <x:t xml:space="preserve">江苏省</x:t>
        </x:is>
      </x:c>
      <x:c r="F3066" s="2" t="inlineStr">
        <x:is>
          <x:t xml:space="preserve">南通市</x:t>
        </x:is>
      </x:c>
      <x:c r="G3066" s="3" t="inlineStr">
        <x:is>
          <x:t xml:space="preserve">江苏省-南通市</x:t>
        </x:is>
      </x:c>
      <x:c r="H3066" s="2" t="inlineStr">
        <x:is>
          <x:t xml:space="preserve">农药兽药</x:t>
        </x:is>
      </x:c>
      <x:c r="I3066" s="2" t="inlineStr">
        <x:is>
          <x:t xml:space="preserve">2001-01-10</x:t>
        </x:is>
      </x:c>
      <x:c r="J3066" s="3" t="inlineStr">
        <x:is>
          <x:t xml:space="preserve">江苏省南通市经济技术开发区江山路998号</x:t>
        </x:is>
      </x:c>
      <x:c r="K3066" s="12" t="str">
        <x:f>LEFT("91320600138299113X",18)</x:f>
        <x:v>91320600138299113X</x:v>
      </x:c>
    </x:row>
    <x:row r="3067">
      <x:c r="A3067" s="4" t="n">
        <x:v>3066</x:v>
      </x:c>
      <x:c r="B3067" s="4" t="inlineStr">
        <x:is>
          <x:t xml:space="preserve">600398</x:t>
        </x:is>
      </x:c>
      <x:c r="C3067" s="5" t="inlineStr">
        <x:is>
          <x:t xml:space="preserve">海澜之家</x:t>
        </x:is>
      </x:c>
      <x:c r="D3067" s="5" t="inlineStr">
        <x:is>
          <x:t xml:space="preserve">海澜之家集团股份有限公司</x:t>
        </x:is>
      </x:c>
      <x:c r="E3067" s="4" t="inlineStr">
        <x:is>
          <x:t xml:space="preserve">江苏省</x:t>
        </x:is>
      </x:c>
      <x:c r="F3067" s="4" t="inlineStr">
        <x:is>
          <x:t xml:space="preserve">苏省江阴市</x:t>
        </x:is>
      </x:c>
      <x:c r="G3067" s="5" t="inlineStr">
        <x:is>
          <x:t xml:space="preserve">江苏省-苏省江阴市</x:t>
        </x:is>
      </x:c>
      <x:c r="H3067" s="4" t="inlineStr">
        <x:is>
          <x:t xml:space="preserve">纺织服装</x:t>
        </x:is>
      </x:c>
      <x:c r="I3067" s="4" t="inlineStr">
        <x:is>
          <x:t xml:space="preserve">2000-12-28</x:t>
        </x:is>
      </x:c>
      <x:c r="J3067" s="5" t="inlineStr">
        <x:is>
          <x:t xml:space="preserve">江苏省江阴市新桥镇</x:t>
        </x:is>
      </x:c>
      <x:c r="K3067" s="12" t="str">
        <x:f>LEFT("91320200703519028W",18)</x:f>
        <x:v>91320200703519028W</x:v>
      </x:c>
    </x:row>
    <x:row r="3068">
      <x:c r="A3068" s="2" t="n">
        <x:v>3067</x:v>
      </x:c>
      <x:c r="B3068" s="2" t="inlineStr">
        <x:is>
          <x:t xml:space="preserve">600400</x:t>
        </x:is>
      </x:c>
      <x:c r="C3068" s="3" t="inlineStr">
        <x:is>
          <x:t xml:space="preserve">红豆股份</x:t>
        </x:is>
      </x:c>
      <x:c r="D3068" s="3" t="inlineStr">
        <x:is>
          <x:t xml:space="preserve">江苏红豆实业股份有限公司</x:t>
        </x:is>
      </x:c>
      <x:c r="E3068" s="2" t="inlineStr">
        <x:is>
          <x:t xml:space="preserve">江苏省</x:t>
        </x:is>
      </x:c>
      <x:c r="F3068" s="2" t="inlineStr">
        <x:is>
          <x:t xml:space="preserve">无锡市</x:t>
        </x:is>
      </x:c>
      <x:c r="G3068" s="3" t="inlineStr">
        <x:is>
          <x:t xml:space="preserve">江苏省-无锡市</x:t>
        </x:is>
      </x:c>
      <x:c r="H3068" s="2" t="inlineStr">
        <x:is>
          <x:t xml:space="preserve">纺织服装</x:t>
        </x:is>
      </x:c>
      <x:c r="I3068" s="2" t="inlineStr">
        <x:is>
          <x:t xml:space="preserve">2001-01-08</x:t>
        </x:is>
      </x:c>
      <x:c r="J3068" s="3" t="inlineStr">
        <x:is>
          <x:t xml:space="preserve">江苏省无锡市锡山区东港镇</x:t>
        </x:is>
      </x:c>
      <x:c r="K3068" s="12" t="str">
        <x:f>LEFT("91320200704045688Q",18)</x:f>
        <x:v>91320200704045688Q</x:v>
      </x:c>
    </x:row>
    <x:row r="3069">
      <x:c r="A3069" s="4" t="n">
        <x:v>3068</x:v>
      </x:c>
      <x:c r="B3069" s="4" t="inlineStr">
        <x:is>
          <x:t xml:space="preserve">600406</x:t>
        </x:is>
      </x:c>
      <x:c r="C3069" s="5" t="inlineStr">
        <x:is>
          <x:t xml:space="preserve">国电南瑞</x:t>
        </x:is>
      </x:c>
      <x:c r="D3069" s="5" t="inlineStr">
        <x:is>
          <x:t xml:space="preserve">国电南瑞科技股份有限公司</x:t>
        </x:is>
      </x:c>
      <x:c r="E3069" s="4" t="inlineStr">
        <x:is>
          <x:t xml:space="preserve">江苏省</x:t>
        </x:is>
      </x:c>
      <x:c r="F3069" s="4" t="inlineStr">
        <x:is>
          <x:t xml:space="preserve">南京市</x:t>
        </x:is>
      </x:c>
      <x:c r="G3069" s="5" t="inlineStr">
        <x:is>
          <x:t xml:space="preserve">江苏省-南京市</x:t>
        </x:is>
      </x:c>
      <x:c r="H3069" s="4" t="inlineStr">
        <x:is>
          <x:t xml:space="preserve">输配电气</x:t>
        </x:is>
      </x:c>
      <x:c r="I3069" s="4" t="inlineStr">
        <x:is>
          <x:t xml:space="preserve">2003-10-16</x:t>
        </x:is>
      </x:c>
      <x:c r="J3069" s="5" t="inlineStr">
        <x:is>
          <x:t xml:space="preserve">南京市江宁经济技术开发区诚信大道19号2幢</x:t>
        </x:is>
      </x:c>
      <x:c r="K3069" s="12" t="str">
        <x:f>LEFT("91320191726079387X",18)</x:f>
        <x:v>91320191726079387X</x:v>
      </x:c>
    </x:row>
    <x:row r="3070">
      <x:c r="A3070" s="2" t="n">
        <x:v>3069</x:v>
      </x:c>
      <x:c r="B3070" s="2" t="inlineStr">
        <x:is>
          <x:t xml:space="preserve">600475</x:t>
        </x:is>
      </x:c>
      <x:c r="C3070" s="3" t="inlineStr">
        <x:is>
          <x:t xml:space="preserve">华光环能</x:t>
        </x:is>
      </x:c>
      <x:c r="D3070" s="3" t="inlineStr">
        <x:is>
          <x:t xml:space="preserve">无锡华光环保能源集团股份有限公司</x:t>
        </x:is>
      </x:c>
      <x:c r="E3070" s="2" t="inlineStr">
        <x:is>
          <x:t xml:space="preserve">江苏省</x:t>
        </x:is>
      </x:c>
      <x:c r="F3070" s="2" t="inlineStr">
        <x:is>
          <x:t xml:space="preserve">无锡市</x:t>
        </x:is>
      </x:c>
      <x:c r="G3070" s="3" t="inlineStr">
        <x:is>
          <x:t xml:space="preserve">江苏省-无锡市</x:t>
        </x:is>
      </x:c>
      <x:c r="H3070" s="2" t="inlineStr">
        <x:is>
          <x:t xml:space="preserve">电源设备</x:t>
        </x:is>
      </x:c>
      <x:c r="I3070" s="2" t="inlineStr">
        <x:is>
          <x:t xml:space="preserve">2003-07-21</x:t>
        </x:is>
      </x:c>
      <x:c r="J3070" s="3" t="inlineStr">
        <x:is>
          <x:t xml:space="preserve">无锡市城南路3号</x:t>
        </x:is>
      </x:c>
      <x:c r="K3070" s="12" t="str">
        <x:f>LEFT("91320200720584462Q",18)</x:f>
        <x:v>91320200720584462Q</x:v>
      </x:c>
    </x:row>
    <x:row r="3071">
      <x:c r="A3071" s="4" t="n">
        <x:v>3070</x:v>
      </x:c>
      <x:c r="B3071" s="4" t="inlineStr">
        <x:is>
          <x:t xml:space="preserve">600481</x:t>
        </x:is>
      </x:c>
      <x:c r="C3071" s="5" t="inlineStr">
        <x:is>
          <x:t xml:space="preserve">双良节能</x:t>
        </x:is>
      </x:c>
      <x:c r="D3071" s="5" t="inlineStr">
        <x:is>
          <x:t xml:space="preserve">双良节能系统股份有限公司</x:t>
        </x:is>
      </x:c>
      <x:c r="E3071" s="4" t="inlineStr">
        <x:is>
          <x:t xml:space="preserve">江苏省</x:t>
        </x:is>
      </x:c>
      <x:c r="F3071" s="4" t="inlineStr">
        <x:is>
          <x:t xml:space="preserve">苏省江阴市</x:t>
        </x:is>
      </x:c>
      <x:c r="G3071" s="5" t="inlineStr">
        <x:is>
          <x:t xml:space="preserve">江苏省-苏省江阴市</x:t>
        </x:is>
      </x:c>
      <x:c r="H3071" s="4" t="inlineStr">
        <x:is>
          <x:t xml:space="preserve">光伏设备</x:t>
        </x:is>
      </x:c>
      <x:c r="I3071" s="4" t="inlineStr">
        <x:is>
          <x:t xml:space="preserve">2003-04-22</x:t>
        </x:is>
      </x:c>
      <x:c r="J3071" s="5" t="inlineStr">
        <x:is>
          <x:t xml:space="preserve">江苏省江阴市利港镇</x:t>
        </x:is>
      </x:c>
      <x:c r="K3071" s="12" t="str">
        <x:f>LEFT("91320200607984659Y",18)</x:f>
        <x:v>91320200607984659Y</x:v>
      </x:c>
    </x:row>
    <x:row r="3072">
      <x:c r="A3072" s="2" t="n">
        <x:v>3071</x:v>
      </x:c>
      <x:c r="B3072" s="2" t="inlineStr">
        <x:is>
          <x:t xml:space="preserve">600486</x:t>
        </x:is>
      </x:c>
      <x:c r="C3072" s="3" t="inlineStr">
        <x:is>
          <x:t xml:space="preserve">扬农化工</x:t>
        </x:is>
      </x:c>
      <x:c r="D3072" s="3" t="inlineStr">
        <x:is>
          <x:t xml:space="preserve">江苏扬农化工股份有限公司</x:t>
        </x:is>
      </x:c>
      <x:c r="E3072" s="2" t="inlineStr">
        <x:is>
          <x:t xml:space="preserve">江苏省</x:t>
        </x:is>
      </x:c>
      <x:c r="F3072" s="2" t="inlineStr">
        <x:is>
          <x:t xml:space="preserve">扬州市</x:t>
        </x:is>
      </x:c>
      <x:c r="G3072" s="3" t="inlineStr">
        <x:is>
          <x:t xml:space="preserve">江苏省-扬州市</x:t>
        </x:is>
      </x:c>
      <x:c r="H3072" s="2" t="inlineStr">
        <x:is>
          <x:t xml:space="preserve">农药兽药</x:t>
        </x:is>
      </x:c>
      <x:c r="I3072" s="2" t="inlineStr">
        <x:is>
          <x:t xml:space="preserve">2002-04-25</x:t>
        </x:is>
      </x:c>
      <x:c r="J3072" s="3" t="inlineStr">
        <x:is>
          <x:t xml:space="preserve">江苏省扬州市文峰路39号</x:t>
        </x:is>
      </x:c>
      <x:c r="K3072" s="12" t="str">
        <x:f>LEFT("91321000714092832H",18)</x:f>
        <x:v>91321000714092832H</x:v>
      </x:c>
    </x:row>
    <x:row r="3073">
      <x:c r="A3073" s="4" t="n">
        <x:v>3072</x:v>
      </x:c>
      <x:c r="B3073" s="4" t="inlineStr">
        <x:is>
          <x:t xml:space="preserve">600487</x:t>
        </x:is>
      </x:c>
      <x:c r="C3073" s="5" t="inlineStr">
        <x:is>
          <x:t xml:space="preserve">亨通光电</x:t>
        </x:is>
      </x:c>
      <x:c r="D3073" s="5" t="inlineStr">
        <x:is>
          <x:t xml:space="preserve">江苏亨通光电股份有限公司</x:t>
        </x:is>
      </x:c>
      <x:c r="E3073" s="4" t="inlineStr">
        <x:is>
          <x:t xml:space="preserve">江苏省</x:t>
        </x:is>
      </x:c>
      <x:c r="F3073" s="4" t="inlineStr">
        <x:is>
          <x:t xml:space="preserve">苏州市</x:t>
        </x:is>
      </x:c>
      <x:c r="G3073" s="5" t="inlineStr">
        <x:is>
          <x:t xml:space="preserve">江苏省-苏州市</x:t>
        </x:is>
      </x:c>
      <x:c r="H3073" s="4" t="inlineStr">
        <x:is>
          <x:t xml:space="preserve">通讯行业</x:t>
        </x:is>
      </x:c>
      <x:c r="I3073" s="4" t="inlineStr">
        <x:is>
          <x:t xml:space="preserve">2003-08-22</x:t>
        </x:is>
      </x:c>
      <x:c r="J3073" s="5" t="inlineStr">
        <x:is>
          <x:t xml:space="preserve">江苏省吴江区七都镇亨通大道88号</x:t>
        </x:is>
      </x:c>
      <x:c r="K3073" s="12" t="str">
        <x:f>LEFT("91320500608296911W",18)</x:f>
        <x:v>91320500608296911W</x:v>
      </x:c>
    </x:row>
    <x:row r="3074">
      <x:c r="A3074" s="2" t="n">
        <x:v>3073</x:v>
      </x:c>
      <x:c r="B3074" s="2" t="inlineStr">
        <x:is>
          <x:t xml:space="preserve">600501</x:t>
        </x:is>
      </x:c>
      <x:c r="C3074" s="3" t="inlineStr">
        <x:is>
          <x:t xml:space="preserve">航天晨光</x:t>
        </x:is>
      </x:c>
      <x:c r="D3074" s="3" t="inlineStr">
        <x:is>
          <x:t xml:space="preserve">航天晨光股份有限公司</x:t>
        </x:is>
      </x:c>
      <x:c r="E3074" s="2" t="inlineStr">
        <x:is>
          <x:t xml:space="preserve">江苏省</x:t>
        </x:is>
      </x:c>
      <x:c r="F3074" s="2" t="inlineStr">
        <x:is>
          <x:t xml:space="preserve">南京市</x:t>
        </x:is>
      </x:c>
      <x:c r="G3074" s="3" t="inlineStr">
        <x:is>
          <x:t xml:space="preserve">江苏省-南京市</x:t>
        </x:is>
      </x:c>
      <x:c r="H3074" s="2" t="inlineStr">
        <x:is>
          <x:t xml:space="preserve">专用设备</x:t>
        </x:is>
      </x:c>
      <x:c r="I3074" s="2" t="inlineStr">
        <x:is>
          <x:t xml:space="preserve">2001-06-15</x:t>
        </x:is>
      </x:c>
      <x:c r="J3074" s="3" t="inlineStr">
        <x:is>
          <x:t xml:space="preserve">江苏省南京市江宁经济技术开发区天元中路188号</x:t>
        </x:is>
      </x:c>
      <x:c r="K3074" s="12" t="str">
        <x:f>LEFT("91320000714091899R",18)</x:f>
        <x:v>91320000714091899R</x:v>
      </x:c>
    </x:row>
    <x:row r="3075">
      <x:c r="A3075" s="4" t="n">
        <x:v>3074</x:v>
      </x:c>
      <x:c r="B3075" s="4" t="inlineStr">
        <x:is>
          <x:t xml:space="preserve">600510</x:t>
        </x:is>
      </x:c>
      <x:c r="C3075" s="5" t="inlineStr">
        <x:is>
          <x:t xml:space="preserve">黑牡丹</x:t>
        </x:is>
      </x:c>
      <x:c r="D3075" s="5" t="inlineStr">
        <x:is>
          <x:t xml:space="preserve">黑牡丹(集团)股份有限公司</x:t>
        </x:is>
      </x:c>
      <x:c r="E3075" s="4" t="inlineStr">
        <x:is>
          <x:t xml:space="preserve">江苏省</x:t>
        </x:is>
      </x:c>
      <x:c r="F3075" s="4" t="inlineStr">
        <x:is>
          <x:t xml:space="preserve">常州市</x:t>
        </x:is>
      </x:c>
      <x:c r="G3075" s="5" t="inlineStr">
        <x:is>
          <x:t xml:space="preserve">江苏省-常州市</x:t>
        </x:is>
      </x:c>
      <x:c r="H3075" s="4" t="inlineStr">
        <x:is>
          <x:t xml:space="preserve">房地产开发</x:t>
        </x:is>
      </x:c>
      <x:c r="I3075" s="4" t="inlineStr">
        <x:is>
          <x:t xml:space="preserve">2002-06-18</x:t>
        </x:is>
      </x:c>
      <x:c r="J3075" s="5" t="inlineStr">
        <x:is>
          <x:t xml:space="preserve">江苏省常州市青洋北路47号</x:t>
        </x:is>
      </x:c>
      <x:c r="K3075" s="12" t="str">
        <x:f>LEFT("913204001371876030",18)</x:f>
        <x:v>913204001371876000</x:v>
      </x:c>
    </x:row>
    <x:row r="3076">
      <x:c r="A3076" s="2" t="n">
        <x:v>3075</x:v>
      </x:c>
      <x:c r="B3076" s="2" t="inlineStr">
        <x:is>
          <x:t xml:space="preserve">600513</x:t>
        </x:is>
      </x:c>
      <x:c r="C3076" s="3" t="inlineStr">
        <x:is>
          <x:t xml:space="preserve">联环药业</x:t>
        </x:is>
      </x:c>
      <x:c r="D3076" s="3" t="inlineStr">
        <x:is>
          <x:t xml:space="preserve">江苏联环药业股份有限公司</x:t>
        </x:is>
      </x:c>
      <x:c r="E3076" s="2" t="inlineStr">
        <x:is>
          <x:t xml:space="preserve">江苏省</x:t>
        </x:is>
      </x:c>
      <x:c r="F3076" s="2" t="inlineStr">
        <x:is>
          <x:t xml:space="preserve">扬州市</x:t>
        </x:is>
      </x:c>
      <x:c r="G3076" s="3" t="inlineStr">
        <x:is>
          <x:t xml:space="preserve">江苏省-扬州市</x:t>
        </x:is>
      </x:c>
      <x:c r="H3076" s="2" t="inlineStr">
        <x:is>
          <x:t xml:space="preserve">医药制造</x:t>
        </x:is>
      </x:c>
      <x:c r="I3076" s="2" t="inlineStr">
        <x:is>
          <x:t xml:space="preserve">2003-03-19</x:t>
        </x:is>
      </x:c>
      <x:c r="J3076" s="3" t="inlineStr">
        <x:is>
          <x:t xml:space="preserve">江苏省扬州市扬州生物健康产业园健康一路9号</x:t>
        </x:is>
      </x:c>
      <x:c r="K3076" s="12" t="str">
        <x:f>LEFT("91321000714094280W",18)</x:f>
        <x:v>91321000714094280W</x:v>
      </x:c>
    </x:row>
    <x:row r="3077">
      <x:c r="A3077" s="4" t="n">
        <x:v>3076</x:v>
      </x:c>
      <x:c r="B3077" s="4" t="inlineStr">
        <x:is>
          <x:t xml:space="preserve">600522</x:t>
        </x:is>
      </x:c>
      <x:c r="C3077" s="5" t="inlineStr">
        <x:is>
          <x:t xml:space="preserve">中天科技</x:t>
        </x:is>
      </x:c>
      <x:c r="D3077" s="5" t="inlineStr">
        <x:is>
          <x:t xml:space="preserve">江苏中天科技股份有限公司</x:t>
        </x:is>
      </x:c>
      <x:c r="E3077" s="4" t="inlineStr">
        <x:is>
          <x:t xml:space="preserve">江苏省</x:t>
        </x:is>
      </x:c>
      <x:c r="F3077" s="4" t="inlineStr">
        <x:is>
          <x:t xml:space="preserve">南通市</x:t>
        </x:is>
      </x:c>
      <x:c r="G3077" s="5" t="inlineStr">
        <x:is>
          <x:t xml:space="preserve">江苏省-南通市</x:t>
        </x:is>
      </x:c>
      <x:c r="H3077" s="4" t="inlineStr">
        <x:is>
          <x:t xml:space="preserve">通信设备</x:t>
        </x:is>
      </x:c>
      <x:c r="I3077" s="4" t="inlineStr">
        <x:is>
          <x:t xml:space="preserve">2002-10-24</x:t>
        </x:is>
      </x:c>
      <x:c r="J3077" s="5" t="inlineStr">
        <x:is>
          <x:t xml:space="preserve">江苏省如东县河口镇中天村</x:t>
        </x:is>
      </x:c>
      <x:c r="K3077" s="12" t="str">
        <x:f>LEFT("91320600138670947L",18)</x:f>
        <x:v>91320600138670947L</x:v>
      </x:c>
    </x:row>
    <x:row r="3078">
      <x:c r="A3078" s="2" t="n">
        <x:v>3077</x:v>
      </x:c>
      <x:c r="B3078" s="2" t="inlineStr">
        <x:is>
          <x:t xml:space="preserve">600527</x:t>
        </x:is>
      </x:c>
      <x:c r="C3078" s="3" t="inlineStr">
        <x:is>
          <x:t xml:space="preserve">江南高纤</x:t>
        </x:is>
      </x:c>
      <x:c r="D3078" s="3" t="inlineStr">
        <x:is>
          <x:t xml:space="preserve">江苏江南高纤股份有限公司</x:t>
        </x:is>
      </x:c>
      <x:c r="E3078" s="2" t="inlineStr">
        <x:is>
          <x:t xml:space="preserve">江苏省</x:t>
        </x:is>
      </x:c>
      <x:c r="F3078" s="2" t="inlineStr">
        <x:is>
          <x:t xml:space="preserve">苏州市</x:t>
        </x:is>
      </x:c>
      <x:c r="G3078" s="3" t="inlineStr">
        <x:is>
          <x:t xml:space="preserve">江苏省-苏州市</x:t>
        </x:is>
      </x:c>
      <x:c r="H3078" s="2" t="inlineStr">
        <x:is>
          <x:t xml:space="preserve">化纤行业</x:t>
        </x:is>
      </x:c>
      <x:c r="I3078" s="2" t="inlineStr">
        <x:is>
          <x:t xml:space="preserve">2003-11-27</x:t>
        </x:is>
      </x:c>
      <x:c r="J3078" s="3" t="inlineStr">
        <x:is>
          <x:t xml:space="preserve">江苏省苏州市相城区黄埭镇苏阳路7号</x:t>
        </x:is>
      </x:c>
      <x:c r="K3078" s="12" t="str">
        <x:f>LEFT("91320500138188034N",18)</x:f>
        <x:v>91320500138188034N</x:v>
      </x:c>
    </x:row>
    <x:row r="3079">
      <x:c r="A3079" s="4" t="n">
        <x:v>3078</x:v>
      </x:c>
      <x:c r="B3079" s="4" t="inlineStr">
        <x:is>
          <x:t xml:space="preserve">600533</x:t>
        </x:is>
      </x:c>
      <x:c r="C3079" s="5" t="inlineStr">
        <x:is>
          <x:t xml:space="preserve">栖霞建设</x:t>
        </x:is>
      </x:c>
      <x:c r="D3079" s="5" t="inlineStr">
        <x:is>
          <x:t xml:space="preserve">南京栖霞建设股份有限公司</x:t>
        </x:is>
      </x:c>
      <x:c r="E3079" s="4" t="inlineStr">
        <x:is>
          <x:t xml:space="preserve">江苏省</x:t>
        </x:is>
      </x:c>
      <x:c r="F3079" s="4" t="inlineStr">
        <x:is>
          <x:t xml:space="preserve">南京市</x:t>
        </x:is>
      </x:c>
      <x:c r="G3079" s="5" t="inlineStr">
        <x:is>
          <x:t xml:space="preserve">江苏省-南京市</x:t>
        </x:is>
      </x:c>
      <x:c r="H3079" s="4" t="inlineStr">
        <x:is>
          <x:t xml:space="preserve">房地产</x:t>
        </x:is>
      </x:c>
      <x:c r="I3079" s="4" t="inlineStr">
        <x:is>
          <x:t xml:space="preserve">2002-03-28</x:t>
        </x:is>
      </x:c>
      <x:c r="J3079" s="5" t="inlineStr">
        <x:is>
          <x:t xml:space="preserve">南京市栖霞区仙林大道99号8幢</x:t>
        </x:is>
      </x:c>
      <x:c r="K3079" s="12" t="str">
        <x:f>LEFT("91320100721702184R",18)</x:f>
        <x:v>91320100721702184R</x:v>
      </x:c>
    </x:row>
    <x:row r="3080">
      <x:c r="A3080" s="2" t="n">
        <x:v>3079</x:v>
      </x:c>
      <x:c r="B3080" s="2" t="inlineStr">
        <x:is>
          <x:t xml:space="preserve">600557</x:t>
        </x:is>
      </x:c>
      <x:c r="C3080" s="3" t="inlineStr">
        <x:is>
          <x:t xml:space="preserve">康缘药业</x:t>
        </x:is>
      </x:c>
      <x:c r="D3080" s="3" t="inlineStr">
        <x:is>
          <x:t xml:space="preserve">江苏康缘药业股份有限公司</x:t>
        </x:is>
      </x:c>
      <x:c r="E3080" s="2" t="inlineStr">
        <x:is>
          <x:t xml:space="preserve">江苏省</x:t>
        </x:is>
      </x:c>
      <x:c r="F3080" s="2" t="inlineStr">
        <x:is>
          <x:t xml:space="preserve">连云港市</x:t>
        </x:is>
      </x:c>
      <x:c r="G3080" s="3" t="inlineStr">
        <x:is>
          <x:t xml:space="preserve">江苏省-连云港市</x:t>
        </x:is>
      </x:c>
      <x:c r="H3080" s="2" t="inlineStr">
        <x:is>
          <x:t xml:space="preserve">中药</x:t>
        </x:is>
      </x:c>
      <x:c r="I3080" s="2" t="inlineStr">
        <x:is>
          <x:t xml:space="preserve">2002-09-18</x:t>
        </x:is>
      </x:c>
      <x:c r="J3080" s="3" t="inlineStr">
        <x:is>
          <x:t xml:space="preserve">江苏省连云港市经济技术开发区江宁工业城</x:t>
        </x:is>
      </x:c>
      <x:c r="K3080" s="12" t="str">
        <x:f>LEFT("91320700138997640W",18)</x:f>
        <x:v>91320700138997640W</x:v>
      </x:c>
    </x:row>
    <x:row r="3081">
      <x:c r="A3081" s="4" t="n">
        <x:v>3080</x:v>
      </x:c>
      <x:c r="B3081" s="4" t="inlineStr">
        <x:is>
          <x:t xml:space="preserve">600562</x:t>
        </x:is>
      </x:c>
      <x:c r="C3081" s="5" t="inlineStr">
        <x:is>
          <x:t xml:space="preserve">国睿科技</x:t>
        </x:is>
      </x:c>
      <x:c r="D3081" s="5" t="inlineStr">
        <x:is>
          <x:t xml:space="preserve">国睿科技股份有限公司</x:t>
        </x:is>
      </x:c>
      <x:c r="E3081" s="4" t="inlineStr">
        <x:is>
          <x:t xml:space="preserve">江苏省</x:t>
        </x:is>
      </x:c>
      <x:c r="F3081" s="4" t="inlineStr">
        <x:is>
          <x:t xml:space="preserve">南京市</x:t>
        </x:is>
      </x:c>
      <x:c r="G3081" s="5" t="inlineStr">
        <x:is>
          <x:t xml:space="preserve">江苏省-南京市</x:t>
        </x:is>
      </x:c>
      <x:c r="H3081" s="4" t="inlineStr">
        <x:is>
          <x:t xml:space="preserve">通信设备</x:t>
        </x:is>
      </x:c>
      <x:c r="I3081" s="4" t="inlineStr">
        <x:is>
          <x:t xml:space="preserve">2003-01-28</x:t>
        </x:is>
      </x:c>
      <x:c r="J3081" s="5" t="inlineStr">
        <x:is>
          <x:t xml:space="preserve">南京市高淳经济开发区荆山路8号1幢</x:t>
        </x:is>
      </x:c>
      <x:c r="K3081" s="12" t="str">
        <x:f>LEFT("91320100135847161T",18)</x:f>
        <x:v>91320100135847161T</x:v>
      </x:c>
    </x:row>
    <x:row r="3082">
      <x:c r="A3082" s="2" t="n">
        <x:v>3081</x:v>
      </x:c>
      <x:c r="B3082" s="2" t="inlineStr">
        <x:is>
          <x:t xml:space="preserve">600584</x:t>
        </x:is>
      </x:c>
      <x:c r="C3082" s="3" t="inlineStr">
        <x:is>
          <x:t xml:space="preserve">长电科技</x:t>
        </x:is>
      </x:c>
      <x:c r="D3082" s="3" t="inlineStr">
        <x:is>
          <x:t xml:space="preserve">江苏长电科技股份有限公司</x:t>
        </x:is>
      </x:c>
      <x:c r="E3082" s="2" t="inlineStr">
        <x:is>
          <x:t xml:space="preserve">江苏省</x:t>
        </x:is>
      </x:c>
      <x:c r="F3082" s="2" t="inlineStr">
        <x:is>
          <x:t xml:space="preserve">苏省江阴市</x:t>
        </x:is>
      </x:c>
      <x:c r="G3082" s="3" t="inlineStr">
        <x:is>
          <x:t xml:space="preserve">江苏省-苏省江阴市</x:t>
        </x:is>
      </x:c>
      <x:c r="H3082" s="2" t="inlineStr">
        <x:is>
          <x:t xml:space="preserve">半导体</x:t>
        </x:is>
      </x:c>
      <x:c r="I3082" s="2" t="inlineStr">
        <x:is>
          <x:t xml:space="preserve">2003-06-03</x:t>
        </x:is>
      </x:c>
      <x:c r="J3082" s="3" t="inlineStr">
        <x:is>
          <x:t xml:space="preserve">江苏省江阴市澄江镇长山路78号</x:t>
        </x:is>
      </x:c>
      <x:c r="K3082" s="12" t="str">
        <x:f>LEFT("91320200142248781B",18)</x:f>
        <x:v>91320200142248781B</x:v>
      </x:c>
    </x:row>
    <x:row r="3083">
      <x:c r="A3083" s="4" t="n">
        <x:v>3082</x:v>
      </x:c>
      <x:c r="B3083" s="4" t="inlineStr">
        <x:is>
          <x:t xml:space="preserve">600667</x:t>
        </x:is>
      </x:c>
      <x:c r="C3083" s="5" t="inlineStr">
        <x:is>
          <x:t xml:space="preserve">太极实业</x:t>
        </x:is>
      </x:c>
      <x:c r="D3083" s="5" t="inlineStr">
        <x:is>
          <x:t xml:space="preserve">无锡市太极实业股份有限公司</x:t>
        </x:is>
      </x:c>
      <x:c r="E3083" s="4" t="inlineStr">
        <x:is>
          <x:t xml:space="preserve">江苏省</x:t>
        </x:is>
      </x:c>
      <x:c r="F3083" s="4" t="inlineStr">
        <x:is>
          <x:t xml:space="preserve">无锡市</x:t>
        </x:is>
      </x:c>
      <x:c r="G3083" s="5" t="inlineStr">
        <x:is>
          <x:t xml:space="preserve">江苏省-无锡市</x:t>
        </x:is>
      </x:c>
      <x:c r="H3083" s="4" t="inlineStr">
        <x:is>
          <x:t xml:space="preserve">工程建设</x:t>
        </x:is>
      </x:c>
      <x:c r="I3083" s="4" t="inlineStr">
        <x:is>
          <x:t xml:space="preserve">1993-07-28</x:t>
        </x:is>
      </x:c>
      <x:c r="J3083" s="5" t="inlineStr">
        <x:is>
          <x:t xml:space="preserve">江苏省无锡市梁溪区兴源北路401号21层</x:t>
        </x:is>
      </x:c>
      <x:c r="K3083" s="12" t="str">
        <x:f>LEFT("91320200135890776N",18)</x:f>
        <x:v>91320200135890776N</x:v>
      </x:c>
    </x:row>
    <x:row r="3084">
      <x:c r="A3084" s="2" t="n">
        <x:v>3083</x:v>
      </x:c>
      <x:c r="B3084" s="2" t="inlineStr">
        <x:is>
          <x:t xml:space="preserve">600682</x:t>
        </x:is>
      </x:c>
      <x:c r="C3084" s="3" t="inlineStr">
        <x:is>
          <x:t xml:space="preserve">南京新百</x:t>
        </x:is>
      </x:c>
      <x:c r="D3084" s="3" t="inlineStr">
        <x:is>
          <x:t xml:space="preserve">南京新街口百货商店股份有限公司</x:t>
        </x:is>
      </x:c>
      <x:c r="E3084" s="2" t="inlineStr">
        <x:is>
          <x:t xml:space="preserve">江苏省</x:t>
        </x:is>
      </x:c>
      <x:c r="F3084" s="2" t="inlineStr">
        <x:is>
          <x:t xml:space="preserve">南京市</x:t>
        </x:is>
      </x:c>
      <x:c r="G3084" s="3" t="inlineStr">
        <x:is>
          <x:t xml:space="preserve">江苏省-南京市</x:t>
        </x:is>
      </x:c>
      <x:c r="H3084" s="2" t="inlineStr">
        <x:is>
          <x:t xml:space="preserve">商业百货</x:t>
        </x:is>
      </x:c>
      <x:c r="I3084" s="2" t="inlineStr">
        <x:is>
          <x:t xml:space="preserve">1993-10-18</x:t>
        </x:is>
      </x:c>
      <x:c r="J3084" s="3" t="inlineStr">
        <x:is>
          <x:t xml:space="preserve">南京市中山南路1号</x:t>
        </x:is>
      </x:c>
      <x:c r="K3084" s="12" t="str">
        <x:f>LEFT("91320100134896447M",18)</x:f>
        <x:v>91320100134896447M</x:v>
      </x:c>
    </x:row>
    <x:row r="3085">
      <x:c r="A3085" s="4" t="n">
        <x:v>3084</x:v>
      </x:c>
      <x:c r="B3085" s="4" t="inlineStr">
        <x:is>
          <x:t xml:space="preserve">600710</x:t>
        </x:is>
      </x:c>
      <x:c r="C3085" s="5" t="inlineStr">
        <x:is>
          <x:t xml:space="preserve">苏美达</x:t>
        </x:is>
      </x:c>
      <x:c r="D3085" s="5" t="inlineStr">
        <x:is>
          <x:t xml:space="preserve">苏美达股份有限公司</x:t>
        </x:is>
      </x:c>
      <x:c r="E3085" s="4" t="inlineStr">
        <x:is>
          <x:t xml:space="preserve">江苏省</x:t>
        </x:is>
      </x:c>
      <x:c r="F3085" s="4" t="inlineStr">
        <x:is>
          <x:t xml:space="preserve">南京市</x:t>
        </x:is>
      </x:c>
      <x:c r="G3085" s="5" t="inlineStr">
        <x:is>
          <x:t xml:space="preserve">江苏省-南京市</x:t>
        </x:is>
      </x:c>
      <x:c r="H3085" s="4" t="inlineStr">
        <x:is>
          <x:t xml:space="preserve">国际贸易</x:t>
        </x:is>
      </x:c>
      <x:c r="I3085" s="4" t="inlineStr">
        <x:is>
          <x:t xml:space="preserve">1996-07-01</x:t>
        </x:is>
      </x:c>
      <x:c r="J3085" s="5" t="inlineStr">
        <x:is>
          <x:t xml:space="preserve">江苏省南京市长江路198号</x:t>
        </x:is>
      </x:c>
      <x:c r="K3085" s="12" t="str">
        <x:f>LEFT("91320000100019964R",18)</x:f>
        <x:v>91320000100019964R</x:v>
      </x:c>
    </x:row>
    <x:row r="3086">
      <x:c r="A3086" s="2" t="n">
        <x:v>3085</x:v>
      </x:c>
      <x:c r="B3086" s="2" t="inlineStr">
        <x:is>
          <x:t xml:space="preserve">600713</x:t>
        </x:is>
      </x:c>
      <x:c r="C3086" s="3" t="inlineStr">
        <x:is>
          <x:t xml:space="preserve">南京医药</x:t>
        </x:is>
      </x:c>
      <x:c r="D3086" s="3" t="inlineStr">
        <x:is>
          <x:t xml:space="preserve">南京医药集团股份有限公司</x:t>
        </x:is>
      </x:c>
      <x:c r="E3086" s="2" t="inlineStr">
        <x:is>
          <x:t xml:space="preserve">江苏省</x:t>
        </x:is>
      </x:c>
      <x:c r="F3086" s="2" t="inlineStr">
        <x:is>
          <x:t xml:space="preserve">南京市</x:t>
        </x:is>
      </x:c>
      <x:c r="G3086" s="3" t="inlineStr">
        <x:is>
          <x:t xml:space="preserve">江苏省-南京市</x:t>
        </x:is>
      </x:c>
      <x:c r="H3086" s="2" t="inlineStr">
        <x:is>
          <x:t xml:space="preserve">医药商业</x:t>
        </x:is>
      </x:c>
      <x:c r="I3086" s="2" t="inlineStr">
        <x:is>
          <x:t xml:space="preserve">1996-07-01</x:t>
        </x:is>
      </x:c>
      <x:c r="J3086" s="3" t="inlineStr">
        <x:is>
          <x:t xml:space="preserve">南京市雨花台区安德门大街55号2幢</x:t>
        </x:is>
      </x:c>
      <x:c r="K3086" s="12" t="str">
        <x:f>LEFT("91320100250015862U",18)</x:f>
        <x:v>91320100250015862U</x:v>
      </x:c>
    </x:row>
    <x:row r="3087">
      <x:c r="A3087" s="4" t="n">
        <x:v>3086</x:v>
      </x:c>
      <x:c r="B3087" s="4" t="inlineStr">
        <x:is>
          <x:t xml:space="preserve">600716</x:t>
        </x:is>
      </x:c>
      <x:c r="C3087" s="5" t="inlineStr">
        <x:is>
          <x:t xml:space="preserve">凤凰股份</x:t>
        </x:is>
      </x:c>
      <x:c r="D3087" s="5" t="inlineStr">
        <x:is>
          <x:t xml:space="preserve">江苏凤凰置业投资股份有限公司</x:t>
        </x:is>
      </x:c>
      <x:c r="E3087" s="4" t="inlineStr">
        <x:is>
          <x:t xml:space="preserve">江苏省</x:t>
        </x:is>
      </x:c>
      <x:c r="F3087" s="4" t="inlineStr">
        <x:is>
          <x:t xml:space="preserve">南京市</x:t>
        </x:is>
      </x:c>
      <x:c r="G3087" s="5" t="inlineStr">
        <x:is>
          <x:t xml:space="preserve">江苏省-南京市</x:t>
        </x:is>
      </x:c>
      <x:c r="H3087" s="4" t="inlineStr">
        <x:is>
          <x:t xml:space="preserve">房地产</x:t>
        </x:is>
      </x:c>
      <x:c r="I3087" s="4" t="inlineStr">
        <x:is>
          <x:t xml:space="preserve">1996-07-02</x:t>
        </x:is>
      </x:c>
      <x:c r="J3087" s="5" t="inlineStr">
        <x:is>
          <x:t xml:space="preserve">南京市中央路389号凤凰国际大厦六楼</x:t>
        </x:is>
      </x:c>
      <x:c r="K3087" s="12" t="str">
        <x:f>LEFT("91320000104363033C",18)</x:f>
        <x:v>91320000104363033C</x:v>
      </x:c>
    </x:row>
    <x:row r="3088">
      <x:c r="A3088" s="2" t="n">
        <x:v>3087</x:v>
      </x:c>
      <x:c r="B3088" s="2" t="inlineStr">
        <x:is>
          <x:t xml:space="preserve">600736</x:t>
        </x:is>
      </x:c>
      <x:c r="C3088" s="3" t="inlineStr">
        <x:is>
          <x:t xml:space="preserve">苏州高新</x:t>
        </x:is>
      </x:c>
      <x:c r="D3088" s="3" t="inlineStr">
        <x:is>
          <x:t xml:space="preserve">苏州新区高新技术产业股份有限公司</x:t>
        </x:is>
      </x:c>
      <x:c r="E3088" s="2" t="inlineStr">
        <x:is>
          <x:t xml:space="preserve">江苏省</x:t>
        </x:is>
      </x:c>
      <x:c r="F3088" s="2" t="inlineStr">
        <x:is>
          <x:t xml:space="preserve">苏州市</x:t>
        </x:is>
      </x:c>
      <x:c r="G3088" s="3" t="inlineStr">
        <x:is>
          <x:t xml:space="preserve">江苏省-苏州市</x:t>
        </x:is>
      </x:c>
      <x:c r="H3088" s="2" t="inlineStr">
        <x:is>
          <x:t xml:space="preserve">房地产</x:t>
        </x:is>
      </x:c>
      <x:c r="I3088" s="2" t="inlineStr">
        <x:is>
          <x:t xml:space="preserve">1996-08-15</x:t>
        </x:is>
      </x:c>
      <x:c r="J3088" s="3" t="inlineStr">
        <x:is>
          <x:t xml:space="preserve">江苏省苏州市新区运河路8号</x:t>
        </x:is>
      </x:c>
      <x:c r="K3088" s="12" t="str">
        <x:f>LEFT("9132000025161746XP",18)</x:f>
        <x:v>9132000025161746XP</x:v>
      </x:c>
    </x:row>
    <x:row r="3089">
      <x:c r="A3089" s="4" t="n">
        <x:v>3088</x:v>
      </x:c>
      <x:c r="B3089" s="4" t="inlineStr">
        <x:is>
          <x:t xml:space="preserve">600746</x:t>
        </x:is>
      </x:c>
      <x:c r="C3089" s="5" t="inlineStr">
        <x:is>
          <x:t xml:space="preserve">江苏索普</x:t>
        </x:is>
      </x:c>
      <x:c r="D3089" s="5" t="inlineStr">
        <x:is>
          <x:t xml:space="preserve">江苏索普化工股份有限公司</x:t>
        </x:is>
      </x:c>
      <x:c r="E3089" s="4" t="inlineStr">
        <x:is>
          <x:t xml:space="preserve">江苏省</x:t>
        </x:is>
      </x:c>
      <x:c r="F3089" s="4" t="inlineStr">
        <x:is>
          <x:t xml:space="preserve">镇江市</x:t>
        </x:is>
      </x:c>
      <x:c r="G3089" s="5" t="inlineStr">
        <x:is>
          <x:t xml:space="preserve">江苏省-镇江市</x:t>
        </x:is>
      </x:c>
      <x:c r="H3089" s="4" t="inlineStr">
        <x:is>
          <x:t xml:space="preserve">化学原料</x:t>
        </x:is>
      </x:c>
      <x:c r="I3089" s="4" t="inlineStr">
        <x:is>
          <x:t xml:space="preserve">1996-09-18</x:t>
        </x:is>
      </x:c>
      <x:c r="J3089" s="5" t="inlineStr">
        <x:is>
          <x:t xml:space="preserve">江苏省镇江市京口区求索路88号</x:t>
        </x:is>
      </x:c>
      <x:c r="K3089" s="12" t="str">
        <x:f>LEFT("91321100134790773U",18)</x:f>
        <x:v>91321100134790773U</x:v>
      </x:c>
    </x:row>
    <x:row r="3090">
      <x:c r="A3090" s="2" t="n">
        <x:v>3089</x:v>
      </x:c>
      <x:c r="B3090" s="2" t="inlineStr">
        <x:is>
          <x:t xml:space="preserve">600770</x:t>
        </x:is>
      </x:c>
      <x:c r="C3090" s="3" t="inlineStr">
        <x:is>
          <x:t xml:space="preserve">综艺股份</x:t>
        </x:is>
      </x:c>
      <x:c r="D3090" s="3" t="inlineStr">
        <x:is>
          <x:t xml:space="preserve">江苏综艺股份有限公司</x:t>
        </x:is>
      </x:c>
      <x:c r="E3090" s="2" t="inlineStr">
        <x:is>
          <x:t xml:space="preserve">江苏省</x:t>
        </x:is>
      </x:c>
      <x:c r="F3090" s="2" t="inlineStr">
        <x:is>
          <x:t xml:space="preserve">南通市</x:t>
        </x:is>
      </x:c>
      <x:c r="G3090" s="3" t="inlineStr">
        <x:is>
          <x:t xml:space="preserve">江苏省-南通市</x:t>
        </x:is>
      </x:c>
      <x:c r="H3090" s="2" t="inlineStr">
        <x:is>
          <x:t xml:space="preserve">综合行业</x:t>
        </x:is>
      </x:c>
      <x:c r="I3090" s="2" t="inlineStr">
        <x:is>
          <x:t xml:space="preserve">1996-11-20</x:t>
        </x:is>
      </x:c>
      <x:c r="J3090" s="3" t="inlineStr">
        <x:is>
          <x:t xml:space="preserve">江苏省南通市通州区兴东镇黄金村</x:t>
        </x:is>
      </x:c>
      <x:c r="K3090" s="12" t="str">
        <x:f>LEFT("91320600138471411L",18)</x:f>
        <x:v>91320600138471411L</x:v>
      </x:c>
    </x:row>
    <x:row r="3091">
      <x:c r="A3091" s="4" t="n">
        <x:v>3090</x:v>
      </x:c>
      <x:c r="B3091" s="4" t="inlineStr">
        <x:is>
          <x:t xml:space="preserve">600775</x:t>
        </x:is>
      </x:c>
      <x:c r="C3091" s="5" t="inlineStr">
        <x:is>
          <x:t xml:space="preserve">南京熊猫</x:t>
        </x:is>
      </x:c>
      <x:c r="D3091" s="5" t="inlineStr">
        <x:is>
          <x:t xml:space="preserve">南京熊猫电子股份有限公司</x:t>
        </x:is>
      </x:c>
      <x:c r="E3091" s="4" t="inlineStr">
        <x:is>
          <x:t xml:space="preserve">江苏省</x:t>
        </x:is>
      </x:c>
      <x:c r="F3091" s="4" t="inlineStr">
        <x:is>
          <x:t xml:space="preserve">南京市</x:t>
        </x:is>
      </x:c>
      <x:c r="G3091" s="5" t="inlineStr">
        <x:is>
          <x:t xml:space="preserve">江苏省-南京市</x:t>
        </x:is>
      </x:c>
      <x:c r="H3091" s="4" t="inlineStr">
        <x:is>
          <x:t xml:space="preserve">通讯行业</x:t>
        </x:is>
      </x:c>
      <x:c r="I3091" s="4" t="inlineStr">
        <x:is>
          <x:t xml:space="preserve">1996-11-18</x:t>
        </x:is>
      </x:c>
      <x:c r="J3091" s="5" t="inlineStr">
        <x:is>
          <x:t xml:space="preserve">中华人民共和国江苏省南京市经天路7号</x:t>
        </x:is>
      </x:c>
      <x:c r="K3091" s="12" t="str">
        <x:f>LEFT("91320100134974572K",18)</x:f>
        <x:v>91320100134974572K</x:v>
      </x:c>
    </x:row>
    <x:row r="3092">
      <x:c r="A3092" s="2" t="n">
        <x:v>3091</x:v>
      </x:c>
      <x:c r="B3092" s="2" t="inlineStr">
        <x:is>
          <x:t xml:space="preserve">600794</x:t>
        </x:is>
      </x:c>
      <x:c r="C3092" s="3" t="inlineStr">
        <x:is>
          <x:t xml:space="preserve">保税科技</x:t>
        </x:is>
      </x:c>
      <x:c r="D3092" s="3" t="inlineStr">
        <x:is>
          <x:t xml:space="preserve">张家港保税科技(集团)股份有限公司</x:t>
        </x:is>
      </x:c>
      <x:c r="E3092" s="2" t="inlineStr">
        <x:is>
          <x:t xml:space="preserve">江苏省</x:t>
        </x:is>
      </x:c>
      <x:c r="F3092" s="2" t="inlineStr">
        <x:is>
          <x:t xml:space="preserve">苏州市</x:t>
        </x:is>
      </x:c>
      <x:c r="G3092" s="3" t="inlineStr">
        <x:is>
          <x:t xml:space="preserve">江苏省-苏州市</x:t>
        </x:is>
      </x:c>
      <x:c r="H3092" s="2" t="inlineStr">
        <x:is>
          <x:t xml:space="preserve">交运物流</x:t>
        </x:is>
      </x:c>
      <x:c r="I3092" s="2" t="inlineStr">
        <x:is>
          <x:t xml:space="preserve">1997-03-06</x:t>
        </x:is>
      </x:c>
      <x:c r="J3092" s="3" t="inlineStr">
        <x:is>
          <x:t xml:space="preserve">张家港保税区金港路石化交易大厦27-28层</x:t>
        </x:is>
      </x:c>
      <x:c r="K3092" s="12" t="str">
        <x:f>LEFT("913200007194121453",18)</x:f>
        <x:v>913200007194121500</x:v>
      </x:c>
    </x:row>
    <x:row r="3093">
      <x:c r="A3093" s="4" t="n">
        <x:v>3092</x:v>
      </x:c>
      <x:c r="B3093" s="4" t="inlineStr">
        <x:is>
          <x:t xml:space="preserve">600805</x:t>
        </x:is>
      </x:c>
      <x:c r="C3093" s="5" t="inlineStr">
        <x:is>
          <x:t xml:space="preserve">悦达投资</x:t>
        </x:is>
      </x:c>
      <x:c r="D3093" s="5" t="inlineStr">
        <x:is>
          <x:t xml:space="preserve">江苏悦达投资股份有限公司</x:t>
        </x:is>
      </x:c>
      <x:c r="E3093" s="4" t="inlineStr">
        <x:is>
          <x:t xml:space="preserve">江苏省</x:t>
        </x:is>
      </x:c>
      <x:c r="F3093" s="4" t="inlineStr">
        <x:is>
          <x:t xml:space="preserve">盐城市</x:t>
        </x:is>
      </x:c>
      <x:c r="G3093" s="5" t="inlineStr">
        <x:is>
          <x:t xml:space="preserve">江苏省-盐城市</x:t>
        </x:is>
      </x:c>
      <x:c r="H3093" s="4" t="inlineStr">
        <x:is>
          <x:t xml:space="preserve">综合行业</x:t>
        </x:is>
      </x:c>
      <x:c r="I3093" s="4" t="inlineStr">
        <x:is>
          <x:t xml:space="preserve">1994-01-03</x:t>
        </x:is>
      </x:c>
      <x:c r="J3093" s="5" t="inlineStr">
        <x:is>
          <x:t xml:space="preserve">江苏省盐城市世纪大道东路2号</x:t>
        </x:is>
      </x:c>
      <x:c r="K3093" s="12" t="str">
        <x:f>LEFT("913209001401417456",18)</x:f>
        <x:v>913209001401417500</x:v>
      </x:c>
    </x:row>
    <x:row r="3094">
      <x:c r="A3094" s="2" t="n">
        <x:v>3093</x:v>
      </x:c>
      <x:c r="B3094" s="2" t="inlineStr">
        <x:is>
          <x:t xml:space="preserve">600854</x:t>
        </x:is>
      </x:c>
      <x:c r="C3094" s="3" t="inlineStr">
        <x:is>
          <x:t xml:space="preserve">春兰股份</x:t>
        </x:is>
      </x:c>
      <x:c r="D3094" s="3" t="inlineStr">
        <x:is>
          <x:t xml:space="preserve">江苏春兰制冷设备股份有限公司</x:t>
        </x:is>
      </x:c>
      <x:c r="E3094" s="2" t="inlineStr">
        <x:is>
          <x:t xml:space="preserve">江苏省</x:t>
        </x:is>
      </x:c>
      <x:c r="F3094" s="2" t="inlineStr">
        <x:is>
          <x:t xml:space="preserve">泰州市</x:t>
        </x:is>
      </x:c>
      <x:c r="G3094" s="3" t="inlineStr">
        <x:is>
          <x:t xml:space="preserve">江苏省-泰州市</x:t>
        </x:is>
      </x:c>
      <x:c r="H3094" s="2" t="inlineStr">
        <x:is>
          <x:t xml:space="preserve">家电行业</x:t>
        </x:is>
      </x:c>
      <x:c r="I3094" s="2" t="inlineStr">
        <x:is>
          <x:t xml:space="preserve">1994-04-25</x:t>
        </x:is>
      </x:c>
      <x:c r="J3094" s="3" t="inlineStr">
        <x:is>
          <x:t xml:space="preserve">江苏省泰州市春兰工业园区春兰路1号</x:t>
        </x:is>
      </x:c>
      <x:c r="K3094" s="12" t="str">
        <x:f>LEFT("913212006079000565",18)</x:f>
        <x:v>913212006079000600</x:v>
      </x:c>
    </x:row>
    <x:row r="3095">
      <x:c r="A3095" s="4" t="n">
        <x:v>3094</x:v>
      </x:c>
      <x:c r="B3095" s="4" t="inlineStr">
        <x:is>
          <x:t xml:space="preserve">600862</x:t>
        </x:is>
      </x:c>
      <x:c r="C3095" s="5" t="inlineStr">
        <x:is>
          <x:t xml:space="preserve">中航高科</x:t>
        </x:is>
      </x:c>
      <x:c r="D3095" s="5" t="inlineStr">
        <x:is>
          <x:t xml:space="preserve">中航航空高科技股份有限公司</x:t>
        </x:is>
      </x:c>
      <x:c r="E3095" s="4" t="inlineStr">
        <x:is>
          <x:t xml:space="preserve">江苏省</x:t>
        </x:is>
      </x:c>
      <x:c r="F3095" s="4" t="inlineStr">
        <x:is>
          <x:t xml:space="preserve">南通市</x:t>
        </x:is>
      </x:c>
      <x:c r="G3095" s="5" t="inlineStr">
        <x:is>
          <x:t xml:space="preserve">江苏省-南通市</x:t>
        </x:is>
      </x:c>
      <x:c r="H3095" s="4" t="inlineStr">
        <x:is>
          <x:t xml:space="preserve">航天航空</x:t>
        </x:is>
      </x:c>
      <x:c r="I3095" s="4" t="inlineStr">
        <x:is>
          <x:t xml:space="preserve">1994-05-20</x:t>
        </x:is>
      </x:c>
      <x:c r="J3095" s="5" t="inlineStr">
        <x:is>
          <x:t xml:space="preserve">江苏省南通市崇川区永和路1号</x:t>
        </x:is>
      </x:c>
      <x:c r="K3095" s="12" t="str">
        <x:f>LEFT("91320600138299578A",18)</x:f>
        <x:v>91320600138299578A</x:v>
      </x:c>
    </x:row>
    <x:row r="3096">
      <x:c r="A3096" s="2" t="n">
        <x:v>3095</x:v>
      </x:c>
      <x:c r="B3096" s="2" t="inlineStr">
        <x:is>
          <x:t xml:space="preserve">600889</x:t>
        </x:is>
      </x:c>
      <x:c r="C3096" s="3" t="inlineStr">
        <x:is>
          <x:t xml:space="preserve">南京化纤</x:t>
        </x:is>
      </x:c>
      <x:c r="D3096" s="3" t="inlineStr">
        <x:is>
          <x:t xml:space="preserve">南京化纤股份有限公司</x:t>
        </x:is>
      </x:c>
      <x:c r="E3096" s="2" t="inlineStr">
        <x:is>
          <x:t xml:space="preserve">江苏省</x:t>
        </x:is>
      </x:c>
      <x:c r="F3096" s="2" t="inlineStr">
        <x:is>
          <x:t xml:space="preserve">南京市</x:t>
        </x:is>
      </x:c>
      <x:c r="G3096" s="3" t="inlineStr">
        <x:is>
          <x:t xml:space="preserve">江苏省-南京市</x:t>
        </x:is>
      </x:c>
      <x:c r="H3096" s="2" t="inlineStr">
        <x:is>
          <x:t xml:space="preserve">机械设备</x:t>
        </x:is>
      </x:c>
      <x:c r="I3096" s="2" t="inlineStr">
        <x:is>
          <x:t xml:space="preserve">1996-03-08</x:t>
        </x:is>
      </x:c>
      <x:c r="J3096" s="3" t="inlineStr">
        <x:is>
          <x:t xml:space="preserve">江苏省南京市六合区郁庄路2号</x:t>
        </x:is>
      </x:c>
      <x:c r="K3096" s="12" t="str">
        <x:f>LEFT("91320100134923345G",18)</x:f>
        <x:v>91320100134923345G</x:v>
      </x:c>
    </x:row>
    <x:row r="3097">
      <x:c r="A3097" s="4" t="n">
        <x:v>3096</x:v>
      </x:c>
      <x:c r="B3097" s="4" t="inlineStr">
        <x:is>
          <x:t xml:space="preserve">600901</x:t>
        </x:is>
      </x:c>
      <x:c r="C3097" s="5" t="inlineStr">
        <x:is>
          <x:t xml:space="preserve">江苏金租</x:t>
        </x:is>
      </x:c>
      <x:c r="D3097" s="5" t="inlineStr">
        <x:is>
          <x:t xml:space="preserve">江苏金融租赁股份有限公司</x:t>
        </x:is>
      </x:c>
      <x:c r="E3097" s="4" t="inlineStr">
        <x:is>
          <x:t xml:space="preserve">江苏省</x:t>
        </x:is>
      </x:c>
      <x:c r="F3097" s="4" t="inlineStr">
        <x:is>
          <x:t xml:space="preserve">南京市</x:t>
        </x:is>
      </x:c>
      <x:c r="G3097" s="5" t="inlineStr">
        <x:is>
          <x:t xml:space="preserve">江苏省-南京市</x:t>
        </x:is>
      </x:c>
      <x:c r="H3097" s="4" t="inlineStr">
        <x:is>
          <x:t xml:space="preserve">多元金融</x:t>
        </x:is>
      </x:c>
      <x:c r="I3097" s="4" t="inlineStr">
        <x:is>
          <x:t xml:space="preserve">2018-03-01</x:t>
        </x:is>
      </x:c>
      <x:c r="J3097" s="5" t="inlineStr">
        <x:is>
          <x:t xml:space="preserve">南京市建邺区嘉陵江东街99号金融城1号楼8-9、11-19、25-33层</x:t>
        </x:is>
      </x:c>
      <x:c r="K3097" s="12" t="str">
        <x:f>LEFT("913200001347585460",18)</x:f>
        <x:v>913200001347585400</x:v>
      </x:c>
    </x:row>
    <x:row r="3098">
      <x:c r="A3098" s="2" t="n">
        <x:v>3097</x:v>
      </x:c>
      <x:c r="B3098" s="2" t="inlineStr">
        <x:is>
          <x:t xml:space="preserve">600908</x:t>
        </x:is>
      </x:c>
      <x:c r="C3098" s="3" t="inlineStr">
        <x:is>
          <x:t xml:space="preserve">无锡银行</x:t>
        </x:is>
      </x:c>
      <x:c r="D3098" s="3" t="inlineStr">
        <x:is>
          <x:t xml:space="preserve">无锡农村商业银行股份有限公司</x:t>
        </x:is>
      </x:c>
      <x:c r="E3098" s="2" t="inlineStr">
        <x:is>
          <x:t xml:space="preserve">江苏省</x:t>
        </x:is>
      </x:c>
      <x:c r="F3098" s="2" t="inlineStr">
        <x:is>
          <x:t xml:space="preserve">无锡市</x:t>
        </x:is>
      </x:c>
      <x:c r="G3098" s="3" t="inlineStr">
        <x:is>
          <x:t xml:space="preserve">江苏省-无锡市</x:t>
        </x:is>
      </x:c>
      <x:c r="H3098" s="2" t="inlineStr">
        <x:is>
          <x:t xml:space="preserve">银行</x:t>
        </x:is>
      </x:c>
      <x:c r="I3098" s="2" t="inlineStr">
        <x:is>
          <x:t xml:space="preserve">2016-09-23</x:t>
        </x:is>
      </x:c>
      <x:c r="J3098" s="3" t="inlineStr">
        <x:is>
          <x:t xml:space="preserve">江苏省无锡市锡山区延庆街11号,丹山路66-3、66-1301、66-1401号</x:t>
        </x:is>
      </x:c>
      <x:c r="K3098" s="12" t="str">
        <x:f>LEFT("91320200775435667T",18)</x:f>
        <x:v>91320200775435667T</x:v>
      </x:c>
    </x:row>
    <x:row r="3099">
      <x:c r="A3099" s="4" t="n">
        <x:v>3098</x:v>
      </x:c>
      <x:c r="B3099" s="4" t="inlineStr">
        <x:is>
          <x:t xml:space="preserve">600919</x:t>
        </x:is>
      </x:c>
      <x:c r="C3099" s="5" t="inlineStr">
        <x:is>
          <x:t xml:space="preserve">江苏银行</x:t>
        </x:is>
      </x:c>
      <x:c r="D3099" s="5" t="inlineStr">
        <x:is>
          <x:t xml:space="preserve">江苏银行股份有限公司</x:t>
        </x:is>
      </x:c>
      <x:c r="E3099" s="4" t="inlineStr">
        <x:is>
          <x:t xml:space="preserve">江苏省</x:t>
        </x:is>
      </x:c>
      <x:c r="F3099" s="4" t="inlineStr">
        <x:is>
          <x:t xml:space="preserve">南京市</x:t>
        </x:is>
      </x:c>
      <x:c r="G3099" s="5" t="inlineStr">
        <x:is>
          <x:t xml:space="preserve">江苏省-南京市</x:t>
        </x:is>
      </x:c>
      <x:c r="H3099" s="4" t="inlineStr">
        <x:is>
          <x:t xml:space="preserve">银行</x:t>
        </x:is>
      </x:c>
      <x:c r="I3099" s="4" t="inlineStr">
        <x:is>
          <x:t xml:space="preserve">2016-08-02</x:t>
        </x:is>
      </x:c>
      <x:c r="J3099" s="5" t="inlineStr">
        <x:is>
          <x:t xml:space="preserve">江苏省南京市中华路26号</x:t>
        </x:is>
      </x:c>
      <x:c r="K3099" s="12" t="str">
        <x:f>LEFT("91320000796544598E",18)</x:f>
        <x:v>91320000796544598E</x:v>
      </x:c>
    </x:row>
    <x:row r="3100">
      <x:c r="A3100" s="2" t="n">
        <x:v>3099</x:v>
      </x:c>
      <x:c r="B3100" s="2" t="inlineStr">
        <x:is>
          <x:t xml:space="preserve">600925</x:t>
        </x:is>
      </x:c>
      <x:c r="C3100" s="3" t="inlineStr">
        <x:is>
          <x:t xml:space="preserve">苏能股份</x:t>
        </x:is>
      </x:c>
      <x:c r="D3100" s="3" t="inlineStr">
        <x:is>
          <x:t xml:space="preserve">江苏徐矿能源股份有限公司</x:t>
        </x:is>
      </x:c>
      <x:c r="E3100" s="2" t="inlineStr">
        <x:is>
          <x:t xml:space="preserve">江苏省</x:t>
        </x:is>
      </x:c>
      <x:c r="F3100" s="2" t="inlineStr">
        <x:is>
          <x:t xml:space="preserve">徐州市</x:t>
        </x:is>
      </x:c>
      <x:c r="G3100" s="3" t="inlineStr">
        <x:is>
          <x:t xml:space="preserve">江苏省-徐州市</x:t>
        </x:is>
      </x:c>
      <x:c r="H3100" s="2" t="inlineStr">
        <x:is>
          <x:t xml:space="preserve">煤炭行业</x:t>
        </x:is>
      </x:c>
      <x:c r="I3100" s="2" t="inlineStr">
        <x:is>
          <x:t xml:space="preserve">2023-03-29</x:t>
        </x:is>
      </x:c>
      <x:c r="J3100" s="3" t="inlineStr">
        <x:is>
          <x:t xml:space="preserve">徐州市徐州经济技术开发区软件园E2楼三层</x:t>
        </x:is>
      </x:c>
      <x:c r="K3100" s="12" t="str">
        <x:f>LEFT("913200003238430028",18)</x:f>
        <x:v>913200003238430100</x:v>
      </x:c>
    </x:row>
    <x:row r="3101">
      <x:c r="A3101" s="4" t="n">
        <x:v>3100</x:v>
      </x:c>
      <x:c r="B3101" s="4" t="inlineStr">
        <x:is>
          <x:t xml:space="preserve">600959</x:t>
        </x:is>
      </x:c>
      <x:c r="C3101" s="5" t="inlineStr">
        <x:is>
          <x:t xml:space="preserve">江苏有线</x:t>
        </x:is>
      </x:c>
      <x:c r="D3101" s="5" t="inlineStr">
        <x:is>
          <x:t xml:space="preserve">江苏省广电有线信息网络股份有限公司</x:t>
        </x:is>
      </x:c>
      <x:c r="E3101" s="4" t="inlineStr">
        <x:is>
          <x:t xml:space="preserve">江苏省</x:t>
        </x:is>
      </x:c>
      <x:c r="F3101" s="4" t="inlineStr">
        <x:is>
          <x:t xml:space="preserve">南京市</x:t>
        </x:is>
      </x:c>
      <x:c r="G3101" s="5" t="inlineStr">
        <x:is>
          <x:t xml:space="preserve">江苏省-南京市</x:t>
        </x:is>
      </x:c>
      <x:c r="H3101" s="4" t="inlineStr">
        <x:is>
          <x:t xml:space="preserve">文化传媒</x:t>
        </x:is>
      </x:c>
      <x:c r="I3101" s="4" t="inlineStr">
        <x:is>
          <x:t xml:space="preserve">2015-04-28</x:t>
        </x:is>
      </x:c>
      <x:c r="J3101" s="5" t="inlineStr">
        <x:is>
          <x:t xml:space="preserve">南京市麒麟科技创新园运粮河西路101号江苏有线三网融合枢纽中心</x:t>
        </x:is>
      </x:c>
      <x:c r="K3101" s="12" t="str">
        <x:f>LEFT("91320000677644473G",18)</x:f>
        <x:v>91320000677644473G</x:v>
      </x:c>
    </x:row>
    <x:row r="3102">
      <x:c r="A3102" s="2" t="n">
        <x:v>3101</x:v>
      </x:c>
      <x:c r="B3102" s="2" t="inlineStr">
        <x:is>
          <x:t xml:space="preserve">600970</x:t>
        </x:is>
      </x:c>
      <x:c r="C3102" s="3" t="inlineStr">
        <x:is>
          <x:t xml:space="preserve">中材国际</x:t>
        </x:is>
      </x:c>
      <x:c r="D3102" s="3" t="inlineStr">
        <x:is>
          <x:t xml:space="preserve">中国中材国际工程股份有限公司</x:t>
        </x:is>
      </x:c>
      <x:c r="E3102" s="2" t="inlineStr">
        <x:is>
          <x:t xml:space="preserve">江苏省</x:t>
        </x:is>
      </x:c>
      <x:c r="F3102" s="2" t="inlineStr">
        <x:is>
          <x:t xml:space="preserve">南京市</x:t>
        </x:is>
      </x:c>
      <x:c r="G3102" s="3" t="inlineStr">
        <x:is>
          <x:t xml:space="preserve">江苏省-南京市</x:t>
        </x:is>
      </x:c>
      <x:c r="H3102" s="2" t="inlineStr">
        <x:is>
          <x:t xml:space="preserve">工程建设</x:t>
        </x:is>
      </x:c>
      <x:c r="I3102" s="2" t="inlineStr">
        <x:is>
          <x:t xml:space="preserve">2005-04-12</x:t>
        </x:is>
      </x:c>
      <x:c r="J3102" s="3" t="inlineStr">
        <x:is>
          <x:t xml:space="preserve">江苏省南京市江宁开发区临淮街32号</x:t>
        </x:is>
      </x:c>
      <x:c r="K3102" s="12" t="str">
        <x:f>LEFT("91320000710929340E",18)</x:f>
        <x:v>91320000710929340E</x:v>
      </x:c>
    </x:row>
    <x:row r="3103">
      <x:c r="A3103" s="4" t="n">
        <x:v>3102</x:v>
      </x:c>
      <x:c r="B3103" s="4" t="inlineStr">
        <x:is>
          <x:t xml:space="preserve">600973</x:t>
        </x:is>
      </x:c>
      <x:c r="C3103" s="5" t="inlineStr">
        <x:is>
          <x:t xml:space="preserve">宝胜股份</x:t>
        </x:is>
      </x:c>
      <x:c r="D3103" s="5" t="inlineStr">
        <x:is>
          <x:t xml:space="preserve">宝胜科技创新股份有限公司</x:t>
        </x:is>
      </x:c>
      <x:c r="E3103" s="4" t="inlineStr">
        <x:is>
          <x:t xml:space="preserve">江苏省</x:t>
        </x:is>
      </x:c>
      <x:c r="F3103" s="4" t="inlineStr">
        <x:is>
          <x:t xml:space="preserve">扬州市</x:t>
        </x:is>
      </x:c>
      <x:c r="G3103" s="5" t="inlineStr">
        <x:is>
          <x:t xml:space="preserve">江苏省-扬州市</x:t>
        </x:is>
      </x:c>
      <x:c r="H3103" s="4" t="inlineStr">
        <x:is>
          <x:t xml:space="preserve">输配电气</x:t>
        </x:is>
      </x:c>
      <x:c r="I3103" s="4" t="inlineStr">
        <x:is>
          <x:t xml:space="preserve">2004-08-02</x:t>
        </x:is>
      </x:c>
      <x:c r="J3103" s="5" t="inlineStr">
        <x:is>
          <x:t xml:space="preserve">江苏宝应安宜镇苏中路一号</x:t>
        </x:is>
      </x:c>
      <x:c r="K3103" s="12" t="str">
        <x:f>LEFT("913210007185461766",18)</x:f>
        <x:v>913210007185461800</x:v>
      </x:c>
    </x:row>
    <x:row r="3104">
      <x:c r="A3104" s="2" t="n">
        <x:v>3103</x:v>
      </x:c>
      <x:c r="B3104" s="2" t="inlineStr">
        <x:is>
          <x:t xml:space="preserve">600981</x:t>
        </x:is>
      </x:c>
      <x:c r="C3104" s="3" t="inlineStr">
        <x:is>
          <x:t xml:space="preserve">苏豪汇鸿</x:t>
        </x:is>
      </x:c>
      <x:c r="D3104" s="3" t="inlineStr">
        <x:is>
          <x:t xml:space="preserve">江苏苏豪汇鸿集团股份有限公司</x:t>
        </x:is>
      </x:c>
      <x:c r="E3104" s="2" t="inlineStr">
        <x:is>
          <x:t xml:space="preserve">江苏省</x:t>
        </x:is>
      </x:c>
      <x:c r="F3104" s="2" t="inlineStr">
        <x:is>
          <x:t xml:space="preserve">南京市</x:t>
        </x:is>
      </x:c>
      <x:c r="G3104" s="3" t="inlineStr">
        <x:is>
          <x:t xml:space="preserve">江苏省-南京市</x:t>
        </x:is>
      </x:c>
      <x:c r="H3104" s="2" t="inlineStr">
        <x:is>
          <x:t xml:space="preserve">国际贸易</x:t>
        </x:is>
      </x:c>
      <x:c r="I3104" s="2" t="inlineStr">
        <x:is>
          <x:t xml:space="preserve">2004-06-30</x:t>
        </x:is>
      </x:c>
      <x:c r="J3104" s="3" t="inlineStr">
        <x:is>
          <x:t xml:space="preserve">南京市白下路91号</x:t>
        </x:is>
      </x:c>
      <x:c r="K3104" s="12" t="str">
        <x:f>LEFT("91320000134762481B",18)</x:f>
        <x:v>91320000134762481B</x:v>
      </x:c>
    </x:row>
    <x:row r="3105">
      <x:c r="A3105" s="4" t="n">
        <x:v>3104</x:v>
      </x:c>
      <x:c r="B3105" s="4" t="inlineStr">
        <x:is>
          <x:t xml:space="preserve">601007</x:t>
        </x:is>
      </x:c>
      <x:c r="C3105" s="5" t="inlineStr">
        <x:is>
          <x:t xml:space="preserve">金陵饭店</x:t>
        </x:is>
      </x:c>
      <x:c r="D3105" s="5" t="inlineStr">
        <x:is>
          <x:t xml:space="preserve">金陵饭店股份有限公司</x:t>
        </x:is>
      </x:c>
      <x:c r="E3105" s="4" t="inlineStr">
        <x:is>
          <x:t xml:space="preserve">江苏省</x:t>
        </x:is>
      </x:c>
      <x:c r="F3105" s="4" t="inlineStr">
        <x:is>
          <x:t xml:space="preserve">南京市</x:t>
        </x:is>
      </x:c>
      <x:c r="G3105" s="5" t="inlineStr">
        <x:is>
          <x:t xml:space="preserve">江苏省-南京市</x:t>
        </x:is>
      </x:c>
      <x:c r="H3105" s="4" t="inlineStr">
        <x:is>
          <x:t xml:space="preserve">旅游酒店</x:t>
        </x:is>
      </x:c>
      <x:c r="I3105" s="4" t="inlineStr">
        <x:is>
          <x:t xml:space="preserve">2007-04-06</x:t>
        </x:is>
      </x:c>
      <x:c r="J3105" s="5" t="inlineStr">
        <x:is>
          <x:t xml:space="preserve">南京市汉中路2号</x:t>
        </x:is>
      </x:c>
      <x:c r="K3105" s="12" t="str">
        <x:f>LEFT("913200007455797746",18)</x:f>
        <x:v>913200007455797800</x:v>
      </x:c>
    </x:row>
    <x:row r="3106">
      <x:c r="A3106" s="2" t="n">
        <x:v>3105</x:v>
      </x:c>
      <x:c r="B3106" s="2" t="inlineStr">
        <x:is>
          <x:t xml:space="preserve">601008</x:t>
        </x:is>
      </x:c>
      <x:c r="C3106" s="3" t="inlineStr">
        <x:is>
          <x:t xml:space="preserve">连云港</x:t>
        </x:is>
      </x:c>
      <x:c r="D3106" s="3" t="inlineStr">
        <x:is>
          <x:t xml:space="preserve">江苏连云港港口股份有限公司</x:t>
        </x:is>
      </x:c>
      <x:c r="E3106" s="2" t="inlineStr">
        <x:is>
          <x:t xml:space="preserve">江苏省</x:t>
        </x:is>
      </x:c>
      <x:c r="F3106" s="2" t="inlineStr">
        <x:is>
          <x:t xml:space="preserve">连云港市</x:t>
        </x:is>
      </x:c>
      <x:c r="G3106" s="3" t="inlineStr">
        <x:is>
          <x:t xml:space="preserve">江苏省-连云港市</x:t>
        </x:is>
      </x:c>
      <x:c r="H3106" s="2" t="inlineStr">
        <x:is>
          <x:t xml:space="preserve">港口水运</x:t>
        </x:is>
      </x:c>
      <x:c r="I3106" s="2" t="inlineStr">
        <x:is>
          <x:t xml:space="preserve">2007-04-26</x:t>
        </x:is>
      </x:c>
      <x:c r="J3106" s="3" t="inlineStr">
        <x:is>
          <x:t xml:space="preserve">中国(江苏)自由贸易实验区连云港片区连云区庙岭港区港口四路8号</x:t>
        </x:is>
      </x:c>
      <x:c r="K3106" s="12" t="str">
        <x:f>LEFT("913207007322513070",18)</x:f>
        <x:v>913207007322513000</x:v>
      </x:c>
    </x:row>
    <x:row r="3107">
      <x:c r="A3107" s="4" t="n">
        <x:v>3106</x:v>
      </x:c>
      <x:c r="B3107" s="4" t="inlineStr">
        <x:is>
          <x:t xml:space="preserve">601009</x:t>
        </x:is>
      </x:c>
      <x:c r="C3107" s="5" t="inlineStr">
        <x:is>
          <x:t xml:space="preserve">南京银行</x:t>
        </x:is>
      </x:c>
      <x:c r="D3107" s="5" t="inlineStr">
        <x:is>
          <x:t xml:space="preserve">南京银行股份有限公司</x:t>
        </x:is>
      </x:c>
      <x:c r="E3107" s="4" t="inlineStr">
        <x:is>
          <x:t xml:space="preserve">江苏省</x:t>
        </x:is>
      </x:c>
      <x:c r="F3107" s="4" t="inlineStr">
        <x:is>
          <x:t xml:space="preserve">南京市</x:t>
        </x:is>
      </x:c>
      <x:c r="G3107" s="5" t="inlineStr">
        <x:is>
          <x:t xml:space="preserve">江苏省-南京市</x:t>
        </x:is>
      </x:c>
      <x:c r="H3107" s="4" t="inlineStr">
        <x:is>
          <x:t xml:space="preserve">银行</x:t>
        </x:is>
      </x:c>
      <x:c r="I3107" s="4" t="inlineStr">
        <x:is>
          <x:t xml:space="preserve">2007-07-19</x:t>
        </x:is>
      </x:c>
      <x:c r="J3107" s="5" t="inlineStr">
        <x:is>
          <x:t xml:space="preserve">南京市建邺区江山大街88号</x:t>
        </x:is>
      </x:c>
      <x:c r="K3107" s="12" t="str">
        <x:f>LEFT("913201002496827567",18)</x:f>
        <x:v>913201002496827500</x:v>
      </x:c>
    </x:row>
    <x:row r="3108">
      <x:c r="A3108" s="2" t="n">
        <x:v>3107</x:v>
      </x:c>
      <x:c r="B3108" s="2" t="inlineStr">
        <x:is>
          <x:t xml:space="preserve">601010</x:t>
        </x:is>
      </x:c>
      <x:c r="C3108" s="3" t="inlineStr">
        <x:is>
          <x:t xml:space="preserve">文峰股份</x:t>
        </x:is>
      </x:c>
      <x:c r="D3108" s="3" t="inlineStr">
        <x:is>
          <x:t xml:space="preserve">文峰大世界连锁发展股份有限公司</x:t>
        </x:is>
      </x:c>
      <x:c r="E3108" s="2" t="inlineStr">
        <x:is>
          <x:t xml:space="preserve">江苏省</x:t>
        </x:is>
      </x:c>
      <x:c r="F3108" s="2" t="inlineStr">
        <x:is>
          <x:t xml:space="preserve">南通市</x:t>
        </x:is>
      </x:c>
      <x:c r="G3108" s="3" t="inlineStr">
        <x:is>
          <x:t xml:space="preserve">江苏省-南通市</x:t>
        </x:is>
      </x:c>
      <x:c r="H3108" s="2" t="inlineStr">
        <x:is>
          <x:t xml:space="preserve">商业百货</x:t>
        </x:is>
      </x:c>
      <x:c r="I3108" s="2" t="inlineStr">
        <x:is>
          <x:t xml:space="preserve">2011-06-03</x:t>
        </x:is>
      </x:c>
      <x:c r="J3108" s="3" t="inlineStr">
        <x:is>
          <x:t xml:space="preserve">江苏省南通市南大街3-21号</x:t>
        </x:is>
      </x:c>
      <x:c r="K3108" s="12" t="str">
        <x:f>LEFT("91320600138331187U",18)</x:f>
        <x:v>91320600138331187U</x:v>
      </x:c>
    </x:row>
    <x:row r="3109">
      <x:c r="A3109" s="4" t="n">
        <x:v>3108</x:v>
      </x:c>
      <x:c r="B3109" s="4" t="inlineStr">
        <x:is>
          <x:t xml:space="preserve">601100</x:t>
        </x:is>
      </x:c>
      <x:c r="C3109" s="5" t="inlineStr">
        <x:is>
          <x:t xml:space="preserve">恒立液压</x:t>
        </x:is>
      </x:c>
      <x:c r="D3109" s="5" t="inlineStr">
        <x:is>
          <x:t xml:space="preserve">江苏恒立液压股份有限公司</x:t>
        </x:is>
      </x:c>
      <x:c r="E3109" s="4" t="inlineStr">
        <x:is>
          <x:t xml:space="preserve">江苏省</x:t>
        </x:is>
      </x:c>
      <x:c r="F3109" s="4" t="inlineStr">
        <x:is>
          <x:t xml:space="preserve">常州市</x:t>
        </x:is>
      </x:c>
      <x:c r="G3109" s="5" t="inlineStr">
        <x:is>
          <x:t xml:space="preserve">江苏省-常州市</x:t>
        </x:is>
      </x:c>
      <x:c r="H3109" s="4" t="inlineStr">
        <x:is>
          <x:t xml:space="preserve">工程机械</x:t>
        </x:is>
      </x:c>
      <x:c r="I3109" s="4" t="inlineStr">
        <x:is>
          <x:t xml:space="preserve">2011-10-28</x:t>
        </x:is>
      </x:c>
      <x:c r="J3109" s="5" t="inlineStr">
        <x:is>
          <x:t xml:space="preserve">江苏省常州市武进高新区龙潜路99号</x:t>
        </x:is>
      </x:c>
      <x:c r="K3109" s="12" t="str">
        <x:f>LEFT("91320400773797680R",18)</x:f>
        <x:v>91320400773797680R</x:v>
      </x:c>
    </x:row>
    <x:row r="3110">
      <x:c r="A3110" s="2" t="n">
        <x:v>3109</x:v>
      </x:c>
      <x:c r="B3110" s="2" t="inlineStr">
        <x:is>
          <x:t xml:space="preserve">601128</x:t>
        </x:is>
      </x:c>
      <x:c r="C3110" s="3" t="inlineStr">
        <x:is>
          <x:t xml:space="preserve">常熟银行</x:t>
        </x:is>
      </x:c>
      <x:c r="D3110" s="3" t="inlineStr">
        <x:is>
          <x:t xml:space="preserve">江苏常熟农村商业银行股份有限公司</x:t>
        </x:is>
      </x:c>
      <x:c r="E3110" s="2" t="inlineStr">
        <x:is>
          <x:t xml:space="preserve">江苏省</x:t>
        </x:is>
      </x:c>
      <x:c r="F3110" s="2" t="inlineStr">
        <x:is>
          <x:t xml:space="preserve">苏省常熟市</x:t>
        </x:is>
      </x:c>
      <x:c r="G3110" s="3" t="inlineStr">
        <x:is>
          <x:t xml:space="preserve">江苏省-苏省常熟市</x:t>
        </x:is>
      </x:c>
      <x:c r="H3110" s="2" t="inlineStr">
        <x:is>
          <x:t xml:space="preserve">银行</x:t>
        </x:is>
      </x:c>
      <x:c r="I3110" s="2" t="inlineStr">
        <x:is>
          <x:t xml:space="preserve">2016-09-30</x:t>
        </x:is>
      </x:c>
      <x:c r="J3110" s="3" t="inlineStr">
        <x:is>
          <x:t xml:space="preserve">江苏省常熟市新世纪大道58号</x:t>
        </x:is>
      </x:c>
      <x:c r="K3110" s="12" t="str">
        <x:f>LEFT("91320000251448088B",18)</x:f>
        <x:v>91320000251448088B</x:v>
      </x:c>
    </x:row>
    <x:row r="3111">
      <x:c r="A3111" s="4" t="n">
        <x:v>3110</x:v>
      </x:c>
      <x:c r="B3111" s="4" t="inlineStr">
        <x:is>
          <x:t xml:space="preserve">601133</x:t>
        </x:is>
      </x:c>
      <x:c r="C3111" s="5" t="inlineStr">
        <x:is>
          <x:t xml:space="preserve">柏诚股份</x:t>
        </x:is>
      </x:c>
      <x:c r="D3111" s="5" t="inlineStr">
        <x:is>
          <x:t xml:space="preserve">柏诚系统科技股份有限公司</x:t>
        </x:is>
      </x:c>
      <x:c r="E3111" s="4" t="inlineStr">
        <x:is>
          <x:t xml:space="preserve">江苏省</x:t>
        </x:is>
      </x:c>
      <x:c r="F3111" s="4" t="inlineStr">
        <x:is>
          <x:t xml:space="preserve">无锡市</x:t>
        </x:is>
      </x:c>
      <x:c r="G3111" s="5" t="inlineStr">
        <x:is>
          <x:t xml:space="preserve">江苏省-无锡市</x:t>
        </x:is>
      </x:c>
      <x:c r="H3111" s="4" t="inlineStr">
        <x:is>
          <x:t xml:space="preserve">工程建设</x:t>
        </x:is>
      </x:c>
      <x:c r="I3111" s="4" t="inlineStr">
        <x:is>
          <x:t xml:space="preserve">2023-04-10</x:t>
        </x:is>
      </x:c>
      <x:c r="J3111" s="5" t="inlineStr">
        <x:is>
          <x:t xml:space="preserve">无锡市隐秀路800-2101</x:t>
        </x:is>
      </x:c>
      <x:c r="K3111" s="12" t="str">
        <x:f>LEFT("91320200240499082Q",18)</x:f>
        <x:v>91320200240499082Q</x:v>
      </x:c>
    </x:row>
    <x:row r="3112">
      <x:c r="A3112" s="2" t="n">
        <x:v>3111</x:v>
      </x:c>
      <x:c r="B3112" s="2" t="inlineStr">
        <x:is>
          <x:t xml:space="preserve">601155</x:t>
        </x:is>
      </x:c>
      <x:c r="C3112" s="3" t="inlineStr">
        <x:is>
          <x:t xml:space="preserve">新城控股</x:t>
        </x:is>
      </x:c>
      <x:c r="D3112" s="3" t="inlineStr">
        <x:is>
          <x:t xml:space="preserve">新城控股集团股份有限公司</x:t>
        </x:is>
      </x:c>
      <x:c r="E3112" s="2" t="inlineStr">
        <x:is>
          <x:t xml:space="preserve">江苏省</x:t>
        </x:is>
      </x:c>
      <x:c r="F3112" s="2" t="inlineStr">
        <x:is>
          <x:t xml:space="preserve">常州市</x:t>
        </x:is>
      </x:c>
      <x:c r="G3112" s="3" t="inlineStr">
        <x:is>
          <x:t xml:space="preserve">江苏省-常州市</x:t>
        </x:is>
      </x:c>
      <x:c r="H3112" s="2" t="inlineStr">
        <x:is>
          <x:t xml:space="preserve">房地产</x:t>
        </x:is>
      </x:c>
      <x:c r="I3112" s="2" t="inlineStr">
        <x:is>
          <x:t xml:space="preserve">2015-12-04</x:t>
        </x:is>
      </x:c>
      <x:c r="J3112" s="3" t="inlineStr">
        <x:is>
          <x:t xml:space="preserve">常州市武进高新区西湖路1号</x:t>
        </x:is>
      </x:c>
      <x:c r="K3112" s="12" t="str">
        <x:f>LEFT("913204002508323014",18)</x:f>
        <x:v>913204002508323100</x:v>
      </x:c>
    </x:row>
    <x:row r="3113">
      <x:c r="A3113" s="4" t="n">
        <x:v>3112</x:v>
      </x:c>
      <x:c r="B3113" s="4" t="inlineStr">
        <x:is>
          <x:t xml:space="preserve">601199</x:t>
        </x:is>
      </x:c>
      <x:c r="C3113" s="5" t="inlineStr">
        <x:is>
          <x:t xml:space="preserve">江南水务</x:t>
        </x:is>
      </x:c>
      <x:c r="D3113" s="5" t="inlineStr">
        <x:is>
          <x:t xml:space="preserve">江苏江南水务股份有限公司</x:t>
        </x:is>
      </x:c>
      <x:c r="E3113" s="4" t="inlineStr">
        <x:is>
          <x:t xml:space="preserve">江苏省</x:t>
        </x:is>
      </x:c>
      <x:c r="F3113" s="4" t="inlineStr">
        <x:is>
          <x:t xml:space="preserve">苏省江阴市</x:t>
        </x:is>
      </x:c>
      <x:c r="G3113" s="5" t="inlineStr">
        <x:is>
          <x:t xml:space="preserve">江苏省-苏省江阴市</x:t>
        </x:is>
      </x:c>
      <x:c r="H3113" s="4" t="inlineStr">
        <x:is>
          <x:t xml:space="preserve">公用事业</x:t>
        </x:is>
      </x:c>
      <x:c r="I3113" s="4" t="inlineStr">
        <x:is>
          <x:t xml:space="preserve">2011-03-17</x:t>
        </x:is>
      </x:c>
      <x:c r="J3113" s="5" t="inlineStr">
        <x:is>
          <x:t xml:space="preserve">江苏省江阴市滨江扬子江路66号</x:t>
        </x:is>
      </x:c>
      <x:c r="K3113" s="12" t="str">
        <x:f>LEFT("91320200750510851E",18)</x:f>
        <x:v>91320200750510851E</x:v>
      </x:c>
    </x:row>
    <x:row r="3114">
      <x:c r="A3114" s="2" t="n">
        <x:v>3113</x:v>
      </x:c>
      <x:c r="B3114" s="2" t="inlineStr">
        <x:is>
          <x:t xml:space="preserve">601218</x:t>
        </x:is>
      </x:c>
      <x:c r="C3114" s="3" t="inlineStr">
        <x:is>
          <x:t xml:space="preserve">吉鑫科技</x:t>
        </x:is>
      </x:c>
      <x:c r="D3114" s="3" t="inlineStr">
        <x:is>
          <x:t xml:space="preserve">江苏吉鑫风能科技股份有限公司</x:t>
        </x:is>
      </x:c>
      <x:c r="E3114" s="2" t="inlineStr">
        <x:is>
          <x:t xml:space="preserve">江苏省</x:t>
        </x:is>
      </x:c>
      <x:c r="F3114" s="2" t="inlineStr">
        <x:is>
          <x:t xml:space="preserve">苏省江阴市</x:t>
        </x:is>
      </x:c>
      <x:c r="G3114" s="3" t="inlineStr">
        <x:is>
          <x:t xml:space="preserve">江苏省-苏省江阴市</x:t>
        </x:is>
      </x:c>
      <x:c r="H3114" s="2" t="inlineStr">
        <x:is>
          <x:t xml:space="preserve">风电设备</x:t>
        </x:is>
      </x:c>
      <x:c r="I3114" s="2" t="inlineStr">
        <x:is>
          <x:t xml:space="preserve">2011-05-06</x:t>
        </x:is>
      </x:c>
      <x:c r="J3114" s="3" t="inlineStr">
        <x:is>
          <x:t xml:space="preserve">江苏省江阴市云亭街道工业园区那巷路8号</x:t>
        </x:is>
      </x:c>
      <x:c r="K3114" s="12" t="str">
        <x:f>LEFT("91320200756412355F",18)</x:f>
        <x:v>91320200756412355F</x:v>
      </x:c>
    </x:row>
    <x:row r="3115">
      <x:c r="A3115" s="4" t="n">
        <x:v>3114</x:v>
      </x:c>
      <x:c r="B3115" s="4" t="inlineStr">
        <x:is>
          <x:t xml:space="preserve">601222</x:t>
        </x:is>
      </x:c>
      <x:c r="C3115" s="5" t="inlineStr">
        <x:is>
          <x:t xml:space="preserve">林洋能源</x:t>
        </x:is>
      </x:c>
      <x:c r="D3115" s="5" t="inlineStr">
        <x:is>
          <x:t xml:space="preserve">江苏林洋能源股份有限公司</x:t>
        </x:is>
      </x:c>
      <x:c r="E3115" s="4" t="inlineStr">
        <x:is>
          <x:t xml:space="preserve">江苏省</x:t>
        </x:is>
      </x:c>
      <x:c r="F3115" s="4" t="inlineStr">
        <x:is>
          <x:t xml:space="preserve">南通市</x:t>
        </x:is>
      </x:c>
      <x:c r="G3115" s="5" t="inlineStr">
        <x:is>
          <x:t xml:space="preserve">江苏省-南通市</x:t>
        </x:is>
      </x:c>
      <x:c r="H3115" s="4" t="inlineStr">
        <x:is>
          <x:t xml:space="preserve">仪器仪表</x:t>
        </x:is>
      </x:c>
      <x:c r="I3115" s="4" t="inlineStr">
        <x:is>
          <x:t xml:space="preserve">2011-08-08</x:t>
        </x:is>
      </x:c>
      <x:c r="J3115" s="5" t="inlineStr">
        <x:is>
          <x:t xml:space="preserve">江苏省启东经济技术开发区林洋路666号</x:t>
        </x:is>
      </x:c>
      <x:c r="K3115" s="12" t="str">
        <x:f>LEFT("913206006083861677",18)</x:f>
        <x:v>913206006083861600</x:v>
      </x:c>
    </x:row>
    <x:row r="3116">
      <x:c r="A3116" s="2" t="n">
        <x:v>3115</x:v>
      </x:c>
      <x:c r="B3116" s="2" t="inlineStr">
        <x:is>
          <x:t xml:space="preserve">601388</x:t>
        </x:is>
      </x:c>
      <x:c r="C3116" s="3" t="inlineStr">
        <x:is>
          <x:t xml:space="preserve">怡球资源</x:t>
        </x:is>
      </x:c>
      <x:c r="D3116" s="3" t="inlineStr">
        <x:is>
          <x:t xml:space="preserve">怡球金属资源再生(中国)股份有限公司</x:t>
        </x:is>
      </x:c>
      <x:c r="E3116" s="2" t="inlineStr">
        <x:is>
          <x:t xml:space="preserve">江苏省</x:t>
        </x:is>
      </x:c>
      <x:c r="F3116" s="2" t="inlineStr">
        <x:is>
          <x:t xml:space="preserve">苏省太仓市</x:t>
        </x:is>
      </x:c>
      <x:c r="G3116" s="3" t="inlineStr">
        <x:is>
          <x:t xml:space="preserve">江苏省-苏省太仓市</x:t>
        </x:is>
      </x:c>
      <x:c r="H3116" s="2" t="inlineStr">
        <x:is>
          <x:t xml:space="preserve">有色金属</x:t>
        </x:is>
      </x:c>
      <x:c r="I3116" s="2" t="inlineStr">
        <x:is>
          <x:t xml:space="preserve">2012-04-23</x:t>
        </x:is>
      </x:c>
      <x:c r="J3116" s="3" t="inlineStr">
        <x:is>
          <x:t xml:space="preserve">江苏省太仓市沪太新路388号</x:t>
        </x:is>
      </x:c>
      <x:c r="K3116" s="12" t="str">
        <x:f>LEFT("9132050072664477XN",18)</x:f>
        <x:v>9132050072664477XN</x:v>
      </x:c>
    </x:row>
    <x:row r="3117">
      <x:c r="A3117" s="4" t="n">
        <x:v>3116</x:v>
      </x:c>
      <x:c r="B3117" s="4" t="inlineStr">
        <x:is>
          <x:t xml:space="preserve">601456</x:t>
        </x:is>
      </x:c>
      <x:c r="C3117" s="5" t="inlineStr">
        <x:is>
          <x:t xml:space="preserve">国联民生</x:t>
        </x:is>
      </x:c>
      <x:c r="D3117" s="5" t="inlineStr">
        <x:is>
          <x:t xml:space="preserve">国联民生证券股份有限公司</x:t>
        </x:is>
      </x:c>
      <x:c r="E3117" s="4" t="inlineStr">
        <x:is>
          <x:t xml:space="preserve">江苏省</x:t>
        </x:is>
      </x:c>
      <x:c r="F3117" s="4" t="inlineStr">
        <x:is>
          <x:t xml:space="preserve">无锡市</x:t>
        </x:is>
      </x:c>
      <x:c r="G3117" s="5" t="inlineStr">
        <x:is>
          <x:t xml:space="preserve">江苏省-无锡市</x:t>
        </x:is>
      </x:c>
      <x:c r="H3117" s="4" t="inlineStr">
        <x:is>
          <x:t xml:space="preserve">券商信托</x:t>
        </x:is>
      </x:c>
      <x:c r="I3117" s="4" t="inlineStr">
        <x:is>
          <x:t xml:space="preserve">2020-07-31</x:t>
        </x:is>
      </x:c>
      <x:c r="J3117" s="5" t="inlineStr">
        <x:is>
          <x:t xml:space="preserve">无锡市金融一街8号</x:t>
        </x:is>
      </x:c>
      <x:c r="K3117" s="12" t="str">
        <x:f>LEFT("91320200135914870B",18)</x:f>
        <x:v>91320200135914870B</x:v>
      </x:c>
    </x:row>
    <x:row r="3118">
      <x:c r="A3118" s="2" t="n">
        <x:v>3117</x:v>
      </x:c>
      <x:c r="B3118" s="2" t="inlineStr">
        <x:is>
          <x:t xml:space="preserve">601500</x:t>
        </x:is>
      </x:c>
      <x:c r="C3118" s="3" t="inlineStr">
        <x:is>
          <x:t xml:space="preserve">通用股份</x:t>
        </x:is>
      </x:c>
      <x:c r="D3118" s="3" t="inlineStr">
        <x:is>
          <x:t xml:space="preserve">江苏通用科技股份有限公司</x:t>
        </x:is>
      </x:c>
      <x:c r="E3118" s="2" t="inlineStr">
        <x:is>
          <x:t xml:space="preserve">江苏省</x:t>
        </x:is>
      </x:c>
      <x:c r="F3118" s="2" t="inlineStr">
        <x:is>
          <x:t xml:space="preserve">无锡市</x:t>
        </x:is>
      </x:c>
      <x:c r="G3118" s="3" t="inlineStr">
        <x:is>
          <x:t xml:space="preserve">江苏省-无锡市</x:t>
        </x:is>
      </x:c>
      <x:c r="H3118" s="2" t="inlineStr">
        <x:is>
          <x:t xml:space="preserve">橡胶制品</x:t>
        </x:is>
      </x:c>
      <x:c r="I3118" s="2" t="inlineStr">
        <x:is>
          <x:t xml:space="preserve">2016-09-19</x:t>
        </x:is>
      </x:c>
      <x:c r="J3118" s="3" t="inlineStr">
        <x:is>
          <x:t xml:space="preserve">无锡市锡山区东港镇港下</x:t>
        </x:is>
      </x:c>
      <x:c r="K3118" s="12" t="str">
        <x:f>LEFT("913202007406744651",18)</x:f>
        <x:v>913202007406744700</x:v>
      </x:c>
    </x:row>
    <x:row r="3119">
      <x:c r="A3119" s="4" t="n">
        <x:v>3118</x:v>
      </x:c>
      <x:c r="B3119" s="4" t="inlineStr">
        <x:is>
          <x:t xml:space="preserve">601512</x:t>
        </x:is>
      </x:c>
      <x:c r="C3119" s="5" t="inlineStr">
        <x:is>
          <x:t xml:space="preserve">中新集团</x:t>
        </x:is>
      </x:c>
      <x:c r="D3119" s="5" t="inlineStr">
        <x:is>
          <x:t xml:space="preserve">中新苏州工业园区开发集团股份有限公司</x:t>
        </x:is>
      </x:c>
      <x:c r="E3119" s="4" t="inlineStr">
        <x:is>
          <x:t xml:space="preserve">江苏省</x:t>
        </x:is>
      </x:c>
      <x:c r="F3119" s="4" t="inlineStr">
        <x:is>
          <x:t xml:space="preserve">苏州市</x:t>
        </x:is>
      </x:c>
      <x:c r="G3119" s="5" t="inlineStr">
        <x:is>
          <x:t xml:space="preserve">江苏省-苏州市</x:t>
        </x:is>
      </x:c>
      <x:c r="H3119" s="4" t="inlineStr">
        <x:is>
          <x:t xml:space="preserve">房地产</x:t>
        </x:is>
      </x:c>
      <x:c r="I3119" s="4" t="inlineStr">
        <x:is>
          <x:t xml:space="preserve">2019-12-20</x:t>
        </x:is>
      </x:c>
      <x:c r="J3119" s="5" t="inlineStr">
        <x:is>
          <x:t xml:space="preserve">江苏省苏州工业园区月亮湾路15号中新大厦48楼</x:t>
        </x:is>
      </x:c>
      <x:c r="K3119" s="12" t="str">
        <x:f>LEFT("9132000060819777X9",18)</x:f>
        <x:v>9132000060819777X9</x:v>
      </x:c>
    </x:row>
    <x:row r="3120">
      <x:c r="A3120" s="2" t="n">
        <x:v>3119</x:v>
      </x:c>
      <x:c r="B3120" s="2" t="inlineStr">
        <x:is>
          <x:t xml:space="preserve">601555</x:t>
        </x:is>
      </x:c>
      <x:c r="C3120" s="3" t="inlineStr">
        <x:is>
          <x:t xml:space="preserve">东吴证券</x:t>
        </x:is>
      </x:c>
      <x:c r="D3120" s="3" t="inlineStr">
        <x:is>
          <x:t xml:space="preserve">东吴证券股份有限公司</x:t>
        </x:is>
      </x:c>
      <x:c r="E3120" s="2" t="inlineStr">
        <x:is>
          <x:t xml:space="preserve">江苏省</x:t>
        </x:is>
      </x:c>
      <x:c r="F3120" s="2" t="inlineStr">
        <x:is>
          <x:t xml:space="preserve">苏州市</x:t>
        </x:is>
      </x:c>
      <x:c r="G3120" s="3" t="inlineStr">
        <x:is>
          <x:t xml:space="preserve">江苏省-苏州市</x:t>
        </x:is>
      </x:c>
      <x:c r="H3120" s="2" t="inlineStr">
        <x:is>
          <x:t xml:space="preserve">券商信托</x:t>
        </x:is>
      </x:c>
      <x:c r="I3120" s="2" t="inlineStr">
        <x:is>
          <x:t xml:space="preserve">2011-12-12</x:t>
        </x:is>
      </x:c>
      <x:c r="J3120" s="3" t="inlineStr">
        <x:is>
          <x:t xml:space="preserve">江苏省苏州工业园区星阳街5号</x:t>
        </x:is>
      </x:c>
      <x:c r="K3120" s="12" t="str">
        <x:f>LEFT("91320000137720519P",18)</x:f>
        <x:v>91320000137720519P</x:v>
      </x:c>
    </x:row>
    <x:row r="3121">
      <x:c r="A3121" s="4" t="n">
        <x:v>3120</x:v>
      </x:c>
      <x:c r="B3121" s="4" t="inlineStr">
        <x:is>
          <x:t xml:space="preserve">601688</x:t>
        </x:is>
      </x:c>
      <x:c r="C3121" s="5" t="inlineStr">
        <x:is>
          <x:t xml:space="preserve">华泰证券</x:t>
        </x:is>
      </x:c>
      <x:c r="D3121" s="5" t="inlineStr">
        <x:is>
          <x:t xml:space="preserve">华泰证券股份有限公司</x:t>
        </x:is>
      </x:c>
      <x:c r="E3121" s="4" t="inlineStr">
        <x:is>
          <x:t xml:space="preserve">江苏省</x:t>
        </x:is>
      </x:c>
      <x:c r="F3121" s="4" t="inlineStr">
        <x:is>
          <x:t xml:space="preserve">南京市</x:t>
        </x:is>
      </x:c>
      <x:c r="G3121" s="5" t="inlineStr">
        <x:is>
          <x:t xml:space="preserve">江苏省-南京市</x:t>
        </x:is>
      </x:c>
      <x:c r="H3121" s="4" t="inlineStr">
        <x:is>
          <x:t xml:space="preserve">券商信托</x:t>
        </x:is>
      </x:c>
      <x:c r="I3121" s="4" t="inlineStr">
        <x:is>
          <x:t xml:space="preserve">2010-02-26</x:t>
        </x:is>
      </x:c>
      <x:c r="J3121" s="5" t="inlineStr">
        <x:is>
          <x:t xml:space="preserve">南京市江东中路228号</x:t>
        </x:is>
      </x:c>
      <x:c r="K3121" s="12" t="str">
        <x:f>LEFT("91320000704041011J",18)</x:f>
        <x:v>91320000704041011J</x:v>
      </x:c>
    </x:row>
    <x:row r="3122">
      <x:c r="A3122" s="2" t="n">
        <x:v>3121</x:v>
      </x:c>
      <x:c r="B3122" s="2" t="inlineStr">
        <x:is>
          <x:t xml:space="preserve">601700</x:t>
        </x:is>
      </x:c>
      <x:c r="C3122" s="3" t="inlineStr">
        <x:is>
          <x:t xml:space="preserve">风范股份</x:t>
        </x:is>
      </x:c>
      <x:c r="D3122" s="3" t="inlineStr">
        <x:is>
          <x:t xml:space="preserve">常熟风范电力设备股份有限公司</x:t>
        </x:is>
      </x:c>
      <x:c r="E3122" s="2" t="inlineStr">
        <x:is>
          <x:t xml:space="preserve">江苏省</x:t>
        </x:is>
      </x:c>
      <x:c r="F3122" s="2" t="inlineStr">
        <x:is>
          <x:t xml:space="preserve">苏省常熟市</x:t>
        </x:is>
      </x:c>
      <x:c r="G3122" s="3" t="inlineStr">
        <x:is>
          <x:t xml:space="preserve">江苏省-苏省常熟市</x:t>
        </x:is>
      </x:c>
      <x:c r="H3122" s="2" t="inlineStr">
        <x:is>
          <x:t xml:space="preserve">输配电气</x:t>
        </x:is>
      </x:c>
      <x:c r="I3122" s="2" t="inlineStr">
        <x:is>
          <x:t xml:space="preserve">2011-01-18</x:t>
        </x:is>
      </x:c>
      <x:c r="J3122" s="3" t="inlineStr">
        <x:is>
          <x:t xml:space="preserve">江苏省常熟市尚湖镇工业集中区西区人民南路8号</x:t>
        </x:is>
      </x:c>
      <x:c r="K3122" s="12" t="str">
        <x:f>LEFT("9132050025142000XL",18)</x:f>
        <x:v>9132050025142000XL</x:v>
      </x:c>
    </x:row>
    <x:row r="3123">
      <x:c r="A3123" s="4" t="n">
        <x:v>3122</x:v>
      </x:c>
      <x:c r="B3123" s="4" t="inlineStr">
        <x:is>
          <x:t xml:space="preserve">601799</x:t>
        </x:is>
      </x:c>
      <x:c r="C3123" s="5" t="inlineStr">
        <x:is>
          <x:t xml:space="preserve">星宇股份</x:t>
        </x:is>
      </x:c>
      <x:c r="D3123" s="5" t="inlineStr">
        <x:is>
          <x:t xml:space="preserve">常州星宇车灯股份有限公司</x:t>
        </x:is>
      </x:c>
      <x:c r="E3123" s="4" t="inlineStr">
        <x:is>
          <x:t xml:space="preserve">江苏省</x:t>
        </x:is>
      </x:c>
      <x:c r="F3123" s="4" t="inlineStr">
        <x:is>
          <x:t xml:space="preserve">常州市</x:t>
        </x:is>
      </x:c>
      <x:c r="G3123" s="5" t="inlineStr">
        <x:is>
          <x:t xml:space="preserve">江苏省-常州市</x:t>
        </x:is>
      </x:c>
      <x:c r="H3123" s="4" t="inlineStr">
        <x:is>
          <x:t xml:space="preserve">汽车行业</x:t>
        </x:is>
      </x:c>
      <x:c r="I3123" s="4" t="inlineStr">
        <x:is>
          <x:t xml:space="preserve">2011-02-01</x:t>
        </x:is>
      </x:c>
      <x:c r="J3123" s="5" t="inlineStr">
        <x:is>
          <x:t xml:space="preserve">江苏省常州市新北区汉江路398号</x:t>
        </x:is>
      </x:c>
      <x:c r="K3123" s="12" t="str">
        <x:f>LEFT("91320400720665406K",18)</x:f>
        <x:v>91320400720665406K</x:v>
      </x:c>
    </x:row>
    <x:row r="3124">
      <x:c r="A3124" s="2" t="n">
        <x:v>3123</x:v>
      </x:c>
      <x:c r="B3124" s="2" t="inlineStr">
        <x:is>
          <x:t xml:space="preserve">601860</x:t>
        </x:is>
      </x:c>
      <x:c r="C3124" s="3" t="inlineStr">
        <x:is>
          <x:t xml:space="preserve">紫金银行</x:t>
        </x:is>
      </x:c>
      <x:c r="D3124" s="3" t="inlineStr">
        <x:is>
          <x:t xml:space="preserve">江苏紫金农村商业银行股份有限公司</x:t>
        </x:is>
      </x:c>
      <x:c r="E3124" s="2" t="inlineStr">
        <x:is>
          <x:t xml:space="preserve">江苏省</x:t>
        </x:is>
      </x:c>
      <x:c r="F3124" s="2" t="inlineStr">
        <x:is>
          <x:t xml:space="preserve">南京市</x:t>
        </x:is>
      </x:c>
      <x:c r="G3124" s="3" t="inlineStr">
        <x:is>
          <x:t xml:space="preserve">江苏省-南京市</x:t>
        </x:is>
      </x:c>
      <x:c r="H3124" s="2" t="inlineStr">
        <x:is>
          <x:t xml:space="preserve">银行</x:t>
        </x:is>
      </x:c>
      <x:c r="I3124" s="2" t="inlineStr">
        <x:is>
          <x:t xml:space="preserve">2019-01-03</x:t>
        </x:is>
      </x:c>
      <x:c r="J3124" s="3" t="inlineStr">
        <x:is>
          <x:t xml:space="preserve">南京市建邺区江东中路381号</x:t>
        </x:is>
      </x:c>
      <x:c r="K3124" s="12" t="str">
        <x:f>LEFT("91320000571433432L",18)</x:f>
        <x:v>91320000571433432L</x:v>
      </x:c>
    </x:row>
    <x:row r="3125">
      <x:c r="A3125" s="4" t="n">
        <x:v>3124</x:v>
      </x:c>
      <x:c r="B3125" s="4" t="inlineStr">
        <x:is>
          <x:t xml:space="preserve">601890</x:t>
        </x:is>
      </x:c>
      <x:c r="C3125" s="5" t="inlineStr">
        <x:is>
          <x:t xml:space="preserve">亚星锚链</x:t>
        </x:is>
      </x:c>
      <x:c r="D3125" s="5" t="inlineStr">
        <x:is>
          <x:t xml:space="preserve">江苏亚星锚链股份有限公司</x:t>
        </x:is>
      </x:c>
      <x:c r="E3125" s="4" t="inlineStr">
        <x:is>
          <x:t xml:space="preserve">江苏省</x:t>
        </x:is>
      </x:c>
      <x:c r="F3125" s="4" t="inlineStr">
        <x:is>
          <x:t xml:space="preserve">靖江市</x:t>
        </x:is>
      </x:c>
      <x:c r="G3125" s="5" t="inlineStr">
        <x:is>
          <x:t xml:space="preserve">江苏省-靖江市</x:t>
        </x:is>
      </x:c>
      <x:c r="H3125" s="4" t="inlineStr">
        <x:is>
          <x:t xml:space="preserve">船舶制造</x:t>
        </x:is>
      </x:c>
      <x:c r="I3125" s="4" t="inlineStr">
        <x:is>
          <x:t xml:space="preserve">2010-12-28</x:t>
        </x:is>
      </x:c>
      <x:c r="J3125" s="5" t="inlineStr">
        <x:is>
          <x:t xml:space="preserve">靖江市东兴镇何德村</x:t>
        </x:is>
      </x:c>
      <x:c r="K3125" s="12" t="str">
        <x:f>LEFT("91321200141076367Y",18)</x:f>
        <x:v>91321200141076367Y</x:v>
      </x:c>
    </x:row>
    <x:row r="3126">
      <x:c r="A3126" s="2" t="n">
        <x:v>3125</x:v>
      </x:c>
      <x:c r="B3126" s="2" t="inlineStr">
        <x:is>
          <x:t xml:space="preserve">601928</x:t>
        </x:is>
      </x:c>
      <x:c r="C3126" s="3" t="inlineStr">
        <x:is>
          <x:t xml:space="preserve">凤凰传媒</x:t>
        </x:is>
      </x:c>
      <x:c r="D3126" s="3" t="inlineStr">
        <x:is>
          <x:t xml:space="preserve">江苏凤凰出版传媒股份有限公司</x:t>
        </x:is>
      </x:c>
      <x:c r="E3126" s="2" t="inlineStr">
        <x:is>
          <x:t xml:space="preserve">江苏省</x:t>
        </x:is>
      </x:c>
      <x:c r="F3126" s="2" t="inlineStr">
        <x:is>
          <x:t xml:space="preserve">南京市</x:t>
        </x:is>
      </x:c>
      <x:c r="G3126" s="3" t="inlineStr">
        <x:is>
          <x:t xml:space="preserve">江苏省-南京市</x:t>
        </x:is>
      </x:c>
      <x:c r="H3126" s="2" t="inlineStr">
        <x:is>
          <x:t xml:space="preserve">文化传媒</x:t>
        </x:is>
      </x:c>
      <x:c r="I3126" s="2" t="inlineStr">
        <x:is>
          <x:t xml:space="preserve">2011-11-30</x:t>
        </x:is>
      </x:c>
      <x:c r="J3126" s="3" t="inlineStr">
        <x:is>
          <x:t xml:space="preserve">南京市湖南路1号凤凰广场B座</x:t>
        </x:is>
      </x:c>
      <x:c r="K3126" s="12" t="str">
        <x:f>LEFT("91320000134752179A",18)</x:f>
        <x:v>91320000134752179A</x:v>
      </x:c>
    </x:row>
    <x:row r="3127">
      <x:c r="A3127" s="4" t="n">
        <x:v>3126</x:v>
      </x:c>
      <x:c r="B3127" s="4" t="inlineStr">
        <x:is>
          <x:t xml:space="preserve">601952</x:t>
        </x:is>
      </x:c>
      <x:c r="C3127" s="5" t="inlineStr">
        <x:is>
          <x:t xml:space="preserve">苏垦农发</x:t>
        </x:is>
      </x:c>
      <x:c r="D3127" s="5" t="inlineStr">
        <x:is>
          <x:t xml:space="preserve">江苏省农垦农业发展股份有限公司</x:t>
        </x:is>
      </x:c>
      <x:c r="E3127" s="4" t="inlineStr">
        <x:is>
          <x:t xml:space="preserve">江苏省</x:t>
        </x:is>
      </x:c>
      <x:c r="F3127" s="4" t="inlineStr">
        <x:is>
          <x:t xml:space="preserve">南京市</x:t>
        </x:is>
      </x:c>
      <x:c r="G3127" s="5" t="inlineStr">
        <x:is>
          <x:t xml:space="preserve">江苏省-南京市</x:t>
        </x:is>
      </x:c>
      <x:c r="H3127" s="4" t="inlineStr">
        <x:is>
          <x:t xml:space="preserve">农牧饲渔</x:t>
        </x:is>
      </x:c>
      <x:c r="I3127" s="4" t="inlineStr">
        <x:is>
          <x:t xml:space="preserve">2017-05-15</x:t>
        </x:is>
      </x:c>
      <x:c r="J3127" s="5" t="inlineStr">
        <x:is>
          <x:t xml:space="preserve">南京市建邺区恒山路136号苏垦大厦12楼</x:t>
        </x:is>
      </x:c>
      <x:c r="K3127" s="12" t="str">
        <x:f>LEFT("913200001347587142",18)</x:f>
        <x:v>913200001347587200</x:v>
      </x:c>
    </x:row>
    <x:row r="3128">
      <x:c r="A3128" s="2" t="n">
        <x:v>3127</x:v>
      </x:c>
      <x:c r="B3128" s="2" t="inlineStr">
        <x:is>
          <x:t xml:space="preserve">601975</x:t>
        </x:is>
      </x:c>
      <x:c r="C3128" s="3" t="inlineStr">
        <x:is>
          <x:t xml:space="preserve">招商南油</x:t>
        </x:is>
      </x:c>
      <x:c r="D3128" s="3" t="inlineStr">
        <x:is>
          <x:t xml:space="preserve">招商局南京油运股份有限公司</x:t>
        </x:is>
      </x:c>
      <x:c r="E3128" s="2" t="inlineStr">
        <x:is>
          <x:t xml:space="preserve">江苏省</x:t>
        </x:is>
      </x:c>
      <x:c r="F3128" s="2" t="inlineStr">
        <x:is>
          <x:t xml:space="preserve">南京市</x:t>
        </x:is>
      </x:c>
      <x:c r="G3128" s="3" t="inlineStr">
        <x:is>
          <x:t xml:space="preserve">江苏省-南京市</x:t>
        </x:is>
      </x:c>
      <x:c r="H3128" s="2" t="inlineStr">
        <x:is>
          <x:t xml:space="preserve">港口水运</x:t>
        </x:is>
      </x:c>
      <x:c r="I3128" s="2" t="inlineStr">
        <x:is>
          <x:t xml:space="preserve">2019-01-08</x:t>
        </x:is>
      </x:c>
      <x:c r="J3128" s="3" t="inlineStr">
        <x:is>
          <x:t xml:space="preserve">南京市鼓楼区中山北路324号油运大厦</x:t>
        </x:is>
      </x:c>
      <x:c r="K3128" s="12" t="str">
        <x:f>LEFT("913201921349556628",18)</x:f>
        <x:v>913201921349556600</x:v>
      </x:c>
    </x:row>
    <x:row r="3129">
      <x:c r="A3129" s="4" t="n">
        <x:v>3128</x:v>
      </x:c>
      <x:c r="B3129" s="4" t="inlineStr">
        <x:is>
          <x:t xml:space="preserve">601990</x:t>
        </x:is>
      </x:c>
      <x:c r="C3129" s="5" t="inlineStr">
        <x:is>
          <x:t xml:space="preserve">南京证券</x:t>
        </x:is>
      </x:c>
      <x:c r="D3129" s="5" t="inlineStr">
        <x:is>
          <x:t xml:space="preserve">南京证券股份有限公司</x:t>
        </x:is>
      </x:c>
      <x:c r="E3129" s="4" t="inlineStr">
        <x:is>
          <x:t xml:space="preserve">江苏省</x:t>
        </x:is>
      </x:c>
      <x:c r="F3129" s="4" t="inlineStr">
        <x:is>
          <x:t xml:space="preserve">南京市</x:t>
        </x:is>
      </x:c>
      <x:c r="G3129" s="5" t="inlineStr">
        <x:is>
          <x:t xml:space="preserve">江苏省-南京市</x:t>
        </x:is>
      </x:c>
      <x:c r="H3129" s="4" t="inlineStr">
        <x:is>
          <x:t xml:space="preserve">券商信托</x:t>
        </x:is>
      </x:c>
      <x:c r="I3129" s="4" t="inlineStr">
        <x:is>
          <x:t xml:space="preserve">2018-06-13</x:t>
        </x:is>
      </x:c>
      <x:c r="J3129" s="5" t="inlineStr">
        <x:is>
          <x:t xml:space="preserve">南京市江东中路389号</x:t>
        </x:is>
      </x:c>
      <x:c r="K3129" s="12" t="str">
        <x:f>LEFT("91320100134881536B",18)</x:f>
        <x:v>91320100134881536B</x:v>
      </x:c>
    </x:row>
    <x:row r="3130">
      <x:c r="A3130" s="2" t="n">
        <x:v>3129</x:v>
      </x:c>
      <x:c r="B3130" s="2" t="inlineStr">
        <x:is>
          <x:t xml:space="preserve">603005</x:t>
        </x:is>
      </x:c>
      <x:c r="C3130" s="3" t="inlineStr">
        <x:is>
          <x:t xml:space="preserve">晶方科技</x:t>
        </x:is>
      </x:c>
      <x:c r="D3130" s="3" t="inlineStr">
        <x:is>
          <x:t xml:space="preserve">苏州晶方半导体科技股份有限公司</x:t>
        </x:is>
      </x:c>
      <x:c r="E3130" s="2" t="inlineStr">
        <x:is>
          <x:t xml:space="preserve">江苏省</x:t>
        </x:is>
      </x:c>
      <x:c r="F3130" s="2" t="inlineStr">
        <x:is>
          <x:t xml:space="preserve">苏州市</x:t>
        </x:is>
      </x:c>
      <x:c r="G3130" s="3" t="inlineStr">
        <x:is>
          <x:t xml:space="preserve">江苏省-苏州市</x:t>
        </x:is>
      </x:c>
      <x:c r="H3130" s="2" t="inlineStr">
        <x:is>
          <x:t xml:space="preserve">半导体</x:t>
        </x:is>
      </x:c>
      <x:c r="I3130" s="2" t="inlineStr">
        <x:is>
          <x:t xml:space="preserve">2014-02-10</x:t>
        </x:is>
      </x:c>
      <x:c r="J3130" s="3" t="inlineStr">
        <x:is>
          <x:t xml:space="preserve">苏州工业园区汀兰巷29号</x:t>
        </x:is>
      </x:c>
      <x:c r="K3130" s="12" t="str">
        <x:f>LEFT("913200007746765307",18)</x:f>
        <x:v>913200007746765300</x:v>
      </x:c>
    </x:row>
    <x:row r="3131">
      <x:c r="A3131" s="4" t="n">
        <x:v>3130</x:v>
      </x:c>
      <x:c r="B3131" s="4" t="inlineStr">
        <x:is>
          <x:t xml:space="preserve">603007</x:t>
        </x:is>
      </x:c>
      <x:c r="C3131" s="5" t="inlineStr">
        <x:is>
          <x:t xml:space="preserve">ST花王</x:t>
        </x:is>
      </x:c>
      <x:c r="D3131" s="5" t="inlineStr">
        <x:is>
          <x:t xml:space="preserve">丹阳顺景智能科技股份有限公司</x:t>
        </x:is>
      </x:c>
      <x:c r="E3131" s="4" t="inlineStr">
        <x:is>
          <x:t xml:space="preserve">江苏省</x:t>
        </x:is>
      </x:c>
      <x:c r="F3131" s="4" t="inlineStr">
        <x:is>
          <x:t xml:space="preserve">苏省丹阳市</x:t>
        </x:is>
      </x:c>
      <x:c r="G3131" s="5" t="inlineStr">
        <x:is>
          <x:t xml:space="preserve">江苏省-苏省丹阳市</x:t>
        </x:is>
      </x:c>
      <x:c r="H3131" s="4" t="inlineStr">
        <x:is>
          <x:t xml:space="preserve">汽车零部件</x:t>
        </x:is>
      </x:c>
      <x:c r="I3131" s="4" t="inlineStr">
        <x:is>
          <x:t xml:space="preserve">2016-08-26</x:t>
        </x:is>
      </x:c>
      <x:c r="J3131" s="5" t="inlineStr">
        <x:is>
          <x:t xml:space="preserve">江苏省丹阳市齐梁路88号融锦广场A座10楼</x:t>
        </x:is>
      </x:c>
      <x:c r="K3131" s="12" t="str">
        <x:f>LEFT("91321100748740148E",18)</x:f>
        <x:v>91321100748740148E</x:v>
      </x:c>
    </x:row>
    <x:row r="3132">
      <x:c r="A3132" s="2" t="n">
        <x:v>3131</x:v>
      </x:c>
      <x:c r="B3132" s="2" t="inlineStr">
        <x:is>
          <x:t xml:space="preserve">603013</x:t>
        </x:is>
      </x:c>
      <x:c r="C3132" s="3" t="inlineStr">
        <x:is>
          <x:t xml:space="preserve">亚普股份</x:t>
        </x:is>
      </x:c>
      <x:c r="D3132" s="3" t="inlineStr">
        <x:is>
          <x:t xml:space="preserve">亚普汽车部件股份有限公司</x:t>
        </x:is>
      </x:c>
      <x:c r="E3132" s="2" t="inlineStr">
        <x:is>
          <x:t xml:space="preserve">江苏省</x:t>
        </x:is>
      </x:c>
      <x:c r="F3132" s="2" t="inlineStr">
        <x:is>
          <x:t xml:space="preserve">扬州市</x:t>
        </x:is>
      </x:c>
      <x:c r="G3132" s="3" t="inlineStr">
        <x:is>
          <x:t xml:space="preserve">江苏省-扬州市</x:t>
        </x:is>
      </x:c>
      <x:c r="H3132" s="2" t="inlineStr">
        <x:is>
          <x:t xml:space="preserve">汽车行业</x:t>
        </x:is>
      </x:c>
      <x:c r="I3132" s="2" t="inlineStr">
        <x:is>
          <x:t xml:space="preserve">2018-05-09</x:t>
        </x:is>
      </x:c>
      <x:c r="J3132" s="3" t="inlineStr">
        <x:is>
          <x:t xml:space="preserve">江苏省扬州市扬子江南路508号</x:t>
        </x:is>
      </x:c>
      <x:c r="K3132" s="12" t="str">
        <x:f>LEFT("91321000140719551F",18)</x:f>
        <x:v>91321000140719551F</x:v>
      </x:c>
    </x:row>
    <x:row r="3133">
      <x:c r="A3133" s="4" t="n">
        <x:v>3132</x:v>
      </x:c>
      <x:c r="B3133" s="4" t="inlineStr">
        <x:is>
          <x:t xml:space="preserve">603016</x:t>
        </x:is>
      </x:c>
      <x:c r="C3133" s="5" t="inlineStr">
        <x:is>
          <x:t xml:space="preserve">新宏泰</x:t>
        </x:is>
      </x:c>
      <x:c r="D3133" s="5" t="inlineStr">
        <x:is>
          <x:t xml:space="preserve">无锡新宏泰电器科技股份有限公司</x:t>
        </x:is>
      </x:c>
      <x:c r="E3133" s="4" t="inlineStr">
        <x:is>
          <x:t xml:space="preserve">江苏省</x:t>
        </x:is>
      </x:c>
      <x:c r="F3133" s="4" t="inlineStr">
        <x:is>
          <x:t xml:space="preserve">无锡市</x:t>
        </x:is>
      </x:c>
      <x:c r="G3133" s="5" t="inlineStr">
        <x:is>
          <x:t xml:space="preserve">江苏省-无锡市</x:t>
        </x:is>
      </x:c>
      <x:c r="H3133" s="4" t="inlineStr">
        <x:is>
          <x:t xml:space="preserve">输配电气</x:t>
        </x:is>
      </x:c>
      <x:c r="I3133" s="4" t="inlineStr">
        <x:is>
          <x:t xml:space="preserve">2016-07-01</x:t>
        </x:is>
      </x:c>
      <x:c r="J3133" s="5" t="inlineStr">
        <x:is>
          <x:t xml:space="preserve">无锡市惠山区堰新路18号</x:t>
        </x:is>
      </x:c>
      <x:c r="K3133" s="12" t="str">
        <x:f>LEFT("913202006816377193",18)</x:f>
        <x:v>913202006816377200</x:v>
      </x:c>
    </x:row>
    <x:row r="3134">
      <x:c r="A3134" s="2" t="n">
        <x:v>3133</x:v>
      </x:c>
      <x:c r="B3134" s="2" t="inlineStr">
        <x:is>
          <x:t xml:space="preserve">603017</x:t>
        </x:is>
      </x:c>
      <x:c r="C3134" s="3" t="inlineStr">
        <x:is>
          <x:t xml:space="preserve">中衡设计</x:t>
        </x:is>
      </x:c>
      <x:c r="D3134" s="3" t="inlineStr">
        <x:is>
          <x:t xml:space="preserve">中衡设计集团股份有限公司</x:t>
        </x:is>
      </x:c>
      <x:c r="E3134" s="2" t="inlineStr">
        <x:is>
          <x:t xml:space="preserve">江苏省</x:t>
        </x:is>
      </x:c>
      <x:c r="F3134" s="2" t="inlineStr">
        <x:is>
          <x:t xml:space="preserve">苏州市</x:t>
        </x:is>
      </x:c>
      <x:c r="G3134" s="3" t="inlineStr">
        <x:is>
          <x:t xml:space="preserve">江苏省-苏州市</x:t>
        </x:is>
      </x:c>
      <x:c r="H3134" s="2" t="inlineStr">
        <x:is>
          <x:t xml:space="preserve">工程咨询服务</x:t>
        </x:is>
      </x:c>
      <x:c r="I3134" s="2" t="inlineStr">
        <x:is>
          <x:t xml:space="preserve">2014-12-31</x:t>
        </x:is>
      </x:c>
      <x:c r="J3134" s="3" t="inlineStr">
        <x:is>
          <x:t xml:space="preserve">苏州工业园区八达街111号</x:t>
        </x:is>
      </x:c>
      <x:c r="K3134" s="12" t="str">
        <x:f>LEFT("913200001348450681",18)</x:f>
        <x:v>913200001348450700</x:v>
      </x:c>
    </x:row>
    <x:row r="3135">
      <x:c r="A3135" s="4" t="n">
        <x:v>3134</x:v>
      </x:c>
      <x:c r="B3135" s="4" t="inlineStr">
        <x:is>
          <x:t xml:space="preserve">603018</x:t>
        </x:is>
      </x:c>
      <x:c r="C3135" s="5" t="inlineStr">
        <x:is>
          <x:t xml:space="preserve">华设集团</x:t>
        </x:is>
      </x:c>
      <x:c r="D3135" s="5" t="inlineStr">
        <x:is>
          <x:t xml:space="preserve">华设设计集团股份有限公司</x:t>
        </x:is>
      </x:c>
      <x:c r="E3135" s="4" t="inlineStr">
        <x:is>
          <x:t xml:space="preserve">江苏省</x:t>
        </x:is>
      </x:c>
      <x:c r="F3135" s="4" t="inlineStr">
        <x:is>
          <x:t xml:space="preserve">南京市</x:t>
        </x:is>
      </x:c>
      <x:c r="G3135" s="5" t="inlineStr">
        <x:is>
          <x:t xml:space="preserve">江苏省-南京市</x:t>
        </x:is>
      </x:c>
      <x:c r="H3135" s="4" t="inlineStr">
        <x:is>
          <x:t xml:space="preserve">工程咨询服务</x:t>
        </x:is>
      </x:c>
      <x:c r="I3135" s="4" t="inlineStr">
        <x:is>
          <x:t xml:space="preserve">2014-10-13</x:t>
        </x:is>
      </x:c>
      <x:c r="J3135" s="5" t="inlineStr">
        <x:is>
          <x:t xml:space="preserve">南京市秦淮区紫云大道9号</x:t>
        </x:is>
      </x:c>
      <x:c r="K3135" s="12" t="str">
        <x:f>LEFT("91320000780270414F",18)</x:f>
        <x:v>91320000780270414F</x:v>
      </x:c>
    </x:row>
    <x:row r="3136">
      <x:c r="A3136" s="2" t="n">
        <x:v>3135</x:v>
      </x:c>
      <x:c r="B3136" s="2" t="inlineStr">
        <x:is>
          <x:t xml:space="preserve">603028</x:t>
        </x:is>
      </x:c>
      <x:c r="C3136" s="3" t="inlineStr">
        <x:is>
          <x:t xml:space="preserve">赛福天</x:t>
        </x:is>
      </x:c>
      <x:c r="D3136" s="3" t="inlineStr">
        <x:is>
          <x:t xml:space="preserve">江苏赛福天集团股份有限公司</x:t>
        </x:is>
      </x:c>
      <x:c r="E3136" s="2" t="inlineStr">
        <x:is>
          <x:t xml:space="preserve">江苏省</x:t>
        </x:is>
      </x:c>
      <x:c r="F3136" s="2" t="inlineStr">
        <x:is>
          <x:t xml:space="preserve">无锡市</x:t>
        </x:is>
      </x:c>
      <x:c r="G3136" s="3" t="inlineStr">
        <x:is>
          <x:t xml:space="preserve">江苏省-无锡市</x:t>
        </x:is>
      </x:c>
      <x:c r="H3136" s="2" t="inlineStr">
        <x:is>
          <x:t xml:space="preserve">通用设备</x:t>
        </x:is>
      </x:c>
      <x:c r="I3136" s="2" t="inlineStr">
        <x:is>
          <x:t xml:space="preserve">2016-03-31</x:t>
        </x:is>
      </x:c>
      <x:c r="J3136" s="3" t="inlineStr">
        <x:is>
          <x:t xml:space="preserve">无锡市锡山区锡山经济开发区芙蓉中三路151号</x:t>
        </x:is>
      </x:c>
      <x:c r="K3136" s="12" t="str">
        <x:f>LEFT("91320200772038068L",18)</x:f>
        <x:v>91320200772038068L</x:v>
      </x:c>
    </x:row>
    <x:row r="3137">
      <x:c r="A3137" s="4" t="n">
        <x:v>3136</x:v>
      </x:c>
      <x:c r="B3137" s="4" t="inlineStr">
        <x:is>
          <x:t xml:space="preserve">603035</x:t>
        </x:is>
      </x:c>
      <x:c r="C3137" s="5" t="inlineStr">
        <x:is>
          <x:t xml:space="preserve">常熟汽饰</x:t>
        </x:is>
      </x:c>
      <x:c r="D3137" s="5" t="inlineStr">
        <x:is>
          <x:t xml:space="preserve">江苏常熟汽饰集团股份有限公司</x:t>
        </x:is>
      </x:c>
      <x:c r="E3137" s="4" t="inlineStr">
        <x:is>
          <x:t xml:space="preserve">江苏省</x:t>
        </x:is>
      </x:c>
      <x:c r="F3137" s="4" t="inlineStr">
        <x:is>
          <x:t xml:space="preserve">常熟市</x:t>
        </x:is>
      </x:c>
      <x:c r="G3137" s="5" t="inlineStr">
        <x:is>
          <x:t xml:space="preserve">江苏省-常熟市</x:t>
        </x:is>
      </x:c>
      <x:c r="H3137" s="4" t="inlineStr">
        <x:is>
          <x:t xml:space="preserve">汽车行业</x:t>
        </x:is>
      </x:c>
      <x:c r="I3137" s="4" t="inlineStr">
        <x:is>
          <x:t xml:space="preserve">2017-01-05</x:t>
        </x:is>
      </x:c>
      <x:c r="J3137" s="5" t="inlineStr">
        <x:is>
          <x:t xml:space="preserve">常熟市海虞北路288号</x:t>
        </x:is>
      </x:c>
      <x:c r="K3137" s="12" t="str">
        <x:f>LEFT("91320500251450479U",18)</x:f>
        <x:v>91320500251450479U</x:v>
      </x:c>
    </x:row>
    <x:row r="3138">
      <x:c r="A3138" s="2" t="n">
        <x:v>3137</x:v>
      </x:c>
      <x:c r="B3138" s="2" t="inlineStr">
        <x:is>
          <x:t xml:space="preserve">603036</x:t>
        </x:is>
      </x:c>
      <x:c r="C3138" s="3" t="inlineStr">
        <x:is>
          <x:t xml:space="preserve">如通股份</x:t>
        </x:is>
      </x:c>
      <x:c r="D3138" s="3" t="inlineStr">
        <x:is>
          <x:t xml:space="preserve">江苏如通石油机械股份有限公司</x:t>
        </x:is>
      </x:c>
      <x:c r="E3138" s="2" t="inlineStr">
        <x:is>
          <x:t xml:space="preserve">江苏省</x:t>
        </x:is>
      </x:c>
      <x:c r="F3138" s="2" t="inlineStr">
        <x:is>
          <x:t xml:space="preserve">南通市</x:t>
        </x:is>
      </x:c>
      <x:c r="G3138" s="3" t="inlineStr">
        <x:is>
          <x:t xml:space="preserve">江苏省-南通市</x:t>
        </x:is>
      </x:c>
      <x:c r="H3138" s="2" t="inlineStr">
        <x:is>
          <x:t xml:space="preserve">专用设备</x:t>
        </x:is>
      </x:c>
      <x:c r="I3138" s="2" t="inlineStr">
        <x:is>
          <x:t xml:space="preserve">2016-12-09</x:t>
        </x:is>
      </x:c>
      <x:c r="J3138" s="3" t="inlineStr">
        <x:is>
          <x:t xml:space="preserve">江苏省南通市如东经济开发区新区淮河路33号</x:t>
        </x:is>
      </x:c>
      <x:c r="K3138" s="12" t="str">
        <x:f>LEFT("913206001386542340",18)</x:f>
        <x:v>913206001386542300</x:v>
      </x:c>
    </x:row>
    <x:row r="3139">
      <x:c r="A3139" s="4" t="n">
        <x:v>3138</x:v>
      </x:c>
      <x:c r="B3139" s="4" t="inlineStr">
        <x:is>
          <x:t xml:space="preserve">603041</x:t>
        </x:is>
      </x:c>
      <x:c r="C3139" s="5" t="inlineStr">
        <x:is>
          <x:t xml:space="preserve">美思德</x:t>
        </x:is>
      </x:c>
      <x:c r="D3139" s="5" t="inlineStr">
        <x:is>
          <x:t xml:space="preserve">江苏美思德化学股份有限公司</x:t>
        </x:is>
      </x:c>
      <x:c r="E3139" s="4" t="inlineStr">
        <x:is>
          <x:t xml:space="preserve">江苏省</x:t>
        </x:is>
      </x:c>
      <x:c r="F3139" s="4" t="inlineStr">
        <x:is>
          <x:t xml:space="preserve">南京市</x:t>
        </x:is>
      </x:c>
      <x:c r="G3139" s="5" t="inlineStr">
        <x:is>
          <x:t xml:space="preserve">江苏省-南京市</x:t>
        </x:is>
      </x:c>
      <x:c r="H3139" s="4" t="inlineStr">
        <x:is>
          <x:t xml:space="preserve">化工行业</x:t>
        </x:is>
      </x:c>
      <x:c r="I3139" s="4" t="inlineStr">
        <x:is>
          <x:t xml:space="preserve">2017-03-30</x:t>
        </x:is>
      </x:c>
      <x:c r="J3139" s="5" t="inlineStr">
        <x:is>
          <x:t xml:space="preserve">南京经济技术开发区恒泰路8号汇智科技园A3栋之七层、八层</x:t>
        </x:is>
      </x:c>
      <x:c r="K3139" s="12" t="str">
        <x:f>LEFT("91320192724594588N",18)</x:f>
        <x:v>91320192724594588N</x:v>
      </x:c>
    </x:row>
    <x:row r="3140">
      <x:c r="A3140" s="2" t="n">
        <x:v>3139</x:v>
      </x:c>
      <x:c r="B3140" s="2" t="inlineStr">
        <x:is>
          <x:t xml:space="preserve">603042</x:t>
        </x:is>
      </x:c>
      <x:c r="C3140" s="3" t="inlineStr">
        <x:is>
          <x:t xml:space="preserve">华脉科技</x:t>
        </x:is>
      </x:c>
      <x:c r="D3140" s="3" t="inlineStr">
        <x:is>
          <x:t xml:space="preserve">南京华脉科技股份有限公司</x:t>
        </x:is>
      </x:c>
      <x:c r="E3140" s="2" t="inlineStr">
        <x:is>
          <x:t xml:space="preserve">江苏省</x:t>
        </x:is>
      </x:c>
      <x:c r="F3140" s="2" t="inlineStr">
        <x:is>
          <x:t xml:space="preserve">南京市</x:t>
        </x:is>
      </x:c>
      <x:c r="G3140" s="3" t="inlineStr">
        <x:is>
          <x:t xml:space="preserve">江苏省-南京市</x:t>
        </x:is>
      </x:c>
      <x:c r="H3140" s="2" t="inlineStr">
        <x:is>
          <x:t xml:space="preserve">通讯行业</x:t>
        </x:is>
      </x:c>
      <x:c r="I3140" s="2" t="inlineStr">
        <x:is>
          <x:t xml:space="preserve">2017-06-02</x:t>
        </x:is>
      </x:c>
      <x:c r="J3140" s="3" t="inlineStr">
        <x:is>
          <x:t xml:space="preserve">南京市江宁区东山街道工业集中区润发路11号</x:t>
        </x:is>
      </x:c>
      <x:c r="K3140" s="12" t="str">
        <x:f>LEFT("9132010013516108X0",18)</x:f>
        <x:v>9132010013516108X0</x:v>
      </x:c>
    </x:row>
    <x:row r="3141">
      <x:c r="A3141" s="4" t="n">
        <x:v>3140</x:v>
      </x:c>
      <x:c r="B3141" s="4" t="inlineStr">
        <x:is>
          <x:t xml:space="preserve">603052</x:t>
        </x:is>
      </x:c>
      <x:c r="C3141" s="5" t="inlineStr">
        <x:is>
          <x:t xml:space="preserve">可川科技</x:t>
        </x:is>
      </x:c>
      <x:c r="D3141" s="5" t="inlineStr">
        <x:is>
          <x:t xml:space="preserve">苏州可川电子科技股份有限公司</x:t>
        </x:is>
      </x:c>
      <x:c r="E3141" s="4" t="inlineStr">
        <x:is>
          <x:t xml:space="preserve">江苏省</x:t>
        </x:is>
      </x:c>
      <x:c r="F3141" s="4" t="inlineStr">
        <x:is>
          <x:t xml:space="preserve">昆山市</x:t>
        </x:is>
      </x:c>
      <x:c r="G3141" s="5" t="inlineStr">
        <x:is>
          <x:t xml:space="preserve">江苏省-昆山市</x:t>
        </x:is>
      </x:c>
      <x:c r="H3141" s="4" t="inlineStr">
        <x:is>
          <x:t xml:space="preserve">电子元件</x:t>
        </x:is>
      </x:c>
      <x:c r="I3141" s="4" t="inlineStr">
        <x:is>
          <x:t xml:space="preserve">2022-10-11</x:t>
        </x:is>
      </x:c>
      <x:c r="J3141" s="5" t="inlineStr">
        <x:is>
          <x:t xml:space="preserve">昆山市千灯镇支浦路1号5号房</x:t>
        </x:is>
      </x:c>
      <x:c r="K3141" s="12" t="str">
        <x:f>LEFT("91320583592501721R",18)</x:f>
        <x:v>91320583592501721R</x:v>
      </x:c>
    </x:row>
    <x:row r="3142">
      <x:c r="A3142" s="2" t="n">
        <x:v>3141</x:v>
      </x:c>
      <x:c r="B3142" s="2" t="inlineStr">
        <x:is>
          <x:t xml:space="preserve">603059</x:t>
        </x:is>
      </x:c>
      <x:c r="C3142" s="3" t="inlineStr">
        <x:is>
          <x:t xml:space="preserve">倍加洁</x:t>
        </x:is>
      </x:c>
      <x:c r="D3142" s="3" t="inlineStr">
        <x:is>
          <x:t xml:space="preserve">倍加洁集团股份有限公司</x:t>
        </x:is>
      </x:c>
      <x:c r="E3142" s="2" t="inlineStr">
        <x:is>
          <x:t xml:space="preserve">江苏省</x:t>
        </x:is>
      </x:c>
      <x:c r="F3142" s="2" t="inlineStr">
        <x:is>
          <x:t xml:space="preserve">扬州市</x:t>
        </x:is>
      </x:c>
      <x:c r="G3142" s="3" t="inlineStr">
        <x:is>
          <x:t xml:space="preserve">江苏省-扬州市</x:t>
        </x:is>
      </x:c>
      <x:c r="H3142" s="2" t="inlineStr">
        <x:is>
          <x:t xml:space="preserve">美容护理</x:t>
        </x:is>
      </x:c>
      <x:c r="I3142" s="2" t="inlineStr">
        <x:is>
          <x:t xml:space="preserve">2018-03-02</x:t>
        </x:is>
      </x:c>
      <x:c r="J3142" s="3" t="inlineStr">
        <x:is>
          <x:t xml:space="preserve">扬州市杭集工业园</x:t>
        </x:is>
      </x:c>
      <x:c r="K3142" s="12" t="str">
        <x:f>LEFT("91321000608803135L",18)</x:f>
        <x:v>91321000608803135L</x:v>
      </x:c>
    </x:row>
    <x:row r="3143">
      <x:c r="A3143" s="4" t="n">
        <x:v>3142</x:v>
      </x:c>
      <x:c r="B3143" s="4" t="inlineStr">
        <x:is>
          <x:t xml:space="preserve">603065</x:t>
        </x:is>
      </x:c>
      <x:c r="C3143" s="5" t="inlineStr">
        <x:is>
          <x:t xml:space="preserve">宿迁联盛</x:t>
        </x:is>
      </x:c>
      <x:c r="D3143" s="5" t="inlineStr">
        <x:is>
          <x:t xml:space="preserve">宿迁联盛科技股份有限公司</x:t>
        </x:is>
      </x:c>
      <x:c r="E3143" s="4" t="inlineStr">
        <x:is>
          <x:t xml:space="preserve">江苏省</x:t>
        </x:is>
      </x:c>
      <x:c r="F3143" s="4" t="inlineStr">
        <x:is>
          <x:t xml:space="preserve">宿迁市</x:t>
        </x:is>
      </x:c>
      <x:c r="G3143" s="5" t="inlineStr">
        <x:is>
          <x:t xml:space="preserve">江苏省-宿迁市</x:t>
        </x:is>
      </x:c>
      <x:c r="H3143" s="4" t="inlineStr">
        <x:is>
          <x:t xml:space="preserve">化学原料</x:t>
        </x:is>
      </x:c>
      <x:c r="I3143" s="4" t="inlineStr">
        <x:is>
          <x:t xml:space="preserve">2023-03-21</x:t>
        </x:is>
      </x:c>
      <x:c r="J3143" s="5" t="inlineStr">
        <x:is>
          <x:t xml:space="preserve">江苏宿迁生态化工科技产业园扬子路88号</x:t>
        </x:is>
      </x:c>
      <x:c r="K3143" s="12" t="str">
        <x:f>LEFT("91321311571420690C",18)</x:f>
        <x:v>91321311571420690C</x:v>
      </x:c>
    </x:row>
    <x:row r="3144">
      <x:c r="A3144" s="2" t="n">
        <x:v>3143</x:v>
      </x:c>
      <x:c r="B3144" s="2" t="inlineStr">
        <x:is>
          <x:t xml:space="preserve">603066</x:t>
        </x:is>
      </x:c>
      <x:c r="C3144" s="3" t="inlineStr">
        <x:is>
          <x:t xml:space="preserve">音飞储存</x:t>
        </x:is>
      </x:c>
      <x:c r="D3144" s="3" t="inlineStr">
        <x:is>
          <x:t xml:space="preserve">南京音飞储存设备(集团)股份有限公司</x:t>
        </x:is>
      </x:c>
      <x:c r="E3144" s="2" t="inlineStr">
        <x:is>
          <x:t xml:space="preserve">江苏省</x:t>
        </x:is>
      </x:c>
      <x:c r="F3144" s="2" t="inlineStr">
        <x:is>
          <x:t xml:space="preserve">南京市</x:t>
        </x:is>
      </x:c>
      <x:c r="G3144" s="3" t="inlineStr">
        <x:is>
          <x:t xml:space="preserve">江苏省-南京市</x:t>
        </x:is>
      </x:c>
      <x:c r="H3144" s="2" t="inlineStr">
        <x:is>
          <x:t xml:space="preserve">交运物流</x:t>
        </x:is>
      </x:c>
      <x:c r="I3144" s="2" t="inlineStr">
        <x:is>
          <x:t xml:space="preserve">2015-06-11</x:t>
        </x:is>
      </x:c>
      <x:c r="J3144" s="3" t="inlineStr">
        <x:is>
          <x:t xml:space="preserve">南京市江宁经济技术开发区殷华街470号</x:t>
        </x:is>
      </x:c>
      <x:c r="K3144" s="12" t="str">
        <x:f>LEFT("91320100738866409D",18)</x:f>
        <x:v>91320100738866409D</x:v>
      </x:c>
    </x:row>
    <x:row r="3145">
      <x:c r="A3145" s="4" t="n">
        <x:v>3144</x:v>
      </x:c>
      <x:c r="B3145" s="4" t="inlineStr">
        <x:is>
          <x:t xml:space="preserve">603078</x:t>
        </x:is>
      </x:c>
      <x:c r="C3145" s="5" t="inlineStr">
        <x:is>
          <x:t xml:space="preserve">江化微</x:t>
        </x:is>
      </x:c>
      <x:c r="D3145" s="5" t="inlineStr">
        <x:is>
          <x:t xml:space="preserve">江阴江化微电子材料股份有限公司</x:t>
        </x:is>
      </x:c>
      <x:c r="E3145" s="4" t="inlineStr">
        <x:is>
          <x:t xml:space="preserve">江苏省</x:t>
        </x:is>
      </x:c>
      <x:c r="F3145" s="4" t="inlineStr">
        <x:is>
          <x:t xml:space="preserve">苏省江阴市</x:t>
        </x:is>
      </x:c>
      <x:c r="G3145" s="5" t="inlineStr">
        <x:is>
          <x:t xml:space="preserve">江苏省-苏省江阴市</x:t>
        </x:is>
      </x:c>
      <x:c r="H3145" s="4" t="inlineStr">
        <x:is>
          <x:t xml:space="preserve">电子化学品</x:t>
        </x:is>
      </x:c>
      <x:c r="I3145" s="4" t="inlineStr">
        <x:is>
          <x:t xml:space="preserve">2017-04-10</x:t>
        </x:is>
      </x:c>
      <x:c r="J3145" s="5" t="inlineStr">
        <x:is>
          <x:t xml:space="preserve">江苏省江阴市周庄镇长寿云顾路581号</x:t>
        </x:is>
      </x:c>
      <x:c r="K3145" s="12" t="str">
        <x:f>LEFT("913202007311548046",18)</x:f>
        <x:v>913202007311548000</x:v>
      </x:c>
    </x:row>
    <x:row r="3146">
      <x:c r="A3146" s="2" t="n">
        <x:v>3145</x:v>
      </x:c>
      <x:c r="B3146" s="2" t="inlineStr">
        <x:is>
          <x:t xml:space="preserve">603090</x:t>
        </x:is>
      </x:c>
      <x:c r="C3146" s="3" t="inlineStr">
        <x:is>
          <x:t xml:space="preserve">宏盛股份</x:t>
        </x:is>
      </x:c>
      <x:c r="D3146" s="3" t="inlineStr">
        <x:is>
          <x:t xml:space="preserve">无锡宏盛换热器制造股份有限公司</x:t>
        </x:is>
      </x:c>
      <x:c r="E3146" s="2" t="inlineStr">
        <x:is>
          <x:t xml:space="preserve">江苏省</x:t>
        </x:is>
      </x:c>
      <x:c r="F3146" s="2" t="inlineStr">
        <x:is>
          <x:t xml:space="preserve">无锡市</x:t>
        </x:is>
      </x:c>
      <x:c r="G3146" s="3" t="inlineStr">
        <x:is>
          <x:t xml:space="preserve">江苏省-无锡市</x:t>
        </x:is>
      </x:c>
      <x:c r="H3146" s="2" t="inlineStr">
        <x:is>
          <x:t xml:space="preserve">机械行业</x:t>
        </x:is>
      </x:c>
      <x:c r="I3146" s="2" t="inlineStr">
        <x:is>
          <x:t xml:space="preserve">2016-08-31</x:t>
        </x:is>
      </x:c>
      <x:c r="J3146" s="3" t="inlineStr">
        <x:is>
          <x:t xml:space="preserve">无锡市滨湖区马山梁康路8号</x:t>
        </x:is>
      </x:c>
      <x:c r="K3146" s="12" t="str">
        <x:f>LEFT("91320200725202347B",18)</x:f>
        <x:v>91320200725202347B</x:v>
      </x:c>
    </x:row>
    <x:row r="3147">
      <x:c r="A3147" s="4" t="n">
        <x:v>3146</x:v>
      </x:c>
      <x:c r="B3147" s="4" t="inlineStr">
        <x:is>
          <x:t xml:space="preserve">603092</x:t>
        </x:is>
      </x:c>
      <x:c r="C3147" s="5" t="inlineStr">
        <x:is>
          <x:t xml:space="preserve">德力佳</x:t>
        </x:is>
      </x:c>
      <x:c r="D3147" s="5" t="inlineStr">
        <x:is>
          <x:t xml:space="preserve">德力佳传动科技(江苏)股份有限公司</x:t>
        </x:is>
      </x:c>
      <x:c r="E3147" s="4" t="inlineStr">
        <x:is>
          <x:t xml:space="preserve">江苏省</x:t>
        </x:is>
      </x:c>
      <x:c r="F3147" s="4" t="inlineStr">
        <x:is>
          <x:t xml:space="preserve">无锡市</x:t>
        </x:is>
      </x:c>
      <x:c r="G3147" s="5" t="inlineStr">
        <x:is>
          <x:t xml:space="preserve">江苏省-无锡市</x:t>
        </x:is>
      </x:c>
      <x:c r="H3147" s="4" t="inlineStr">
        <x:is>
          <x:t xml:space="preserve">--</x:t>
        </x:is>
      </x:c>
      <x:c r="I3147" s="4" t="inlineStr">
        <x:is>
          <x:t xml:space="preserve">2025-11-07</x:t>
        </x:is>
      </x:c>
      <x:c r="J3147" s="5" t="inlineStr">
        <x:is>
          <x:t xml:space="preserve">江苏省无锡市锡山区安泰一路67号</x:t>
        </x:is>
      </x:c>
      <x:c r="K3147" s="12" t="str">
        <x:f>LEFT("91110114MA00BBGN7U",18)</x:f>
        <x:v>91110114MA00BBGN7U</x:v>
      </x:c>
    </x:row>
    <x:row r="3148">
      <x:c r="A3148" s="2" t="n">
        <x:v>3147</x:v>
      </x:c>
      <x:c r="B3148" s="2" t="inlineStr">
        <x:is>
          <x:t xml:space="preserve">603097</x:t>
        </x:is>
      </x:c>
      <x:c r="C3148" s="3" t="inlineStr">
        <x:is>
          <x:t xml:space="preserve">江苏华辰</x:t>
        </x:is>
      </x:c>
      <x:c r="D3148" s="3" t="inlineStr">
        <x:is>
          <x:t xml:space="preserve">江苏华辰变压器股份有限公司</x:t>
        </x:is>
      </x:c>
      <x:c r="E3148" s="2" t="inlineStr">
        <x:is>
          <x:t xml:space="preserve">江苏省</x:t>
        </x:is>
      </x:c>
      <x:c r="F3148" s="2" t="inlineStr">
        <x:is>
          <x:t xml:space="preserve">徐州市</x:t>
        </x:is>
      </x:c>
      <x:c r="G3148" s="3" t="inlineStr">
        <x:is>
          <x:t xml:space="preserve">江苏省-徐州市</x:t>
        </x:is>
      </x:c>
      <x:c r="H3148" s="2" t="inlineStr">
        <x:is>
          <x:t xml:space="preserve">电网设备</x:t>
        </x:is>
      </x:c>
      <x:c r="I3148" s="2" t="inlineStr">
        <x:is>
          <x:t xml:space="preserve">2022-05-12</x:t>
        </x:is>
      </x:c>
      <x:c r="J3148" s="3" t="inlineStr">
        <x:is>
          <x:t xml:space="preserve">铜山经济开发区第二工业园内钱江路北,银山路东</x:t>
        </x:is>
      </x:c>
      <x:c r="K3148" s="12" t="str">
        <x:f>LEFT("9132031266639531XY",18)</x:f>
        <x:v>9132031266639531XY</x:v>
      </x:c>
    </x:row>
    <x:row r="3149">
      <x:c r="A3149" s="4" t="n">
        <x:v>3148</x:v>
      </x:c>
      <x:c r="B3149" s="4" t="inlineStr">
        <x:is>
          <x:t xml:space="preserve">603111</x:t>
        </x:is>
      </x:c>
      <x:c r="C3149" s="5" t="inlineStr">
        <x:is>
          <x:t xml:space="preserve">康尼机电</x:t>
        </x:is>
      </x:c>
      <x:c r="D3149" s="5" t="inlineStr">
        <x:is>
          <x:t xml:space="preserve">南京康尼机电股份有限公司</x:t>
        </x:is>
      </x:c>
      <x:c r="E3149" s="4" t="inlineStr">
        <x:is>
          <x:t xml:space="preserve">江苏省</x:t>
        </x:is>
      </x:c>
      <x:c r="F3149" s="4" t="inlineStr">
        <x:is>
          <x:t xml:space="preserve">南京市</x:t>
        </x:is>
      </x:c>
      <x:c r="G3149" s="5" t="inlineStr">
        <x:is>
          <x:t xml:space="preserve">江苏省-南京市</x:t>
        </x:is>
      </x:c>
      <x:c r="H3149" s="4" t="inlineStr">
        <x:is>
          <x:t xml:space="preserve">交运设备</x:t>
        </x:is>
      </x:c>
      <x:c r="I3149" s="4" t="inlineStr">
        <x:is>
          <x:t xml:space="preserve">2014-08-01</x:t>
        </x:is>
      </x:c>
      <x:c r="J3149" s="5" t="inlineStr">
        <x:is>
          <x:t xml:space="preserve">南京经济技术开发区恒达路19号</x:t>
        </x:is>
      </x:c>
      <x:c r="K3149" s="12" t="str">
        <x:f>LEFT("91320192724582501J",18)</x:f>
        <x:v>91320192724582501J</x:v>
      </x:c>
    </x:row>
    <x:row r="3150">
      <x:c r="A3150" s="2" t="n">
        <x:v>3149</x:v>
      </x:c>
      <x:c r="B3150" s="2" t="inlineStr">
        <x:is>
          <x:t xml:space="preserve">603115</x:t>
        </x:is>
      </x:c>
      <x:c r="C3150" s="3" t="inlineStr">
        <x:is>
          <x:t xml:space="preserve">海星股份</x:t>
        </x:is>
      </x:c>
      <x:c r="D3150" s="3" t="inlineStr">
        <x:is>
          <x:t xml:space="preserve">南通海星电子股份有限公司</x:t>
        </x:is>
      </x:c>
      <x:c r="E3150" s="2" t="inlineStr">
        <x:is>
          <x:t xml:space="preserve">江苏省</x:t>
        </x:is>
      </x:c>
      <x:c r="F3150" s="2" t="inlineStr">
        <x:is>
          <x:t xml:space="preserve">南通市</x:t>
        </x:is>
      </x:c>
      <x:c r="G3150" s="3" t="inlineStr">
        <x:is>
          <x:t xml:space="preserve">江苏省-南通市</x:t>
        </x:is>
      </x:c>
      <x:c r="H3150" s="2" t="inlineStr">
        <x:is>
          <x:t xml:space="preserve">电子元件</x:t>
        </x:is>
      </x:c>
      <x:c r="I3150" s="2" t="inlineStr">
        <x:is>
          <x:t xml:space="preserve">2019-08-09</x:t>
        </x:is>
      </x:c>
      <x:c r="J3150" s="3" t="inlineStr">
        <x:is>
          <x:t xml:space="preserve">江苏省南通市通州区西站大道528号</x:t>
        </x:is>
      </x:c>
      <x:c r="K3150" s="12" t="str">
        <x:f>LEFT("91320600608363096C",18)</x:f>
        <x:v>91320600608363096C</x:v>
      </x:c>
    </x:row>
    <x:row r="3151">
      <x:c r="A3151" s="4" t="n">
        <x:v>3150</x:v>
      </x:c>
      <x:c r="B3151" s="4" t="inlineStr">
        <x:is>
          <x:t xml:space="preserve">603117</x:t>
        </x:is>
      </x:c>
      <x:c r="C3151" s="5" t="inlineStr">
        <x:is>
          <x:t xml:space="preserve">万林物流</x:t>
        </x:is>
      </x:c>
      <x:c r="D3151" s="5" t="inlineStr">
        <x:is>
          <x:t xml:space="preserve">江苏万林现代物流股份有限公司</x:t>
        </x:is>
      </x:c>
      <x:c r="E3151" s="4" t="inlineStr">
        <x:is>
          <x:t xml:space="preserve">江苏省</x:t>
        </x:is>
      </x:c>
      <x:c r="F3151" s="4" t="inlineStr">
        <x:is>
          <x:t xml:space="preserve">泰州市</x:t>
        </x:is>
      </x:c>
      <x:c r="G3151" s="5" t="inlineStr">
        <x:is>
          <x:t xml:space="preserve">江苏省-泰州市</x:t>
        </x:is>
      </x:c>
      <x:c r="H3151" s="4" t="inlineStr">
        <x:is>
          <x:t xml:space="preserve">交运物流</x:t>
        </x:is>
      </x:c>
      <x:c r="I3151" s="4" t="inlineStr">
        <x:is>
          <x:t xml:space="preserve">2015-06-29</x:t>
        </x:is>
      </x:c>
      <x:c r="J3151" s="5" t="inlineStr">
        <x:is>
          <x:t xml:space="preserve">江苏省靖江经济开发区新港园区六助港路5号</x:t>
        </x:is>
      </x:c>
      <x:c r="K3151" s="12" t="str">
        <x:f>LEFT("9132120066836666XC",18)</x:f>
        <x:v>9132120066836666XC</x:v>
      </x:c>
    </x:row>
    <x:row r="3152">
      <x:c r="A3152" s="2" t="n">
        <x:v>3151</x:v>
      </x:c>
      <x:c r="B3152" s="2" t="inlineStr">
        <x:is>
          <x:t xml:space="preserve">603125</x:t>
        </x:is>
      </x:c>
      <x:c r="C3152" s="3" t="inlineStr">
        <x:is>
          <x:t xml:space="preserve">常青科技</x:t>
        </x:is>
      </x:c>
      <x:c r="D3152" s="3" t="inlineStr">
        <x:is>
          <x:t xml:space="preserve">江苏常青树新材料科技股份有限公司</x:t>
        </x:is>
      </x:c>
      <x:c r="E3152" s="2" t="inlineStr">
        <x:is>
          <x:t xml:space="preserve">江苏省</x:t>
        </x:is>
      </x:c>
      <x:c r="F3152" s="2" t="inlineStr">
        <x:is>
          <x:t xml:space="preserve">镇江市</x:t>
        </x:is>
      </x:c>
      <x:c r="G3152" s="3" t="inlineStr">
        <x:is>
          <x:t xml:space="preserve">江苏省-镇江市</x:t>
        </x:is>
      </x:c>
      <x:c r="H3152" s="2" t="inlineStr">
        <x:is>
          <x:t xml:space="preserve">化学制品</x:t>
        </x:is>
      </x:c>
      <x:c r="I3152" s="2" t="inlineStr">
        <x:is>
          <x:t xml:space="preserve">2023-04-10</x:t>
        </x:is>
      </x:c>
      <x:c r="J3152" s="3" t="inlineStr">
        <x:is>
          <x:t xml:space="preserve">镇江新区青龙山路3号</x:t>
        </x:is>
      </x:c>
      <x:c r="K3152" s="12" t="str">
        <x:f>LEFT("91321191558014807P",18)</x:f>
        <x:v>91321191558014807P</x:v>
      </x:c>
    </x:row>
    <x:row r="3153">
      <x:c r="A3153" s="4" t="n">
        <x:v>3152</x:v>
      </x:c>
      <x:c r="B3153" s="4" t="inlineStr">
        <x:is>
          <x:t xml:space="preserve">603136</x:t>
        </x:is>
      </x:c>
      <x:c r="C3153" s="5" t="inlineStr">
        <x:is>
          <x:t xml:space="preserve">天目湖</x:t>
        </x:is>
      </x:c>
      <x:c r="D3153" s="5" t="inlineStr">
        <x:is>
          <x:t xml:space="preserve">江苏天目湖旅游股份有限公司</x:t>
        </x:is>
      </x:c>
      <x:c r="E3153" s="4" t="inlineStr">
        <x:is>
          <x:t xml:space="preserve">江苏省</x:t>
        </x:is>
      </x:c>
      <x:c r="F3153" s="4" t="inlineStr">
        <x:is>
          <x:t xml:space="preserve">溧阳市</x:t>
        </x:is>
      </x:c>
      <x:c r="G3153" s="5" t="inlineStr">
        <x:is>
          <x:t xml:space="preserve">江苏省-溧阳市</x:t>
        </x:is>
      </x:c>
      <x:c r="H3153" s="4" t="inlineStr">
        <x:is>
          <x:t xml:space="preserve">旅游酒店</x:t>
        </x:is>
      </x:c>
      <x:c r="I3153" s="4" t="inlineStr">
        <x:is>
          <x:t xml:space="preserve">2017-09-27</x:t>
        </x:is>
      </x:c>
      <x:c r="J3153" s="5" t="inlineStr">
        <x:is>
          <x:t xml:space="preserve">溧阳市天目湖旅游度假区环湖西路1号</x:t>
        </x:is>
      </x:c>
      <x:c r="K3153" s="12" t="str">
        <x:f>LEFT("91320400137566304M",18)</x:f>
        <x:v>91320400137566304M</x:v>
      </x:c>
    </x:row>
    <x:row r="3154">
      <x:c r="A3154" s="2" t="n">
        <x:v>3153</x:v>
      </x:c>
      <x:c r="B3154" s="2" t="inlineStr">
        <x:is>
          <x:t xml:space="preserve">603137</x:t>
        </x:is>
      </x:c>
      <x:c r="C3154" s="3" t="inlineStr">
        <x:is>
          <x:t xml:space="preserve">恒尚节能</x:t>
        </x:is>
      </x:c>
      <x:c r="D3154" s="3" t="inlineStr">
        <x:is>
          <x:t xml:space="preserve">江苏恒尚节能科技股份有限公司</x:t>
        </x:is>
      </x:c>
      <x:c r="E3154" s="2" t="inlineStr">
        <x:is>
          <x:t xml:space="preserve">江苏省</x:t>
        </x:is>
      </x:c>
      <x:c r="F3154" s="2" t="inlineStr">
        <x:is>
          <x:t xml:space="preserve">无锡市</x:t>
        </x:is>
      </x:c>
      <x:c r="G3154" s="3" t="inlineStr">
        <x:is>
          <x:t xml:space="preserve">江苏省-无锡市</x:t>
        </x:is>
      </x:c>
      <x:c r="H3154" s="2" t="inlineStr">
        <x:is>
          <x:t xml:space="preserve">装修建材</x:t>
        </x:is>
      </x:c>
      <x:c r="I3154" s="2" t="inlineStr">
        <x:is>
          <x:t xml:space="preserve">2023-04-19</x:t>
        </x:is>
      </x:c>
      <x:c r="J3154" s="3" t="inlineStr">
        <x:is>
          <x:t xml:space="preserve">无锡市锡山区鹅湖镇通湖路8号</x:t>
        </x:is>
      </x:c>
      <x:c r="K3154" s="12" t="str">
        <x:f>LEFT("913202055911234746",18)</x:f>
        <x:v>913202055911234700</x:v>
      </x:c>
    </x:row>
    <x:row r="3155">
      <x:c r="A3155" s="4" t="n">
        <x:v>3154</x:v>
      </x:c>
      <x:c r="B3155" s="4" t="inlineStr">
        <x:is>
          <x:t xml:space="preserve">603155</x:t>
        </x:is>
      </x:c>
      <x:c r="C3155" s="5" t="inlineStr">
        <x:is>
          <x:t xml:space="preserve">新亚强</x:t>
        </x:is>
      </x:c>
      <x:c r="D3155" s="5" t="inlineStr">
        <x:is>
          <x:t xml:space="preserve">新亚强硅化学股份有限公司</x:t>
        </x:is>
      </x:c>
      <x:c r="E3155" s="4" t="inlineStr">
        <x:is>
          <x:t xml:space="preserve">江苏省</x:t>
        </x:is>
      </x:c>
      <x:c r="F3155" s="4" t="inlineStr">
        <x:is>
          <x:t xml:space="preserve">宿迁市</x:t>
        </x:is>
      </x:c>
      <x:c r="G3155" s="5" t="inlineStr">
        <x:is>
          <x:t xml:space="preserve">江苏省-宿迁市</x:t>
        </x:is>
      </x:c>
      <x:c r="H3155" s="4" t="inlineStr">
        <x:is>
          <x:t xml:space="preserve">化工行业</x:t>
        </x:is>
      </x:c>
      <x:c r="I3155" s="4" t="inlineStr">
        <x:is>
          <x:t xml:space="preserve">2020-09-01</x:t>
        </x:is>
      </x:c>
      <x:c r="J3155" s="5" t="inlineStr">
        <x:is>
          <x:t xml:space="preserve">宿迁生态化工科技产业园扬子路2号</x:t>
        </x:is>
      </x:c>
      <x:c r="K3155" s="12" t="str">
        <x:f>LEFT("91321300696772593D",18)</x:f>
        <x:v>91321300696772593D</x:v>
      </x:c>
    </x:row>
    <x:row r="3156">
      <x:c r="A3156" s="2" t="n">
        <x:v>3155</x:v>
      </x:c>
      <x:c r="B3156" s="2" t="inlineStr">
        <x:is>
          <x:t xml:space="preserve">603158</x:t>
        </x:is>
      </x:c>
      <x:c r="C3156" s="3" t="inlineStr">
        <x:is>
          <x:t xml:space="preserve">腾龙股份</x:t>
        </x:is>
      </x:c>
      <x:c r="D3156" s="3" t="inlineStr">
        <x:is>
          <x:t xml:space="preserve">常州腾龙汽车零部件股份有限公司</x:t>
        </x:is>
      </x:c>
      <x:c r="E3156" s="2" t="inlineStr">
        <x:is>
          <x:t xml:space="preserve">江苏省</x:t>
        </x:is>
      </x:c>
      <x:c r="F3156" s="2" t="inlineStr">
        <x:is>
          <x:t xml:space="preserve">常州市</x:t>
        </x:is>
      </x:c>
      <x:c r="G3156" s="3" t="inlineStr">
        <x:is>
          <x:t xml:space="preserve">江苏省-常州市</x:t>
        </x:is>
      </x:c>
      <x:c r="H3156" s="2" t="inlineStr">
        <x:is>
          <x:t xml:space="preserve">汽车行业</x:t>
        </x:is>
      </x:c>
      <x:c r="I3156" s="2" t="inlineStr">
        <x:is>
          <x:t xml:space="preserve">2015-03-20</x:t>
        </x:is>
      </x:c>
      <x:c r="J3156" s="3" t="inlineStr">
        <x:is>
          <x:t xml:space="preserve">江苏武进经济开发区腾龙路15号</x:t>
        </x:is>
      </x:c>
      <x:c r="K3156" s="12" t="str">
        <x:f>LEFT("91320400773797816G",18)</x:f>
        <x:v>91320400773797816G</x:v>
      </x:c>
    </x:row>
    <x:row r="3157">
      <x:c r="A3157" s="4" t="n">
        <x:v>3156</x:v>
      </x:c>
      <x:c r="B3157" s="4" t="inlineStr">
        <x:is>
          <x:t xml:space="preserve">603161</x:t>
        </x:is>
      </x:c>
      <x:c r="C3157" s="5" t="inlineStr">
        <x:is>
          <x:t xml:space="preserve">科华控股</x:t>
        </x:is>
      </x:c>
      <x:c r="D3157" s="5" t="inlineStr">
        <x:is>
          <x:t xml:space="preserve">科华控股股份有限公司</x:t>
        </x:is>
      </x:c>
      <x:c r="E3157" s="4" t="inlineStr">
        <x:is>
          <x:t xml:space="preserve">江苏省</x:t>
        </x:is>
      </x:c>
      <x:c r="F3157" s="4" t="inlineStr">
        <x:is>
          <x:t xml:space="preserve">常州市</x:t>
        </x:is>
      </x:c>
      <x:c r="G3157" s="5" t="inlineStr">
        <x:is>
          <x:t xml:space="preserve">江苏省-常州市</x:t>
        </x:is>
      </x:c>
      <x:c r="H3157" s="4" t="inlineStr">
        <x:is>
          <x:t xml:space="preserve">汽车行业</x:t>
        </x:is>
      </x:c>
      <x:c r="I3157" s="4" t="inlineStr">
        <x:is>
          <x:t xml:space="preserve">2018-01-05</x:t>
        </x:is>
      </x:c>
      <x:c r="J3157" s="5" t="inlineStr">
        <x:is>
          <x:t xml:space="preserve">常州市溧阳市昆仑街道镇前街99号</x:t>
        </x:is>
      </x:c>
      <x:c r="K3157" s="12" t="str">
        <x:f>LEFT("91320400739437753C",18)</x:f>
        <x:v>91320400739437753C</x:v>
      </x:c>
    </x:row>
    <x:row r="3158">
      <x:c r="A3158" s="2" t="n">
        <x:v>3157</x:v>
      </x:c>
      <x:c r="B3158" s="2" t="inlineStr">
        <x:is>
          <x:t xml:space="preserve">603163</x:t>
        </x:is>
      </x:c>
      <x:c r="C3158" s="3" t="inlineStr">
        <x:is>
          <x:t xml:space="preserve">圣晖集成</x:t>
        </x:is>
      </x:c>
      <x:c r="D3158" s="3" t="inlineStr">
        <x:is>
          <x:t xml:space="preserve">圣晖系统集成集团股份有限公司</x:t>
        </x:is>
      </x:c>
      <x:c r="E3158" s="2" t="inlineStr">
        <x:is>
          <x:t xml:space="preserve">江苏省</x:t>
        </x:is>
      </x:c>
      <x:c r="F3158" s="2" t="inlineStr">
        <x:is>
          <x:t xml:space="preserve">苏州市</x:t>
        </x:is>
      </x:c>
      <x:c r="G3158" s="3" t="inlineStr">
        <x:is>
          <x:t xml:space="preserve">江苏省-苏州市</x:t>
        </x:is>
      </x:c>
      <x:c r="H3158" s="2" t="inlineStr">
        <x:is>
          <x:t xml:space="preserve">工程建设</x:t>
        </x:is>
      </x:c>
      <x:c r="I3158" s="2" t="inlineStr">
        <x:is>
          <x:t xml:space="preserve">2022-10-13</x:t>
        </x:is>
      </x:c>
      <x:c r="J3158" s="3" t="inlineStr">
        <x:is>
          <x:t xml:space="preserve">苏州高新区浒墅关经济开发区石林路189号</x:t>
        </x:is>
      </x:c>
      <x:c r="K3158" s="12" t="str">
        <x:f>LEFT("913205057532181438",18)</x:f>
        <x:v>913205057532181400</x:v>
      </x:c>
    </x:row>
    <x:row r="3159">
      <x:c r="A3159" s="4" t="n">
        <x:v>3158</x:v>
      </x:c>
      <x:c r="B3159" s="4" t="inlineStr">
        <x:is>
          <x:t xml:space="preserve">603179</x:t>
        </x:is>
      </x:c>
      <x:c r="C3159" s="5" t="inlineStr">
        <x:is>
          <x:t xml:space="preserve">新泉股份</x:t>
        </x:is>
      </x:c>
      <x:c r="D3159" s="5" t="inlineStr">
        <x:is>
          <x:t xml:space="preserve">江苏新泉汽车饰件股份有限公司</x:t>
        </x:is>
      </x:c>
      <x:c r="E3159" s="4" t="inlineStr">
        <x:is>
          <x:t xml:space="preserve">江苏省</x:t>
        </x:is>
      </x:c>
      <x:c r="F3159" s="4" t="inlineStr">
        <x:is>
          <x:t xml:space="preserve">苏省丹阳市</x:t>
        </x:is>
      </x:c>
      <x:c r="G3159" s="5" t="inlineStr">
        <x:is>
          <x:t xml:space="preserve">江苏省-苏省丹阳市</x:t>
        </x:is>
      </x:c>
      <x:c r="H3159" s="4" t="inlineStr">
        <x:is>
          <x:t xml:space="preserve">汽车行业</x:t>
        </x:is>
      </x:c>
      <x:c r="I3159" s="4" t="inlineStr">
        <x:is>
          <x:t xml:space="preserve">2017-03-17</x:t>
        </x:is>
      </x:c>
      <x:c r="J3159" s="5" t="inlineStr">
        <x:is>
          <x:t xml:space="preserve">江苏省丹阳市丹北镇长春村</x:t>
        </x:is>
      </x:c>
      <x:c r="K3159" s="12" t="str">
        <x:f>LEFT("91321100728017147G",18)</x:f>
        <x:v>91321100728017147G</x:v>
      </x:c>
    </x:row>
    <x:row r="3160">
      <x:c r="A3160" s="2" t="n">
        <x:v>3159</x:v>
      </x:c>
      <x:c r="B3160" s="2" t="inlineStr">
        <x:is>
          <x:t xml:space="preserve">603183</x:t>
        </x:is>
      </x:c>
      <x:c r="C3160" s="3" t="inlineStr">
        <x:is>
          <x:t xml:space="preserve">建研院</x:t>
        </x:is>
      </x:c>
      <x:c r="D3160" s="3" t="inlineStr">
        <x:is>
          <x:t xml:space="preserve">苏州市建筑科学研究院集团股份有限公司</x:t>
        </x:is>
      </x:c>
      <x:c r="E3160" s="2" t="inlineStr">
        <x:is>
          <x:t xml:space="preserve">江苏省</x:t>
        </x:is>
      </x:c>
      <x:c r="F3160" s="2" t="inlineStr">
        <x:is>
          <x:t xml:space="preserve">苏州市</x:t>
        </x:is>
      </x:c>
      <x:c r="G3160" s="3" t="inlineStr">
        <x:is>
          <x:t xml:space="preserve">江苏省-苏州市</x:t>
        </x:is>
      </x:c>
      <x:c r="H3160" s="2" t="inlineStr">
        <x:is>
          <x:t xml:space="preserve">专业服务</x:t>
        </x:is>
      </x:c>
      <x:c r="I3160" s="2" t="inlineStr">
        <x:is>
          <x:t xml:space="preserve">2017-09-05</x:t>
        </x:is>
      </x:c>
      <x:c r="J3160" s="3" t="inlineStr">
        <x:is>
          <x:t xml:space="preserve">苏州市吴中经济开发区横泾街道北官渡路82号</x:t>
        </x:is>
      </x:c>
      <x:c r="K3160" s="12" t="str">
        <x:f>LEFT("91320500466948434Y",18)</x:f>
        <x:v>91320500466948434Y</x:v>
      </x:c>
    </x:row>
    <x:row r="3161">
      <x:c r="A3161" s="4" t="n">
        <x:v>3160</x:v>
      </x:c>
      <x:c r="B3161" s="4" t="inlineStr">
        <x:is>
          <x:t xml:space="preserve">603185</x:t>
        </x:is>
      </x:c>
      <x:c r="C3161" s="5" t="inlineStr">
        <x:is>
          <x:t xml:space="preserve">弘元绿能</x:t>
        </x:is>
      </x:c>
      <x:c r="D3161" s="5" t="inlineStr">
        <x:is>
          <x:t xml:space="preserve">弘元绿色能源股份有限公司</x:t>
        </x:is>
      </x:c>
      <x:c r="E3161" s="4" t="inlineStr">
        <x:is>
          <x:t xml:space="preserve">江苏省</x:t>
        </x:is>
      </x:c>
      <x:c r="F3161" s="4" t="inlineStr">
        <x:is>
          <x:t xml:space="preserve">无锡市</x:t>
        </x:is>
      </x:c>
      <x:c r="G3161" s="5" t="inlineStr">
        <x:is>
          <x:t xml:space="preserve">江苏省-无锡市</x:t>
        </x:is>
      </x:c>
      <x:c r="H3161" s="4" t="inlineStr">
        <x:is>
          <x:t xml:space="preserve">光伏设备</x:t>
        </x:is>
      </x:c>
      <x:c r="I3161" s="4" t="inlineStr">
        <x:is>
          <x:t xml:space="preserve">2018-12-28</x:t>
        </x:is>
      </x:c>
      <x:c r="J3161" s="5" t="inlineStr">
        <x:is>
          <x:t xml:space="preserve">无锡市滨湖区雪浪街道南湖中路158号</x:t>
        </x:is>
      </x:c>
      <x:c r="K3161" s="12" t="str">
        <x:f>LEFT("9132020074311173XT",18)</x:f>
        <x:v>9132020074311173XT</x:v>
      </x:c>
    </x:row>
    <x:row r="3162">
      <x:c r="A3162" s="2" t="n">
        <x:v>3161</x:v>
      </x:c>
      <x:c r="B3162" s="2" t="inlineStr">
        <x:is>
          <x:t xml:space="preserve">603188</x:t>
        </x:is>
      </x:c>
      <x:c r="C3162" s="3" t="inlineStr">
        <x:is>
          <x:t xml:space="preserve">亚邦股份</x:t>
        </x:is>
      </x:c>
      <x:c r="D3162" s="3" t="inlineStr">
        <x:is>
          <x:t xml:space="preserve">江苏亚邦染料股份有限公司</x:t>
        </x:is>
      </x:c>
      <x:c r="E3162" s="2" t="inlineStr">
        <x:is>
          <x:t xml:space="preserve">江苏省</x:t>
        </x:is>
      </x:c>
      <x:c r="F3162" s="2" t="inlineStr">
        <x:is>
          <x:t xml:space="preserve">常州市</x:t>
        </x:is>
      </x:c>
      <x:c r="G3162" s="3" t="inlineStr">
        <x:is>
          <x:t xml:space="preserve">江苏省-常州市</x:t>
        </x:is>
      </x:c>
      <x:c r="H3162" s="2" t="inlineStr">
        <x:is>
          <x:t xml:space="preserve">化工行业</x:t>
        </x:is>
      </x:c>
      <x:c r="I3162" s="2" t="inlineStr">
        <x:is>
          <x:t xml:space="preserve">2014-09-09</x:t>
        </x:is>
      </x:c>
      <x:c r="J3162" s="3" t="inlineStr">
        <x:is>
          <x:t xml:space="preserve">江苏省常州市武进区牛塘镇漕溪路9号11幢</x:t>
        </x:is>
      </x:c>
      <x:c r="K3162" s="12" t="str">
        <x:f>LEFT("91320400784384603B",18)</x:f>
        <x:v>91320400784384603B</x:v>
      </x:c>
    </x:row>
    <x:row r="3163">
      <x:c r="A3163" s="4" t="n">
        <x:v>3162</x:v>
      </x:c>
      <x:c r="B3163" s="4" t="inlineStr">
        <x:is>
          <x:t xml:space="preserve">603201</x:t>
        </x:is>
      </x:c>
      <x:c r="C3163" s="5" t="inlineStr">
        <x:is>
          <x:t xml:space="preserve">常润股份</x:t>
        </x:is>
      </x:c>
      <x:c r="D3163" s="5" t="inlineStr">
        <x:is>
          <x:t xml:space="preserve">常熟通润汽车零部件股份有限公司</x:t>
        </x:is>
      </x:c>
      <x:c r="E3163" s="4" t="inlineStr">
        <x:is>
          <x:t xml:space="preserve">江苏省</x:t>
        </x:is>
      </x:c>
      <x:c r="F3163" s="4" t="inlineStr">
        <x:is>
          <x:t xml:space="preserve">苏州市</x:t>
        </x:is>
      </x:c>
      <x:c r="G3163" s="5" t="inlineStr">
        <x:is>
          <x:t xml:space="preserve">江苏省-苏州市</x:t>
        </x:is>
      </x:c>
      <x:c r="H3163" s="4" t="inlineStr">
        <x:is>
          <x:t xml:space="preserve">汽车零部件</x:t>
        </x:is>
      </x:c>
      <x:c r="I3163" s="4" t="inlineStr">
        <x:is>
          <x:t xml:space="preserve">2022-07-29</x:t>
        </x:is>
      </x:c>
      <x:c r="J3163" s="5" t="inlineStr">
        <x:is>
          <x:t xml:space="preserve">江苏省常熟经济开发区新龙腾工业园</x:t>
        </x:is>
      </x:c>
      <x:c r="K3163" s="12" t="str">
        <x:f>LEFT("913205007395953139",18)</x:f>
        <x:v>913205007395953200</x:v>
      </x:c>
    </x:row>
    <x:row r="3164">
      <x:c r="A3164" s="2" t="n">
        <x:v>3163</x:v>
      </x:c>
      <x:c r="B3164" s="2" t="inlineStr">
        <x:is>
          <x:t xml:space="preserve">603203</x:t>
        </x:is>
      </x:c>
      <x:c r="C3164" s="3" t="inlineStr">
        <x:is>
          <x:t xml:space="preserve">快克智能</x:t>
        </x:is>
      </x:c>
      <x:c r="D3164" s="3" t="inlineStr">
        <x:is>
          <x:t xml:space="preserve">快克智能装备股份有限公司</x:t>
        </x:is>
      </x:c>
      <x:c r="E3164" s="2" t="inlineStr">
        <x:is>
          <x:t xml:space="preserve">江苏省</x:t>
        </x:is>
      </x:c>
      <x:c r="F3164" s="2" t="inlineStr">
        <x:is>
          <x:t xml:space="preserve">常州市</x:t>
        </x:is>
      </x:c>
      <x:c r="G3164" s="3" t="inlineStr">
        <x:is>
          <x:t xml:space="preserve">江苏省-常州市</x:t>
        </x:is>
      </x:c>
      <x:c r="H3164" s="2" t="inlineStr">
        <x:is>
          <x:t xml:space="preserve">专用设备</x:t>
        </x:is>
      </x:c>
      <x:c r="I3164" s="2" t="inlineStr">
        <x:is>
          <x:t xml:space="preserve">2016-11-08</x:t>
        </x:is>
      </x:c>
      <x:c r="J3164" s="3" t="inlineStr">
        <x:is>
          <x:t xml:space="preserve">江苏省常州市武进高新技术产业开发区凤翔路11号</x:t>
        </x:is>
      </x:c>
      <x:c r="K3164" s="12" t="str">
        <x:f>LEFT("9132040078888172XK",18)</x:f>
        <x:v>9132040078888172XK</x:v>
      </x:c>
    </x:row>
    <x:row r="3165">
      <x:c r="A3165" s="4" t="n">
        <x:v>3164</x:v>
      </x:c>
      <x:c r="B3165" s="4" t="inlineStr">
        <x:is>
          <x:t xml:space="preserve">603205</x:t>
        </x:is>
      </x:c>
      <x:c r="C3165" s="5" t="inlineStr">
        <x:is>
          <x:t xml:space="preserve">健尔康</x:t>
        </x:is>
      </x:c>
      <x:c r="D3165" s="5" t="inlineStr">
        <x:is>
          <x:t xml:space="preserve">健尔康医疗科技股份有限公司</x:t>
        </x:is>
      </x:c>
      <x:c r="E3165" s="4" t="inlineStr">
        <x:is>
          <x:t xml:space="preserve">江苏省</x:t>
        </x:is>
      </x:c>
      <x:c r="F3165" s="4" t="inlineStr">
        <x:is>
          <x:t xml:space="preserve">常州市</x:t>
        </x:is>
      </x:c>
      <x:c r="G3165" s="5" t="inlineStr">
        <x:is>
          <x:t xml:space="preserve">江苏省-常州市</x:t>
        </x:is>
      </x:c>
      <x:c r="H3165" s="4" t="inlineStr">
        <x:is>
          <x:t xml:space="preserve">--</x:t>
        </x:is>
      </x:c>
      <x:c r="I3165" s="4" t="inlineStr">
        <x:is>
          <x:t xml:space="preserve">2024-11-07</x:t>
        </x:is>
      </x:c>
      <x:c r="J3165" s="5" t="inlineStr">
        <x:is>
          <x:t xml:space="preserve">江苏省常州市金坛区直溪镇工业集中区健尔康路1号</x:t>
        </x:is>
      </x:c>
      <x:c r="K3165" s="12" t="str">
        <x:f>LEFT("91320413714946201R",18)</x:f>
        <x:v>91320413714946201R</x:v>
      </x:c>
    </x:row>
    <x:row r="3166">
      <x:c r="A3166" s="2" t="n">
        <x:v>3165</x:v>
      </x:c>
      <x:c r="B3166" s="2" t="inlineStr">
        <x:is>
          <x:t xml:space="preserve">603206</x:t>
        </x:is>
      </x:c>
      <x:c r="C3166" s="3" t="inlineStr">
        <x:is>
          <x:t xml:space="preserve">嘉环科技</x:t>
        </x:is>
      </x:c>
      <x:c r="D3166" s="3" t="inlineStr">
        <x:is>
          <x:t xml:space="preserve">嘉环科技股份有限公司</x:t>
        </x:is>
      </x:c>
      <x:c r="E3166" s="2" t="inlineStr">
        <x:is>
          <x:t xml:space="preserve">江苏省</x:t>
        </x:is>
      </x:c>
      <x:c r="F3166" s="2" t="inlineStr">
        <x:is>
          <x:t xml:space="preserve">南京市</x:t>
        </x:is>
      </x:c>
      <x:c r="G3166" s="3" t="inlineStr">
        <x:is>
          <x:t xml:space="preserve">江苏省-南京市</x:t>
        </x:is>
      </x:c>
      <x:c r="H3166" s="2" t="inlineStr">
        <x:is>
          <x:t xml:space="preserve">通信服务</x:t>
        </x:is>
      </x:c>
      <x:c r="I3166" s="2" t="inlineStr">
        <x:is>
          <x:t xml:space="preserve">2022-05-06</x:t>
        </x:is>
      </x:c>
      <x:c r="J3166" s="3" t="inlineStr">
        <x:is>
          <x:t xml:space="preserve">南京市雨花台区宁双路19号10幢</x:t>
        </x:is>
      </x:c>
      <x:c r="K3166" s="12" t="str">
        <x:f>LEFT("91320114135271537N",18)</x:f>
        <x:v>91320114135271537N</x:v>
      </x:c>
    </x:row>
    <x:row r="3167">
      <x:c r="A3167" s="4" t="n">
        <x:v>3166</x:v>
      </x:c>
      <x:c r="B3167" s="4" t="inlineStr">
        <x:is>
          <x:t xml:space="preserve">603212</x:t>
        </x:is>
      </x:c>
      <x:c r="C3167" s="5" t="inlineStr">
        <x:is>
          <x:t xml:space="preserve">赛伍技术</x:t>
        </x:is>
      </x:c>
      <x:c r="D3167" s="5" t="inlineStr">
        <x:is>
          <x:t xml:space="preserve">苏州赛伍应用技术股份有限公司</x:t>
        </x:is>
      </x:c>
      <x:c r="E3167" s="4" t="inlineStr">
        <x:is>
          <x:t xml:space="preserve">江苏省</x:t>
        </x:is>
      </x:c>
      <x:c r="F3167" s="4" t="inlineStr">
        <x:is>
          <x:t xml:space="preserve">苏州市</x:t>
        </x:is>
      </x:c>
      <x:c r="G3167" s="5" t="inlineStr">
        <x:is>
          <x:t xml:space="preserve">江苏省-苏州市</x:t>
        </x:is>
      </x:c>
      <x:c r="H3167" s="4" t="inlineStr">
        <x:is>
          <x:t xml:space="preserve">光伏设备</x:t>
        </x:is>
      </x:c>
      <x:c r="I3167" s="4" t="inlineStr">
        <x:is>
          <x:t xml:space="preserve">2020-04-30</x:t>
        </x:is>
      </x:c>
      <x:c r="J3167" s="5" t="inlineStr">
        <x:is>
          <x:t xml:space="preserve">吴江经济技术开发区叶港路369号</x:t>
        </x:is>
      </x:c>
      <x:c r="K3167" s="12" t="str">
        <x:f>LEFT("913205096770234824",18)</x:f>
        <x:v>913205096770234900</x:v>
      </x:c>
    </x:row>
    <x:row r="3168">
      <x:c r="A3168" s="2" t="n">
        <x:v>3167</x:v>
      </x:c>
      <x:c r="B3168" s="2" t="inlineStr">
        <x:is>
          <x:t xml:space="preserve">603221</x:t>
        </x:is>
      </x:c>
      <x:c r="C3168" s="3" t="inlineStr">
        <x:is>
          <x:t xml:space="preserve">爱丽家居</x:t>
        </x:is>
      </x:c>
      <x:c r="D3168" s="3" t="inlineStr">
        <x:is>
          <x:t xml:space="preserve">爱丽家居科技股份有限公司</x:t>
        </x:is>
      </x:c>
      <x:c r="E3168" s="2" t="inlineStr">
        <x:is>
          <x:t xml:space="preserve">江苏省</x:t>
        </x:is>
      </x:c>
      <x:c r="F3168" s="2" t="inlineStr">
        <x:is>
          <x:t xml:space="preserve">省张家港市</x:t>
        </x:is>
      </x:c>
      <x:c r="G3168" s="3" t="inlineStr">
        <x:is>
          <x:t xml:space="preserve">江苏省-省张家港市</x:t>
        </x:is>
      </x:c>
      <x:c r="H3168" s="2" t="inlineStr">
        <x:is>
          <x:t xml:space="preserve">塑胶制品</x:t>
        </x:is>
      </x:c>
      <x:c r="I3168" s="2" t="inlineStr">
        <x:is>
          <x:t xml:space="preserve">2020-03-23</x:t>
        </x:is>
      </x:c>
      <x:c r="J3168" s="3" t="inlineStr">
        <x:is>
          <x:t xml:space="preserve">江苏省张家港市锦丰镇合兴街道</x:t>
        </x:is>
      </x:c>
      <x:c r="K3168" s="12" t="str">
        <x:f>LEFT("91320582714943959W",18)</x:f>
        <x:v>91320582714943959W</x:v>
      </x:c>
    </x:row>
    <x:row r="3169">
      <x:c r="A3169" s="4" t="n">
        <x:v>3168</x:v>
      </x:c>
      <x:c r="B3169" s="4" t="inlineStr">
        <x:is>
          <x:t xml:space="preserve">603248</x:t>
        </x:is>
      </x:c>
      <x:c r="C3169" s="5" t="inlineStr">
        <x:is>
          <x:t xml:space="preserve">锡华科技</x:t>
        </x:is>
      </x:c>
      <x:c r="D3169" s="5" t="inlineStr">
        <x:is>
          <x:t xml:space="preserve">江苏锡华新能源科技股份有限公司</x:t>
        </x:is>
      </x:c>
      <x:c r="E3169" s="4" t="inlineStr">
        <x:is>
          <x:t xml:space="preserve">江苏省</x:t>
        </x:is>
      </x:c>
      <x:c r="F3169" s="4" t="inlineStr">
        <x:is>
          <x:t xml:space="preserve">无锡市</x:t>
        </x:is>
      </x:c>
      <x:c r="G3169" s="5" t="inlineStr">
        <x:is>
          <x:t xml:space="preserve">江苏省-无锡市</x:t>
        </x:is>
      </x:c>
      <x:c r="H3169" s="4" t="inlineStr">
        <x:is>
          <x:t xml:space="preserve">风电设备</x:t>
        </x:is>
      </x:c>
      <x:c r="I3169" s="4" t="inlineStr">
        <x:is>
          <x:t xml:space="preserve">2025-12-23</x:t>
        </x:is>
      </x:c>
      <x:c r="J3169" s="5" t="inlineStr">
        <x:is>
          <x:t xml:space="preserve">无锡市滨湖区胡埭工业园杜鹃路26号</x:t>
        </x:is>
      </x:c>
      <x:c r="K3169" s="12" t="str">
        <x:f>LEFT("913202117290083654",18)</x:f>
        <x:v>913202117290083700</x:v>
      </x:c>
    </x:row>
    <x:row r="3170">
      <x:c r="A3170" s="2" t="n">
        <x:v>3169</x:v>
      </x:c>
      <x:c r="B3170" s="2" t="inlineStr">
        <x:is>
          <x:t xml:space="preserve">603259</x:t>
        </x:is>
      </x:c>
      <x:c r="C3170" s="3" t="inlineStr">
        <x:is>
          <x:t xml:space="preserve">药明康德</x:t>
        </x:is>
      </x:c>
      <x:c r="D3170" s="3" t="inlineStr">
        <x:is>
          <x:t xml:space="preserve">无锡药明康德新药开发股份有限公司</x:t>
        </x:is>
      </x:c>
      <x:c r="E3170" s="2" t="inlineStr">
        <x:is>
          <x:t xml:space="preserve">江苏省</x:t>
        </x:is>
      </x:c>
      <x:c r="F3170" s="2" t="inlineStr">
        <x:is>
          <x:t xml:space="preserve">无锡市</x:t>
        </x:is>
      </x:c>
      <x:c r="G3170" s="3" t="inlineStr">
        <x:is>
          <x:t xml:space="preserve">江苏省-无锡市</x:t>
        </x:is>
      </x:c>
      <x:c r="H3170" s="2" t="inlineStr">
        <x:is>
          <x:t xml:space="preserve">医疗行业</x:t>
        </x:is>
      </x:c>
      <x:c r="I3170" s="2" t="inlineStr">
        <x:is>
          <x:t xml:space="preserve">2018-05-08</x:t>
        </x:is>
      </x:c>
      <x:c r="J3170" s="3" t="inlineStr">
        <x:is>
          <x:t xml:space="preserve">江苏省无锡市滨湖区马山五号桥</x:t>
        </x:is>
      </x:c>
      <x:c r="K3170" s="12" t="str">
        <x:f>LEFT("91320200724183068U",18)</x:f>
        <x:v>91320200724183068U</x:v>
      </x:c>
    </x:row>
    <x:row r="3171">
      <x:c r="A3171" s="4" t="n">
        <x:v>3170</x:v>
      </x:c>
      <x:c r="B3171" s="4" t="inlineStr">
        <x:is>
          <x:t xml:space="preserve">603262</x:t>
        </x:is>
      </x:c>
      <x:c r="C3171" s="5" t="inlineStr">
        <x:is>
          <x:t xml:space="preserve">技源集团</x:t>
        </x:is>
      </x:c>
      <x:c r="D3171" s="5" t="inlineStr">
        <x:is>
          <x:t xml:space="preserve">技源集团股份有限公司</x:t>
        </x:is>
      </x:c>
      <x:c r="E3171" s="4" t="inlineStr">
        <x:is>
          <x:t xml:space="preserve">江苏省</x:t>
        </x:is>
      </x:c>
      <x:c r="F3171" s="4" t="inlineStr">
        <x:is>
          <x:t xml:space="preserve">无锡市</x:t>
        </x:is>
      </x:c>
      <x:c r="G3171" s="5" t="inlineStr">
        <x:is>
          <x:t xml:space="preserve">江苏省-无锡市</x:t>
        </x:is>
      </x:c>
      <x:c r="H3171" s="4" t="inlineStr">
        <x:is>
          <x:t xml:space="preserve">食品饮料</x:t>
        </x:is>
      </x:c>
      <x:c r="I3171" s="4" t="inlineStr">
        <x:is>
          <x:t xml:space="preserve">2025-07-23</x:t>
        </x:is>
      </x:c>
      <x:c r="J3171" s="5" t="inlineStr">
        <x:is>
          <x:t xml:space="preserve">江苏省江阴临港经济开发区锦绣路2号</x:t>
        </x:is>
      </x:c>
      <x:c r="K3171" s="12" t="str">
        <x:f>LEFT("91320281741344724C",18)</x:f>
        <x:v>91320281741344724C</x:v>
      </x:c>
    </x:row>
    <x:row r="3172">
      <x:c r="A3172" s="2" t="n">
        <x:v>3171</x:v>
      </x:c>
      <x:c r="B3172" s="2" t="inlineStr">
        <x:is>
          <x:t xml:space="preserve">603269</x:t>
        </x:is>
      </x:c>
      <x:c r="C3172" s="3" t="inlineStr">
        <x:is>
          <x:t xml:space="preserve">海鸥股份</x:t>
        </x:is>
      </x:c>
      <x:c r="D3172" s="3" t="inlineStr">
        <x:is>
          <x:t xml:space="preserve">江苏海鸥冷却塔股份有限公司</x:t>
        </x:is>
      </x:c>
      <x:c r="E3172" s="2" t="inlineStr">
        <x:is>
          <x:t xml:space="preserve">江苏省</x:t>
        </x:is>
      </x:c>
      <x:c r="F3172" s="2" t="inlineStr">
        <x:is>
          <x:t xml:space="preserve">常州市</x:t>
        </x:is>
      </x:c>
      <x:c r="G3172" s="3" t="inlineStr">
        <x:is>
          <x:t xml:space="preserve">江苏省-常州市</x:t>
        </x:is>
      </x:c>
      <x:c r="H3172" s="2" t="inlineStr">
        <x:is>
          <x:t xml:space="preserve">机械行业</x:t>
        </x:is>
      </x:c>
      <x:c r="I3172" s="2" t="inlineStr">
        <x:is>
          <x:t xml:space="preserve">2017-05-17</x:t>
        </x:is>
      </x:c>
      <x:c r="J3172" s="3" t="inlineStr">
        <x:is>
          <x:t xml:space="preserve">常州市武进经济开发区祥云路16号</x:t>
        </x:is>
      </x:c>
      <x:c r="K3172" s="12" t="str">
        <x:f>LEFT("91320400250842374C",18)</x:f>
        <x:v>91320400250842374C</x:v>
      </x:c>
    </x:row>
    <x:row r="3173">
      <x:c r="A3173" s="4" t="n">
        <x:v>3172</x:v>
      </x:c>
      <x:c r="B3173" s="4" t="inlineStr">
        <x:is>
          <x:t xml:space="preserve">603273</x:t>
        </x:is>
      </x:c>
      <x:c r="C3173" s="5" t="inlineStr">
        <x:is>
          <x:t xml:space="preserve">天元智能</x:t>
        </x:is>
      </x:c>
      <x:c r="D3173" s="5" t="inlineStr">
        <x:is>
          <x:t xml:space="preserve">江苏天元智能装备股份有限公司</x:t>
        </x:is>
      </x:c>
      <x:c r="E3173" s="4" t="inlineStr">
        <x:is>
          <x:t xml:space="preserve">江苏省</x:t>
        </x:is>
      </x:c>
      <x:c r="F3173" s="4" t="inlineStr">
        <x:is>
          <x:t xml:space="preserve">常州市</x:t>
        </x:is>
      </x:c>
      <x:c r="G3173" s="5" t="inlineStr">
        <x:is>
          <x:t xml:space="preserve">江苏省-常州市</x:t>
        </x:is>
      </x:c>
      <x:c r="H3173" s="4" t="inlineStr">
        <x:is>
          <x:t xml:space="preserve">专用设备</x:t>
        </x:is>
      </x:c>
      <x:c r="I3173" s="4" t="inlineStr">
        <x:is>
          <x:t xml:space="preserve">2023-10-23</x:t>
        </x:is>
      </x:c>
      <x:c r="J3173" s="5" t="inlineStr">
        <x:is>
          <x:t xml:space="preserve">江苏省常州市新北区河海西路312号</x:t>
        </x:is>
      </x:c>
      <x:c r="K3173" s="12" t="str">
        <x:f>LEFT("91320400137326343J",18)</x:f>
        <x:v>91320400137326343J</x:v>
      </x:c>
    </x:row>
    <x:row r="3174">
      <x:c r="A3174" s="2" t="n">
        <x:v>3173</x:v>
      </x:c>
      <x:c r="B3174" s="2" t="inlineStr">
        <x:is>
          <x:t xml:space="preserve">603276</x:t>
        </x:is>
      </x:c>
      <x:c r="C3174" s="3" t="inlineStr">
        <x:is>
          <x:t xml:space="preserve">恒兴新材</x:t>
        </x:is>
      </x:c>
      <x:c r="D3174" s="3" t="inlineStr">
        <x:is>
          <x:t xml:space="preserve">江苏恒兴新材料科技股份有限公司</x:t>
        </x:is>
      </x:c>
      <x:c r="E3174" s="2" t="inlineStr">
        <x:is>
          <x:t xml:space="preserve">江苏省</x:t>
        </x:is>
      </x:c>
      <x:c r="F3174" s="2" t="inlineStr">
        <x:is>
          <x:t xml:space="preserve">无锡市</x:t>
        </x:is>
      </x:c>
      <x:c r="G3174" s="3" t="inlineStr">
        <x:is>
          <x:t xml:space="preserve">江苏省-无锡市</x:t>
        </x:is>
      </x:c>
      <x:c r="H3174" s="2" t="inlineStr">
        <x:is>
          <x:t xml:space="preserve">化学原料</x:t>
        </x:is>
      </x:c>
      <x:c r="I3174" s="2" t="inlineStr">
        <x:is>
          <x:t xml:space="preserve">2023-09-25</x:t>
        </x:is>
      </x:c>
      <x:c r="J3174" s="3" t="inlineStr">
        <x:is>
          <x:t xml:space="preserve">宜兴经济技术开发区永宁支路</x:t>
        </x:is>
      </x:c>
      <x:c r="K3174" s="12" t="str">
        <x:f>LEFT("913202827961054132",18)</x:f>
        <x:v>913202827961054100</x:v>
      </x:c>
    </x:row>
    <x:row r="3175">
      <x:c r="A3175" s="4" t="n">
        <x:v>3174</x:v>
      </x:c>
      <x:c r="B3175" s="4" t="inlineStr">
        <x:is>
          <x:t xml:space="preserve">603283</x:t>
        </x:is>
      </x:c>
      <x:c r="C3175" s="5" t="inlineStr">
        <x:is>
          <x:t xml:space="preserve">赛腾股份</x:t>
        </x:is>
      </x:c>
      <x:c r="D3175" s="5" t="inlineStr">
        <x:is>
          <x:t xml:space="preserve">苏州赛腾精密电子股份有限公司</x:t>
        </x:is>
      </x:c>
      <x:c r="E3175" s="4" t="inlineStr">
        <x:is>
          <x:t xml:space="preserve">江苏省</x:t>
        </x:is>
      </x:c>
      <x:c r="F3175" s="4" t="inlineStr">
        <x:is>
          <x:t xml:space="preserve">苏州市</x:t>
        </x:is>
      </x:c>
      <x:c r="G3175" s="5" t="inlineStr">
        <x:is>
          <x:t xml:space="preserve">江苏省-苏州市</x:t>
        </x:is>
      </x:c>
      <x:c r="H3175" s="4" t="inlineStr">
        <x:is>
          <x:t xml:space="preserve">专用设备</x:t>
        </x:is>
      </x:c>
      <x:c r="I3175" s="4" t="inlineStr">
        <x:is>
          <x:t xml:space="preserve">2017-12-25</x:t>
        </x:is>
      </x:c>
      <x:c r="J3175" s="5" t="inlineStr">
        <x:is>
          <x:t xml:space="preserve">苏州吴中经济开发区郭巷街道淞葭路585号</x:t>
        </x:is>
      </x:c>
      <x:c r="K3175" s="12" t="str">
        <x:f>LEFT("91320500663279698D",18)</x:f>
        <x:v>91320500663279698D</x:v>
      </x:c>
    </x:row>
    <x:row r="3176">
      <x:c r="A3176" s="2" t="n">
        <x:v>3175</x:v>
      </x:c>
      <x:c r="B3176" s="2" t="inlineStr">
        <x:is>
          <x:t xml:space="preserve">603286</x:t>
        </x:is>
      </x:c>
      <x:c r="C3176" s="3" t="inlineStr">
        <x:is>
          <x:t xml:space="preserve">日盈电子</x:t>
        </x:is>
      </x:c>
      <x:c r="D3176" s="3" t="inlineStr">
        <x:is>
          <x:t xml:space="preserve">江苏日盈电子股份有限公司</x:t>
        </x:is>
      </x:c>
      <x:c r="E3176" s="2" t="inlineStr">
        <x:is>
          <x:t xml:space="preserve">江苏省</x:t>
        </x:is>
      </x:c>
      <x:c r="F3176" s="2" t="inlineStr">
        <x:is>
          <x:t xml:space="preserve">常州市</x:t>
        </x:is>
      </x:c>
      <x:c r="G3176" s="3" t="inlineStr">
        <x:is>
          <x:t xml:space="preserve">江苏省-常州市</x:t>
        </x:is>
      </x:c>
      <x:c r="H3176" s="2" t="inlineStr">
        <x:is>
          <x:t xml:space="preserve">汽车行业</x:t>
        </x:is>
      </x:c>
      <x:c r="I3176" s="2" t="inlineStr">
        <x:is>
          <x:t xml:space="preserve">2017-06-27</x:t>
        </x:is>
      </x:c>
      <x:c r="J3176" s="3" t="inlineStr">
        <x:is>
          <x:t xml:space="preserve">江苏省常州市经济开发区潞横路2788号</x:t>
        </x:is>
      </x:c>
      <x:c r="K3176" s="12" t="str">
        <x:f>LEFT("91320400703644654M",18)</x:f>
        <x:v>91320400703644654M</x:v>
      </x:c>
    </x:row>
    <x:row r="3177">
      <x:c r="A3177" s="4" t="n">
        <x:v>3176</x:v>
      </x:c>
      <x:c r="B3177" s="4" t="inlineStr">
        <x:is>
          <x:t xml:space="preserve">603291</x:t>
        </x:is>
      </x:c>
      <x:c r="C3177" s="5" t="inlineStr">
        <x:is>
          <x:t xml:space="preserve">联合水务</x:t>
        </x:is>
      </x:c>
      <x:c r="D3177" s="5" t="inlineStr">
        <x:is>
          <x:t xml:space="preserve">江苏联合水务科技股份有限公司</x:t>
        </x:is>
      </x:c>
      <x:c r="E3177" s="4" t="inlineStr">
        <x:is>
          <x:t xml:space="preserve">江苏省</x:t>
        </x:is>
      </x:c>
      <x:c r="F3177" s="4" t="inlineStr">
        <x:is>
          <x:t xml:space="preserve">宿迁市</x:t>
        </x:is>
      </x:c>
      <x:c r="G3177" s="5" t="inlineStr">
        <x:is>
          <x:t xml:space="preserve">江苏省-宿迁市</x:t>
        </x:is>
      </x:c>
      <x:c r="H3177" s="4" t="inlineStr">
        <x:is>
          <x:t xml:space="preserve">公用事业</x:t>
        </x:is>
      </x:c>
      <x:c r="I3177" s="4" t="inlineStr">
        <x:is>
          <x:t xml:space="preserve">2023-03-27</x:t>
        </x:is>
      </x:c>
      <x:c r="J3177" s="5" t="inlineStr">
        <x:is>
          <x:t xml:space="preserve">宿迁市幸福北路128号</x:t>
        </x:is>
      </x:c>
      <x:c r="K3177" s="12" t="str">
        <x:f>LEFT("913213001423136190",18)</x:f>
        <x:v>913213001423136100</x:v>
      </x:c>
    </x:row>
    <x:row r="3178">
      <x:c r="A3178" s="2" t="n">
        <x:v>3177</x:v>
      </x:c>
      <x:c r="B3178" s="2" t="inlineStr">
        <x:is>
          <x:t xml:space="preserve">603299</x:t>
        </x:is>
      </x:c>
      <x:c r="C3178" s="3" t="inlineStr">
        <x:is>
          <x:t xml:space="preserve">苏盐井神</x:t>
        </x:is>
      </x:c>
      <x:c r="D3178" s="3" t="inlineStr">
        <x:is>
          <x:t xml:space="preserve">江苏苏盐井神股份有限公司</x:t>
        </x:is>
      </x:c>
      <x:c r="E3178" s="2" t="inlineStr">
        <x:is>
          <x:t xml:space="preserve">江苏省</x:t>
        </x:is>
      </x:c>
      <x:c r="F3178" s="2" t="inlineStr">
        <x:is>
          <x:t xml:space="preserve">淮安市</x:t>
        </x:is>
      </x:c>
      <x:c r="G3178" s="3" t="inlineStr">
        <x:is>
          <x:t xml:space="preserve">江苏省-淮安市</x:t>
        </x:is>
      </x:c>
      <x:c r="H3178" s="2" t="inlineStr">
        <x:is>
          <x:t xml:space="preserve">化学原料</x:t>
        </x:is>
      </x:c>
      <x:c r="I3178" s="2" t="inlineStr">
        <x:is>
          <x:t xml:space="preserve">2015-12-31</x:t>
        </x:is>
      </x:c>
      <x:c r="J3178" s="3" t="inlineStr">
        <x:is>
          <x:t xml:space="preserve">江苏省淮安市淮安区海棠大道18号</x:t>
        </x:is>
      </x:c>
      <x:c r="K3178" s="12" t="str">
        <x:f>LEFT("91320800720586548C",18)</x:f>
        <x:v>91320800720586548C</x:v>
      </x:c>
    </x:row>
    <x:row r="3179">
      <x:c r="A3179" s="4" t="n">
        <x:v>3178</x:v>
      </x:c>
      <x:c r="B3179" s="4" t="inlineStr">
        <x:is>
          <x:t xml:space="preserve">603307</x:t>
        </x:is>
      </x:c>
      <x:c r="C3179" s="5" t="inlineStr">
        <x:is>
          <x:t xml:space="preserve">扬州金泉</x:t>
        </x:is>
      </x:c>
      <x:c r="D3179" s="5" t="inlineStr">
        <x:is>
          <x:t xml:space="preserve">扬州金泉旅游用品股份有限公司</x:t>
        </x:is>
      </x:c>
      <x:c r="E3179" s="4" t="inlineStr">
        <x:is>
          <x:t xml:space="preserve">江苏省</x:t>
        </x:is>
      </x:c>
      <x:c r="F3179" s="4" t="inlineStr">
        <x:is>
          <x:t xml:space="preserve">扬州市</x:t>
        </x:is>
      </x:c>
      <x:c r="G3179" s="5" t="inlineStr">
        <x:is>
          <x:t xml:space="preserve">江苏省-扬州市</x:t>
        </x:is>
      </x:c>
      <x:c r="H3179" s="4" t="inlineStr">
        <x:is>
          <x:t xml:space="preserve">纺织服装</x:t>
        </x:is>
      </x:c>
      <x:c r="I3179" s="4" t="inlineStr">
        <x:is>
          <x:t xml:space="preserve">2023-02-16</x:t>
        </x:is>
      </x:c>
      <x:c r="J3179" s="5" t="inlineStr">
        <x:is>
          <x:t xml:space="preserve">扬州市邗江区杨寿镇宝女村内</x:t>
        </x:is>
      </x:c>
      <x:c r="K3179" s="12" t="str">
        <x:f>LEFT("913210036087333842",18)</x:f>
        <x:v>913210036087333900</x:v>
      </x:c>
    </x:row>
    <x:row r="3180">
      <x:c r="A3180" s="2" t="n">
        <x:v>3179</x:v>
      </x:c>
      <x:c r="B3180" s="2" t="inlineStr">
        <x:is>
          <x:t xml:space="preserve">603312</x:t>
        </x:is>
      </x:c>
      <x:c r="C3180" s="3" t="inlineStr">
        <x:is>
          <x:t xml:space="preserve">西典新能</x:t>
        </x:is>
      </x:c>
      <x:c r="D3180" s="3" t="inlineStr">
        <x:is>
          <x:t xml:space="preserve">苏州西典新能源电气股份有限公司</x:t>
        </x:is>
      </x:c>
      <x:c r="E3180" s="2" t="inlineStr">
        <x:is>
          <x:t xml:space="preserve">江苏省</x:t>
        </x:is>
      </x:c>
      <x:c r="F3180" s="2" t="inlineStr">
        <x:is>
          <x:t xml:space="preserve">苏州市</x:t>
        </x:is>
      </x:c>
      <x:c r="G3180" s="3" t="inlineStr">
        <x:is>
          <x:t xml:space="preserve">江苏省-苏州市</x:t>
        </x:is>
      </x:c>
      <x:c r="H3180" s="2" t="inlineStr">
        <x:is>
          <x:t xml:space="preserve">电网设备</x:t>
        </x:is>
      </x:c>
      <x:c r="I3180" s="2" t="inlineStr">
        <x:is>
          <x:t xml:space="preserve">2024-01-11</x:t>
        </x:is>
      </x:c>
      <x:c r="J3180" s="3" t="inlineStr">
        <x:is>
          <x:t xml:space="preserve">苏州高新区金枫路353号</x:t>
        </x:is>
      </x:c>
      <x:c r="K3180" s="12" t="str">
        <x:f>LEFT("91320505661794784R",18)</x:f>
        <x:v>91320505661794784R</x:v>
      </x:c>
    </x:row>
    <x:row r="3181">
      <x:c r="A3181" s="4" t="n">
        <x:v>3180</x:v>
      </x:c>
      <x:c r="B3181" s="4" t="inlineStr">
        <x:is>
          <x:t xml:space="preserve">603313</x:t>
        </x:is>
      </x:c>
      <x:c r="C3181" s="5" t="inlineStr">
        <x:is>
          <x:t xml:space="preserve">梦百合</x:t>
        </x:is>
      </x:c>
      <x:c r="D3181" s="5" t="inlineStr">
        <x:is>
          <x:t xml:space="preserve">梦百合家居科技股份有限公司</x:t>
        </x:is>
      </x:c>
      <x:c r="E3181" s="4" t="inlineStr">
        <x:is>
          <x:t xml:space="preserve">江苏省</x:t>
        </x:is>
      </x:c>
      <x:c r="F3181" s="4" t="inlineStr">
        <x:is>
          <x:t xml:space="preserve">如皋市</x:t>
        </x:is>
      </x:c>
      <x:c r="G3181" s="5" t="inlineStr">
        <x:is>
          <x:t xml:space="preserve">江苏省-如皋市</x:t>
        </x:is>
      </x:c>
      <x:c r="H3181" s="4" t="inlineStr">
        <x:is>
          <x:t xml:space="preserve">木业家具</x:t>
        </x:is>
      </x:c>
      <x:c r="I3181" s="4" t="inlineStr">
        <x:is>
          <x:t xml:space="preserve">2016-10-13</x:t>
        </x:is>
      </x:c>
      <x:c r="J3181" s="5" t="inlineStr">
        <x:is>
          <x:t xml:space="preserve">如皋市丁堰镇皋南路999号</x:t>
        </x:is>
      </x:c>
      <x:c r="K3181" s="12" t="str">
        <x:f>LEFT("91320600750031850R",18)</x:f>
        <x:v>91320600750031850R</x:v>
      </x:c>
    </x:row>
    <x:row r="3182">
      <x:c r="A3182" s="2" t="n">
        <x:v>3181</x:v>
      </x:c>
      <x:c r="B3182" s="2" t="inlineStr">
        <x:is>
          <x:t xml:space="preserve">603323</x:t>
        </x:is>
      </x:c>
      <x:c r="C3182" s="3" t="inlineStr">
        <x:is>
          <x:t xml:space="preserve">苏农银行</x:t>
        </x:is>
      </x:c>
      <x:c r="D3182" s="3" t="inlineStr">
        <x:is>
          <x:t xml:space="preserve">江苏苏州农村商业银行股份有限公司</x:t>
        </x:is>
      </x:c>
      <x:c r="E3182" s="2" t="inlineStr">
        <x:is>
          <x:t xml:space="preserve">江苏省</x:t>
        </x:is>
      </x:c>
      <x:c r="F3182" s="2" t="inlineStr">
        <x:is>
          <x:t xml:space="preserve">苏州市</x:t>
        </x:is>
      </x:c>
      <x:c r="G3182" s="3" t="inlineStr">
        <x:is>
          <x:t xml:space="preserve">江苏省-苏州市</x:t>
        </x:is>
      </x:c>
      <x:c r="H3182" s="2" t="inlineStr">
        <x:is>
          <x:t xml:space="preserve">银行</x:t>
        </x:is>
      </x:c>
      <x:c r="I3182" s="2" t="inlineStr">
        <x:is>
          <x:t xml:space="preserve">2016-11-29</x:t>
        </x:is>
      </x:c>
      <x:c r="J3182" s="3" t="inlineStr">
        <x:is>
          <x:t xml:space="preserve">江苏省苏州市吴江区中山南路1777号</x:t>
        </x:is>
      </x:c>
      <x:c r="K3182" s="12" t="str">
        <x:f>LEFT("91320500251317395W",18)</x:f>
        <x:v>91320500251317395W</x:v>
      </x:c>
    </x:row>
    <x:row r="3183">
      <x:c r="A3183" s="4" t="n">
        <x:v>3182</x:v>
      </x:c>
      <x:c r="B3183" s="4" t="inlineStr">
        <x:is>
          <x:t xml:space="preserve">603326</x:t>
        </x:is>
      </x:c>
      <x:c r="C3183" s="5" t="inlineStr">
        <x:is>
          <x:t xml:space="preserve">我乐家居</x:t>
        </x:is>
      </x:c>
      <x:c r="D3183" s="5" t="inlineStr">
        <x:is>
          <x:t xml:space="preserve">南京我乐家居股份有限公司</x:t>
        </x:is>
      </x:c>
      <x:c r="E3183" s="4" t="inlineStr">
        <x:is>
          <x:t xml:space="preserve">江苏省</x:t>
        </x:is>
      </x:c>
      <x:c r="F3183" s="4" t="inlineStr">
        <x:is>
          <x:t xml:space="preserve">南京市</x:t>
        </x:is>
      </x:c>
      <x:c r="G3183" s="5" t="inlineStr">
        <x:is>
          <x:t xml:space="preserve">江苏省-南京市</x:t>
        </x:is>
      </x:c>
      <x:c r="H3183" s="4" t="inlineStr">
        <x:is>
          <x:t xml:space="preserve">木业家具</x:t>
        </x:is>
      </x:c>
      <x:c r="I3183" s="4" t="inlineStr">
        <x:is>
          <x:t xml:space="preserve">2017-06-16</x:t>
        </x:is>
      </x:c>
      <x:c r="J3183" s="5" t="inlineStr">
        <x:is>
          <x:t xml:space="preserve">南京市江宁经济技术开发区清水亭西路218号</x:t>
        </x:is>
      </x:c>
      <x:c r="K3183" s="12" t="str">
        <x:f>LEFT("91320100787141439Y",18)</x:f>
        <x:v>91320100787141439Y</x:v>
      </x:c>
    </x:row>
    <x:row r="3184">
      <x:c r="A3184" s="2" t="n">
        <x:v>3183</x:v>
      </x:c>
      <x:c r="B3184" s="2" t="inlineStr">
        <x:is>
          <x:t xml:space="preserve">603332</x:t>
        </x:is>
      </x:c>
      <x:c r="C3184" s="3" t="inlineStr">
        <x:is>
          <x:t xml:space="preserve">苏州龙杰</x:t>
        </x:is>
      </x:c>
      <x:c r="D3184" s="3" t="inlineStr">
        <x:is>
          <x:t xml:space="preserve">苏州龙杰特种纤维股份有限公司</x:t>
        </x:is>
      </x:c>
      <x:c r="E3184" s="2" t="inlineStr">
        <x:is>
          <x:t xml:space="preserve">江苏省</x:t>
        </x:is>
      </x:c>
      <x:c r="F3184" s="2" t="inlineStr">
        <x:is>
          <x:t xml:space="preserve">苏州市</x:t>
        </x:is>
      </x:c>
      <x:c r="G3184" s="3" t="inlineStr">
        <x:is>
          <x:t xml:space="preserve">江苏省-苏州市</x:t>
        </x:is>
      </x:c>
      <x:c r="H3184" s="2" t="inlineStr">
        <x:is>
          <x:t xml:space="preserve">化纤行业</x:t>
        </x:is>
      </x:c>
      <x:c r="I3184" s="2" t="inlineStr">
        <x:is>
          <x:t xml:space="preserve">2019-01-17</x:t>
        </x:is>
      </x:c>
      <x:c r="J3184" s="3" t="inlineStr">
        <x:is>
          <x:t xml:space="preserve">张家港经济开发区(振兴路19号)</x:t>
        </x:is>
      </x:c>
      <x:c r="K3184" s="12" t="str">
        <x:f>LEFT("91320500750044854E",18)</x:f>
        <x:v>91320500750044854E</x:v>
      </x:c>
    </x:row>
    <x:row r="3185">
      <x:c r="A3185" s="4" t="n">
        <x:v>3184</x:v>
      </x:c>
      <x:c r="B3185" s="4" t="inlineStr">
        <x:is>
          <x:t xml:space="preserve">603334</x:t>
        </x:is>
      </x:c>
      <x:c r="C3185" s="5" t="inlineStr">
        <x:is>
          <x:t xml:space="preserve">丰倍生物</x:t>
        </x:is>
      </x:c>
      <x:c r="D3185" s="5" t="inlineStr">
        <x:is>
          <x:t xml:space="preserve">苏州丰倍生物科技股份有限公司</x:t>
        </x:is>
      </x:c>
      <x:c r="E3185" s="4" t="inlineStr">
        <x:is>
          <x:t xml:space="preserve">江苏省</x:t>
        </x:is>
      </x:c>
      <x:c r="F3185" s="4" t="inlineStr">
        <x:is>
          <x:t xml:space="preserve">连云港市</x:t>
        </x:is>
      </x:c>
      <x:c r="G3185" s="5" t="inlineStr">
        <x:is>
          <x:t xml:space="preserve">江苏省-连云港市</x:t>
        </x:is>
      </x:c>
      <x:c r="H3185" s="4" t="inlineStr">
        <x:is>
          <x:t xml:space="preserve">--</x:t>
        </x:is>
      </x:c>
      <x:c r="I3185" s="4" t="inlineStr">
        <x:is>
          <x:t xml:space="preserve">2025-11-05</x:t>
        </x:is>
      </x:c>
      <x:c r="J3185" s="5" t="inlineStr">
        <x:is>
          <x:t xml:space="preserve">江苏扬子江国际化学工业园东海路1号</x:t>
        </x:is>
      </x:c>
      <x:c r="K3185" s="12" t="str">
        <x:f>LEFT("91320592398355222E",18)</x:f>
        <x:v>91320592398355222E</x:v>
      </x:c>
    </x:row>
    <x:row r="3186">
      <x:c r="A3186" s="2" t="n">
        <x:v>3185</x:v>
      </x:c>
      <x:c r="B3186" s="2" t="inlineStr">
        <x:is>
          <x:t xml:space="preserve">603339</x:t>
        </x:is>
      </x:c>
      <x:c r="C3186" s="3" t="inlineStr">
        <x:is>
          <x:t xml:space="preserve">四方科技</x:t>
        </x:is>
      </x:c>
      <x:c r="D3186" s="3" t="inlineStr">
        <x:is>
          <x:t xml:space="preserve">四方科技集团股份有限公司</x:t>
        </x:is>
      </x:c>
      <x:c r="E3186" s="2" t="inlineStr">
        <x:is>
          <x:t xml:space="preserve">江苏省</x:t>
        </x:is>
      </x:c>
      <x:c r="F3186" s="2" t="inlineStr">
        <x:is>
          <x:t xml:space="preserve">南通市</x:t>
        </x:is>
      </x:c>
      <x:c r="G3186" s="3" t="inlineStr">
        <x:is>
          <x:t xml:space="preserve">江苏省-南通市</x:t>
        </x:is>
      </x:c>
      <x:c r="H3186" s="2" t="inlineStr">
        <x:is>
          <x:t xml:space="preserve">机械行业</x:t>
        </x:is>
      </x:c>
      <x:c r="I3186" s="2" t="inlineStr">
        <x:is>
          <x:t xml:space="preserve">2016-05-19</x:t>
        </x:is>
      </x:c>
      <x:c r="J3186" s="3" t="inlineStr">
        <x:is>
          <x:t xml:space="preserve">江苏省南通市通州区兴仁镇江海大道1180号</x:t>
        </x:is>
      </x:c>
      <x:c r="K3186" s="12" t="str">
        <x:f>LEFT("91320600138738315N",18)</x:f>
        <x:v>91320600138738315N</x:v>
      </x:c>
    </x:row>
    <x:row r="3187">
      <x:c r="A3187" s="4" t="n">
        <x:v>3186</x:v>
      </x:c>
      <x:c r="B3187" s="4" t="inlineStr">
        <x:is>
          <x:t xml:space="preserve">603344</x:t>
        </x:is>
      </x:c>
      <x:c r="C3187" s="5" t="inlineStr">
        <x:is>
          <x:t xml:space="preserve">星德胜</x:t>
        </x:is>
      </x:c>
      <x:c r="D3187" s="5" t="inlineStr">
        <x:is>
          <x:t xml:space="preserve">星德胜科技(苏州)股份有限公司</x:t>
        </x:is>
      </x:c>
      <x:c r="E3187" s="4" t="inlineStr">
        <x:is>
          <x:t xml:space="preserve">江苏省</x:t>
        </x:is>
      </x:c>
      <x:c r="F3187" s="4" t="inlineStr">
        <x:is>
          <x:t xml:space="preserve">苏州市</x:t>
        </x:is>
      </x:c>
      <x:c r="G3187" s="5" t="inlineStr">
        <x:is>
          <x:t xml:space="preserve">江苏省-苏州市</x:t>
        </x:is>
      </x:c>
      <x:c r="H3187" s="4" t="inlineStr">
        <x:is>
          <x:t xml:space="preserve">电机</x:t>
        </x:is>
      </x:c>
      <x:c r="I3187" s="4" t="inlineStr">
        <x:is>
          <x:t xml:space="preserve">2024-03-20</x:t>
        </x:is>
      </x:c>
      <x:c r="J3187" s="5" t="inlineStr">
        <x:is>
          <x:t xml:space="preserve">苏州工业园区唯亭街道临埠街15号</x:t>
        </x:is>
      </x:c>
      <x:c r="K3187" s="12" t="str">
        <x:f>LEFT("9132059476827691X1",18)</x:f>
        <x:v>9132059476827691X1</x:v>
      </x:c>
    </x:row>
    <x:row r="3188">
      <x:c r="A3188" s="2" t="n">
        <x:v>3187</x:v>
      </x:c>
      <x:c r="B3188" s="2" t="inlineStr">
        <x:is>
          <x:t xml:space="preserve">603351</x:t>
        </x:is>
      </x:c>
      <x:c r="C3188" s="3" t="inlineStr">
        <x:is>
          <x:t xml:space="preserve">威尔药业</x:t>
        </x:is>
      </x:c>
      <x:c r="D3188" s="3" t="inlineStr">
        <x:is>
          <x:t xml:space="preserve">南京威尔药业集团股份有限公司</x:t>
        </x:is>
      </x:c>
      <x:c r="E3188" s="2" t="inlineStr">
        <x:is>
          <x:t xml:space="preserve">江苏省</x:t>
        </x:is>
      </x:c>
      <x:c r="F3188" s="2" t="inlineStr">
        <x:is>
          <x:t xml:space="preserve">南京市</x:t>
        </x:is>
      </x:c>
      <x:c r="G3188" s="3" t="inlineStr">
        <x:is>
          <x:t xml:space="preserve">江苏省-南京市</x:t>
        </x:is>
      </x:c>
      <x:c r="H3188" s="2" t="inlineStr">
        <x:is>
          <x:t xml:space="preserve">医药制造</x:t>
        </x:is>
      </x:c>
      <x:c r="I3188" s="2" t="inlineStr">
        <x:is>
          <x:t xml:space="preserve">2019-01-30</x:t>
        </x:is>
      </x:c>
      <x:c r="J3188" s="3" t="inlineStr">
        <x:is>
          <x:t xml:space="preserve">南京化学工业园区长丰河西路99号</x:t>
        </x:is>
      </x:c>
      <x:c r="K3188" s="12" t="str">
        <x:f>LEFT("91320193721713633K",18)</x:f>
        <x:v>91320193721713633K</x:v>
      </x:c>
    </x:row>
    <x:row r="3189">
      <x:c r="A3189" s="4" t="n">
        <x:v>3188</x:v>
      </x:c>
      <x:c r="B3189" s="4" t="inlineStr">
        <x:is>
          <x:t xml:space="preserve">603355</x:t>
        </x:is>
      </x:c>
      <x:c r="C3189" s="5" t="inlineStr">
        <x:is>
          <x:t xml:space="preserve">莱克电气</x:t>
        </x:is>
      </x:c>
      <x:c r="D3189" s="5" t="inlineStr">
        <x:is>
          <x:t xml:space="preserve">莱克电气股份有限公司</x:t>
        </x:is>
      </x:c>
      <x:c r="E3189" s="4" t="inlineStr">
        <x:is>
          <x:t xml:space="preserve">江苏省</x:t>
        </x:is>
      </x:c>
      <x:c r="F3189" s="4" t="inlineStr">
        <x:is>
          <x:t xml:space="preserve">苏州市</x:t>
        </x:is>
      </x:c>
      <x:c r="G3189" s="5" t="inlineStr">
        <x:is>
          <x:t xml:space="preserve">江苏省-苏州市</x:t>
        </x:is>
      </x:c>
      <x:c r="H3189" s="4" t="inlineStr">
        <x:is>
          <x:t xml:space="preserve">家电行业</x:t>
        </x:is>
      </x:c>
      <x:c r="I3189" s="4" t="inlineStr">
        <x:is>
          <x:t xml:space="preserve">2015-05-13</x:t>
        </x:is>
      </x:c>
      <x:c r="J3189" s="5" t="inlineStr">
        <x:is>
          <x:t xml:space="preserve">江苏省苏州新区向阳路1号</x:t>
        </x:is>
      </x:c>
      <x:c r="K3189" s="12" t="str">
        <x:f>LEFT("91320500733338412Q",18)</x:f>
        <x:v>91320500733338412Q</x:v>
      </x:c>
    </x:row>
    <x:row r="3190">
      <x:c r="A3190" s="2" t="n">
        <x:v>3189</x:v>
      </x:c>
      <x:c r="B3190" s="2" t="inlineStr">
        <x:is>
          <x:t xml:space="preserve">603358</x:t>
        </x:is>
      </x:c>
      <x:c r="C3190" s="3" t="inlineStr">
        <x:is>
          <x:t xml:space="preserve">华达科技</x:t>
        </x:is>
      </x:c>
      <x:c r="D3190" s="3" t="inlineStr">
        <x:is>
          <x:t xml:space="preserve">华达汽车科技股份有限公司</x:t>
        </x:is>
      </x:c>
      <x:c r="E3190" s="2" t="inlineStr">
        <x:is>
          <x:t xml:space="preserve">江苏省</x:t>
        </x:is>
      </x:c>
      <x:c r="F3190" s="2" t="inlineStr">
        <x:is>
          <x:t xml:space="preserve">苏省靖江市</x:t>
        </x:is>
      </x:c>
      <x:c r="G3190" s="3" t="inlineStr">
        <x:is>
          <x:t xml:space="preserve">江苏省-苏省靖江市</x:t>
        </x:is>
      </x:c>
      <x:c r="H3190" s="2" t="inlineStr">
        <x:is>
          <x:t xml:space="preserve">汽车行业</x:t>
        </x:is>
      </x:c>
      <x:c r="I3190" s="2" t="inlineStr">
        <x:is>
          <x:t xml:space="preserve">2017-01-25</x:t>
        </x:is>
      </x:c>
      <x:c r="J3190" s="3" t="inlineStr">
        <x:is>
          <x:t xml:space="preserve">江苏省靖江市江平路东68号</x:t>
        </x:is>
      </x:c>
      <x:c r="K3190" s="12" t="str">
        <x:f>LEFT("913212007437239475",18)</x:f>
        <x:v>913212007437239400</x:v>
      </x:c>
    </x:row>
    <x:row r="3191">
      <x:c r="A3191" s="4" t="n">
        <x:v>3190</x:v>
      </x:c>
      <x:c r="B3191" s="4" t="inlineStr">
        <x:is>
          <x:t xml:space="preserve">603359</x:t>
        </x:is>
      </x:c>
      <x:c r="C3191" s="5" t="inlineStr">
        <x:is>
          <x:t xml:space="preserve">东珠生态</x:t>
        </x:is>
      </x:c>
      <x:c r="D3191" s="5" t="inlineStr">
        <x:is>
          <x:t xml:space="preserve">东珠生态环保股份有限公司</x:t>
        </x:is>
      </x:c>
      <x:c r="E3191" s="4" t="inlineStr">
        <x:is>
          <x:t xml:space="preserve">江苏省</x:t>
        </x:is>
      </x:c>
      <x:c r="F3191" s="4" t="inlineStr">
        <x:is>
          <x:t xml:space="preserve">无锡市</x:t>
        </x:is>
      </x:c>
      <x:c r="G3191" s="5" t="inlineStr">
        <x:is>
          <x:t xml:space="preserve">江苏省-无锡市</x:t>
        </x:is>
      </x:c>
      <x:c r="H3191" s="4" t="inlineStr">
        <x:is>
          <x:t xml:space="preserve">环保行业</x:t>
        </x:is>
      </x:c>
      <x:c r="I3191" s="4" t="inlineStr">
        <x:is>
          <x:t xml:space="preserve">2017-09-01</x:t>
        </x:is>
      </x:c>
      <x:c r="J3191" s="5" t="inlineStr">
        <x:is>
          <x:t xml:space="preserve">无锡市锡山区东亭街道锡沪中路90号</x:t>
        </x:is>
      </x:c>
      <x:c r="K3191" s="12" t="str">
        <x:f>LEFT("91320200729028470W",18)</x:f>
        <x:v>91320200729028470W</x:v>
      </x:c>
    </x:row>
    <x:row r="3192">
      <x:c r="A3192" s="2" t="n">
        <x:v>3191</x:v>
      </x:c>
      <x:c r="B3192" s="2" t="inlineStr">
        <x:is>
          <x:t xml:space="preserve">603366</x:t>
        </x:is>
      </x:c>
      <x:c r="C3192" s="3" t="inlineStr">
        <x:is>
          <x:t xml:space="preserve">日出东方</x:t>
        </x:is>
      </x:c>
      <x:c r="D3192" s="3" t="inlineStr">
        <x:is>
          <x:t xml:space="preserve">日出东方控股股份有限公司</x:t>
        </x:is>
      </x:c>
      <x:c r="E3192" s="2" t="inlineStr">
        <x:is>
          <x:t xml:space="preserve">江苏省</x:t>
        </x:is>
      </x:c>
      <x:c r="F3192" s="2" t="inlineStr">
        <x:is>
          <x:t xml:space="preserve">连云港市</x:t>
        </x:is>
      </x:c>
      <x:c r="G3192" s="3" t="inlineStr">
        <x:is>
          <x:t xml:space="preserve">江苏省-连云港市</x:t>
        </x:is>
      </x:c>
      <x:c r="H3192" s="2" t="inlineStr">
        <x:is>
          <x:t xml:space="preserve">家电行业</x:t>
        </x:is>
      </x:c>
      <x:c r="I3192" s="2" t="inlineStr">
        <x:is>
          <x:t xml:space="preserve">2012-05-21</x:t>
        </x:is>
      </x:c>
      <x:c r="J3192" s="3" t="inlineStr">
        <x:is>
          <x:t xml:space="preserve">江苏省连云港市海宁工贸园</x:t>
        </x:is>
      </x:c>
      <x:c r="K3192" s="12" t="str">
        <x:f>LEFT("913207001389723206",18)</x:f>
        <x:v>913207001389723300</x:v>
      </x:c>
    </x:row>
    <x:row r="3193">
      <x:c r="A3193" s="4" t="n">
        <x:v>3192</x:v>
      </x:c>
      <x:c r="B3193" s="4" t="inlineStr">
        <x:is>
          <x:t xml:space="preserve">603369</x:t>
        </x:is>
      </x:c>
      <x:c r="C3193" s="5" t="inlineStr">
        <x:is>
          <x:t xml:space="preserve">今世缘</x:t>
        </x:is>
      </x:c>
      <x:c r="D3193" s="5" t="inlineStr">
        <x:is>
          <x:t xml:space="preserve">江苏今世缘酒业股份有限公司</x:t>
        </x:is>
      </x:c>
      <x:c r="E3193" s="4" t="inlineStr">
        <x:is>
          <x:t xml:space="preserve">江苏省</x:t>
        </x:is>
      </x:c>
      <x:c r="F3193" s="4" t="inlineStr">
        <x:is>
          <x:t xml:space="preserve">淮安市</x:t>
        </x:is>
      </x:c>
      <x:c r="G3193" s="5" t="inlineStr">
        <x:is>
          <x:t xml:space="preserve">江苏省-淮安市</x:t>
        </x:is>
      </x:c>
      <x:c r="H3193" s="4" t="inlineStr">
        <x:is>
          <x:t xml:space="preserve">酿酒行业</x:t>
        </x:is>
      </x:c>
      <x:c r="I3193" s="4" t="inlineStr">
        <x:is>
          <x:t xml:space="preserve">2014-07-03</x:t>
        </x:is>
      </x:c>
      <x:c r="J3193" s="5" t="inlineStr">
        <x:is>
          <x:t xml:space="preserve">江苏省淮安市涟水县高沟镇今世缘大道1号</x:t>
        </x:is>
      </x:c>
      <x:c r="K3193" s="12" t="str">
        <x:f>LEFT("91320800139859741X",18)</x:f>
        <x:v>91320800139859741X</x:v>
      </x:c>
    </x:row>
    <x:row r="3194">
      <x:c r="A3194" s="2" t="n">
        <x:v>3193</x:v>
      </x:c>
      <x:c r="B3194" s="2" t="inlineStr">
        <x:is>
          <x:t xml:space="preserve">603370</x:t>
        </x:is>
      </x:c>
      <x:c r="C3194" s="3" t="inlineStr">
        <x:is>
          <x:t xml:space="preserve">华新精科</x:t>
        </x:is>
      </x:c>
      <x:c r="D3194" s="3" t="inlineStr">
        <x:is>
          <x:t xml:space="preserve">江阴华新精密科技股份有限公司</x:t>
        </x:is>
      </x:c>
      <x:c r="E3194" s="2" t="inlineStr">
        <x:is>
          <x:t xml:space="preserve">江苏省</x:t>
        </x:is>
      </x:c>
      <x:c r="F3194" s="2" t="inlineStr">
        <x:is>
          <x:t xml:space="preserve">江阴市</x:t>
        </x:is>
      </x:c>
      <x:c r="G3194" s="3" t="inlineStr">
        <x:is>
          <x:t xml:space="preserve">江苏省-江阴市</x:t>
        </x:is>
      </x:c>
      <x:c r="H3194" s="2" t="inlineStr">
        <x:is>
          <x:t xml:space="preserve">电机</x:t>
        </x:is>
      </x:c>
      <x:c r="I3194" s="2" t="inlineStr">
        <x:is>
          <x:t xml:space="preserve">2025-09-05</x:t>
        </x:is>
      </x:c>
      <x:c r="J3194" s="3" t="inlineStr">
        <x:is>
          <x:t xml:space="preserve">江阴市顾山镇新龚村云顾路137号(一照多址)</x:t>
        </x:is>
      </x:c>
      <x:c r="K3194" s="12" t="str">
        <x:f>LEFT("913202007382763297",18)</x:f>
        <x:v>913202007382763300</x:v>
      </x:c>
    </x:row>
    <x:row r="3195">
      <x:c r="A3195" s="4" t="n">
        <x:v>3194</x:v>
      </x:c>
      <x:c r="B3195" s="4" t="inlineStr">
        <x:is>
          <x:t xml:space="preserve">603375</x:t>
        </x:is>
      </x:c>
      <x:c r="C3195" s="5" t="inlineStr">
        <x:is>
          <x:t xml:space="preserve">盛景微</x:t>
        </x:is>
      </x:c>
      <x:c r="D3195" s="5" t="inlineStr">
        <x:is>
          <x:t xml:space="preserve">无锡盛景微电子股份有限公司</x:t>
        </x:is>
      </x:c>
      <x:c r="E3195" s="4" t="inlineStr">
        <x:is>
          <x:t xml:space="preserve">江苏省</x:t>
        </x:is>
      </x:c>
      <x:c r="F3195" s="4" t="inlineStr">
        <x:is>
          <x:t xml:space="preserve">无锡市</x:t>
        </x:is>
      </x:c>
      <x:c r="G3195" s="5" t="inlineStr">
        <x:is>
          <x:t xml:space="preserve">江苏省-无锡市</x:t>
        </x:is>
      </x:c>
      <x:c r="H3195" s="4" t="inlineStr">
        <x:is>
          <x:t xml:space="preserve">电子元件</x:t>
        </x:is>
      </x:c>
      <x:c r="I3195" s="4" t="inlineStr">
        <x:is>
          <x:t xml:space="preserve">2024-01-24</x:t>
        </x:is>
      </x:c>
      <x:c r="J3195" s="5" t="inlineStr">
        <x:is>
          <x:t xml:space="preserve">无锡市新吴区景贤路6号中国物联网国际创新园H7</x:t>
        </x:is>
      </x:c>
      <x:c r="K3195" s="12" t="str">
        <x:f>LEFT("91320214MA1MHNE46U",18)</x:f>
        <x:v>91320214MA1MHNE46U</x:v>
      </x:c>
    </x:row>
    <x:row r="3196">
      <x:c r="A3196" s="2" t="n">
        <x:v>3195</x:v>
      </x:c>
      <x:c r="B3196" s="2" t="inlineStr">
        <x:is>
          <x:t xml:space="preserve">603380</x:t>
        </x:is>
      </x:c>
      <x:c r="C3196" s="3" t="inlineStr">
        <x:is>
          <x:t xml:space="preserve">易德龙</x:t>
        </x:is>
      </x:c>
      <x:c r="D3196" s="3" t="inlineStr">
        <x:is>
          <x:t xml:space="preserve">苏州易德龙科技股份有限公司</x:t>
        </x:is>
      </x:c>
      <x:c r="E3196" s="2" t="inlineStr">
        <x:is>
          <x:t xml:space="preserve">江苏省</x:t>
        </x:is>
      </x:c>
      <x:c r="F3196" s="2" t="inlineStr">
        <x:is>
          <x:t xml:space="preserve">苏州市</x:t>
        </x:is>
      </x:c>
      <x:c r="G3196" s="3" t="inlineStr">
        <x:is>
          <x:t xml:space="preserve">江苏省-苏州市</x:t>
        </x:is>
      </x:c>
      <x:c r="H3196" s="2" t="inlineStr">
        <x:is>
          <x:t xml:space="preserve">消费电子</x:t>
        </x:is>
      </x:c>
      <x:c r="I3196" s="2" t="inlineStr">
        <x:is>
          <x:t xml:space="preserve">2017-06-22</x:t>
        </x:is>
      </x:c>
      <x:c r="J3196" s="3" t="inlineStr">
        <x:is>
          <x:t xml:space="preserve">苏州相城经济开发区春兴路50号</x:t>
        </x:is>
      </x:c>
      <x:c r="K3196" s="12" t="str">
        <x:f>LEFT("913205007286932684",18)</x:f>
        <x:v>913205007286932700</x:v>
      </x:c>
    </x:row>
    <x:row r="3197">
      <x:c r="A3197" s="4" t="n">
        <x:v>3196</x:v>
      </x:c>
      <x:c r="B3197" s="4" t="inlineStr">
        <x:is>
          <x:t xml:space="preserve">603381</x:t>
        </x:is>
      </x:c>
      <x:c r="C3197" s="5" t="inlineStr">
        <x:is>
          <x:t xml:space="preserve">永臻股份</x:t>
        </x:is>
      </x:c>
      <x:c r="D3197" s="5" t="inlineStr">
        <x:is>
          <x:t xml:space="preserve">永臻科技股份有限公司</x:t>
        </x:is>
      </x:c>
      <x:c r="E3197" s="4" t="inlineStr">
        <x:is>
          <x:t xml:space="preserve">江苏省</x:t>
        </x:is>
      </x:c>
      <x:c r="F3197" s="4" t="inlineStr">
        <x:is>
          <x:t xml:space="preserve">常州市</x:t>
        </x:is>
      </x:c>
      <x:c r="G3197" s="5" t="inlineStr">
        <x:is>
          <x:t xml:space="preserve">江苏省-常州市</x:t>
        </x:is>
      </x:c>
      <x:c r="H3197" s="4" t="inlineStr">
        <x:is>
          <x:t xml:space="preserve">光伏设备</x:t>
        </x:is>
      </x:c>
      <x:c r="I3197" s="4" t="inlineStr">
        <x:is>
          <x:t xml:space="preserve">2024-06-26</x:t>
        </x:is>
      </x:c>
      <x:c r="J3197" s="5" t="inlineStr">
        <x:is>
          <x:t xml:space="preserve">常州市金坛区月湖北路99号</x:t>
        </x:is>
      </x:c>
      <x:c r="K3197" s="12" t="str">
        <x:f>LEFT("91320413MA1MQRCD7L",18)</x:f>
        <x:v>91320413MA1MQRCD7L</x:v>
      </x:c>
    </x:row>
    <x:row r="3198">
      <x:c r="A3198" s="2" t="n">
        <x:v>3197</x:v>
      </x:c>
      <x:c r="B3198" s="2" t="inlineStr">
        <x:is>
          <x:t xml:space="preserve">603382</x:t>
        </x:is>
      </x:c>
      <x:c r="C3198" s="3" t="inlineStr">
        <x:is>
          <x:t xml:space="preserve">海阳科技</x:t>
        </x:is>
      </x:c>
      <x:c r="D3198" s="3" t="inlineStr">
        <x:is>
          <x:t xml:space="preserve">海阳科技股份有限公司</x:t>
        </x:is>
      </x:c>
      <x:c r="E3198" s="2" t="inlineStr">
        <x:is>
          <x:t xml:space="preserve">江苏省</x:t>
        </x:is>
      </x:c>
      <x:c r="F3198" s="2" t="inlineStr">
        <x:is>
          <x:t xml:space="preserve">泰州市</x:t>
        </x:is>
      </x:c>
      <x:c r="G3198" s="3" t="inlineStr">
        <x:is>
          <x:t xml:space="preserve">江苏省-泰州市</x:t>
        </x:is>
      </x:c>
      <x:c r="H3198" s="2" t="inlineStr">
        <x:is>
          <x:t xml:space="preserve">化纤行业</x:t>
        </x:is>
      </x:c>
      <x:c r="I3198" s="2" t="inlineStr">
        <x:is>
          <x:t xml:space="preserve">2025-06-12</x:t>
        </x:is>
      </x:c>
      <x:c r="J3198" s="3" t="inlineStr">
        <x:is>
          <x:t xml:space="preserve">泰州市海阳西路122号</x:t>
        </x:is>
      </x:c>
      <x:c r="K3198" s="12" t="str">
        <x:f>LEFT("913212021418505860",18)</x:f>
        <x:v>913212021418505900</x:v>
      </x:c>
    </x:row>
    <x:row r="3199">
      <x:c r="A3199" s="4" t="n">
        <x:v>3198</x:v>
      </x:c>
      <x:c r="B3199" s="4" t="inlineStr">
        <x:is>
          <x:t xml:space="preserve">603387</x:t>
        </x:is>
      </x:c>
      <x:c r="C3199" s="5" t="inlineStr">
        <x:is>
          <x:t xml:space="preserve">基蛋生物</x:t>
        </x:is>
      </x:c>
      <x:c r="D3199" s="5" t="inlineStr">
        <x:is>
          <x:t xml:space="preserve">基蛋生物科技股份有限公司</x:t>
        </x:is>
      </x:c>
      <x:c r="E3199" s="4" t="inlineStr">
        <x:is>
          <x:t xml:space="preserve">江苏省</x:t>
        </x:is>
      </x:c>
      <x:c r="F3199" s="4" t="inlineStr">
        <x:is>
          <x:t xml:space="preserve">南京市</x:t>
        </x:is>
      </x:c>
      <x:c r="G3199" s="5" t="inlineStr">
        <x:is>
          <x:t xml:space="preserve">江苏省-南京市</x:t>
        </x:is>
      </x:c>
      <x:c r="H3199" s="4" t="inlineStr">
        <x:is>
          <x:t xml:space="preserve">医疗器械</x:t>
        </x:is>
      </x:c>
      <x:c r="I3199" s="4" t="inlineStr">
        <x:is>
          <x:t xml:space="preserve">2017-07-17</x:t>
        </x:is>
      </x:c>
      <x:c r="J3199" s="5" t="inlineStr">
        <x:is>
          <x:t xml:space="preserve">南京市六合区沿江工业开发区博富路9号</x:t>
        </x:is>
      </x:c>
      <x:c r="K3199" s="12" t="str">
        <x:f>LEFT("913201007360621166",18)</x:f>
        <x:v>913201007360621200</x:v>
      </x:c>
    </x:row>
    <x:row r="3200">
      <x:c r="A3200" s="2" t="n">
        <x:v>3199</x:v>
      </x:c>
      <x:c r="B3200" s="2" t="inlineStr">
        <x:is>
          <x:t xml:space="preserve">603389</x:t>
        </x:is>
      </x:c>
      <x:c r="C3200" s="3" t="inlineStr">
        <x:is>
          <x:t xml:space="preserve">亚振家居</x:t>
        </x:is>
      </x:c>
      <x:c r="D3200" s="3" t="inlineStr">
        <x:is>
          <x:t xml:space="preserve">亚振家居股份有限公司</x:t>
        </x:is>
      </x:c>
      <x:c r="E3200" s="2" t="inlineStr">
        <x:is>
          <x:t xml:space="preserve">江苏省</x:t>
        </x:is>
      </x:c>
      <x:c r="F3200" s="2" t="inlineStr">
        <x:is>
          <x:t xml:space="preserve">南通市</x:t>
        </x:is>
      </x:c>
      <x:c r="G3200" s="3" t="inlineStr">
        <x:is>
          <x:t xml:space="preserve">江苏省-南通市</x:t>
        </x:is>
      </x:c>
      <x:c r="H3200" s="2" t="inlineStr">
        <x:is>
          <x:t xml:space="preserve">木业家具</x:t>
        </x:is>
      </x:c>
      <x:c r="I3200" s="2" t="inlineStr">
        <x:is>
          <x:t xml:space="preserve">2016-12-15</x:t>
        </x:is>
      </x:c>
      <x:c r="J3200" s="3" t="inlineStr">
        <x:is>
          <x:t xml:space="preserve">江苏省如东县曹埠镇亚振桥</x:t>
        </x:is>
      </x:c>
      <x:c r="K3200" s="12" t="str">
        <x:f>LEFT("913206007206599891",18)</x:f>
        <x:v>913206007206600000</x:v>
      </x:c>
    </x:row>
    <x:row r="3201">
      <x:c r="A3201" s="4" t="n">
        <x:v>3200</x:v>
      </x:c>
      <x:c r="B3201" s="4" t="inlineStr">
        <x:is>
          <x:t xml:space="preserve">603400</x:t>
        </x:is>
      </x:c>
      <x:c r="C3201" s="5" t="inlineStr">
        <x:is>
          <x:t xml:space="preserve">华之杰</x:t>
        </x:is>
      </x:c>
      <x:c r="D3201" s="5" t="inlineStr">
        <x:is>
          <x:t xml:space="preserve">苏州华之杰电讯股份有限公司</x:t>
        </x:is>
      </x:c>
      <x:c r="E3201" s="4" t="inlineStr">
        <x:is>
          <x:t xml:space="preserve">江苏省</x:t>
        </x:is>
      </x:c>
      <x:c r="F3201" s="4" t="inlineStr">
        <x:is>
          <x:t xml:space="preserve">苏州市</x:t>
        </x:is>
      </x:c>
      <x:c r="G3201" s="5" t="inlineStr">
        <x:is>
          <x:t xml:space="preserve">江苏省-苏州市</x:t>
        </x:is>
      </x:c>
      <x:c r="H3201" s="4" t="inlineStr">
        <x:is>
          <x:t xml:space="preserve">通用设备</x:t>
        </x:is>
      </x:c>
      <x:c r="I3201" s="4" t="inlineStr">
        <x:is>
          <x:t xml:space="preserve">2025-06-20</x:t>
        </x:is>
      </x:c>
      <x:c r="J3201" s="5" t="inlineStr">
        <x:is>
          <x:t xml:space="preserve">江苏省苏州市吴中区胥口镇孙武路1031号</x:t>
        </x:is>
      </x:c>
      <x:c r="K3201" s="12" t="str">
        <x:f>LEFT("9132050072801654XC",18)</x:f>
        <x:v>9132050072801654XC</x:v>
      </x:c>
    </x:row>
    <x:row r="3202">
      <x:c r="A3202" s="2" t="n">
        <x:v>3201</x:v>
      </x:c>
      <x:c r="B3202" s="2" t="inlineStr">
        <x:is>
          <x:t xml:space="preserve">603406</x:t>
        </x:is>
      </x:c>
      <x:c r="C3202" s="3" t="inlineStr">
        <x:is>
          <x:t xml:space="preserve">天富龙</x:t>
        </x:is>
      </x:c>
      <x:c r="D3202" s="3" t="inlineStr">
        <x:is>
          <x:t xml:space="preserve">扬州天富龙集团股份有限公司</x:t>
        </x:is>
      </x:c>
      <x:c r="E3202" s="2" t="inlineStr">
        <x:is>
          <x:t xml:space="preserve">江苏省</x:t>
        </x:is>
      </x:c>
      <x:c r="F3202" s="2" t="inlineStr">
        <x:is>
          <x:t xml:space="preserve">扬州市</x:t>
        </x:is>
      </x:c>
      <x:c r="G3202" s="3" t="inlineStr">
        <x:is>
          <x:t xml:space="preserve">江苏省-扬州市</x:t>
        </x:is>
      </x:c>
      <x:c r="H3202" s="2" t="inlineStr">
        <x:is>
          <x:t xml:space="preserve">化纤行业</x:t>
        </x:is>
      </x:c>
      <x:c r="I3202" s="2" t="inlineStr">
        <x:is>
          <x:t xml:space="preserve">2025-08-08</x:t>
        </x:is>
      </x:c>
      <x:c r="J3202" s="3" t="inlineStr">
        <x:is>
          <x:t xml:space="preserve">扬州(仪征)汽车工业园联众路9号</x:t>
        </x:is>
      </x:c>
      <x:c r="K3202" s="12" t="str">
        <x:f>LEFT("913210816891862979",18)</x:f>
        <x:v>913210816891863000</x:v>
      </x:c>
    </x:row>
    <x:row r="3203">
      <x:c r="A3203" s="4" t="n">
        <x:v>3202</x:v>
      </x:c>
      <x:c r="B3203" s="4" t="inlineStr">
        <x:is>
          <x:t xml:space="preserve">603416</x:t>
        </x:is>
      </x:c>
      <x:c r="C3203" s="5" t="inlineStr">
        <x:is>
          <x:t xml:space="preserve">信捷电气</x:t>
        </x:is>
      </x:c>
      <x:c r="D3203" s="5" t="inlineStr">
        <x:is>
          <x:t xml:space="preserve">无锡信捷电气股份有限公司</x:t>
        </x:is>
      </x:c>
      <x:c r="E3203" s="4" t="inlineStr">
        <x:is>
          <x:t xml:space="preserve">江苏省</x:t>
        </x:is>
      </x:c>
      <x:c r="F3203" s="4" t="inlineStr">
        <x:is>
          <x:t xml:space="preserve">无锡市</x:t>
        </x:is>
      </x:c>
      <x:c r="G3203" s="5" t="inlineStr">
        <x:is>
          <x:t xml:space="preserve">江苏省-无锡市</x:t>
        </x:is>
      </x:c>
      <x:c r="H3203" s="4" t="inlineStr">
        <x:is>
          <x:t xml:space="preserve">专用设备</x:t>
        </x:is>
      </x:c>
      <x:c r="I3203" s="4" t="inlineStr">
        <x:is>
          <x:t xml:space="preserve">2016-12-21</x:t>
        </x:is>
      </x:c>
      <x:c r="J3203" s="5" t="inlineStr">
        <x:is>
          <x:t xml:space="preserve">无锡市滨湖区胡埭工业园北区刘塘路9号</x:t>
        </x:is>
      </x:c>
      <x:c r="K3203" s="12" t="str">
        <x:f>LEFT("91320200674440635K",18)</x:f>
        <x:v>91320200674440635K</x:v>
      </x:c>
    </x:row>
    <x:row r="3204">
      <x:c r="A3204" s="2" t="n">
        <x:v>3203</x:v>
      </x:c>
      <x:c r="B3204" s="2" t="inlineStr">
        <x:is>
          <x:t xml:space="preserve">603486</x:t>
        </x:is>
      </x:c>
      <x:c r="C3204" s="3" t="inlineStr">
        <x:is>
          <x:t xml:space="preserve">科沃斯</x:t>
        </x:is>
      </x:c>
      <x:c r="D3204" s="3" t="inlineStr">
        <x:is>
          <x:t xml:space="preserve">科沃斯机器人股份有限公司</x:t>
        </x:is>
      </x:c>
      <x:c r="E3204" s="2" t="inlineStr">
        <x:is>
          <x:t xml:space="preserve">江苏省</x:t>
        </x:is>
      </x:c>
      <x:c r="F3204" s="2" t="inlineStr">
        <x:is>
          <x:t xml:space="preserve">苏州市</x:t>
        </x:is>
      </x:c>
      <x:c r="G3204" s="3" t="inlineStr">
        <x:is>
          <x:t xml:space="preserve">江苏省-苏州市</x:t>
        </x:is>
      </x:c>
      <x:c r="H3204" s="2" t="inlineStr">
        <x:is>
          <x:t xml:space="preserve">家电行业</x:t>
        </x:is>
      </x:c>
      <x:c r="I3204" s="2" t="inlineStr">
        <x:is>
          <x:t xml:space="preserve">2018-05-28</x:t>
        </x:is>
      </x:c>
      <x:c r="J3204" s="3" t="inlineStr">
        <x:is>
          <x:t xml:space="preserve">苏州市吴中区郭巷街道吴淞江产业园淞苇路518号</x:t>
        </x:is>
      </x:c>
      <x:c r="K3204" s="12" t="str">
        <x:f>LEFT("91320500628396530U",18)</x:f>
        <x:v>91320500628396530U</x:v>
      </x:c>
    </x:row>
    <x:row r="3205">
      <x:c r="A3205" s="4" t="n">
        <x:v>3204</x:v>
      </x:c>
      <x:c r="B3205" s="4" t="inlineStr">
        <x:is>
          <x:t xml:space="preserve">603488</x:t>
        </x:is>
      </x:c>
      <x:c r="C3205" s="5" t="inlineStr">
        <x:is>
          <x:t xml:space="preserve">展鹏科技</x:t>
        </x:is>
      </x:c>
      <x:c r="D3205" s="5" t="inlineStr">
        <x:is>
          <x:t xml:space="preserve">展鹏科技股份有限公司</x:t>
        </x:is>
      </x:c>
      <x:c r="E3205" s="4" t="inlineStr">
        <x:is>
          <x:t xml:space="preserve">江苏省</x:t>
        </x:is>
      </x:c>
      <x:c r="F3205" s="4" t="inlineStr">
        <x:is>
          <x:t xml:space="preserve">无锡市</x:t>
        </x:is>
      </x:c>
      <x:c r="G3205" s="5" t="inlineStr">
        <x:is>
          <x:t xml:space="preserve">江苏省-无锡市</x:t>
        </x:is>
      </x:c>
      <x:c r="H3205" s="4" t="inlineStr">
        <x:is>
          <x:t xml:space="preserve">专用设备</x:t>
        </x:is>
      </x:c>
      <x:c r="I3205" s="4" t="inlineStr">
        <x:is>
          <x:t xml:space="preserve">2017-05-16</x:t>
        </x:is>
      </x:c>
      <x:c r="J3205" s="5" t="inlineStr">
        <x:is>
          <x:t xml:space="preserve">江苏省无锡市梁溪区飞宏路8号</x:t>
        </x:is>
      </x:c>
      <x:c r="K3205" s="12" t="str">
        <x:f>LEFT("91320200726562432W",18)</x:f>
        <x:v>91320200726562432W</x:v>
      </x:c>
    </x:row>
    <x:row r="3206">
      <x:c r="A3206" s="2" t="n">
        <x:v>3205</x:v>
      </x:c>
      <x:c r="B3206" s="2" t="inlineStr">
        <x:is>
          <x:t xml:space="preserve">603489</x:t>
        </x:is>
      </x:c>
      <x:c r="C3206" s="3" t="inlineStr">
        <x:is>
          <x:t xml:space="preserve">八方股份</x:t>
        </x:is>
      </x:c>
      <x:c r="D3206" s="3" t="inlineStr">
        <x:is>
          <x:t xml:space="preserve">八方电气(苏州)股份有限公司</x:t>
        </x:is>
      </x:c>
      <x:c r="E3206" s="2" t="inlineStr">
        <x:is>
          <x:t xml:space="preserve">江苏省</x:t>
        </x:is>
      </x:c>
      <x:c r="F3206" s="2" t="inlineStr">
        <x:is>
          <x:t xml:space="preserve">苏州市</x:t>
        </x:is>
      </x:c>
      <x:c r="G3206" s="3" t="inlineStr">
        <x:is>
          <x:t xml:space="preserve">江苏省-苏州市</x:t>
        </x:is>
      </x:c>
      <x:c r="H3206" s="2" t="inlineStr">
        <x:is>
          <x:t xml:space="preserve">电机</x:t>
        </x:is>
      </x:c>
      <x:c r="I3206" s="2" t="inlineStr">
        <x:is>
          <x:t xml:space="preserve">2019-11-11</x:t>
        </x:is>
      </x:c>
      <x:c r="J3206" s="3" t="inlineStr">
        <x:is>
          <x:t xml:space="preserve">苏州工业园区东堰里路6号</x:t>
        </x:is>
      </x:c>
      <x:c r="K3206" s="12" t="str">
        <x:f>LEFT("91320594752730989M",18)</x:f>
        <x:v>91320594752730989M</x:v>
      </x:c>
    </x:row>
    <x:row r="3207">
      <x:c r="A3207" s="4" t="n">
        <x:v>3206</x:v>
      </x:c>
      <x:c r="B3207" s="4" t="inlineStr">
        <x:is>
          <x:t xml:space="preserve">603507</x:t>
        </x:is>
      </x:c>
      <x:c r="C3207" s="5" t="inlineStr">
        <x:is>
          <x:t xml:space="preserve">振江股份</x:t>
        </x:is>
      </x:c>
      <x:c r="D3207" s="5" t="inlineStr">
        <x:is>
          <x:t xml:space="preserve">江苏振江新能源装备股份有限公司</x:t>
        </x:is>
      </x:c>
      <x:c r="E3207" s="4" t="inlineStr">
        <x:is>
          <x:t xml:space="preserve">江苏省</x:t>
        </x:is>
      </x:c>
      <x:c r="F3207" s="4" t="inlineStr">
        <x:is>
          <x:t xml:space="preserve">苏省江阴市</x:t>
        </x:is>
      </x:c>
      <x:c r="G3207" s="5" t="inlineStr">
        <x:is>
          <x:t xml:space="preserve">江苏省-苏省江阴市</x:t>
        </x:is>
      </x:c>
      <x:c r="H3207" s="4" t="inlineStr">
        <x:is>
          <x:t xml:space="preserve">风电设备</x:t>
        </x:is>
      </x:c>
      <x:c r="I3207" s="4" t="inlineStr">
        <x:is>
          <x:t xml:space="preserve">2017-11-06</x:t>
        </x:is>
      </x:c>
      <x:c r="J3207" s="5" t="inlineStr">
        <x:is>
          <x:t xml:space="preserve">江苏省江阴市镇澄路2608号</x:t>
        </x:is>
      </x:c>
      <x:c r="K3207" s="12" t="str">
        <x:f>LEFT("91320200758486753F",18)</x:f>
        <x:v>91320200758486753F</x:v>
      </x:c>
    </x:row>
    <x:row r="3208">
      <x:c r="A3208" s="2" t="n">
        <x:v>3207</x:v>
      </x:c>
      <x:c r="B3208" s="2" t="inlineStr">
        <x:is>
          <x:t xml:space="preserve">603518</x:t>
        </x:is>
      </x:c>
      <x:c r="C3208" s="3" t="inlineStr">
        <x:is>
          <x:t xml:space="preserve">锦泓集团</x:t>
        </x:is>
      </x:c>
      <x:c r="D3208" s="3" t="inlineStr">
        <x:is>
          <x:t xml:space="preserve">锦泓时装集团股份有限公司</x:t>
        </x:is>
      </x:c>
      <x:c r="E3208" s="2" t="inlineStr">
        <x:is>
          <x:t xml:space="preserve">江苏省</x:t>
        </x:is>
      </x:c>
      <x:c r="F3208" s="2" t="inlineStr">
        <x:is>
          <x:t xml:space="preserve">南京市</x:t>
        </x:is>
      </x:c>
      <x:c r="G3208" s="3" t="inlineStr">
        <x:is>
          <x:t xml:space="preserve">江苏省-南京市</x:t>
        </x:is>
      </x:c>
      <x:c r="H3208" s="2" t="inlineStr">
        <x:is>
          <x:t xml:space="preserve">纺织服装</x:t>
        </x:is>
      </x:c>
      <x:c r="I3208" s="2" t="inlineStr">
        <x:is>
          <x:t xml:space="preserve">2014-12-03</x:t>
        </x:is>
      </x:c>
      <x:c r="J3208" s="3" t="inlineStr">
        <x:is>
          <x:t xml:space="preserve">南京市秦淮区中山南路1号60层</x:t>
        </x:is>
      </x:c>
      <x:c r="K3208" s="12" t="str">
        <x:f>LEFT("91320100738899403P",18)</x:f>
        <x:v>91320100738899403P</x:v>
      </x:c>
    </x:row>
    <x:row r="3209">
      <x:c r="A3209" s="4" t="n">
        <x:v>3208</x:v>
      </x:c>
      <x:c r="B3209" s="4" t="inlineStr">
        <x:is>
          <x:t xml:space="preserve">603519</x:t>
        </x:is>
      </x:c>
      <x:c r="C3209" s="5" t="inlineStr">
        <x:is>
          <x:t xml:space="preserve">立霸股份</x:t>
        </x:is>
      </x:c>
      <x:c r="D3209" s="5" t="inlineStr">
        <x:is>
          <x:t xml:space="preserve">江苏立霸实业股份有限公司</x:t>
        </x:is>
      </x:c>
      <x:c r="E3209" s="4" t="inlineStr">
        <x:is>
          <x:t xml:space="preserve">江苏省</x:t>
        </x:is>
      </x:c>
      <x:c r="F3209" s="4" t="inlineStr">
        <x:is>
          <x:t xml:space="preserve">苏省宜兴市</x:t>
        </x:is>
      </x:c>
      <x:c r="G3209" s="5" t="inlineStr">
        <x:is>
          <x:t xml:space="preserve">江苏省-苏省宜兴市</x:t>
        </x:is>
      </x:c>
      <x:c r="H3209" s="4" t="inlineStr">
        <x:is>
          <x:t xml:space="preserve">家电行业</x:t>
        </x:is>
      </x:c>
      <x:c r="I3209" s="4" t="inlineStr">
        <x:is>
          <x:t xml:space="preserve">2015-03-19</x:t>
        </x:is>
      </x:c>
      <x:c r="J3209" s="5" t="inlineStr">
        <x:is>
          <x:t xml:space="preserve">江苏省宜兴市环保科技工业园新城路</x:t>
        </x:is>
      </x:c>
      <x:c r="K3209" s="12" t="str">
        <x:f>LEFT("91320200250225560N",18)</x:f>
        <x:v>91320200250225560N</x:v>
      </x:c>
    </x:row>
    <x:row r="3210">
      <x:c r="A3210" s="2" t="n">
        <x:v>3209</x:v>
      </x:c>
      <x:c r="B3210" s="2" t="inlineStr">
        <x:is>
          <x:t xml:space="preserve">603528</x:t>
        </x:is>
      </x:c>
      <x:c r="C3210" s="3" t="inlineStr">
        <x:is>
          <x:t xml:space="preserve">多伦科技</x:t>
        </x:is>
      </x:c>
      <x:c r="D3210" s="3" t="inlineStr">
        <x:is>
          <x:t xml:space="preserve">多伦科技股份有限公司</x:t>
        </x:is>
      </x:c>
      <x:c r="E3210" s="2" t="inlineStr">
        <x:is>
          <x:t xml:space="preserve">江苏省</x:t>
        </x:is>
      </x:c>
      <x:c r="F3210" s="2" t="inlineStr">
        <x:is>
          <x:t xml:space="preserve">南京市</x:t>
        </x:is>
      </x:c>
      <x:c r="G3210" s="3" t="inlineStr">
        <x:is>
          <x:t xml:space="preserve">江苏省-南京市</x:t>
        </x:is>
      </x:c>
      <x:c r="H3210" s="2" t="inlineStr">
        <x:is>
          <x:t xml:space="preserve">软件开发</x:t>
        </x:is>
      </x:c>
      <x:c r="I3210" s="2" t="inlineStr">
        <x:is>
          <x:t xml:space="preserve">2016-05-03</x:t>
        </x:is>
      </x:c>
      <x:c r="J3210" s="3" t="inlineStr">
        <x:is>
          <x:t xml:space="preserve">南京市江宁区天印大道1555号</x:t>
        </x:is>
      </x:c>
      <x:c r="K3210" s="12" t="str">
        <x:f>LEFT("91320100608951170W",18)</x:f>
        <x:v>91320100608951170W</x:v>
      </x:c>
    </x:row>
    <x:row r="3211">
      <x:c r="A3211" s="4" t="n">
        <x:v>3210</x:v>
      </x:c>
      <x:c r="B3211" s="4" t="inlineStr">
        <x:is>
          <x:t xml:space="preserve">603530</x:t>
        </x:is>
      </x:c>
      <x:c r="C3211" s="5" t="inlineStr">
        <x:is>
          <x:t xml:space="preserve">神马电力</x:t>
        </x:is>
      </x:c>
      <x:c r="D3211" s="5" t="inlineStr">
        <x:is>
          <x:t xml:space="preserve">江苏神马电力股份有限公司</x:t>
        </x:is>
      </x:c>
      <x:c r="E3211" s="4" t="inlineStr">
        <x:is>
          <x:t xml:space="preserve">江苏省</x:t>
        </x:is>
      </x:c>
      <x:c r="F3211" s="4" t="inlineStr">
        <x:is>
          <x:t xml:space="preserve">南通市</x:t>
        </x:is>
      </x:c>
      <x:c r="G3211" s="5" t="inlineStr">
        <x:is>
          <x:t xml:space="preserve">江苏省-南通市</x:t>
        </x:is>
      </x:c>
      <x:c r="H3211" s="4" t="inlineStr">
        <x:is>
          <x:t xml:space="preserve">输配电气</x:t>
        </x:is>
      </x:c>
      <x:c r="I3211" s="4" t="inlineStr">
        <x:is>
          <x:t xml:space="preserve">2019-08-05</x:t>
        </x:is>
      </x:c>
      <x:c r="J3211" s="5" t="inlineStr">
        <x:is>
          <x:t xml:space="preserve">南通市苏通科技产业园海维路66号</x:t>
        </x:is>
      </x:c>
      <x:c r="K3211" s="12" t="str">
        <x:f>LEFT("91320600252010993R",18)</x:f>
        <x:v>91320600252010993R</x:v>
      </x:c>
    </x:row>
    <x:row r="3212">
      <x:c r="A3212" s="2" t="n">
        <x:v>3211</x:v>
      </x:c>
      <x:c r="B3212" s="2" t="inlineStr">
        <x:is>
          <x:t xml:space="preserve">603585</x:t>
        </x:is>
      </x:c>
      <x:c r="C3212" s="3" t="inlineStr">
        <x:is>
          <x:t xml:space="preserve">苏利股份</x:t>
        </x:is>
      </x:c>
      <x:c r="D3212" s="3" t="inlineStr">
        <x:is>
          <x:t xml:space="preserve">江苏苏利精细化工股份有限公司</x:t>
        </x:is>
      </x:c>
      <x:c r="E3212" s="2" t="inlineStr">
        <x:is>
          <x:t xml:space="preserve">江苏省</x:t>
        </x:is>
      </x:c>
      <x:c r="F3212" s="2" t="inlineStr">
        <x:is>
          <x:t xml:space="preserve">江阴市</x:t>
        </x:is>
      </x:c>
      <x:c r="G3212" s="3" t="inlineStr">
        <x:is>
          <x:t xml:space="preserve">江苏省-江阴市</x:t>
        </x:is>
      </x:c>
      <x:c r="H3212" s="2" t="inlineStr">
        <x:is>
          <x:t xml:space="preserve">农药兽药</x:t>
        </x:is>
      </x:c>
      <x:c r="I3212" s="2" t="inlineStr">
        <x:is>
          <x:t xml:space="preserve">2016-12-14</x:t>
        </x:is>
      </x:c>
      <x:c r="J3212" s="3" t="inlineStr">
        <x:is>
          <x:t xml:space="preserve">江阴市临港街道润华路7号-1</x:t>
        </x:is>
      </x:c>
      <x:c r="K3212" s="12" t="str">
        <x:f>LEFT("91320200250415268U",18)</x:f>
        <x:v>91320200250415268U</x:v>
      </x:c>
    </x:row>
    <x:row r="3213">
      <x:c r="A3213" s="4" t="n">
        <x:v>3212</x:v>
      </x:c>
      <x:c r="B3213" s="4" t="inlineStr">
        <x:is>
          <x:t xml:space="preserve">603626</x:t>
        </x:is>
      </x:c>
      <x:c r="C3213" s="5" t="inlineStr">
        <x:is>
          <x:t xml:space="preserve">科森科技</x:t>
        </x:is>
      </x:c>
      <x:c r="D3213" s="5" t="inlineStr">
        <x:is>
          <x:t xml:space="preserve">昆山科森科技股份有限公司</x:t>
        </x:is>
      </x:c>
      <x:c r="E3213" s="4" t="inlineStr">
        <x:is>
          <x:t xml:space="preserve">江苏省</x:t>
        </x:is>
      </x:c>
      <x:c r="F3213" s="4" t="inlineStr">
        <x:is>
          <x:t xml:space="preserve">苏州市</x:t>
        </x:is>
      </x:c>
      <x:c r="G3213" s="5" t="inlineStr">
        <x:is>
          <x:t xml:space="preserve">江苏省-苏州市</x:t>
        </x:is>
      </x:c>
      <x:c r="H3213" s="4" t="inlineStr">
        <x:is>
          <x:t xml:space="preserve">消费电子</x:t>
        </x:is>
      </x:c>
      <x:c r="I3213" s="4" t="inlineStr">
        <x:is>
          <x:t xml:space="preserve">2017-02-09</x:t>
        </x:is>
      </x:c>
      <x:c r="J3213" s="5" t="inlineStr">
        <x:is>
          <x:t xml:space="preserve">昆山开发区新星南路155号</x:t>
        </x:is>
      </x:c>
      <x:c r="K3213" s="12" t="str">
        <x:f>LEFT("91320500565336601D",18)</x:f>
        <x:v>91320500565336601D</x:v>
      </x:c>
    </x:row>
    <x:row r="3214">
      <x:c r="A3214" s="2" t="n">
        <x:v>3213</x:v>
      </x:c>
      <x:c r="B3214" s="2" t="inlineStr">
        <x:is>
          <x:t xml:space="preserve">603629</x:t>
        </x:is>
      </x:c>
      <x:c r="C3214" s="3" t="inlineStr">
        <x:is>
          <x:t xml:space="preserve">利通电子</x:t>
        </x:is>
      </x:c>
      <x:c r="D3214" s="3" t="inlineStr">
        <x:is>
          <x:t xml:space="preserve">江苏利通电子股份有限公司</x:t>
        </x:is>
      </x:c>
      <x:c r="E3214" s="2" t="inlineStr">
        <x:is>
          <x:t xml:space="preserve">江苏省</x:t>
        </x:is>
      </x:c>
      <x:c r="F3214" s="2" t="inlineStr">
        <x:is>
          <x:t xml:space="preserve">宜兴市</x:t>
        </x:is>
      </x:c>
      <x:c r="G3214" s="3" t="inlineStr">
        <x:is>
          <x:t xml:space="preserve">江苏省-宜兴市</x:t>
        </x:is>
      </x:c>
      <x:c r="H3214" s="2" t="inlineStr">
        <x:is>
          <x:t xml:space="preserve">消费电子</x:t>
        </x:is>
      </x:c>
      <x:c r="I3214" s="2" t="inlineStr">
        <x:is>
          <x:t xml:space="preserve">2018-12-24</x:t>
        </x:is>
      </x:c>
      <x:c r="J3214" s="3" t="inlineStr">
        <x:is>
          <x:t xml:space="preserve">宜兴市徐舍镇工业集中区徐丰路8号</x:t>
        </x:is>
      </x:c>
      <x:c r="K3214" s="12" t="str">
        <x:f>LEFT("913202821429014964",18)</x:f>
        <x:v>913202821429014900</x:v>
      </x:c>
    </x:row>
    <x:row r="3215">
      <x:c r="A3215" s="4" t="n">
        <x:v>3214</x:v>
      </x:c>
      <x:c r="B3215" s="4" t="inlineStr">
        <x:is>
          <x:t xml:space="preserve">603655</x:t>
        </x:is>
      </x:c>
      <x:c r="C3215" s="5" t="inlineStr">
        <x:is>
          <x:t xml:space="preserve">朗博科技</x:t>
        </x:is>
      </x:c>
      <x:c r="D3215" s="5" t="inlineStr">
        <x:is>
          <x:t xml:space="preserve">常州朗博密封科技股份有限公司</x:t>
        </x:is>
      </x:c>
      <x:c r="E3215" s="4" t="inlineStr">
        <x:is>
          <x:t xml:space="preserve">江苏省</x:t>
        </x:is>
      </x:c>
      <x:c r="F3215" s="4" t="inlineStr">
        <x:is>
          <x:t xml:space="preserve">常州市</x:t>
        </x:is>
      </x:c>
      <x:c r="G3215" s="5" t="inlineStr">
        <x:is>
          <x:t xml:space="preserve">江苏省-常州市</x:t>
        </x:is>
      </x:c>
      <x:c r="H3215" s="4" t="inlineStr">
        <x:is>
          <x:t xml:space="preserve">汽车行业</x:t>
        </x:is>
      </x:c>
      <x:c r="I3215" s="4" t="inlineStr">
        <x:is>
          <x:t xml:space="preserve">2017-12-29</x:t>
        </x:is>
      </x:c>
      <x:c r="J3215" s="5" t="inlineStr">
        <x:is>
          <x:t xml:space="preserve">江苏省常州市金坛区尧塘街道金博路1号</x:t>
        </x:is>
      </x:c>
      <x:c r="K3215" s="12" t="str">
        <x:f>LEFT("913204007705255756",18)</x:f>
        <x:v>913204007705255800</x:v>
      </x:c>
    </x:row>
    <x:row r="3216">
      <x:c r="A3216" s="2" t="n">
        <x:v>3215</x:v>
      </x:c>
      <x:c r="B3216" s="2" t="inlineStr">
        <x:is>
          <x:t xml:space="preserve">603660</x:t>
        </x:is>
      </x:c>
      <x:c r="C3216" s="3" t="inlineStr">
        <x:is>
          <x:t xml:space="preserve">苏州科达</x:t>
        </x:is>
      </x:c>
      <x:c r="D3216" s="3" t="inlineStr">
        <x:is>
          <x:t xml:space="preserve">苏州科达科技股份有限公司</x:t>
        </x:is>
      </x:c>
      <x:c r="E3216" s="2" t="inlineStr">
        <x:is>
          <x:t xml:space="preserve">江苏省</x:t>
        </x:is>
      </x:c>
      <x:c r="F3216" s="2" t="inlineStr">
        <x:is>
          <x:t xml:space="preserve">苏州市</x:t>
        </x:is>
      </x:c>
      <x:c r="G3216" s="3" t="inlineStr">
        <x:is>
          <x:t xml:space="preserve">江苏省-苏州市</x:t>
        </x:is>
      </x:c>
      <x:c r="H3216" s="2" t="inlineStr">
        <x:is>
          <x:t xml:space="preserve">计算机设备</x:t>
        </x:is>
      </x:c>
      <x:c r="I3216" s="2" t="inlineStr">
        <x:is>
          <x:t xml:space="preserve">2016-12-01</x:t>
        </x:is>
      </x:c>
      <x:c r="J3216" s="3" t="inlineStr">
        <x:is>
          <x:t xml:space="preserve">江苏省苏州市高新区金山路131号</x:t>
        </x:is>
      </x:c>
      <x:c r="K3216" s="12" t="str">
        <x:f>LEFT("91320500761504983A",18)</x:f>
        <x:v>91320500761504983A</x:v>
      </x:c>
    </x:row>
    <x:row r="3217">
      <x:c r="A3217" s="4" t="n">
        <x:v>3216</x:v>
      </x:c>
      <x:c r="B3217" s="4" t="inlineStr">
        <x:is>
          <x:t xml:space="preserve">603666</x:t>
        </x:is>
      </x:c>
      <x:c r="C3217" s="5" t="inlineStr">
        <x:is>
          <x:t xml:space="preserve">亿嘉和</x:t>
        </x:is>
      </x:c>
      <x:c r="D3217" s="5" t="inlineStr">
        <x:is>
          <x:t xml:space="preserve">亿嘉和科技股份有限公司</x:t>
        </x:is>
      </x:c>
      <x:c r="E3217" s="4" t="inlineStr">
        <x:is>
          <x:t xml:space="preserve">江苏省</x:t>
        </x:is>
      </x:c>
      <x:c r="F3217" s="4" t="inlineStr">
        <x:is>
          <x:t xml:space="preserve">南京市</x:t>
        </x:is>
      </x:c>
      <x:c r="G3217" s="5" t="inlineStr">
        <x:is>
          <x:t xml:space="preserve">江苏省-南京市</x:t>
        </x:is>
      </x:c>
      <x:c r="H3217" s="4" t="inlineStr">
        <x:is>
          <x:t xml:space="preserve">专用设备</x:t>
        </x:is>
      </x:c>
      <x:c r="I3217" s="4" t="inlineStr">
        <x:is>
          <x:t xml:space="preserve">2018-06-12</x:t>
        </x:is>
      </x:c>
      <x:c r="J3217" s="5" t="inlineStr">
        <x:is>
          <x:t xml:space="preserve">南京市雨花台区创思路5号</x:t>
        </x:is>
      </x:c>
      <x:c r="K3217" s="12" t="str">
        <x:f>LEFT("91320100631402444M",18)</x:f>
        <x:v>91320100631402444M</x:v>
      </x:c>
    </x:row>
    <x:row r="3218">
      <x:c r="A3218" s="2" t="n">
        <x:v>3217</x:v>
      </x:c>
      <x:c r="B3218" s="2" t="inlineStr">
        <x:is>
          <x:t xml:space="preserve">603680</x:t>
        </x:is>
      </x:c>
      <x:c r="C3218" s="3" t="inlineStr">
        <x:is>
          <x:t xml:space="preserve">今创集团</x:t>
        </x:is>
      </x:c>
      <x:c r="D3218" s="3" t="inlineStr">
        <x:is>
          <x:t xml:space="preserve">今创集团股份有限公司</x:t>
        </x:is>
      </x:c>
      <x:c r="E3218" s="2" t="inlineStr">
        <x:is>
          <x:t xml:space="preserve">江苏省</x:t>
        </x:is>
      </x:c>
      <x:c r="F3218" s="2" t="inlineStr">
        <x:is>
          <x:t xml:space="preserve">常州市</x:t>
        </x:is>
      </x:c>
      <x:c r="G3218" s="3" t="inlineStr">
        <x:is>
          <x:t xml:space="preserve">江苏省-常州市</x:t>
        </x:is>
      </x:c>
      <x:c r="H3218" s="2" t="inlineStr">
        <x:is>
          <x:t xml:space="preserve">交运设备</x:t>
        </x:is>
      </x:c>
      <x:c r="I3218" s="2" t="inlineStr">
        <x:is>
          <x:t xml:space="preserve">2018-02-27</x:t>
        </x:is>
      </x:c>
      <x:c r="J3218" s="3" t="inlineStr">
        <x:is>
          <x:t xml:space="preserve">江苏省常州市武进区遥观镇今创路88-89号</x:t>
        </x:is>
      </x:c>
      <x:c r="K3218" s="12" t="str">
        <x:f>LEFT("91320400747314251P",18)</x:f>
        <x:v>91320400747314251P</x:v>
      </x:c>
    </x:row>
    <x:row r="3219">
      <x:c r="A3219" s="4" t="n">
        <x:v>3218</x:v>
      </x:c>
      <x:c r="B3219" s="4" t="inlineStr">
        <x:is>
          <x:t xml:space="preserve">603688</x:t>
        </x:is>
      </x:c>
      <x:c r="C3219" s="5" t="inlineStr">
        <x:is>
          <x:t xml:space="preserve">石英股份</x:t>
        </x:is>
      </x:c>
      <x:c r="D3219" s="5" t="inlineStr">
        <x:is>
          <x:t xml:space="preserve">江苏太平洋石英股份有限公司</x:t>
        </x:is>
      </x:c>
      <x:c r="E3219" s="4" t="inlineStr">
        <x:is>
          <x:t xml:space="preserve">江苏省</x:t>
        </x:is>
      </x:c>
      <x:c r="F3219" s="4" t="inlineStr">
        <x:is>
          <x:t xml:space="preserve">连云港市</x:t>
        </x:is>
      </x:c>
      <x:c r="G3219" s="5" t="inlineStr">
        <x:is>
          <x:t xml:space="preserve">江苏省-连云港市</x:t>
        </x:is>
      </x:c>
      <x:c r="H3219" s="4" t="inlineStr">
        <x:is>
          <x:t xml:space="preserve">非金属材料</x:t>
        </x:is>
      </x:c>
      <x:c r="I3219" s="4" t="inlineStr">
        <x:is>
          <x:t xml:space="preserve">2014-10-31</x:t>
        </x:is>
      </x:c>
      <x:c r="J3219" s="5" t="inlineStr">
        <x:is>
          <x:t xml:space="preserve">江苏省连云港市东海县平明镇马河电站东侧</x:t>
        </x:is>
      </x:c>
      <x:c r="K3219" s="12" t="str">
        <x:f>LEFT("91320700139326953H",18)</x:f>
        <x:v>91320700139326953H</x:v>
      </x:c>
    </x:row>
    <x:row r="3220">
      <x:c r="A3220" s="2" t="n">
        <x:v>3219</x:v>
      </x:c>
      <x:c r="B3220" s="2" t="inlineStr">
        <x:is>
          <x:t xml:space="preserve">603693</x:t>
        </x:is>
      </x:c>
      <x:c r="C3220" s="3" t="inlineStr">
        <x:is>
          <x:t xml:space="preserve">江苏新能</x:t>
        </x:is>
      </x:c>
      <x:c r="D3220" s="3" t="inlineStr">
        <x:is>
          <x:t xml:space="preserve">江苏省新能源开发股份有限公司</x:t>
        </x:is>
      </x:c>
      <x:c r="E3220" s="2" t="inlineStr">
        <x:is>
          <x:t xml:space="preserve">江苏省</x:t>
        </x:is>
      </x:c>
      <x:c r="F3220" s="2" t="inlineStr">
        <x:is>
          <x:t xml:space="preserve">南京市</x:t>
        </x:is>
      </x:c>
      <x:c r="G3220" s="3" t="inlineStr">
        <x:is>
          <x:t xml:space="preserve">江苏省-南京市</x:t>
        </x:is>
      </x:c>
      <x:c r="H3220" s="2" t="inlineStr">
        <x:is>
          <x:t xml:space="preserve">电力行业</x:t>
        </x:is>
      </x:c>
      <x:c r="I3220" s="2" t="inlineStr">
        <x:is>
          <x:t xml:space="preserve">2018-07-03</x:t>
        </x:is>
      </x:c>
      <x:c r="J3220" s="3" t="inlineStr">
        <x:is>
          <x:t xml:space="preserve">南京市长江路88号2213室</x:t>
        </x:is>
      </x:c>
      <x:c r="K3220" s="12" t="str">
        <x:f>LEFT("91320000743141824Y",18)</x:f>
        <x:v>91320000743141824Y</x:v>
      </x:c>
    </x:row>
    <x:row r="3221">
      <x:c r="A3221" s="4" t="n">
        <x:v>3220</x:v>
      </x:c>
      <x:c r="B3221" s="4" t="inlineStr">
        <x:is>
          <x:t xml:space="preserve">603699</x:t>
        </x:is>
      </x:c>
      <x:c r="C3221" s="5" t="inlineStr">
        <x:is>
          <x:t xml:space="preserve">纽威股份</x:t>
        </x:is>
      </x:c>
      <x:c r="D3221" s="5" t="inlineStr">
        <x:is>
          <x:t xml:space="preserve">苏州纽威阀门股份有限公司</x:t>
        </x:is>
      </x:c>
      <x:c r="E3221" s="4" t="inlineStr">
        <x:is>
          <x:t xml:space="preserve">江苏省</x:t>
        </x:is>
      </x:c>
      <x:c r="F3221" s="4" t="inlineStr">
        <x:is>
          <x:t xml:space="preserve">苏州市</x:t>
        </x:is>
      </x:c>
      <x:c r="G3221" s="5" t="inlineStr">
        <x:is>
          <x:t xml:space="preserve">江苏省-苏州市</x:t>
        </x:is>
      </x:c>
      <x:c r="H3221" s="4" t="inlineStr">
        <x:is>
          <x:t xml:space="preserve">机械行业</x:t>
        </x:is>
      </x:c>
      <x:c r="I3221" s="4" t="inlineStr">
        <x:is>
          <x:t xml:space="preserve">2014-01-17</x:t>
        </x:is>
      </x:c>
      <x:c r="J3221" s="5" t="inlineStr">
        <x:is>
          <x:t xml:space="preserve">江苏省苏州市苏州高新区泰山路666号</x:t>
        </x:is>
      </x:c>
      <x:c r="K3221" s="12" t="str">
        <x:f>LEFT("91320500743905732G",18)</x:f>
        <x:v>91320500743905732G</x:v>
      </x:c>
    </x:row>
    <x:row r="3222">
      <x:c r="A3222" s="2" t="n">
        <x:v>3221</x:v>
      </x:c>
      <x:c r="B3222" s="2" t="inlineStr">
        <x:is>
          <x:t xml:space="preserve">603707</x:t>
        </x:is>
      </x:c>
      <x:c r="C3222" s="3" t="inlineStr">
        <x:is>
          <x:t xml:space="preserve">健友股份</x:t>
        </x:is>
      </x:c>
      <x:c r="D3222" s="3" t="inlineStr">
        <x:is>
          <x:t xml:space="preserve">南京健友生化制药股份有限公司</x:t>
        </x:is>
      </x:c>
      <x:c r="E3222" s="2" t="inlineStr">
        <x:is>
          <x:t xml:space="preserve">江苏省</x:t>
        </x:is>
      </x:c>
      <x:c r="F3222" s="2" t="inlineStr">
        <x:is>
          <x:t xml:space="preserve">南京市</x:t>
        </x:is>
      </x:c>
      <x:c r="G3222" s="3" t="inlineStr">
        <x:is>
          <x:t xml:space="preserve">江苏省-南京市</x:t>
        </x:is>
      </x:c>
      <x:c r="H3222" s="2" t="inlineStr">
        <x:is>
          <x:t xml:space="preserve">医药制造</x:t>
        </x:is>
      </x:c>
      <x:c r="I3222" s="2" t="inlineStr">
        <x:is>
          <x:t xml:space="preserve">2017-07-19</x:t>
        </x:is>
      </x:c>
      <x:c r="J3222" s="3" t="inlineStr">
        <x:is>
          <x:t xml:space="preserve">江苏省南京高新开发区MA010-1号地</x:t>
        </x:is>
      </x:c>
      <x:c r="K3222" s="12" t="str">
        <x:f>LEFT("91320100726054999R",18)</x:f>
        <x:v>91320100726054999R</x:v>
      </x:c>
    </x:row>
    <x:row r="3223">
      <x:c r="A3223" s="4" t="n">
        <x:v>3222</x:v>
      </x:c>
      <x:c r="B3223" s="4" t="inlineStr">
        <x:is>
          <x:t xml:space="preserve">603722</x:t>
        </x:is>
      </x:c>
      <x:c r="C3223" s="5" t="inlineStr">
        <x:is>
          <x:t xml:space="preserve">阿科力</x:t>
        </x:is>
      </x:c>
      <x:c r="D3223" s="5" t="inlineStr">
        <x:is>
          <x:t xml:space="preserve">无锡阿科力科技股份有限公司</x:t>
        </x:is>
      </x:c>
      <x:c r="E3223" s="4" t="inlineStr">
        <x:is>
          <x:t xml:space="preserve">江苏省</x:t>
        </x:is>
      </x:c>
      <x:c r="F3223" s="4" t="inlineStr">
        <x:is>
          <x:t xml:space="preserve">无锡市</x:t>
        </x:is>
      </x:c>
      <x:c r="G3223" s="5" t="inlineStr">
        <x:is>
          <x:t xml:space="preserve">江苏省-无锡市</x:t>
        </x:is>
      </x:c>
      <x:c r="H3223" s="4" t="inlineStr">
        <x:is>
          <x:t xml:space="preserve">塑料制品</x:t>
        </x:is>
      </x:c>
      <x:c r="I3223" s="4" t="inlineStr">
        <x:is>
          <x:t xml:space="preserve">2017-10-25</x:t>
        </x:is>
      </x:c>
      <x:c r="J3223" s="5" t="inlineStr">
        <x:is>
          <x:t xml:space="preserve">无锡市锡山区东港镇新材料产业园</x:t>
        </x:is>
      </x:c>
      <x:c r="K3223" s="12" t="str">
        <x:f>LEFT("9132020071491965XM",18)</x:f>
        <x:v>9132020071491965XM</x:v>
      </x:c>
    </x:row>
    <x:row r="3224">
      <x:c r="A3224" s="2" t="n">
        <x:v>3223</x:v>
      </x:c>
      <x:c r="B3224" s="2" t="inlineStr">
        <x:is>
          <x:t xml:space="preserve">603776</x:t>
        </x:is>
      </x:c>
      <x:c r="C3224" s="3" t="inlineStr">
        <x:is>
          <x:t xml:space="preserve">永安行</x:t>
        </x:is>
      </x:c>
      <x:c r="D3224" s="3" t="inlineStr">
        <x:is>
          <x:t xml:space="preserve">永安行科技股份有限公司</x:t>
        </x:is>
      </x:c>
      <x:c r="E3224" s="2" t="inlineStr">
        <x:is>
          <x:t xml:space="preserve">江苏省</x:t>
        </x:is>
      </x:c>
      <x:c r="F3224" s="2" t="inlineStr">
        <x:is>
          <x:t xml:space="preserve">常州市</x:t>
        </x:is>
      </x:c>
      <x:c r="G3224" s="3" t="inlineStr">
        <x:is>
          <x:t xml:space="preserve">江苏省-常州市</x:t>
        </x:is>
      </x:c>
      <x:c r="H3224" s="2" t="inlineStr">
        <x:is>
          <x:t xml:space="preserve">专业服务</x:t>
        </x:is>
      </x:c>
      <x:c r="I3224" s="2" t="inlineStr">
        <x:is>
          <x:t xml:space="preserve">2017-08-17</x:t>
        </x:is>
      </x:c>
      <x:c r="J3224" s="3" t="inlineStr">
        <x:is>
          <x:t xml:space="preserve">常州市新北区汉江路399号</x:t>
        </x:is>
      </x:c>
      <x:c r="K3224" s="12" t="str">
        <x:f>LEFT("913204005603281353",18)</x:f>
        <x:v>913204005603281400</x:v>
      </x:c>
    </x:row>
    <x:row r="3225">
      <x:c r="A3225" s="4" t="n">
        <x:v>3224</x:v>
      </x:c>
      <x:c r="B3225" s="4" t="inlineStr">
        <x:is>
          <x:t xml:space="preserve">603787</x:t>
        </x:is>
      </x:c>
      <x:c r="C3225" s="5" t="inlineStr">
        <x:is>
          <x:t xml:space="preserve">新日股份</x:t>
        </x:is>
      </x:c>
      <x:c r="D3225" s="5" t="inlineStr">
        <x:is>
          <x:t xml:space="preserve">江苏新日电动车股份有限公司</x:t>
        </x:is>
      </x:c>
      <x:c r="E3225" s="4" t="inlineStr">
        <x:is>
          <x:t xml:space="preserve">江苏省</x:t>
        </x:is>
      </x:c>
      <x:c r="F3225" s="4" t="inlineStr">
        <x:is>
          <x:t xml:space="preserve">无锡市</x:t>
        </x:is>
      </x:c>
      <x:c r="G3225" s="5" t="inlineStr">
        <x:is>
          <x:t xml:space="preserve">江苏省-无锡市</x:t>
        </x:is>
      </x:c>
      <x:c r="H3225" s="4" t="inlineStr">
        <x:is>
          <x:t xml:space="preserve">交运设备</x:t>
        </x:is>
      </x:c>
      <x:c r="I3225" s="4" t="inlineStr">
        <x:is>
          <x:t xml:space="preserve">2017-04-27</x:t>
        </x:is>
      </x:c>
      <x:c r="J3225" s="5" t="inlineStr">
        <x:is>
          <x:t xml:space="preserve">无锡市锡山区锡山大道501号</x:t>
        </x:is>
      </x:c>
      <x:c r="K3225" s="12" t="str">
        <x:f>LEFT("91320200665769172E",18)</x:f>
        <x:v>91320200665769172E</x:v>
      </x:c>
    </x:row>
    <x:row r="3226">
      <x:c r="A3226" s="2" t="n">
        <x:v>3225</x:v>
      </x:c>
      <x:c r="B3226" s="2" t="inlineStr">
        <x:is>
          <x:t xml:space="preserve">603800</x:t>
        </x:is>
      </x:c>
      <x:c r="C3226" s="3" t="inlineStr">
        <x:is>
          <x:t xml:space="preserve">洪田股份</x:t>
        </x:is>
      </x:c>
      <x:c r="D3226" s="3" t="inlineStr">
        <x:is>
          <x:t xml:space="preserve">江苏洪田科技股份有限公司</x:t>
        </x:is>
      </x:c>
      <x:c r="E3226" s="2" t="inlineStr">
        <x:is>
          <x:t xml:space="preserve">江苏省</x:t>
        </x:is>
      </x:c>
      <x:c r="F3226" s="2" t="inlineStr">
        <x:is>
          <x:t xml:space="preserve">苏州市</x:t>
        </x:is>
      </x:c>
      <x:c r="G3226" s="3" t="inlineStr">
        <x:is>
          <x:t xml:space="preserve">江苏省-苏州市</x:t>
        </x:is>
      </x:c>
      <x:c r="H3226" s="2" t="inlineStr">
        <x:is>
          <x:t xml:space="preserve">专用设备</x:t>
        </x:is>
      </x:c>
      <x:c r="I3226" s="2" t="inlineStr">
        <x:is>
          <x:t xml:space="preserve">2015-12-10</x:t>
        </x:is>
      </x:c>
      <x:c r="J3226" s="3" t="inlineStr">
        <x:is>
          <x:t xml:space="preserve">苏州市相城区高铁新城青龙港路60号港口大厦12层1211室</x:t>
        </x:is>
      </x:c>
      <x:c r="K3226" s="12" t="str">
        <x:f>LEFT("9132050073178411X3",18)</x:f>
        <x:v>9132050073178411X3</x:v>
      </x:c>
    </x:row>
    <x:row r="3227">
      <x:c r="A3227" s="4" t="n">
        <x:v>3226</x:v>
      </x:c>
      <x:c r="B3227" s="4" t="inlineStr">
        <x:is>
          <x:t xml:space="preserve">603810</x:t>
        </x:is>
      </x:c>
      <x:c r="C3227" s="5" t="inlineStr">
        <x:is>
          <x:t xml:space="preserve">丰山集团</x:t>
        </x:is>
      </x:c>
      <x:c r="D3227" s="5" t="inlineStr">
        <x:is>
          <x:t xml:space="preserve">江苏丰山集团股份有限公司</x:t>
        </x:is>
      </x:c>
      <x:c r="E3227" s="4" t="inlineStr">
        <x:is>
          <x:t xml:space="preserve">江苏省</x:t>
        </x:is>
      </x:c>
      <x:c r="F3227" s="4" t="inlineStr">
        <x:is>
          <x:t xml:space="preserve">盐城市</x:t>
        </x:is>
      </x:c>
      <x:c r="G3227" s="5" t="inlineStr">
        <x:is>
          <x:t xml:space="preserve">江苏省-盐城市</x:t>
        </x:is>
      </x:c>
      <x:c r="H3227" s="4" t="inlineStr">
        <x:is>
          <x:t xml:space="preserve">农药兽药</x:t>
        </x:is>
      </x:c>
      <x:c r="I3227" s="4" t="inlineStr">
        <x:is>
          <x:t xml:space="preserve">2018-09-17</x:t>
        </x:is>
      </x:c>
      <x:c r="J3227" s="5" t="inlineStr">
        <x:is>
          <x:t xml:space="preserve">江苏省盐城市大丰区王港闸南首</x:t>
        </x:is>
      </x:c>
      <x:c r="K3227" s="12" t="str">
        <x:f>LEFT("9132090013485559XP",18)</x:f>
        <x:v>9132090013485559XP</x:v>
      </x:c>
    </x:row>
    <x:row r="3228">
      <x:c r="A3228" s="2" t="n">
        <x:v>3227</x:v>
      </x:c>
      <x:c r="B3228" s="2" t="inlineStr">
        <x:is>
          <x:t xml:space="preserve">603819</x:t>
        </x:is>
      </x:c>
      <x:c r="C3228" s="3" t="inlineStr">
        <x:is>
          <x:t xml:space="preserve">神力股份</x:t>
        </x:is>
      </x:c>
      <x:c r="D3228" s="3" t="inlineStr">
        <x:is>
          <x:t xml:space="preserve">常州神力电机股份有限公司</x:t>
        </x:is>
      </x:c>
      <x:c r="E3228" s="2" t="inlineStr">
        <x:is>
          <x:t xml:space="preserve">江苏省</x:t>
        </x:is>
      </x:c>
      <x:c r="F3228" s="2" t="inlineStr">
        <x:is>
          <x:t xml:space="preserve">常州市</x:t>
        </x:is>
      </x:c>
      <x:c r="G3228" s="3" t="inlineStr">
        <x:is>
          <x:t xml:space="preserve">江苏省-常州市</x:t>
        </x:is>
      </x:c>
      <x:c r="H3228" s="2" t="inlineStr">
        <x:is>
          <x:t xml:space="preserve">电机</x:t>
        </x:is>
      </x:c>
      <x:c r="I3228" s="2" t="inlineStr">
        <x:is>
          <x:t xml:space="preserve">2016-11-25</x:t>
        </x:is>
      </x:c>
      <x:c r="J3228" s="3" t="inlineStr">
        <x:is>
          <x:t xml:space="preserve">江苏省常州市经开区兴东路289号</x:t>
        </x:is>
      </x:c>
      <x:c r="K3228" s="12" t="str">
        <x:f>LEFT("91320400608148134T",18)</x:f>
        <x:v>91320400608148134T</x:v>
      </x:c>
    </x:row>
    <x:row r="3229">
      <x:c r="A3229" s="4" t="n">
        <x:v>3228</x:v>
      </x:c>
      <x:c r="B3229" s="4" t="inlineStr">
        <x:is>
          <x:t xml:space="preserve">603828</x:t>
        </x:is>
      </x:c>
      <x:c r="C3229" s="5" t="inlineStr">
        <x:is>
          <x:t xml:space="preserve">ST柯利达</x:t>
        </x:is>
      </x:c>
      <x:c r="D3229" s="5" t="inlineStr">
        <x:is>
          <x:t xml:space="preserve">苏州柯利达装饰股份有限公司</x:t>
        </x:is>
      </x:c>
      <x:c r="E3229" s="4" t="inlineStr">
        <x:is>
          <x:t xml:space="preserve">江苏省</x:t>
        </x:is>
      </x:c>
      <x:c r="F3229" s="4" t="inlineStr">
        <x:is>
          <x:t xml:space="preserve">苏州市</x:t>
        </x:is>
      </x:c>
      <x:c r="G3229" s="5" t="inlineStr">
        <x:is>
          <x:t xml:space="preserve">江苏省-苏州市</x:t>
        </x:is>
      </x:c>
      <x:c r="H3229" s="4" t="inlineStr">
        <x:is>
          <x:t xml:space="preserve">装修装饰</x:t>
        </x:is>
      </x:c>
      <x:c r="I3229" s="4" t="inlineStr">
        <x:is>
          <x:t xml:space="preserve">2015-02-26</x:t>
        </x:is>
      </x:c>
      <x:c r="J3229" s="5" t="inlineStr">
        <x:is>
          <x:t xml:space="preserve">苏州市高新区运河路99号1幢101室</x:t>
        </x:is>
      </x:c>
      <x:c r="K3229" s="12" t="str">
        <x:f>LEFT("91320500722291305C",18)</x:f>
        <x:v>91320500722291305C</x:v>
      </x:c>
    </x:row>
    <x:row r="3230">
      <x:c r="A3230" s="2" t="n">
        <x:v>3229</x:v>
      </x:c>
      <x:c r="B3230" s="2" t="inlineStr">
        <x:is>
          <x:t xml:space="preserve">603829</x:t>
        </x:is>
      </x:c>
      <x:c r="C3230" s="3" t="inlineStr">
        <x:is>
          <x:t xml:space="preserve">洛凯股份</x:t>
        </x:is>
      </x:c>
      <x:c r="D3230" s="3" t="inlineStr">
        <x:is>
          <x:t xml:space="preserve">江苏洛凯机电股份有限公司</x:t>
        </x:is>
      </x:c>
      <x:c r="E3230" s="2" t="inlineStr">
        <x:is>
          <x:t xml:space="preserve">江苏省</x:t>
        </x:is>
      </x:c>
      <x:c r="F3230" s="2" t="inlineStr">
        <x:is>
          <x:t xml:space="preserve">常州市</x:t>
        </x:is>
      </x:c>
      <x:c r="G3230" s="3" t="inlineStr">
        <x:is>
          <x:t xml:space="preserve">江苏省-常州市</x:t>
        </x:is>
      </x:c>
      <x:c r="H3230" s="2" t="inlineStr">
        <x:is>
          <x:t xml:space="preserve">输配电气</x:t>
        </x:is>
      </x:c>
      <x:c r="I3230" s="2" t="inlineStr">
        <x:is>
          <x:t xml:space="preserve">2017-10-17</x:t>
        </x:is>
      </x:c>
      <x:c r="J3230" s="3" t="inlineStr">
        <x:is>
          <x:t xml:space="preserve">常州市武进区洛阳镇永安里路101号</x:t>
        </x:is>
      </x:c>
      <x:c r="K3230" s="12" t="str">
        <x:f>LEFT("91320400562928732P",18)</x:f>
        <x:v>91320400562928732P</x:v>
      </x:c>
    </x:row>
    <x:row r="3231">
      <x:c r="A3231" s="4" t="n">
        <x:v>3230</x:v>
      </x:c>
      <x:c r="B3231" s="4" t="inlineStr">
        <x:is>
          <x:t xml:space="preserve">603876</x:t>
        </x:is>
      </x:c>
      <x:c r="C3231" s="5" t="inlineStr">
        <x:is>
          <x:t xml:space="preserve">鼎胜新材</x:t>
        </x:is>
      </x:c>
      <x:c r="D3231" s="5" t="inlineStr">
        <x:is>
          <x:t xml:space="preserve">江苏鼎胜新能源材料股份有限公司</x:t>
        </x:is>
      </x:c>
      <x:c r="E3231" s="4" t="inlineStr">
        <x:is>
          <x:t xml:space="preserve">江苏省</x:t>
        </x:is>
      </x:c>
      <x:c r="F3231" s="4" t="inlineStr">
        <x:is>
          <x:t xml:space="preserve">镇江市</x:t>
        </x:is>
      </x:c>
      <x:c r="G3231" s="5" t="inlineStr">
        <x:is>
          <x:t xml:space="preserve">江苏省-镇江市</x:t>
        </x:is>
      </x:c>
      <x:c r="H3231" s="4" t="inlineStr">
        <x:is>
          <x:t xml:space="preserve">有色金属</x:t>
        </x:is>
      </x:c>
      <x:c r="I3231" s="4" t="inlineStr">
        <x:is>
          <x:t xml:space="preserve">2018-04-18</x:t>
        </x:is>
      </x:c>
      <x:c r="J3231" s="5" t="inlineStr">
        <x:is>
          <x:t xml:space="preserve">江苏镇江京口经济开发区</x:t>
        </x:is>
      </x:c>
      <x:c r="K3231" s="12" t="str">
        <x:f>LEFT("9132110075321015XF",18)</x:f>
        <x:v>9132110075321015XF</x:v>
      </x:c>
    </x:row>
    <x:row r="3232">
      <x:c r="A3232" s="2" t="n">
        <x:v>3231</x:v>
      </x:c>
      <x:c r="B3232" s="2" t="inlineStr">
        <x:is>
          <x:t xml:space="preserve">603878</x:t>
        </x:is>
      </x:c>
      <x:c r="C3232" s="3" t="inlineStr">
        <x:is>
          <x:t xml:space="preserve">武进不锈</x:t>
        </x:is>
      </x:c>
      <x:c r="D3232" s="3" t="inlineStr">
        <x:is>
          <x:t xml:space="preserve">江苏武进不锈股份有限公司</x:t>
        </x:is>
      </x:c>
      <x:c r="E3232" s="2" t="inlineStr">
        <x:is>
          <x:t xml:space="preserve">江苏省</x:t>
        </x:is>
      </x:c>
      <x:c r="F3232" s="2" t="inlineStr">
        <x:is>
          <x:t xml:space="preserve">常州市</x:t>
        </x:is>
      </x:c>
      <x:c r="G3232" s="3" t="inlineStr">
        <x:is>
          <x:t xml:space="preserve">江苏省-常州市</x:t>
        </x:is>
      </x:c>
      <x:c r="H3232" s="2" t="inlineStr">
        <x:is>
          <x:t xml:space="preserve">钢铁行业</x:t>
        </x:is>
      </x:c>
      <x:c r="I3232" s="2" t="inlineStr">
        <x:is>
          <x:t xml:space="preserve">2016-12-19</x:t>
        </x:is>
      </x:c>
      <x:c r="J3232" s="3" t="inlineStr">
        <x:is>
          <x:t xml:space="preserve">江苏省常州市天宁区郑陆镇武澄西路1号</x:t>
        </x:is>
      </x:c>
      <x:c r="K3232" s="12" t="str">
        <x:f>LEFT("913204002508152455",18)</x:f>
        <x:v>913204002508152400</x:v>
      </x:c>
    </x:row>
    <x:row r="3233">
      <x:c r="A3233" s="4" t="n">
        <x:v>3232</x:v>
      </x:c>
      <x:c r="B3233" s="4" t="inlineStr">
        <x:is>
          <x:t xml:space="preserve">603879</x:t>
        </x:is>
      </x:c>
      <x:c r="C3233" s="5" t="inlineStr">
        <x:is>
          <x:t xml:space="preserve">ST永悦</x:t>
        </x:is>
      </x:c>
      <x:c r="D3233" s="5" t="inlineStr">
        <x:is>
          <x:t xml:space="preserve">永悦科技股份有限公司</x:t>
        </x:is>
      </x:c>
      <x:c r="E3233" s="4" t="inlineStr">
        <x:is>
          <x:t xml:space="preserve">江苏省</x:t>
        </x:is>
      </x:c>
      <x:c r="F3233" s="4" t="inlineStr">
        <x:is>
          <x:t xml:space="preserve">盐城市</x:t>
        </x:is>
      </x:c>
      <x:c r="G3233" s="5" t="inlineStr">
        <x:is>
          <x:t xml:space="preserve">江苏省-盐城市</x:t>
        </x:is>
      </x:c>
      <x:c r="H3233" s="4" t="inlineStr">
        <x:is>
          <x:t xml:space="preserve">塑料制品</x:t>
        </x:is>
      </x:c>
      <x:c r="I3233" s="4" t="inlineStr">
        <x:is>
          <x:t xml:space="preserve">2017-06-14</x:t>
        </x:is>
      </x:c>
      <x:c r="J3233" s="5" t="inlineStr">
        <x:is>
          <x:t xml:space="preserve">盐城市大丰区大中街道永盛路东,瑞丰路南大学生创业园5幢</x:t>
        </x:is>
      </x:c>
      <x:c r="K3233" s="12" t="str">
        <x:f>LEFT("91350500583130113U",18)</x:f>
        <x:v>91350500583130113U</x:v>
      </x:c>
    </x:row>
    <x:row r="3234">
      <x:c r="A3234" s="2" t="n">
        <x:v>3233</x:v>
      </x:c>
      <x:c r="B3234" s="2" t="inlineStr">
        <x:is>
          <x:t xml:space="preserve">603880</x:t>
        </x:is>
      </x:c>
      <x:c r="C3234" s="3" t="inlineStr">
        <x:is>
          <x:t xml:space="preserve">南卫股份</x:t>
        </x:is>
      </x:c>
      <x:c r="D3234" s="3" t="inlineStr">
        <x:is>
          <x:t xml:space="preserve">江苏南方卫材医药股份有限公司</x:t>
        </x:is>
      </x:c>
      <x:c r="E3234" s="2" t="inlineStr">
        <x:is>
          <x:t xml:space="preserve">江苏省</x:t>
        </x:is>
      </x:c>
      <x:c r="F3234" s="2" t="inlineStr">
        <x:is>
          <x:t xml:space="preserve">常州市</x:t>
        </x:is>
      </x:c>
      <x:c r="G3234" s="3" t="inlineStr">
        <x:is>
          <x:t xml:space="preserve">江苏省-常州市</x:t>
        </x:is>
      </x:c>
      <x:c r="H3234" s="2" t="inlineStr">
        <x:is>
          <x:t xml:space="preserve">医疗器械</x:t>
        </x:is>
      </x:c>
      <x:c r="I3234" s="2" t="inlineStr">
        <x:is>
          <x:t xml:space="preserve">2017-08-07</x:t>
        </x:is>
      </x:c>
      <x:c r="J3234" s="3" t="inlineStr">
        <x:is>
          <x:t xml:space="preserve">江苏武进经济开发区果香路1号</x:t>
        </x:is>
      </x:c>
      <x:c r="K3234" s="12" t="str">
        <x:f>LEFT("91320400250815683R",18)</x:f>
        <x:v>91320400250815683R</x:v>
      </x:c>
    </x:row>
    <x:row r="3235">
      <x:c r="A3235" s="4" t="n">
        <x:v>3234</x:v>
      </x:c>
      <x:c r="B3235" s="4" t="inlineStr">
        <x:is>
          <x:t xml:space="preserve">603890</x:t>
        </x:is>
      </x:c>
      <x:c r="C3235" s="5" t="inlineStr">
        <x:is>
          <x:t xml:space="preserve">春秋电子</x:t>
        </x:is>
      </x:c>
      <x:c r="D3235" s="5" t="inlineStr">
        <x:is>
          <x:t xml:space="preserve">苏州春秋电子科技股份有限公司</x:t>
        </x:is>
      </x:c>
      <x:c r="E3235" s="4" t="inlineStr">
        <x:is>
          <x:t xml:space="preserve">江苏省</x:t>
        </x:is>
      </x:c>
      <x:c r="F3235" s="4" t="inlineStr">
        <x:is>
          <x:t xml:space="preserve">昆山市</x:t>
        </x:is>
      </x:c>
      <x:c r="G3235" s="5" t="inlineStr">
        <x:is>
          <x:t xml:space="preserve">江苏省-昆山市</x:t>
        </x:is>
      </x:c>
      <x:c r="H3235" s="4" t="inlineStr">
        <x:is>
          <x:t xml:space="preserve">消费电子</x:t>
        </x:is>
      </x:c>
      <x:c r="I3235" s="4" t="inlineStr">
        <x:is>
          <x:t xml:space="preserve">2017-12-12</x:t>
        </x:is>
      </x:c>
      <x:c r="J3235" s="5" t="inlineStr">
        <x:is>
          <x:t xml:space="preserve">昆山市张浦镇益德路988号</x:t>
        </x:is>
      </x:c>
      <x:c r="K3235" s="12" t="str">
        <x:f>LEFT("913205005810580310",18)</x:f>
        <x:v>913205005810580400</x:v>
      </x:c>
    </x:row>
    <x:row r="3236">
      <x:c r="A3236" s="2" t="n">
        <x:v>3235</x:v>
      </x:c>
      <x:c r="B3236" s="2" t="inlineStr">
        <x:is>
          <x:t xml:space="preserve">603900</x:t>
        </x:is>
      </x:c>
      <x:c r="C3236" s="3" t="inlineStr">
        <x:is>
          <x:t xml:space="preserve">莱绅通灵</x:t>
        </x:is>
      </x:c>
      <x:c r="D3236" s="3" t="inlineStr">
        <x:is>
          <x:t xml:space="preserve">莱绅通灵珠宝股份有限公司</x:t>
        </x:is>
      </x:c>
      <x:c r="E3236" s="2" t="inlineStr">
        <x:is>
          <x:t xml:space="preserve">江苏省</x:t>
        </x:is>
      </x:c>
      <x:c r="F3236" s="2" t="inlineStr">
        <x:is>
          <x:t xml:space="preserve">南京市</x:t>
        </x:is>
      </x:c>
      <x:c r="G3236" s="3" t="inlineStr">
        <x:is>
          <x:t xml:space="preserve">江苏省-南京市</x:t>
        </x:is>
      </x:c>
      <x:c r="H3236" s="2" t="inlineStr">
        <x:is>
          <x:t xml:space="preserve">珠宝首饰</x:t>
        </x:is>
      </x:c>
      <x:c r="I3236" s="2" t="inlineStr">
        <x:is>
          <x:t xml:space="preserve">2016-11-23</x:t>
        </x:is>
      </x:c>
      <x:c r="J3236" s="3" t="inlineStr">
        <x:is>
          <x:t xml:space="preserve">南京市雨花台区花神大道19号</x:t>
        </x:is>
      </x:c>
      <x:c r="K3236" s="12" t="str">
        <x:f>LEFT("913201007140920822",18)</x:f>
        <x:v>913201007140920800</x:v>
      </x:c>
    </x:row>
    <x:row r="3237">
      <x:c r="A3237" s="4" t="n">
        <x:v>3236</x:v>
      </x:c>
      <x:c r="B3237" s="4" t="inlineStr">
        <x:is>
          <x:t xml:space="preserve">603906</x:t>
        </x:is>
      </x:c>
      <x:c r="C3237" s="5" t="inlineStr">
        <x:is>
          <x:t xml:space="preserve">龙蟠科技</x:t>
        </x:is>
      </x:c>
      <x:c r="D3237" s="5" t="inlineStr">
        <x:is>
          <x:t xml:space="preserve">江苏龙蟠科技集团股份有限公司</x:t>
        </x:is>
      </x:c>
      <x:c r="E3237" s="4" t="inlineStr">
        <x:is>
          <x:t xml:space="preserve">江苏省</x:t>
        </x:is>
      </x:c>
      <x:c r="F3237" s="4" t="inlineStr">
        <x:is>
          <x:t xml:space="preserve">南京市</x:t>
        </x:is>
      </x:c>
      <x:c r="G3237" s="5" t="inlineStr">
        <x:is>
          <x:t xml:space="preserve">江苏省-南京市</x:t>
        </x:is>
      </x:c>
      <x:c r="H3237" s="4" t="inlineStr">
        <x:is>
          <x:t xml:space="preserve">电池</x:t>
        </x:is>
      </x:c>
      <x:c r="I3237" s="4" t="inlineStr">
        <x:is>
          <x:t xml:space="preserve">2017-04-10</x:t>
        </x:is>
      </x:c>
      <x:c r="J3237" s="5" t="inlineStr">
        <x:is>
          <x:t xml:space="preserve">南京经济技术开发区恒通大道6号</x:t>
        </x:is>
      </x:c>
      <x:c r="K3237" s="12" t="str">
        <x:f>LEFT("913201927453848380",18)</x:f>
        <x:v>913201927453848300</x:v>
      </x:c>
    </x:row>
    <x:row r="3238">
      <x:c r="A3238" s="2" t="n">
        <x:v>3237</x:v>
      </x:c>
      <x:c r="B3238" s="2" t="inlineStr">
        <x:is>
          <x:t xml:space="preserve">603912</x:t>
        </x:is>
      </x:c>
      <x:c r="C3238" s="3" t="inlineStr">
        <x:is>
          <x:t xml:space="preserve">佳力图</x:t>
        </x:is>
      </x:c>
      <x:c r="D3238" s="3" t="inlineStr">
        <x:is>
          <x:t xml:space="preserve">南京佳力图机房环境技术股份有限公司</x:t>
        </x:is>
      </x:c>
      <x:c r="E3238" s="2" t="inlineStr">
        <x:is>
          <x:t xml:space="preserve">江苏省</x:t>
        </x:is>
      </x:c>
      <x:c r="F3238" s="2" t="inlineStr">
        <x:is>
          <x:t xml:space="preserve">南京市</x:t>
        </x:is>
      </x:c>
      <x:c r="G3238" s="3" t="inlineStr">
        <x:is>
          <x:t xml:space="preserve">江苏省-南京市</x:t>
        </x:is>
      </x:c>
      <x:c r="H3238" s="2" t="inlineStr">
        <x:is>
          <x:t xml:space="preserve">专用设备</x:t>
        </x:is>
      </x:c>
      <x:c r="I3238" s="2" t="inlineStr">
        <x:is>
          <x:t xml:space="preserve">2017-11-01</x:t>
        </x:is>
      </x:c>
      <x:c r="J3238" s="3" t="inlineStr">
        <x:is>
          <x:t xml:space="preserve">南京市江宁经济技术开发区苏源大道88号</x:t>
        </x:is>
      </x:c>
      <x:c r="K3238" s="12" t="str">
        <x:f>LEFT("91320100751287129E",18)</x:f>
        <x:v>91320100751287129E</x:v>
      </x:c>
    </x:row>
    <x:row r="3239">
      <x:c r="A3239" s="4" t="n">
        <x:v>3238</x:v>
      </x:c>
      <x:c r="B3239" s="4" t="inlineStr">
        <x:is>
          <x:t xml:space="preserve">603915</x:t>
        </x:is>
      </x:c>
      <x:c r="C3239" s="5" t="inlineStr">
        <x:is>
          <x:t xml:space="preserve">国茂股份</x:t>
        </x:is>
      </x:c>
      <x:c r="D3239" s="5" t="inlineStr">
        <x:is>
          <x:t xml:space="preserve">江苏国茂减速机股份有限公司</x:t>
        </x:is>
      </x:c>
      <x:c r="E3239" s="4" t="inlineStr">
        <x:is>
          <x:t xml:space="preserve">江苏省</x:t>
        </x:is>
      </x:c>
      <x:c r="F3239" s="4" t="inlineStr">
        <x:is>
          <x:t xml:space="preserve">常州市</x:t>
        </x:is>
      </x:c>
      <x:c r="G3239" s="5" t="inlineStr">
        <x:is>
          <x:t xml:space="preserve">江苏省-常州市</x:t>
        </x:is>
      </x:c>
      <x:c r="H3239" s="4" t="inlineStr">
        <x:is>
          <x:t xml:space="preserve">机械行业</x:t>
        </x:is>
      </x:c>
      <x:c r="I3239" s="4" t="inlineStr">
        <x:is>
          <x:t xml:space="preserve">2019-06-14</x:t>
        </x:is>
      </x:c>
      <x:c r="J3239" s="5" t="inlineStr">
        <x:is>
          <x:t xml:space="preserve">常州市武进高新技术产业开发区龙潜路98号</x:t>
        </x:is>
      </x:c>
      <x:c r="K3239" s="12" t="str">
        <x:f>LEFT("91320412064534407K",18)</x:f>
        <x:v>91320412064534407K</x:v>
      </x:c>
    </x:row>
    <x:row r="3240">
      <x:c r="A3240" s="2" t="n">
        <x:v>3239</x:v>
      </x:c>
      <x:c r="B3240" s="2" t="inlineStr">
        <x:is>
          <x:t xml:space="preserve">603916</x:t>
        </x:is>
      </x:c>
      <x:c r="C3240" s="3" t="inlineStr">
        <x:is>
          <x:t xml:space="preserve">苏博特</x:t>
        </x:is>
      </x:c>
      <x:c r="D3240" s="3" t="inlineStr">
        <x:is>
          <x:t xml:space="preserve">江苏苏博特新材料股份有限公司</x:t>
        </x:is>
      </x:c>
      <x:c r="E3240" s="2" t="inlineStr">
        <x:is>
          <x:t xml:space="preserve">江苏省</x:t>
        </x:is>
      </x:c>
      <x:c r="F3240" s="2" t="inlineStr">
        <x:is>
          <x:t xml:space="preserve">南京市</x:t>
        </x:is>
      </x:c>
      <x:c r="G3240" s="3" t="inlineStr">
        <x:is>
          <x:t xml:space="preserve">江苏省-南京市</x:t>
        </x:is>
      </x:c>
      <x:c r="H3240" s="2" t="inlineStr">
        <x:is>
          <x:t xml:space="preserve">化工行业</x:t>
        </x:is>
      </x:c>
      <x:c r="I3240" s="2" t="inlineStr">
        <x:is>
          <x:t xml:space="preserve">2017-11-10</x:t>
        </x:is>
      </x:c>
      <x:c r="J3240" s="3" t="inlineStr">
        <x:is>
          <x:t xml:space="preserve">南京市江宁区淳化街道醴泉路118号</x:t>
        </x:is>
      </x:c>
      <x:c r="K3240" s="12" t="str">
        <x:f>LEFT("91320000768299302G",18)</x:f>
        <x:v>91320000768299302G</x:v>
      </x:c>
    </x:row>
    <x:row r="3241">
      <x:c r="A3241" s="4" t="n">
        <x:v>3240</x:v>
      </x:c>
      <x:c r="B3241" s="4" t="inlineStr">
        <x:is>
          <x:t xml:space="preserve">603922</x:t>
        </x:is>
      </x:c>
      <x:c r="C3241" s="5" t="inlineStr">
        <x:is>
          <x:t xml:space="preserve">金鸿顺</x:t>
        </x:is>
      </x:c>
      <x:c r="D3241" s="5" t="inlineStr">
        <x:is>
          <x:t xml:space="preserve">苏州金鸿顺汽车部件股份有限公司</x:t>
        </x:is>
      </x:c>
      <x:c r="E3241" s="4" t="inlineStr">
        <x:is>
          <x:t xml:space="preserve">江苏省</x:t>
        </x:is>
      </x:c>
      <x:c r="F3241" s="4" t="inlineStr">
        <x:is>
          <x:t xml:space="preserve">苏州市</x:t>
        </x:is>
      </x:c>
      <x:c r="G3241" s="5" t="inlineStr">
        <x:is>
          <x:t xml:space="preserve">江苏省-苏州市</x:t>
        </x:is>
      </x:c>
      <x:c r="H3241" s="4" t="inlineStr">
        <x:is>
          <x:t xml:space="preserve">汽车行业</x:t>
        </x:is>
      </x:c>
      <x:c r="I3241" s="4" t="inlineStr">
        <x:is>
          <x:t xml:space="preserve">2017-10-23</x:t>
        </x:is>
      </x:c>
      <x:c r="J3241" s="5" t="inlineStr">
        <x:is>
          <x:t xml:space="preserve">江苏省张家港经济开发区长兴路30号</x:t>
        </x:is>
      </x:c>
      <x:c r="K3241" s="12" t="str">
        <x:f>LEFT("913205007527270696",18)</x:f>
        <x:v>913205007527270700</x:v>
      </x:c>
    </x:row>
    <x:row r="3242">
      <x:c r="A3242" s="2" t="n">
        <x:v>3241</x:v>
      </x:c>
      <x:c r="B3242" s="2" t="inlineStr">
        <x:is>
          <x:t xml:space="preserve">603928</x:t>
        </x:is>
      </x:c>
      <x:c r="C3242" s="3" t="inlineStr">
        <x:is>
          <x:t xml:space="preserve">兴业股份</x:t>
        </x:is>
      </x:c>
      <x:c r="D3242" s="3" t="inlineStr">
        <x:is>
          <x:t xml:space="preserve">苏州兴业材料科技股份有限公司</x:t>
        </x:is>
      </x:c>
      <x:c r="E3242" s="2" t="inlineStr">
        <x:is>
          <x:t xml:space="preserve">江苏省</x:t>
        </x:is>
      </x:c>
      <x:c r="F3242" s="2" t="inlineStr">
        <x:is>
          <x:t xml:space="preserve">苏州市</x:t>
        </x:is>
      </x:c>
      <x:c r="G3242" s="3" t="inlineStr">
        <x:is>
          <x:t xml:space="preserve">江苏省-苏州市</x:t>
        </x:is>
      </x:c>
      <x:c r="H3242" s="2" t="inlineStr">
        <x:is>
          <x:t xml:space="preserve">塑料制品</x:t>
        </x:is>
      </x:c>
      <x:c r="I3242" s="2" t="inlineStr">
        <x:is>
          <x:t xml:space="preserve">2016-12-12</x:t>
        </x:is>
      </x:c>
      <x:c r="J3242" s="3" t="inlineStr">
        <x:is>
          <x:t xml:space="preserve">苏州高新区浒关工业园道安路15号</x:t>
        </x:is>
      </x:c>
      <x:c r="K3242" s="12" t="str">
        <x:f>LEFT("913205002517479347",18)</x:f>
        <x:v>913205002517479300</x:v>
      </x:c>
    </x:row>
    <x:row r="3243">
      <x:c r="A3243" s="4" t="n">
        <x:v>3242</x:v>
      </x:c>
      <x:c r="B3243" s="4" t="inlineStr">
        <x:is>
          <x:t xml:space="preserve">603929</x:t>
        </x:is>
      </x:c>
      <x:c r="C3243" s="5" t="inlineStr">
        <x:is>
          <x:t xml:space="preserve">亚翔集成</x:t>
        </x:is>
      </x:c>
      <x:c r="D3243" s="5" t="inlineStr">
        <x:is>
          <x:t xml:space="preserve">亚翔系统集成科技(苏州)股份有限公司</x:t>
        </x:is>
      </x:c>
      <x:c r="E3243" s="4" t="inlineStr">
        <x:is>
          <x:t xml:space="preserve">江苏省</x:t>
        </x:is>
      </x:c>
      <x:c r="F3243" s="4" t="inlineStr">
        <x:is>
          <x:t xml:space="preserve">苏州市</x:t>
        </x:is>
      </x:c>
      <x:c r="G3243" s="5" t="inlineStr">
        <x:is>
          <x:t xml:space="preserve">江苏省-苏州市</x:t>
        </x:is>
      </x:c>
      <x:c r="H3243" s="4" t="inlineStr">
        <x:is>
          <x:t xml:space="preserve">装修装饰</x:t>
        </x:is>
      </x:c>
      <x:c r="I3243" s="4" t="inlineStr">
        <x:is>
          <x:t xml:space="preserve">2016-12-30</x:t>
        </x:is>
      </x:c>
      <x:c r="J3243" s="5" t="inlineStr">
        <x:is>
          <x:t xml:space="preserve">江苏省苏州工业园区方达街33号</x:t>
        </x:is>
      </x:c>
      <x:c r="K3243" s="12" t="str">
        <x:f>LEFT("91320000735321921B",18)</x:f>
        <x:v>91320000735321921B</x:v>
      </x:c>
    </x:row>
    <x:row r="3244">
      <x:c r="A3244" s="2" t="n">
        <x:v>3243</x:v>
      </x:c>
      <x:c r="B3244" s="2" t="inlineStr">
        <x:is>
          <x:t xml:space="preserve">603937</x:t>
        </x:is>
      </x:c>
      <x:c r="C3244" s="3" t="inlineStr">
        <x:is>
          <x:t xml:space="preserve">丽岛新材</x:t>
        </x:is>
      </x:c>
      <x:c r="D3244" s="3" t="inlineStr">
        <x:is>
          <x:t xml:space="preserve">江苏丽岛新材料股份有限公司</x:t>
        </x:is>
      </x:c>
      <x:c r="E3244" s="2" t="inlineStr">
        <x:is>
          <x:t xml:space="preserve">江苏省</x:t>
        </x:is>
      </x:c>
      <x:c r="F3244" s="2" t="inlineStr">
        <x:is>
          <x:t xml:space="preserve">常州市</x:t>
        </x:is>
      </x:c>
      <x:c r="G3244" s="3" t="inlineStr">
        <x:is>
          <x:t xml:space="preserve">江苏省-常州市</x:t>
        </x:is>
      </x:c>
      <x:c r="H3244" s="2" t="inlineStr">
        <x:is>
          <x:t xml:space="preserve">有色金属</x:t>
        </x:is>
      </x:c>
      <x:c r="I3244" s="2" t="inlineStr">
        <x:is>
          <x:t xml:space="preserve">2017-11-02</x:t>
        </x:is>
      </x:c>
      <x:c r="J3244" s="3" t="inlineStr">
        <x:is>
          <x:t xml:space="preserve">常州市龙城大道1959号</x:t>
        </x:is>
      </x:c>
      <x:c r="K3244" s="12" t="str">
        <x:f>LEFT("91320400758998513D",18)</x:f>
        <x:v>91320400758998513D</x:v>
      </x:c>
    </x:row>
    <x:row r="3245">
      <x:c r="A3245" s="4" t="n">
        <x:v>3244</x:v>
      </x:c>
      <x:c r="B3245" s="4" t="inlineStr">
        <x:is>
          <x:t xml:space="preserve">603955</x:t>
        </x:is>
      </x:c>
      <x:c r="C3245" s="5" t="inlineStr">
        <x:is>
          <x:t xml:space="preserve">大千生态</x:t>
        </x:is>
      </x:c>
      <x:c r="D3245" s="5" t="inlineStr">
        <x:is>
          <x:t xml:space="preserve">大千生态环境集团股份有限公司</x:t>
        </x:is>
      </x:c>
      <x:c r="E3245" s="4" t="inlineStr">
        <x:is>
          <x:t xml:space="preserve">江苏省</x:t>
        </x:is>
      </x:c>
      <x:c r="F3245" s="4" t="inlineStr">
        <x:is>
          <x:t xml:space="preserve">南京市</x:t>
        </x:is>
      </x:c>
      <x:c r="G3245" s="5" t="inlineStr">
        <x:is>
          <x:t xml:space="preserve">江苏省-南京市</x:t>
        </x:is>
      </x:c>
      <x:c r="H3245" s="4" t="inlineStr">
        <x:is>
          <x:t xml:space="preserve">工程建设</x:t>
        </x:is>
      </x:c>
      <x:c r="I3245" s="4" t="inlineStr">
        <x:is>
          <x:t xml:space="preserve">2017-03-10</x:t>
        </x:is>
      </x:c>
      <x:c r="J3245" s="5" t="inlineStr">
        <x:is>
          <x:t xml:space="preserve">南京市鼓楼区集庆门大街270号苏宁睿城慧谷E-06号楼45层4505室</x:t>
        </x:is>
      </x:c>
      <x:c r="K3245" s="12" t="str">
        <x:f>LEFT("913200001401311689",18)</x:f>
        <x:v>913200001401311700</x:v>
      </x:c>
    </x:row>
    <x:row r="3246">
      <x:c r="A3246" s="2" t="n">
        <x:v>3245</x:v>
      </x:c>
      <x:c r="B3246" s="2" t="inlineStr">
        <x:is>
          <x:t xml:space="preserve">603958</x:t>
        </x:is>
      </x:c>
      <x:c r="C3246" s="3" t="inlineStr">
        <x:is>
          <x:t xml:space="preserve">哈森股份</x:t>
        </x:is>
      </x:c>
      <x:c r="D3246" s="3" t="inlineStr">
        <x:is>
          <x:t xml:space="preserve">哈森商贸(中国)股份有限公司</x:t>
        </x:is>
      </x:c>
      <x:c r="E3246" s="2" t="inlineStr">
        <x:is>
          <x:t xml:space="preserve">江苏省</x:t>
        </x:is>
      </x:c>
      <x:c r="F3246" s="2" t="inlineStr">
        <x:is>
          <x:t xml:space="preserve">苏省昆山市</x:t>
        </x:is>
      </x:c>
      <x:c r="G3246" s="3" t="inlineStr">
        <x:is>
          <x:t xml:space="preserve">江苏省-苏省昆山市</x:t>
        </x:is>
      </x:c>
      <x:c r="H3246" s="2" t="inlineStr">
        <x:is>
          <x:t xml:space="preserve">纺织服装</x:t>
        </x:is>
      </x:c>
      <x:c r="I3246" s="2" t="inlineStr">
        <x:is>
          <x:t xml:space="preserve">2016-06-29</x:t>
        </x:is>
      </x:c>
      <x:c r="J3246" s="3" t="inlineStr">
        <x:is>
          <x:t xml:space="preserve">江苏省昆山市花桥镇曹安经济技术开发区花安路1008号5幢6层</x:t>
        </x:is>
      </x:c>
      <x:c r="K3246" s="12" t="str">
        <x:f>LEFT("913205007914713500",18)</x:f>
        <x:v>913205007914713500</x:v>
      </x:c>
    </x:row>
    <x:row r="3247">
      <x:c r="A3247" s="4" t="n">
        <x:v>3246</x:v>
      </x:c>
      <x:c r="B3247" s="4" t="inlineStr">
        <x:is>
          <x:t xml:space="preserve">603966</x:t>
        </x:is>
      </x:c>
      <x:c r="C3247" s="5" t="inlineStr">
        <x:is>
          <x:t xml:space="preserve">法兰泰克</x:t>
        </x:is>
      </x:c>
      <x:c r="D3247" s="5" t="inlineStr">
        <x:is>
          <x:t xml:space="preserve">法兰泰克重工股份有限公司</x:t>
        </x:is>
      </x:c>
      <x:c r="E3247" s="4" t="inlineStr">
        <x:is>
          <x:t xml:space="preserve">江苏省</x:t>
        </x:is>
      </x:c>
      <x:c r="F3247" s="4" t="inlineStr">
        <x:is>
          <x:t xml:space="preserve">苏州市</x:t>
        </x:is>
      </x:c>
      <x:c r="G3247" s="5" t="inlineStr">
        <x:is>
          <x:t xml:space="preserve">江苏省-苏州市</x:t>
        </x:is>
      </x:c>
      <x:c r="H3247" s="4" t="inlineStr">
        <x:is>
          <x:t xml:space="preserve">专用设备</x:t>
        </x:is>
      </x:c>
      <x:c r="I3247" s="4" t="inlineStr">
        <x:is>
          <x:t xml:space="preserve">2017-01-25</x:t>
        </x:is>
      </x:c>
      <x:c r="J3247" s="5" t="inlineStr">
        <x:is>
          <x:t xml:space="preserve">江苏省吴江汾湖经济开发区汾越路288号,388号</x:t>
        </x:is>
      </x:c>
      <x:c r="K3247" s="12" t="str">
        <x:f>LEFT("91320500662720023K",18)</x:f>
        <x:v>91320500662720023K</x:v>
      </x:c>
    </x:row>
    <x:row r="3248">
      <x:c r="A3248" s="2" t="n">
        <x:v>3247</x:v>
      </x:c>
      <x:c r="B3248" s="2" t="inlineStr">
        <x:is>
          <x:t xml:space="preserve">603968</x:t>
        </x:is>
      </x:c>
      <x:c r="C3248" s="3" t="inlineStr">
        <x:is>
          <x:t xml:space="preserve">醋化股份</x:t>
        </x:is>
      </x:c>
      <x:c r="D3248" s="3" t="inlineStr">
        <x:is>
          <x:t xml:space="preserve">南通醋酸化工股份有限公司</x:t>
        </x:is>
      </x:c>
      <x:c r="E3248" s="2" t="inlineStr">
        <x:is>
          <x:t xml:space="preserve">江苏省</x:t>
        </x:is>
      </x:c>
      <x:c r="F3248" s="2" t="inlineStr">
        <x:is>
          <x:t xml:space="preserve">南通市</x:t>
        </x:is>
      </x:c>
      <x:c r="G3248" s="3" t="inlineStr">
        <x:is>
          <x:t xml:space="preserve">江苏省-南通市</x:t>
        </x:is>
      </x:c>
      <x:c r="H3248" s="2" t="inlineStr">
        <x:is>
          <x:t xml:space="preserve">化工行业</x:t>
        </x:is>
      </x:c>
      <x:c r="I3248" s="2" t="inlineStr">
        <x:is>
          <x:t xml:space="preserve">2015-05-18</x:t>
        </x:is>
      </x:c>
      <x:c r="J3248" s="3" t="inlineStr">
        <x:is>
          <x:t xml:space="preserve">南通经济技术开发区江山路968号</x:t>
        </x:is>
      </x:c>
      <x:c r="K3248" s="12" t="str">
        <x:f>LEFT("913206001382935126",18)</x:f>
        <x:v>913206001382935200</x:v>
      </x:c>
    </x:row>
    <x:row r="3249">
      <x:c r="A3249" s="4" t="n">
        <x:v>3248</x:v>
      </x:c>
      <x:c r="B3249" s="4" t="inlineStr">
        <x:is>
          <x:t xml:space="preserve">603982</x:t>
        </x:is>
      </x:c>
      <x:c r="C3249" s="5" t="inlineStr">
        <x:is>
          <x:t xml:space="preserve">泉峰汽车</x:t>
        </x:is>
      </x:c>
      <x:c r="D3249" s="5" t="inlineStr">
        <x:is>
          <x:t xml:space="preserve">南京泉峰汽车精密技术股份有限公司</x:t>
        </x:is>
      </x:c>
      <x:c r="E3249" s="4" t="inlineStr">
        <x:is>
          <x:t xml:space="preserve">江苏省</x:t>
        </x:is>
      </x:c>
      <x:c r="F3249" s="4" t="inlineStr">
        <x:is>
          <x:t xml:space="preserve">南京市</x:t>
        </x:is>
      </x:c>
      <x:c r="G3249" s="5" t="inlineStr">
        <x:is>
          <x:t xml:space="preserve">江苏省-南京市</x:t>
        </x:is>
      </x:c>
      <x:c r="H3249" s="4" t="inlineStr">
        <x:is>
          <x:t xml:space="preserve">汽车行业</x:t>
        </x:is>
      </x:c>
      <x:c r="I3249" s="4" t="inlineStr">
        <x:is>
          <x:t xml:space="preserve">2019-05-22</x:t>
        </x:is>
      </x:c>
      <x:c r="J3249" s="5" t="inlineStr">
        <x:is>
          <x:t xml:space="preserve">南京市江宁区秣陵街道将军大道159号(江宁开发区)</x:t>
        </x:is>
      </x:c>
      <x:c r="K3249" s="12" t="str">
        <x:f>LEFT("91320115589429458D",18)</x:f>
        <x:v>91320115589429458D</x:v>
      </x:c>
    </x:row>
    <x:row r="3250">
      <x:c r="A3250" s="2" t="n">
        <x:v>3249</x:v>
      </x:c>
      <x:c r="B3250" s="2" t="inlineStr">
        <x:is>
          <x:t xml:space="preserve">603985</x:t>
        </x:is>
      </x:c>
      <x:c r="C3250" s="3" t="inlineStr">
        <x:is>
          <x:t xml:space="preserve">恒润股份</x:t>
        </x:is>
      </x:c>
      <x:c r="D3250" s="3" t="inlineStr">
        <x:is>
          <x:t xml:space="preserve">江阴市恒润重工股份有限公司</x:t>
        </x:is>
      </x:c>
      <x:c r="E3250" s="2" t="inlineStr">
        <x:is>
          <x:t xml:space="preserve">江苏省</x:t>
        </x:is>
      </x:c>
      <x:c r="F3250" s="2" t="inlineStr">
        <x:is>
          <x:t xml:space="preserve">江阴市</x:t>
        </x:is>
      </x:c>
      <x:c r="G3250" s="3" t="inlineStr">
        <x:is>
          <x:t xml:space="preserve">江苏省-江阴市</x:t>
        </x:is>
      </x:c>
      <x:c r="H3250" s="2" t="inlineStr">
        <x:is>
          <x:t xml:space="preserve">风电设备</x:t>
        </x:is>
      </x:c>
      <x:c r="I3250" s="2" t="inlineStr">
        <x:is>
          <x:t xml:space="preserve">2017-05-05</x:t>
        </x:is>
      </x:c>
      <x:c r="J3250" s="3" t="inlineStr">
        <x:is>
          <x:t xml:space="preserve">江阴市周庄镇欧洲工业园A区</x:t>
        </x:is>
      </x:c>
      <x:c r="K3250" s="12" t="str">
        <x:f>LEFT("91320200751442336Q",18)</x:f>
        <x:v>91320200751442336Q</x:v>
      </x:c>
    </x:row>
    <x:row r="3251">
      <x:c r="A3251" s="4" t="n">
        <x:v>3250</x:v>
      </x:c>
      <x:c r="B3251" s="4" t="inlineStr">
        <x:is>
          <x:t xml:space="preserve">603988</x:t>
        </x:is>
      </x:c>
      <x:c r="C3251" s="5" t="inlineStr">
        <x:is>
          <x:t xml:space="preserve">中电电机</x:t>
        </x:is>
      </x:c>
      <x:c r="D3251" s="5" t="inlineStr">
        <x:is>
          <x:t xml:space="preserve">中电电机股份有限公司</x:t>
        </x:is>
      </x:c>
      <x:c r="E3251" s="4" t="inlineStr">
        <x:is>
          <x:t xml:space="preserve">江苏省</x:t>
        </x:is>
      </x:c>
      <x:c r="F3251" s="4" t="inlineStr">
        <x:is>
          <x:t xml:space="preserve">无锡市</x:t>
        </x:is>
      </x:c>
      <x:c r="G3251" s="5" t="inlineStr">
        <x:is>
          <x:t xml:space="preserve">江苏省-无锡市</x:t>
        </x:is>
      </x:c>
      <x:c r="H3251" s="4" t="inlineStr">
        <x:is>
          <x:t xml:space="preserve">电机</x:t>
        </x:is>
      </x:c>
      <x:c r="I3251" s="4" t="inlineStr">
        <x:is>
          <x:t xml:space="preserve">2014-11-04</x:t>
        </x:is>
      </x:c>
      <x:c r="J3251" s="5" t="inlineStr">
        <x:is>
          <x:t xml:space="preserve">无锡市滨湖区高浪东路777号</x:t>
        </x:is>
      </x:c>
      <x:c r="K3251" s="12" t="str">
        <x:f>LEFT("9132020074818820X3",18)</x:f>
        <x:v>9132020074818820X3</x:v>
      </x:c>
    </x:row>
    <x:row r="3252">
      <x:c r="A3252" s="2" t="n">
        <x:v>3251</x:v>
      </x:c>
      <x:c r="B3252" s="2" t="inlineStr">
        <x:is>
          <x:t xml:space="preserve">603990</x:t>
        </x:is>
      </x:c>
      <x:c r="C3252" s="3" t="inlineStr">
        <x:is>
          <x:t xml:space="preserve">麦迪科技</x:t>
        </x:is>
      </x:c>
      <x:c r="D3252" s="3" t="inlineStr">
        <x:is>
          <x:t xml:space="preserve">苏州麦迪斯顿医疗科技股份有限公司</x:t>
        </x:is>
      </x:c>
      <x:c r="E3252" s="2" t="inlineStr">
        <x:is>
          <x:t xml:space="preserve">江苏省</x:t>
        </x:is>
      </x:c>
      <x:c r="F3252" s="2" t="inlineStr">
        <x:is>
          <x:t xml:space="preserve">苏州市</x:t>
        </x:is>
      </x:c>
      <x:c r="G3252" s="3" t="inlineStr">
        <x:is>
          <x:t xml:space="preserve">江苏省-苏州市</x:t>
        </x:is>
      </x:c>
      <x:c r="H3252" s="2" t="inlineStr">
        <x:is>
          <x:t xml:space="preserve">软件服务</x:t>
        </x:is>
      </x:c>
      <x:c r="I3252" s="2" t="inlineStr">
        <x:is>
          <x:t xml:space="preserve">2016-12-08</x:t>
        </x:is>
      </x:c>
      <x:c r="J3252" s="3" t="inlineStr">
        <x:is>
          <x:t xml:space="preserve">苏州工业园区归家巷222号</x:t>
        </x:is>
      </x:c>
      <x:c r="K3252" s="12" t="str">
        <x:f>LEFT("913200006933449995",18)</x:f>
        <x:v>913200006933450000</x:v>
      </x:c>
    </x:row>
    <x:row r="3253">
      <x:c r="A3253" s="4" t="n">
        <x:v>3252</x:v>
      </x:c>
      <x:c r="B3253" s="4" t="inlineStr">
        <x:is>
          <x:t xml:space="preserve">605058</x:t>
        </x:is>
      </x:c>
      <x:c r="C3253" s="5" t="inlineStr">
        <x:is>
          <x:t xml:space="preserve">澳弘电子</x:t>
        </x:is>
      </x:c>
      <x:c r="D3253" s="5" t="inlineStr">
        <x:is>
          <x:t xml:space="preserve">常州澳弘电子股份有限公司</x:t>
        </x:is>
      </x:c>
      <x:c r="E3253" s="4" t="inlineStr">
        <x:is>
          <x:t xml:space="preserve">江苏省</x:t>
        </x:is>
      </x:c>
      <x:c r="F3253" s="4" t="inlineStr">
        <x:is>
          <x:t xml:space="preserve">常州市</x:t>
        </x:is>
      </x:c>
      <x:c r="G3253" s="5" t="inlineStr">
        <x:is>
          <x:t xml:space="preserve">江苏省-常州市</x:t>
        </x:is>
      </x:c>
      <x:c r="H3253" s="4" t="inlineStr">
        <x:is>
          <x:t xml:space="preserve">电子元件</x:t>
        </x:is>
      </x:c>
      <x:c r="I3253" s="4" t="inlineStr">
        <x:is>
          <x:t xml:space="preserve">2020-10-21</x:t>
        </x:is>
      </x:c>
      <x:c r="J3253" s="5" t="inlineStr">
        <x:is>
          <x:t xml:space="preserve">江苏省常州市新北区新科路15号</x:t>
        </x:is>
      </x:c>
      <x:c r="K3253" s="12" t="str">
        <x:f>LEFT("913204117737977280",18)</x:f>
        <x:v>913204117737977300</x:v>
      </x:c>
    </x:row>
    <x:row r="3254">
      <x:c r="A3254" s="2" t="n">
        <x:v>3253</x:v>
      </x:c>
      <x:c r="B3254" s="2" t="inlineStr">
        <x:is>
          <x:t xml:space="preserve">605089</x:t>
        </x:is>
      </x:c>
      <x:c r="C3254" s="3" t="inlineStr">
        <x:is>
          <x:t xml:space="preserve">味知香</x:t>
        </x:is>
      </x:c>
      <x:c r="D3254" s="3" t="inlineStr">
        <x:is>
          <x:t xml:space="preserve">苏州市味知香食品股份有限公司</x:t>
        </x:is>
      </x:c>
      <x:c r="E3254" s="2" t="inlineStr">
        <x:is>
          <x:t xml:space="preserve">江苏省</x:t>
        </x:is>
      </x:c>
      <x:c r="F3254" s="2" t="inlineStr">
        <x:is>
          <x:t xml:space="preserve">苏州市</x:t>
        </x:is>
      </x:c>
      <x:c r="G3254" s="3" t="inlineStr">
        <x:is>
          <x:t xml:space="preserve">江苏省-苏州市</x:t>
        </x:is>
      </x:c>
      <x:c r="H3254" s="2" t="inlineStr">
        <x:is>
          <x:t xml:space="preserve">食品饮料</x:t>
        </x:is>
      </x:c>
      <x:c r="I3254" s="2" t="inlineStr">
        <x:is>
          <x:t xml:space="preserve">2021-04-27</x:t>
        </x:is>
      </x:c>
      <x:c r="J3254" s="3" t="inlineStr">
        <x:is>
          <x:t xml:space="preserve">苏州市吴中区郭巷淞芦路1778号</x:t>
        </x:is>
      </x:c>
      <x:c r="K3254" s="12" t="str">
        <x:f>LEFT("91320506683510172F",18)</x:f>
        <x:v>91320506683510172F</x:v>
      </x:c>
    </x:row>
    <x:row r="3255">
      <x:c r="A3255" s="4" t="n">
        <x:v>3254</x:v>
      </x:c>
      <x:c r="B3255" s="4" t="inlineStr">
        <x:is>
          <x:t xml:space="preserve">605099</x:t>
        </x:is>
      </x:c>
      <x:c r="C3255" s="5" t="inlineStr">
        <x:is>
          <x:t xml:space="preserve">共创草坪</x:t>
        </x:is>
      </x:c>
      <x:c r="D3255" s="5" t="inlineStr">
        <x:is>
          <x:t xml:space="preserve">江苏共创人造草坪股份有限公司</x:t>
        </x:is>
      </x:c>
      <x:c r="E3255" s="4" t="inlineStr">
        <x:is>
          <x:t xml:space="preserve">江苏省</x:t>
        </x:is>
      </x:c>
      <x:c r="F3255" s="4" t="inlineStr">
        <x:is>
          <x:t xml:space="preserve">淮安市</x:t>
        </x:is>
      </x:c>
      <x:c r="G3255" s="5" t="inlineStr">
        <x:is>
          <x:t xml:space="preserve">江苏省-淮安市</x:t>
        </x:is>
      </x:c>
      <x:c r="H3255" s="4" t="inlineStr">
        <x:is>
          <x:t xml:space="preserve">家用轻工</x:t>
        </x:is>
      </x:c>
      <x:c r="I3255" s="4" t="inlineStr">
        <x:is>
          <x:t xml:space="preserve">2020-09-30</x:t>
        </x:is>
      </x:c>
      <x:c r="J3255" s="5" t="inlineStr">
        <x:is>
          <x:t xml:space="preserve">淮安市淮安区经济开发区广州东路66号</x:t>
        </x:is>
      </x:c>
      <x:c r="K3255" s="12" t="str">
        <x:f>LEFT("9132080375795608X5",18)</x:f>
        <x:v>9132080375795608X5</x:v>
      </x:c>
    </x:row>
    <x:row r="3256">
      <x:c r="A3256" s="2" t="n">
        <x:v>3255</x:v>
      </x:c>
      <x:c r="B3256" s="2" t="inlineStr">
        <x:is>
          <x:t xml:space="preserve">605111</x:t>
        </x:is>
      </x:c>
      <x:c r="C3256" s="3" t="inlineStr">
        <x:is>
          <x:t xml:space="preserve">新洁能</x:t>
        </x:is>
      </x:c>
      <x:c r="D3256" s="3" t="inlineStr">
        <x:is>
          <x:t xml:space="preserve">无锡新洁能股份有限公司</x:t>
        </x:is>
      </x:c>
      <x:c r="E3256" s="2" t="inlineStr">
        <x:is>
          <x:t xml:space="preserve">江苏省</x:t>
        </x:is>
      </x:c>
      <x:c r="F3256" s="2" t="inlineStr">
        <x:is>
          <x:t xml:space="preserve">无锡市</x:t>
        </x:is>
      </x:c>
      <x:c r="G3256" s="3" t="inlineStr">
        <x:is>
          <x:t xml:space="preserve">江苏省-无锡市</x:t>
        </x:is>
      </x:c>
      <x:c r="H3256" s="2" t="inlineStr">
        <x:is>
          <x:t xml:space="preserve">半导体</x:t>
        </x:is>
      </x:c>
      <x:c r="I3256" s="2" t="inlineStr">
        <x:is>
          <x:t xml:space="preserve">2020-09-28</x:t>
        </x:is>
      </x:c>
      <x:c r="J3256" s="3" t="inlineStr">
        <x:is>
          <x:t xml:space="preserve">无锡市新吴区新晶路1号</x:t>
        </x:is>
      </x:c>
      <x:c r="K3256" s="12" t="str">
        <x:f>LEFT("913202000601816164",18)</x:f>
        <x:v>913202000601816200</x:v>
      </x:c>
    </x:row>
    <x:row r="3257">
      <x:c r="A3257" s="4" t="n">
        <x:v>3256</x:v>
      </x:c>
      <x:c r="B3257" s="4" t="inlineStr">
        <x:is>
          <x:t xml:space="preserve">605123</x:t>
        </x:is>
      </x:c>
      <x:c r="C3257" s="5" t="inlineStr">
        <x:is>
          <x:t xml:space="preserve">派克新材</x:t>
        </x:is>
      </x:c>
      <x:c r="D3257" s="5" t="inlineStr">
        <x:is>
          <x:t xml:space="preserve">无锡派克新材料科技股份有限公司</x:t>
        </x:is>
      </x:c>
      <x:c r="E3257" s="4" t="inlineStr">
        <x:is>
          <x:t xml:space="preserve">江苏省</x:t>
        </x:is>
      </x:c>
      <x:c r="F3257" s="4" t="inlineStr">
        <x:is>
          <x:t xml:space="preserve">无锡市</x:t>
        </x:is>
      </x:c>
      <x:c r="G3257" s="5" t="inlineStr">
        <x:is>
          <x:t xml:space="preserve">江苏省-无锡市</x:t>
        </x:is>
      </x:c>
      <x:c r="H3257" s="4" t="inlineStr">
        <x:is>
          <x:t xml:space="preserve">通用设备</x:t>
        </x:is>
      </x:c>
      <x:c r="I3257" s="4" t="inlineStr">
        <x:is>
          <x:t xml:space="preserve">2020-08-25</x:t>
        </x:is>
      </x:c>
      <x:c r="J3257" s="5" t="inlineStr">
        <x:is>
          <x:t xml:space="preserve">江苏省无锡市滨湖区胡埭工业安置区北区联合路</x:t>
        </x:is>
      </x:c>
      <x:c r="K3257" s="12" t="str">
        <x:f>LEFT("91320211790871547J",18)</x:f>
        <x:v>91320211790871547J</x:v>
      </x:c>
    </x:row>
    <x:row r="3258">
      <x:c r="A3258" s="2" t="n">
        <x:v>3257</x:v>
      </x:c>
      <x:c r="B3258" s="2" t="inlineStr">
        <x:is>
          <x:t xml:space="preserve">605133</x:t>
        </x:is>
      </x:c>
      <x:c r="C3258" s="3" t="inlineStr">
        <x:is>
          <x:t xml:space="preserve">嵘泰股份</x:t>
        </x:is>
      </x:c>
      <x:c r="D3258" s="3" t="inlineStr">
        <x:is>
          <x:t xml:space="preserve">江苏嵘泰工业股份有限公司</x:t>
        </x:is>
      </x:c>
      <x:c r="E3258" s="2" t="inlineStr">
        <x:is>
          <x:t xml:space="preserve">江苏省</x:t>
        </x:is>
      </x:c>
      <x:c r="F3258" s="2" t="inlineStr">
        <x:is>
          <x:t xml:space="preserve">扬州市</x:t>
        </x:is>
      </x:c>
      <x:c r="G3258" s="3" t="inlineStr">
        <x:is>
          <x:t xml:space="preserve">江苏省-扬州市</x:t>
        </x:is>
      </x:c>
      <x:c r="H3258" s="2" t="inlineStr">
        <x:is>
          <x:t xml:space="preserve">汽车行业</x:t>
        </x:is>
      </x:c>
      <x:c r="I3258" s="2" t="inlineStr">
        <x:is>
          <x:t xml:space="preserve">2021-02-24</x:t>
        </x:is>
      </x:c>
      <x:c r="J3258" s="3" t="inlineStr">
        <x:is>
          <x:t xml:space="preserve">扬州市江都区仙城工业园乐和路8号</x:t>
        </x:is>
      </x:c>
      <x:c r="K3258" s="12" t="str">
        <x:f>LEFT("913210007205614473",18)</x:f>
        <x:v>913210007205614500</x:v>
      </x:c>
    </x:row>
    <x:row r="3259">
      <x:c r="A3259" s="4" t="n">
        <x:v>3258</x:v>
      </x:c>
      <x:c r="B3259" s="4" t="inlineStr">
        <x:is>
          <x:t xml:space="preserve">605167</x:t>
        </x:is>
      </x:c>
      <x:c r="C3259" s="5" t="inlineStr">
        <x:is>
          <x:t xml:space="preserve">利柏特</x:t>
        </x:is>
      </x:c>
      <x:c r="D3259" s="5" t="inlineStr">
        <x:is>
          <x:t xml:space="preserve">江苏利柏特股份有限公司</x:t>
        </x:is>
      </x:c>
      <x:c r="E3259" s="4" t="inlineStr">
        <x:is>
          <x:t xml:space="preserve">江苏省</x:t>
        </x:is>
      </x:c>
      <x:c r="F3259" s="4" t="inlineStr">
        <x:is>
          <x:t xml:space="preserve">苏州市</x:t>
        </x:is>
      </x:c>
      <x:c r="G3259" s="5" t="inlineStr">
        <x:is>
          <x:t xml:space="preserve">江苏省-苏州市</x:t>
        </x:is>
      </x:c>
      <x:c r="H3259" s="4" t="inlineStr">
        <x:is>
          <x:t xml:space="preserve">专用设备</x:t>
        </x:is>
      </x:c>
      <x:c r="I3259" s="4" t="inlineStr">
        <x:is>
          <x:t xml:space="preserve">2021-07-26</x:t>
        </x:is>
      </x:c>
      <x:c r="J3259" s="5" t="inlineStr">
        <x:is>
          <x:t xml:space="preserve">江苏省张家港江苏扬子江重型装备产业园沿江公路2667号</x:t>
        </x:is>
      </x:c>
      <x:c r="K3259" s="12" t="str">
        <x:f>LEFT("913200007933479519",18)</x:f>
        <x:v>913200007933479600</x:v>
      </x:c>
    </x:row>
    <x:row r="3260">
      <x:c r="A3260" s="2" t="n">
        <x:v>3259</x:v>
      </x:c>
      <x:c r="B3260" s="2" t="inlineStr">
        <x:is>
          <x:t xml:space="preserve">605183</x:t>
        </x:is>
      </x:c>
      <x:c r="C3260" s="3" t="inlineStr">
        <x:is>
          <x:t xml:space="preserve">确成股份</x:t>
        </x:is>
      </x:c>
      <x:c r="D3260" s="3" t="inlineStr">
        <x:is>
          <x:t xml:space="preserve">确成硅化学股份有限公司</x:t>
        </x:is>
      </x:c>
      <x:c r="E3260" s="2" t="inlineStr">
        <x:is>
          <x:t xml:space="preserve">江苏省</x:t>
        </x:is>
      </x:c>
      <x:c r="F3260" s="2" t="inlineStr">
        <x:is>
          <x:t xml:space="preserve">无锡市</x:t>
        </x:is>
      </x:c>
      <x:c r="G3260" s="3" t="inlineStr">
        <x:is>
          <x:t xml:space="preserve">江苏省-无锡市</x:t>
        </x:is>
      </x:c>
      <x:c r="H3260" s="2" t="inlineStr">
        <x:is>
          <x:t xml:space="preserve">橡胶制品</x:t>
        </x:is>
      </x:c>
      <x:c r="I3260" s="2" t="inlineStr">
        <x:is>
          <x:t xml:space="preserve">2020-12-07</x:t>
        </x:is>
      </x:c>
      <x:c r="J3260" s="3" t="inlineStr">
        <x:is>
          <x:t xml:space="preserve">无锡市锡山区东港镇青港路25号</x:t>
        </x:is>
      </x:c>
      <x:c r="K3260" s="12" t="str">
        <x:f>LEFT("91320200746213635E",18)</x:f>
        <x:v>91320200746213635E</x:v>
      </x:c>
    </x:row>
    <x:row r="3261">
      <x:c r="A3261" s="4" t="n">
        <x:v>3260</x:v>
      </x:c>
      <x:c r="B3261" s="4" t="inlineStr">
        <x:is>
          <x:t xml:space="preserve">605218</x:t>
        </x:is>
      </x:c>
      <x:c r="C3261" s="5" t="inlineStr">
        <x:is>
          <x:t xml:space="preserve">伟时电子</x:t>
        </x:is>
      </x:c>
      <x:c r="D3261" s="5" t="inlineStr">
        <x:is>
          <x:t xml:space="preserve">伟时电子股份有限公司</x:t>
        </x:is>
      </x:c>
      <x:c r="E3261" s="4" t="inlineStr">
        <x:is>
          <x:t xml:space="preserve">江苏省</x:t>
        </x:is>
      </x:c>
      <x:c r="F3261" s="4" t="inlineStr">
        <x:is>
          <x:t xml:space="preserve">苏州市</x:t>
        </x:is>
      </x:c>
      <x:c r="G3261" s="5" t="inlineStr">
        <x:is>
          <x:t xml:space="preserve">江苏省-苏州市</x:t>
        </x:is>
      </x:c>
      <x:c r="H3261" s="4" t="inlineStr">
        <x:is>
          <x:t xml:space="preserve">光学光电子</x:t>
        </x:is>
      </x:c>
      <x:c r="I3261" s="4" t="inlineStr">
        <x:is>
          <x:t xml:space="preserve">2020-09-28</x:t>
        </x:is>
      </x:c>
      <x:c r="J3261" s="5" t="inlineStr">
        <x:is>
          <x:t xml:space="preserve">江苏省昆山开发区精密机械产业园云雀路299号</x:t>
        </x:is>
      </x:c>
      <x:c r="K3261" s="12" t="str">
        <x:f>LEFT("91320583753203830Q",18)</x:f>
        <x:v>91320583753203830Q</x:v>
      </x:c>
    </x:row>
    <x:row r="3262">
      <x:c r="A3262" s="2" t="n">
        <x:v>3261</x:v>
      </x:c>
      <x:c r="B3262" s="2" t="inlineStr">
        <x:is>
          <x:t xml:space="preserve">605258</x:t>
        </x:is>
      </x:c>
      <x:c r="C3262" s="3" t="inlineStr">
        <x:is>
          <x:t xml:space="preserve">协和电子</x:t>
        </x:is>
      </x:c>
      <x:c r="D3262" s="3" t="inlineStr">
        <x:is>
          <x:t xml:space="preserve">江苏协和电子股份有限公司</x:t>
        </x:is>
      </x:c>
      <x:c r="E3262" s="2" t="inlineStr">
        <x:is>
          <x:t xml:space="preserve">江苏省</x:t>
        </x:is>
      </x:c>
      <x:c r="F3262" s="2" t="inlineStr">
        <x:is>
          <x:t xml:space="preserve">常州市</x:t>
        </x:is>
      </x:c>
      <x:c r="G3262" s="3" t="inlineStr">
        <x:is>
          <x:t xml:space="preserve">江苏省-常州市</x:t>
        </x:is>
      </x:c>
      <x:c r="H3262" s="2" t="inlineStr">
        <x:is>
          <x:t xml:space="preserve">电子元件</x:t>
        </x:is>
      </x:c>
      <x:c r="I3262" s="2" t="inlineStr">
        <x:is>
          <x:t xml:space="preserve">2020-12-03</x:t>
        </x:is>
      </x:c>
      <x:c r="J3262" s="3" t="inlineStr">
        <x:is>
          <x:t xml:space="preserve">武进区横林镇塘头路4号</x:t>
        </x:is>
      </x:c>
      <x:c r="K3262" s="12" t="str">
        <x:f>LEFT("91320412718586266E",18)</x:f>
        <x:v>91320412718586266E</x:v>
      </x:c>
    </x:row>
    <x:row r="3263">
      <x:c r="A3263" s="4" t="n">
        <x:v>3262</x:v>
      </x:c>
      <x:c r="B3263" s="4" t="inlineStr">
        <x:is>
          <x:t xml:space="preserve">605286</x:t>
        </x:is>
      </x:c>
      <x:c r="C3263" s="5" t="inlineStr">
        <x:is>
          <x:t xml:space="preserve">同力天启</x:t>
        </x:is>
      </x:c>
      <x:c r="D3263" s="5" t="inlineStr">
        <x:is>
          <x:t xml:space="preserve">江苏同力天启科技股份有限公司</x:t>
        </x:is>
      </x:c>
      <x:c r="E3263" s="4" t="inlineStr">
        <x:is>
          <x:t xml:space="preserve">江苏省</x:t>
        </x:is>
      </x:c>
      <x:c r="F3263" s="4" t="inlineStr">
        <x:is>
          <x:t xml:space="preserve">苏省丹阳市</x:t>
        </x:is>
      </x:c>
      <x:c r="G3263" s="5" t="inlineStr">
        <x:is>
          <x:t xml:space="preserve">江苏省-苏省丹阳市</x:t>
        </x:is>
      </x:c>
      <x:c r="H3263" s="4" t="inlineStr">
        <x:is>
          <x:t xml:space="preserve">专用设备</x:t>
        </x:is>
      </x:c>
      <x:c r="I3263" s="4" t="inlineStr">
        <x:is>
          <x:t xml:space="preserve">2021-03-22</x:t>
        </x:is>
      </x:c>
      <x:c r="J3263" s="5" t="inlineStr">
        <x:is>
          <x:t xml:space="preserve">江苏省丹阳市经济开发区贺家路55号</x:t>
        </x:is>
      </x:c>
      <x:c r="K3263" s="12" t="str">
        <x:f>LEFT("913211817532411082",18)</x:f>
        <x:v>913211817532411100</x:v>
      </x:c>
    </x:row>
    <x:row r="3264">
      <x:c r="A3264" s="2" t="n">
        <x:v>3263</x:v>
      </x:c>
      <x:c r="B3264" s="2" t="inlineStr">
        <x:is>
          <x:t xml:space="preserve">605288</x:t>
        </x:is>
      </x:c>
      <x:c r="C3264" s="3" t="inlineStr">
        <x:is>
          <x:t xml:space="preserve">凯迪股份</x:t>
        </x:is>
      </x:c>
      <x:c r="D3264" s="3" t="inlineStr">
        <x:is>
          <x:t xml:space="preserve">常州市凯迪电器股份有限公司</x:t>
        </x:is>
      </x:c>
      <x:c r="E3264" s="2" t="inlineStr">
        <x:is>
          <x:t xml:space="preserve">江苏省</x:t>
        </x:is>
      </x:c>
      <x:c r="F3264" s="2" t="inlineStr">
        <x:is>
          <x:t xml:space="preserve">常州市</x:t>
        </x:is>
      </x:c>
      <x:c r="G3264" s="3" t="inlineStr">
        <x:is>
          <x:t xml:space="preserve">江苏省-常州市</x:t>
        </x:is>
      </x:c>
      <x:c r="H3264" s="2" t="inlineStr">
        <x:is>
          <x:t xml:space="preserve">专用设备</x:t>
        </x:is>
      </x:c>
      <x:c r="I3264" s="2" t="inlineStr">
        <x:is>
          <x:t xml:space="preserve">2020-06-01</x:t>
        </x:is>
      </x:c>
      <x:c r="J3264" s="3" t="inlineStr">
        <x:is>
          <x:t xml:space="preserve">江苏省常州市武进区横林镇江村</x:t>
        </x:is>
      </x:c>
      <x:c r="K3264" s="12" t="str">
        <x:f>LEFT("91320412250981622Q",18)</x:f>
        <x:v>91320412250981622Q</x:v>
      </x:c>
    </x:row>
    <x:row r="3265">
      <x:c r="A3265" s="4" t="n">
        <x:v>3264</x:v>
      </x:c>
      <x:c r="B3265" s="4" t="inlineStr">
        <x:is>
          <x:t xml:space="preserve">605298</x:t>
        </x:is>
      </x:c>
      <x:c r="C3265" s="5" t="inlineStr">
        <x:is>
          <x:t xml:space="preserve">必得科技</x:t>
        </x:is>
      </x:c>
      <x:c r="D3265" s="5" t="inlineStr">
        <x:is>
          <x:t xml:space="preserve">江苏必得科技股份有限公司</x:t>
        </x:is>
      </x:c>
      <x:c r="E3265" s="4" t="inlineStr">
        <x:is>
          <x:t xml:space="preserve">江苏省</x:t>
        </x:is>
      </x:c>
      <x:c r="F3265" s="4" t="inlineStr">
        <x:is>
          <x:t xml:space="preserve">江阴市</x:t>
        </x:is>
      </x:c>
      <x:c r="G3265" s="5" t="inlineStr">
        <x:is>
          <x:t xml:space="preserve">江苏省-江阴市</x:t>
        </x:is>
      </x:c>
      <x:c r="H3265" s="4" t="inlineStr">
        <x:is>
          <x:t xml:space="preserve">交运设备</x:t>
        </x:is>
      </x:c>
      <x:c r="I3265" s="4" t="inlineStr">
        <x:is>
          <x:t xml:space="preserve">2021-03-01</x:t>
        </x:is>
      </x:c>
      <x:c r="J3265" s="5" t="inlineStr">
        <x:is>
          <x:t xml:space="preserve">江阴市月城镇黄杨路6号</x:t>
        </x:is>
      </x:c>
      <x:c r="K3265" s="12" t="str">
        <x:f>LEFT("91320200743701078X",18)</x:f>
        <x:v>91320200743701078X</x:v>
      </x:c>
    </x:row>
    <x:row r="3266">
      <x:c r="A3266" s="2" t="n">
        <x:v>3265</x:v>
      </x:c>
      <x:c r="B3266" s="2" t="inlineStr">
        <x:is>
          <x:t xml:space="preserve">605300</x:t>
        </x:is>
      </x:c>
      <x:c r="C3266" s="3" t="inlineStr">
        <x:is>
          <x:t xml:space="preserve">佳禾食品</x:t>
        </x:is>
      </x:c>
      <x:c r="D3266" s="3" t="inlineStr">
        <x:is>
          <x:t xml:space="preserve">佳禾食品工业股份有限公司</x:t>
        </x:is>
      </x:c>
      <x:c r="E3266" s="2" t="inlineStr">
        <x:is>
          <x:t xml:space="preserve">江苏省</x:t>
        </x:is>
      </x:c>
      <x:c r="F3266" s="2" t="inlineStr">
        <x:is>
          <x:t xml:space="preserve">苏州市</x:t>
        </x:is>
      </x:c>
      <x:c r="G3266" s="3" t="inlineStr">
        <x:is>
          <x:t xml:space="preserve">江苏省-苏州市</x:t>
        </x:is>
      </x:c>
      <x:c r="H3266" s="2" t="inlineStr">
        <x:is>
          <x:t xml:space="preserve">食品饮料</x:t>
        </x:is>
      </x:c>
      <x:c r="I3266" s="2" t="inlineStr">
        <x:is>
          <x:t xml:space="preserve">2021-04-30</x:t>
        </x:is>
      </x:c>
      <x:c r="J3266" s="3" t="inlineStr">
        <x:is>
          <x:t xml:space="preserve">江苏省苏州市吴江区松陵镇友谊工业区五方路127号</x:t>
        </x:is>
      </x:c>
      <x:c r="K3266" s="12" t="str">
        <x:f>LEFT("913205097280085585",18)</x:f>
        <x:v>913205097280085600</x:v>
      </x:c>
    </x:row>
    <x:row r="3267">
      <x:c r="A3267" s="4" t="n">
        <x:v>3266</x:v>
      </x:c>
      <x:c r="B3267" s="4" t="inlineStr">
        <x:is>
          <x:t xml:space="preserve">605319</x:t>
        </x:is>
      </x:c>
      <x:c r="C3267" s="5" t="inlineStr">
        <x:is>
          <x:t xml:space="preserve">无锡振华</x:t>
        </x:is>
      </x:c>
      <x:c r="D3267" s="5" t="inlineStr">
        <x:is>
          <x:t xml:space="preserve">无锡市振华汽车部件股份有限公司</x:t>
        </x:is>
      </x:c>
      <x:c r="E3267" s="4" t="inlineStr">
        <x:is>
          <x:t xml:space="preserve">江苏省</x:t>
        </x:is>
      </x:c>
      <x:c r="F3267" s="4" t="inlineStr">
        <x:is>
          <x:t xml:space="preserve">无锡市</x:t>
        </x:is>
      </x:c>
      <x:c r="G3267" s="5" t="inlineStr">
        <x:is>
          <x:t xml:space="preserve">江苏省-无锡市</x:t>
        </x:is>
      </x:c>
      <x:c r="H3267" s="4" t="inlineStr">
        <x:is>
          <x:t xml:space="preserve">汽车行业</x:t>
        </x:is>
      </x:c>
      <x:c r="I3267" s="4" t="inlineStr">
        <x:is>
          <x:t xml:space="preserve">2021-06-07</x:t>
        </x:is>
      </x:c>
      <x:c r="J3267" s="5" t="inlineStr">
        <x:is>
          <x:t xml:space="preserve">无锡市滨湖区胡埭镇陆藕东路188号</x:t>
        </x:is>
      </x:c>
      <x:c r="K3267" s="12" t="str">
        <x:f>LEFT("91320211250066467M",18)</x:f>
        <x:v>91320211250066467M</x:v>
      </x:c>
    </x:row>
    <x:row r="3268">
      <x:c r="A3268" s="2" t="n">
        <x:v>3267</x:v>
      </x:c>
      <x:c r="B3268" s="2" t="inlineStr">
        <x:is>
          <x:t xml:space="preserve">605333</x:t>
        </x:is>
      </x:c>
      <x:c r="C3268" s="3" t="inlineStr">
        <x:is>
          <x:t xml:space="preserve">沪光股份</x:t>
        </x:is>
      </x:c>
      <x:c r="D3268" s="3" t="inlineStr">
        <x:is>
          <x:t xml:space="preserve">昆山沪光汽车电器股份有限公司</x:t>
        </x:is>
      </x:c>
      <x:c r="E3268" s="2" t="inlineStr">
        <x:is>
          <x:t xml:space="preserve">江苏省</x:t>
        </x:is>
      </x:c>
      <x:c r="F3268" s="2" t="inlineStr">
        <x:is>
          <x:t xml:space="preserve">昆山市</x:t>
        </x:is>
      </x:c>
      <x:c r="G3268" s="3" t="inlineStr">
        <x:is>
          <x:t xml:space="preserve">江苏省-昆山市</x:t>
        </x:is>
      </x:c>
      <x:c r="H3268" s="2" t="inlineStr">
        <x:is>
          <x:t xml:space="preserve">汽车行业</x:t>
        </x:is>
      </x:c>
      <x:c r="I3268" s="2" t="inlineStr">
        <x:is>
          <x:t xml:space="preserve">2020-08-18</x:t>
        </x:is>
      </x:c>
      <x:c r="J3268" s="3" t="inlineStr">
        <x:is>
          <x:t xml:space="preserve">昆山市张浦镇沪光路388号</x:t>
        </x:is>
      </x:c>
      <x:c r="K3268" s="12" t="str">
        <x:f>LEFT("91320583251272131X",18)</x:f>
        <x:v>91320583251272131X</x:v>
      </x:c>
    </x:row>
    <x:row r="3269">
      <x:c r="A3269" s="4" t="n">
        <x:v>3268</x:v>
      </x:c>
      <x:c r="B3269" s="4" t="inlineStr">
        <x:is>
          <x:t xml:space="preserve">605376</x:t>
        </x:is>
      </x:c>
      <x:c r="C3269" s="5" t="inlineStr">
        <x:is>
          <x:t xml:space="preserve">博迁新材</x:t>
        </x:is>
      </x:c>
      <x:c r="D3269" s="5" t="inlineStr">
        <x:is>
          <x:t xml:space="preserve">江苏博迁新材料股份有限公司</x:t>
        </x:is>
      </x:c>
      <x:c r="E3269" s="4" t="inlineStr">
        <x:is>
          <x:t xml:space="preserve">江苏省</x:t>
        </x:is>
      </x:c>
      <x:c r="F3269" s="4" t="inlineStr">
        <x:is>
          <x:t xml:space="preserve">宿迁市</x:t>
        </x:is>
      </x:c>
      <x:c r="G3269" s="5" t="inlineStr">
        <x:is>
          <x:t xml:space="preserve">江苏省-宿迁市</x:t>
        </x:is>
      </x:c>
      <x:c r="H3269" s="4" t="inlineStr">
        <x:is>
          <x:t xml:space="preserve">小金属</x:t>
        </x:is>
      </x:c>
      <x:c r="I3269" s="4" t="inlineStr">
        <x:is>
          <x:t xml:space="preserve">2020-12-08</x:t>
        </x:is>
      </x:c>
      <x:c r="J3269" s="5" t="inlineStr">
        <x:is>
          <x:t xml:space="preserve">江苏省宿迁市高新技术开发区江山大道23号</x:t>
        </x:is>
      </x:c>
      <x:c r="K3269" s="12" t="str">
        <x:f>LEFT("91321300564312317F",18)</x:f>
        <x:v>91321300564312317F</x:v>
      </x:c>
    </x:row>
    <x:row r="3270">
      <x:c r="A3270" s="2" t="n">
        <x:v>3269</x:v>
      </x:c>
      <x:c r="B3270" s="2" t="inlineStr">
        <x:is>
          <x:t xml:space="preserve">605389</x:t>
        </x:is>
      </x:c>
      <x:c r="C3270" s="3" t="inlineStr">
        <x:is>
          <x:t xml:space="preserve">长龄液压</x:t>
        </x:is>
      </x:c>
      <x:c r="D3270" s="3" t="inlineStr">
        <x:is>
          <x:t xml:space="preserve">江苏长龄液压股份有限公司</x:t>
        </x:is>
      </x:c>
      <x:c r="E3270" s="2" t="inlineStr">
        <x:is>
          <x:t xml:space="preserve">江苏省</x:t>
        </x:is>
      </x:c>
      <x:c r="F3270" s="2" t="inlineStr">
        <x:is>
          <x:t xml:space="preserve">江阴市</x:t>
        </x:is>
      </x:c>
      <x:c r="G3270" s="3" t="inlineStr">
        <x:is>
          <x:t xml:space="preserve">江苏省-江阴市</x:t>
        </x:is>
      </x:c>
      <x:c r="H3270" s="2" t="inlineStr">
        <x:is>
          <x:t xml:space="preserve">工程机械</x:t>
        </x:is>
      </x:c>
      <x:c r="I3270" s="2" t="inlineStr">
        <x:is>
          <x:t xml:space="preserve">2021-03-22</x:t>
        </x:is>
      </x:c>
      <x:c r="J3270" s="3" t="inlineStr">
        <x:is>
          <x:t xml:space="preserve">江阴市云亭街道云顾路885号</x:t>
        </x:is>
      </x:c>
      <x:c r="K3270" s="12" t="str">
        <x:f>LEFT("913202817961489070",18)</x:f>
        <x:v>913202817961489000</x:v>
      </x:c>
    </x:row>
    <x:row r="3271">
      <x:c r="A3271" s="4" t="n">
        <x:v>3270</x:v>
      </x:c>
      <x:c r="B3271" s="4" t="inlineStr">
        <x:is>
          <x:t xml:space="preserve">605588</x:t>
        </x:is>
      </x:c>
      <x:c r="C3271" s="5" t="inlineStr">
        <x:is>
          <x:t xml:space="preserve">冠石科技</x:t>
        </x:is>
      </x:c>
      <x:c r="D3271" s="5" t="inlineStr">
        <x:is>
          <x:t xml:space="preserve">南京冠石科技股份有限公司</x:t>
        </x:is>
      </x:c>
      <x:c r="E3271" s="4" t="inlineStr">
        <x:is>
          <x:t xml:space="preserve">江苏省</x:t>
        </x:is>
      </x:c>
      <x:c r="F3271" s="4" t="inlineStr">
        <x:is>
          <x:t xml:space="preserve">南京市</x:t>
        </x:is>
      </x:c>
      <x:c r="G3271" s="5" t="inlineStr">
        <x:is>
          <x:t xml:space="preserve">江苏省-南京市</x:t>
        </x:is>
      </x:c>
      <x:c r="H3271" s="4" t="inlineStr">
        <x:is>
          <x:t xml:space="preserve">半导体</x:t>
        </x:is>
      </x:c>
      <x:c r="I3271" s="4" t="inlineStr">
        <x:is>
          <x:t xml:space="preserve">2021-08-12</x:t>
        </x:is>
      </x:c>
      <x:c r="J3271" s="5" t="inlineStr">
        <x:is>
          <x:t xml:space="preserve">南京经济技术开发区恒通大道60号</x:t>
        </x:is>
      </x:c>
      <x:c r="K3271" s="12" t="str">
        <x:f>LEFT("913201047331697519",18)</x:f>
        <x:v>913201047331697500</x:v>
      </x:c>
    </x:row>
    <x:row r="3272">
      <x:c r="A3272" s="2" t="n">
        <x:v>3271</x:v>
      </x:c>
      <x:c r="B3272" s="2" t="inlineStr">
        <x:is>
          <x:t xml:space="preserve">688001</x:t>
        </x:is>
      </x:c>
      <x:c r="C3272" s="3" t="inlineStr">
        <x:is>
          <x:t xml:space="preserve">华兴源创</x:t>
        </x:is>
      </x:c>
      <x:c r="D3272" s="3" t="inlineStr">
        <x:is>
          <x:t xml:space="preserve">苏州华兴源创科技股份有限公司</x:t>
        </x:is>
      </x:c>
      <x:c r="E3272" s="2" t="inlineStr">
        <x:is>
          <x:t xml:space="preserve">江苏省</x:t>
        </x:is>
      </x:c>
      <x:c r="F3272" s="2" t="inlineStr">
        <x:is>
          <x:t xml:space="preserve">苏州市</x:t>
        </x:is>
      </x:c>
      <x:c r="G3272" s="3" t="inlineStr">
        <x:is>
          <x:t xml:space="preserve">江苏省-苏州市</x:t>
        </x:is>
      </x:c>
      <x:c r="H3272" s="2" t="inlineStr">
        <x:is>
          <x:t xml:space="preserve">专用设备</x:t>
        </x:is>
      </x:c>
      <x:c r="I3272" s="2" t="inlineStr">
        <x:is>
          <x:t xml:space="preserve">2019-07-22</x:t>
        </x:is>
      </x:c>
      <x:c r="J3272" s="3" t="inlineStr">
        <x:is>
          <x:t xml:space="preserve">江苏省苏州市吴中区苏州工业园区青丘巷8号</x:t>
        </x:is>
      </x:c>
      <x:c r="K3272" s="12" t="str">
        <x:f>LEFT("91320594776412379N",18)</x:f>
        <x:v>91320594776412379N</x:v>
      </x:c>
    </x:row>
    <x:row r="3273">
      <x:c r="A3273" s="4" t="n">
        <x:v>3272</x:v>
      </x:c>
      <x:c r="B3273" s="4" t="inlineStr">
        <x:is>
          <x:t xml:space="preserve">688003</x:t>
        </x:is>
      </x:c>
      <x:c r="C3273" s="5" t="inlineStr">
        <x:is>
          <x:t xml:space="preserve">天准科技</x:t>
        </x:is>
      </x:c>
      <x:c r="D3273" s="5" t="inlineStr">
        <x:is>
          <x:t xml:space="preserve">苏州天准科技股份有限公司</x:t>
        </x:is>
      </x:c>
      <x:c r="E3273" s="4" t="inlineStr">
        <x:is>
          <x:t xml:space="preserve">江苏省</x:t>
        </x:is>
      </x:c>
      <x:c r="F3273" s="4" t="inlineStr">
        <x:is>
          <x:t xml:space="preserve">苏州市</x:t>
        </x:is>
      </x:c>
      <x:c r="G3273" s="5" t="inlineStr">
        <x:is>
          <x:t xml:space="preserve">江苏省-苏州市</x:t>
        </x:is>
      </x:c>
      <x:c r="H3273" s="4" t="inlineStr">
        <x:is>
          <x:t xml:space="preserve">通用设备</x:t>
        </x:is>
      </x:c>
      <x:c r="I3273" s="4" t="inlineStr">
        <x:is>
          <x:t xml:space="preserve">2019-07-22</x:t>
        </x:is>
      </x:c>
      <x:c r="J3273" s="5" t="inlineStr">
        <x:is>
          <x:t xml:space="preserve">江苏省苏州市高新区五台山路188号</x:t>
        </x:is>
      </x:c>
      <x:c r="K3273" s="12" t="str">
        <x:f>LEFT("91320500694456896Y",18)</x:f>
        <x:v>91320500694456896Y</x:v>
      </x:c>
    </x:row>
    <x:row r="3274">
      <x:c r="A3274" s="2" t="n">
        <x:v>3273</x:v>
      </x:c>
      <x:c r="B3274" s="2" t="inlineStr">
        <x:is>
          <x:t xml:space="preserve">688013</x:t>
        </x:is>
      </x:c>
      <x:c r="C3274" s="3" t="inlineStr">
        <x:is>
          <x:t xml:space="preserve">天臣医疗</x:t>
        </x:is>
      </x:c>
      <x:c r="D3274" s="3" t="inlineStr">
        <x:is>
          <x:t xml:space="preserve">天臣国际医疗科技股份有限公司</x:t>
        </x:is>
      </x:c>
      <x:c r="E3274" s="2" t="inlineStr">
        <x:is>
          <x:t xml:space="preserve">江苏省</x:t>
        </x:is>
      </x:c>
      <x:c r="F3274" s="2" t="inlineStr">
        <x:is>
          <x:t xml:space="preserve">苏州市</x:t>
        </x:is>
      </x:c>
      <x:c r="G3274" s="3" t="inlineStr">
        <x:is>
          <x:t xml:space="preserve">江苏省-苏州市</x:t>
        </x:is>
      </x:c>
      <x:c r="H3274" s="2" t="inlineStr">
        <x:is>
          <x:t xml:space="preserve">医疗器械</x:t>
        </x:is>
      </x:c>
      <x:c r="I3274" s="2" t="inlineStr">
        <x:is>
          <x:t xml:space="preserve">2020-09-28</x:t>
        </x:is>
      </x:c>
      <x:c r="J3274" s="3" t="inlineStr">
        <x:is>
          <x:t xml:space="preserve">苏州工业园区东平街278号</x:t>
        </x:is>
      </x:c>
      <x:c r="K3274" s="12" t="str">
        <x:f>LEFT("91320594761502929D",18)</x:f>
        <x:v>91320594761502929D</x:v>
      </x:c>
    </x:row>
    <x:row r="3275">
      <x:c r="A3275" s="4" t="n">
        <x:v>3274</x:v>
      </x:c>
      <x:c r="B3275" s="4" t="inlineStr">
        <x:is>
          <x:t xml:space="preserve">688017</x:t>
        </x:is>
      </x:c>
      <x:c r="C3275" s="5" t="inlineStr">
        <x:is>
          <x:t xml:space="preserve">绿的谐波</x:t>
        </x:is>
      </x:c>
      <x:c r="D3275" s="5" t="inlineStr">
        <x:is>
          <x:t xml:space="preserve">苏州绿的谐波传动科技股份有限公司</x:t>
        </x:is>
      </x:c>
      <x:c r="E3275" s="4" t="inlineStr">
        <x:is>
          <x:t xml:space="preserve">江苏省</x:t>
        </x:is>
      </x:c>
      <x:c r="F3275" s="4" t="inlineStr">
        <x:is>
          <x:t xml:space="preserve">苏州市</x:t>
        </x:is>
      </x:c>
      <x:c r="G3275" s="5" t="inlineStr">
        <x:is>
          <x:t xml:space="preserve">江苏省-苏州市</x:t>
        </x:is>
      </x:c>
      <x:c r="H3275" s="4" t="inlineStr">
        <x:is>
          <x:t xml:space="preserve">机械行业</x:t>
        </x:is>
      </x:c>
      <x:c r="I3275" s="4" t="inlineStr">
        <x:is>
          <x:t xml:space="preserve">2020-08-28</x:t>
        </x:is>
      </x:c>
      <x:c r="J3275" s="5" t="inlineStr">
        <x:is>
          <x:t xml:space="preserve">苏州市吴中区木渎镇尧峰西路68号</x:t>
        </x:is>
      </x:c>
      <x:c r="K3275" s="12" t="str">
        <x:f>LEFT("91320506567813635P",18)</x:f>
        <x:v>91320506567813635P</x:v>
      </x:c>
    </x:row>
    <x:row r="3276">
      <x:c r="A3276" s="2" t="n">
        <x:v>3275</x:v>
      </x:c>
      <x:c r="B3276" s="2" t="inlineStr">
        <x:is>
          <x:t xml:space="preserve">688022</x:t>
        </x:is>
      </x:c>
      <x:c r="C3276" s="3" t="inlineStr">
        <x:is>
          <x:t xml:space="preserve">瀚川智能</x:t>
        </x:is>
      </x:c>
      <x:c r="D3276" s="3" t="inlineStr">
        <x:is>
          <x:t xml:space="preserve">苏州瀚川智能科技股份有限公司</x:t>
        </x:is>
      </x:c>
      <x:c r="E3276" s="2" t="inlineStr">
        <x:is>
          <x:t xml:space="preserve">江苏省</x:t>
        </x:is>
      </x:c>
      <x:c r="F3276" s="2" t="inlineStr">
        <x:is>
          <x:t xml:space="preserve">苏州市</x:t>
        </x:is>
      </x:c>
      <x:c r="G3276" s="3" t="inlineStr">
        <x:is>
          <x:t xml:space="preserve">江苏省-苏州市</x:t>
        </x:is>
      </x:c>
      <x:c r="H3276" s="2" t="inlineStr">
        <x:is>
          <x:t xml:space="preserve">专用设备</x:t>
        </x:is>
      </x:c>
      <x:c r="I3276" s="2" t="inlineStr">
        <x:is>
          <x:t xml:space="preserve">2019-07-22</x:t>
        </x:is>
      </x:c>
      <x:c r="J3276" s="3" t="inlineStr">
        <x:is>
          <x:t xml:space="preserve">苏州工业园区听涛路32号</x:t>
        </x:is>
      </x:c>
      <x:c r="K3276" s="12" t="str">
        <x:f>LEFT("913205940566944194",18)</x:f>
        <x:v>913205940566944300</x:v>
      </x:c>
    </x:row>
    <x:row r="3277">
      <x:c r="A3277" s="4" t="n">
        <x:v>3276</x:v>
      </x:c>
      <x:c r="B3277" s="4" t="inlineStr">
        <x:is>
          <x:t xml:space="preserve">688029</x:t>
        </x:is>
      </x:c>
      <x:c r="C3277" s="5" t="inlineStr">
        <x:is>
          <x:t xml:space="preserve">南微医学</x:t>
        </x:is>
      </x:c>
      <x:c r="D3277" s="5" t="inlineStr">
        <x:is>
          <x:t xml:space="preserve">南微医学科技股份有限公司</x:t>
        </x:is>
      </x:c>
      <x:c r="E3277" s="4" t="inlineStr">
        <x:is>
          <x:t xml:space="preserve">江苏省</x:t>
        </x:is>
      </x:c>
      <x:c r="F3277" s="4" t="inlineStr">
        <x:is>
          <x:t xml:space="preserve">南京市</x:t>
        </x:is>
      </x:c>
      <x:c r="G3277" s="5" t="inlineStr">
        <x:is>
          <x:t xml:space="preserve">江苏省-南京市</x:t>
        </x:is>
      </x:c>
      <x:c r="H3277" s="4" t="inlineStr">
        <x:is>
          <x:t xml:space="preserve">医疗器械</x:t>
        </x:is>
      </x:c>
      <x:c r="I3277" s="4" t="inlineStr">
        <x:is>
          <x:t xml:space="preserve">2019-07-22</x:t>
        </x:is>
      </x:c>
      <x:c r="J3277" s="5" t="inlineStr">
        <x:is>
          <x:t xml:space="preserve">南京高新开发区高科三路10号</x:t>
        </x:is>
      </x:c>
      <x:c r="K3277" s="12" t="str">
        <x:f>LEFT("913201006089812733",18)</x:f>
        <x:v>913201006089812700</x:v>
      </x:c>
    </x:row>
    <x:row r="3278">
      <x:c r="A3278" s="2" t="n">
        <x:v>3277</x:v>
      </x:c>
      <x:c r="B3278" s="2" t="inlineStr">
        <x:is>
          <x:t xml:space="preserve">688030</x:t>
        </x:is>
      </x:c>
      <x:c r="C3278" s="3" t="inlineStr">
        <x:is>
          <x:t xml:space="preserve">山石网科</x:t>
        </x:is>
      </x:c>
      <x:c r="D3278" s="3" t="inlineStr">
        <x:is>
          <x:t xml:space="preserve">山石网科通信技术股份有限公司</x:t>
        </x:is>
      </x:c>
      <x:c r="E3278" s="2" t="inlineStr">
        <x:is>
          <x:t xml:space="preserve">江苏省</x:t>
        </x:is>
      </x:c>
      <x:c r="F3278" s="2" t="inlineStr">
        <x:is>
          <x:t xml:space="preserve">苏州市</x:t>
        </x:is>
      </x:c>
      <x:c r="G3278" s="3" t="inlineStr">
        <x:is>
          <x:t xml:space="preserve">江苏省-苏州市</x:t>
        </x:is>
      </x:c>
      <x:c r="H3278" s="2" t="inlineStr">
        <x:is>
          <x:t xml:space="preserve">软件服务</x:t>
        </x:is>
      </x:c>
      <x:c r="I3278" s="2" t="inlineStr">
        <x:is>
          <x:t xml:space="preserve">2019-09-30</x:t>
        </x:is>
      </x:c>
      <x:c r="J3278" s="3" t="inlineStr">
        <x:is>
          <x:t xml:space="preserve">苏州高新区景润路181号</x:t>
        </x:is>
      </x:c>
      <x:c r="K3278" s="12" t="str">
        <x:f>LEFT("91320505578177101Y",18)</x:f>
        <x:v>91320505578177101Y</x:v>
      </x:c>
    </x:row>
    <x:row r="3279">
      <x:c r="A3279" s="4" t="n">
        <x:v>3278</x:v>
      </x:c>
      <x:c r="B3279" s="4" t="inlineStr">
        <x:is>
          <x:t xml:space="preserve">688046</x:t>
        </x:is>
      </x:c>
      <x:c r="C3279" s="5" t="inlineStr">
        <x:is>
          <x:t xml:space="preserve">药康生物</x:t>
        </x:is>
      </x:c>
      <x:c r="D3279" s="5" t="inlineStr">
        <x:is>
          <x:t xml:space="preserve">江苏集萃药康生物科技股份有限公司</x:t>
        </x:is>
      </x:c>
      <x:c r="E3279" s="4" t="inlineStr">
        <x:is>
          <x:t xml:space="preserve">江苏省</x:t>
        </x:is>
      </x:c>
      <x:c r="F3279" s="4" t="inlineStr">
        <x:is>
          <x:t xml:space="preserve">南京市</x:t>
        </x:is>
      </x:c>
      <x:c r="G3279" s="5" t="inlineStr">
        <x:is>
          <x:t xml:space="preserve">江苏省-南京市</x:t>
        </x:is>
      </x:c>
      <x:c r="H3279" s="4" t="inlineStr">
        <x:is>
          <x:t xml:space="preserve">生物制品</x:t>
        </x:is>
      </x:c>
      <x:c r="I3279" s="4" t="inlineStr">
        <x:is>
          <x:t xml:space="preserve">2022-04-25</x:t>
        </x:is>
      </x:c>
      <x:c r="J3279" s="5" t="inlineStr">
        <x:is>
          <x:t xml:space="preserve">南京市江北新区学府路12号</x:t>
        </x:is>
      </x:c>
      <x:c r="K3279" s="12" t="str">
        <x:f>LEFT("91320191MA1UTR1P95",18)</x:f>
        <x:v>91320191MA1UTR1P95</x:v>
      </x:c>
    </x:row>
    <x:row r="3280">
      <x:c r="A3280" s="2" t="n">
        <x:v>3279</x:v>
      </x:c>
      <x:c r="B3280" s="2" t="inlineStr">
        <x:is>
          <x:t xml:space="preserve">688048</x:t>
        </x:is>
      </x:c>
      <x:c r="C3280" s="3" t="inlineStr">
        <x:is>
          <x:t xml:space="preserve">长光华芯</x:t>
        </x:is>
      </x:c>
      <x:c r="D3280" s="3" t="inlineStr">
        <x:is>
          <x:t xml:space="preserve">苏州长光华芯光电技术股份有限公司</x:t>
        </x:is>
      </x:c>
      <x:c r="E3280" s="2" t="inlineStr">
        <x:is>
          <x:t xml:space="preserve">江苏省</x:t>
        </x:is>
      </x:c>
      <x:c r="F3280" s="2" t="inlineStr">
        <x:is>
          <x:t xml:space="preserve">苏州市</x:t>
        </x:is>
      </x:c>
      <x:c r="G3280" s="3" t="inlineStr">
        <x:is>
          <x:t xml:space="preserve">江苏省-苏州市</x:t>
        </x:is>
      </x:c>
      <x:c r="H3280" s="2" t="inlineStr">
        <x:is>
          <x:t xml:space="preserve">半导体</x:t>
        </x:is>
      </x:c>
      <x:c r="I3280" s="2" t="inlineStr">
        <x:is>
          <x:t xml:space="preserve">2022-04-01</x:t>
        </x:is>
      </x:c>
      <x:c r="J3280" s="3" t="inlineStr">
        <x:is>
          <x:t xml:space="preserve">苏州市高新区漓江路56号</x:t>
        </x:is>
      </x:c>
      <x:c r="K3280" s="12" t="str">
        <x:f>LEFT("91320505591155353G",18)</x:f>
        <x:v>91320505591155353G</x:v>
      </x:c>
    </x:row>
    <x:row r="3281">
      <x:c r="A3281" s="4" t="n">
        <x:v>3280</x:v>
      </x:c>
      <x:c r="B3281" s="4" t="inlineStr">
        <x:is>
          <x:t xml:space="preserve">688052</x:t>
        </x:is>
      </x:c>
      <x:c r="C3281" s="5" t="inlineStr">
        <x:is>
          <x:t xml:space="preserve">纳芯微</x:t>
        </x:is>
      </x:c>
      <x:c r="D3281" s="5" t="inlineStr">
        <x:is>
          <x:t xml:space="preserve">苏州纳芯微电子股份有限公司</x:t>
        </x:is>
      </x:c>
      <x:c r="E3281" s="4" t="inlineStr">
        <x:is>
          <x:t xml:space="preserve">江苏省</x:t>
        </x:is>
      </x:c>
      <x:c r="F3281" s="4" t="inlineStr">
        <x:is>
          <x:t xml:space="preserve">苏州市</x:t>
        </x:is>
      </x:c>
      <x:c r="G3281" s="5" t="inlineStr">
        <x:is>
          <x:t xml:space="preserve">江苏省-苏州市</x:t>
        </x:is>
      </x:c>
      <x:c r="H3281" s="4" t="inlineStr">
        <x:is>
          <x:t xml:space="preserve">半导体</x:t>
        </x:is>
      </x:c>
      <x:c r="I3281" s="4" t="inlineStr">
        <x:is>
          <x:t xml:space="preserve">2022-04-22</x:t>
        </x:is>
      </x:c>
      <x:c r="J3281" s="5" t="inlineStr">
        <x:is>
          <x:t xml:space="preserve">苏州工业园区东荡田巷9号</x:t>
        </x:is>
      </x:c>
      <x:c r="K3281" s="12" t="str">
        <x:f>LEFT("9132059406948076X3",18)</x:f>
        <x:v>9132059406948076X3</x:v>
      </x:c>
    </x:row>
    <x:row r="3282">
      <x:c r="A3282" s="2" t="n">
        <x:v>3281</x:v>
      </x:c>
      <x:c r="B3282" s="2" t="inlineStr">
        <x:is>
          <x:t xml:space="preserve">688055</x:t>
        </x:is>
      </x:c>
      <x:c r="C3282" s="3" t="inlineStr">
        <x:is>
          <x:t xml:space="preserve">龙腾光电</x:t>
        </x:is>
      </x:c>
      <x:c r="D3282" s="3" t="inlineStr">
        <x:is>
          <x:t xml:space="preserve">昆山龙腾光电股份有限公司</x:t>
        </x:is>
      </x:c>
      <x:c r="E3282" s="2" t="inlineStr">
        <x:is>
          <x:t xml:space="preserve">江苏省</x:t>
        </x:is>
      </x:c>
      <x:c r="F3282" s="2" t="inlineStr">
        <x:is>
          <x:t xml:space="preserve">苏州市</x:t>
        </x:is>
      </x:c>
      <x:c r="G3282" s="3" t="inlineStr">
        <x:is>
          <x:t xml:space="preserve">江苏省-苏州市</x:t>
        </x:is>
      </x:c>
      <x:c r="H3282" s="2" t="inlineStr">
        <x:is>
          <x:t xml:space="preserve">光学光电子</x:t>
        </x:is>
      </x:c>
      <x:c r="I3282" s="2" t="inlineStr">
        <x:is>
          <x:t xml:space="preserve">2020-08-17</x:t>
        </x:is>
      </x:c>
      <x:c r="J3282" s="3" t="inlineStr">
        <x:is>
          <x:t xml:space="preserve">江苏省昆山开发区龙腾路1号</x:t>
        </x:is>
      </x:c>
      <x:c r="K3282" s="12" t="str">
        <x:f>LEFT("913205837178569220",18)</x:f>
        <x:v>913205837178569200</x:v>
      </x:c>
    </x:row>
    <x:row r="3283">
      <x:c r="A3283" s="4" t="n">
        <x:v>3282</x:v>
      </x:c>
      <x:c r="B3283" s="4" t="inlineStr">
        <x:is>
          <x:t xml:space="preserve">688060</x:t>
        </x:is>
      </x:c>
      <x:c r="C3283" s="5" t="inlineStr">
        <x:is>
          <x:t xml:space="preserve">云涌科技</x:t>
        </x:is>
      </x:c>
      <x:c r="D3283" s="5" t="inlineStr">
        <x:is>
          <x:t xml:space="preserve">江苏云涌电子科技股份有限公司</x:t>
        </x:is>
      </x:c>
      <x:c r="E3283" s="4" t="inlineStr">
        <x:is>
          <x:t xml:space="preserve">江苏省</x:t>
        </x:is>
      </x:c>
      <x:c r="F3283" s="4" t="inlineStr">
        <x:is>
          <x:t xml:space="preserve">泰州市</x:t>
        </x:is>
      </x:c>
      <x:c r="G3283" s="5" t="inlineStr">
        <x:is>
          <x:t xml:space="preserve">江苏省-泰州市</x:t>
        </x:is>
      </x:c>
      <x:c r="H3283" s="4" t="inlineStr">
        <x:is>
          <x:t xml:space="preserve">软件服务</x:t>
        </x:is>
      </x:c>
      <x:c r="I3283" s="4" t="inlineStr">
        <x:is>
          <x:t xml:space="preserve">2020-07-10</x:t>
        </x:is>
      </x:c>
      <x:c r="J3283" s="5" t="inlineStr">
        <x:is>
          <x:t xml:space="preserve">江苏省泰州市海陵区泰安路16号</x:t>
        </x:is>
      </x:c>
      <x:c r="K3283" s="12" t="str">
        <x:f>LEFT("9132120055248981XP",18)</x:f>
        <x:v>9132120055248981XP</x:v>
      </x:c>
    </x:row>
    <x:row r="3284">
      <x:c r="A3284" s="2" t="n">
        <x:v>3283</x:v>
      </x:c>
      <x:c r="B3284" s="2" t="inlineStr">
        <x:is>
          <x:t xml:space="preserve">688069</x:t>
        </x:is>
      </x:c>
      <x:c r="C3284" s="3" t="inlineStr">
        <x:is>
          <x:t xml:space="preserve">德林海</x:t>
        </x:is>
      </x:c>
      <x:c r="D3284" s="3" t="inlineStr">
        <x:is>
          <x:t xml:space="preserve">无锡德林海环保科技股份有限公司</x:t>
        </x:is>
      </x:c>
      <x:c r="E3284" s="2" t="inlineStr">
        <x:is>
          <x:t xml:space="preserve">江苏省</x:t>
        </x:is>
      </x:c>
      <x:c r="F3284" s="2" t="inlineStr">
        <x:is>
          <x:t xml:space="preserve">无锡市</x:t>
        </x:is>
      </x:c>
      <x:c r="G3284" s="3" t="inlineStr">
        <x:is>
          <x:t xml:space="preserve">江苏省-无锡市</x:t>
        </x:is>
      </x:c>
      <x:c r="H3284" s="2" t="inlineStr">
        <x:is>
          <x:t xml:space="preserve">环保工程</x:t>
        </x:is>
      </x:c>
      <x:c r="I3284" s="2" t="inlineStr">
        <x:is>
          <x:t xml:space="preserve">2020-07-22</x:t>
        </x:is>
      </x:c>
      <x:c r="J3284" s="3" t="inlineStr">
        <x:is>
          <x:t xml:space="preserve">无锡市滨湖区康乐路9号</x:t>
        </x:is>
      </x:c>
      <x:c r="K3284" s="12" t="str">
        <x:f>LEFT("91320211697939236T",18)</x:f>
        <x:v>91320211697939236T</x:v>
      </x:c>
    </x:row>
    <x:row r="3285">
      <x:c r="A3285" s="4" t="n">
        <x:v>3284</x:v>
      </x:c>
      <x:c r="B3285" s="4" t="inlineStr">
        <x:is>
          <x:t xml:space="preserve">688076</x:t>
        </x:is>
      </x:c>
      <x:c r="C3285" s="5" t="inlineStr">
        <x:is>
          <x:t xml:space="preserve">诺泰生物</x:t>
        </x:is>
      </x:c>
      <x:c r="D3285" s="5" t="inlineStr">
        <x:is>
          <x:t xml:space="preserve">江苏诺泰澳赛诺生物制药股份有限公司</x:t>
        </x:is>
      </x:c>
      <x:c r="E3285" s="4" t="inlineStr">
        <x:is>
          <x:t xml:space="preserve">江苏省</x:t>
        </x:is>
      </x:c>
      <x:c r="F3285" s="4" t="inlineStr">
        <x:is>
          <x:t xml:space="preserve">连云港市</x:t>
        </x:is>
      </x:c>
      <x:c r="G3285" s="5" t="inlineStr">
        <x:is>
          <x:t xml:space="preserve">江苏省-连云港市</x:t>
        </x:is>
      </x:c>
      <x:c r="H3285" s="4" t="inlineStr">
        <x:is>
          <x:t xml:space="preserve">化学制药</x:t>
        </x:is>
      </x:c>
      <x:c r="I3285" s="4" t="inlineStr">
        <x:is>
          <x:t xml:space="preserve">2021-05-20</x:t>
        </x:is>
      </x:c>
      <x:c r="J3285" s="5" t="inlineStr">
        <x:is>
          <x:t xml:space="preserve">连云港经济技术开发区临浦路28号</x:t>
        </x:is>
      </x:c>
      <x:c r="K3285" s="12" t="str">
        <x:f>LEFT("913207006871974358",18)</x:f>
        <x:v>913207006871974400</x:v>
      </x:c>
    </x:row>
    <x:row r="3286">
      <x:c r="A3286" s="2" t="n">
        <x:v>3285</x:v>
      </x:c>
      <x:c r="B3286" s="2" t="inlineStr">
        <x:is>
          <x:t xml:space="preserve">688093</x:t>
        </x:is>
      </x:c>
      <x:c r="C3286" s="3" t="inlineStr">
        <x:is>
          <x:t xml:space="preserve">世华科技</x:t>
        </x:is>
      </x:c>
      <x:c r="D3286" s="3" t="inlineStr">
        <x:is>
          <x:t xml:space="preserve">苏州世华新材料科技股份有限公司</x:t>
        </x:is>
      </x:c>
      <x:c r="E3286" s="2" t="inlineStr">
        <x:is>
          <x:t xml:space="preserve">江苏省</x:t>
        </x:is>
      </x:c>
      <x:c r="F3286" s="2" t="inlineStr">
        <x:is>
          <x:t xml:space="preserve">苏州市</x:t>
        </x:is>
      </x:c>
      <x:c r="G3286" s="3" t="inlineStr">
        <x:is>
          <x:t xml:space="preserve">江苏省-苏州市</x:t>
        </x:is>
      </x:c>
      <x:c r="H3286" s="2" t="inlineStr">
        <x:is>
          <x:t xml:space="preserve">电子元件</x:t>
        </x:is>
      </x:c>
      <x:c r="I3286" s="2" t="inlineStr">
        <x:is>
          <x:t xml:space="preserve">2020-09-30</x:t>
        </x:is>
      </x:c>
      <x:c r="J3286" s="3" t="inlineStr">
        <x:is>
          <x:t xml:space="preserve">苏州市吴江经济技术开发区大光路168号</x:t>
        </x:is>
      </x:c>
      <x:c r="K3286" s="12" t="str">
        <x:f>LEFT("9132050955380632XE",18)</x:f>
        <x:v>9132050955380632XE</x:v>
      </x:c>
    </x:row>
    <x:row r="3287">
      <x:c r="A3287" s="4" t="n">
        <x:v>3286</x:v>
      </x:c>
      <x:c r="B3287" s="4" t="inlineStr">
        <x:is>
          <x:t xml:space="preserve">688096</x:t>
        </x:is>
      </x:c>
      <x:c r="C3287" s="5" t="inlineStr">
        <x:is>
          <x:t xml:space="preserve">京源环保</x:t>
        </x:is>
      </x:c>
      <x:c r="D3287" s="5" t="inlineStr">
        <x:is>
          <x:t xml:space="preserve">江苏京源环保股份有限公司</x:t>
        </x:is>
      </x:c>
      <x:c r="E3287" s="4" t="inlineStr">
        <x:is>
          <x:t xml:space="preserve">江苏省</x:t>
        </x:is>
      </x:c>
      <x:c r="F3287" s="4" t="inlineStr">
        <x:is>
          <x:t xml:space="preserve">南通市</x:t>
        </x:is>
      </x:c>
      <x:c r="G3287" s="5" t="inlineStr">
        <x:is>
          <x:t xml:space="preserve">江苏省-南通市</x:t>
        </x:is>
      </x:c>
      <x:c r="H3287" s="4" t="inlineStr">
        <x:is>
          <x:t xml:space="preserve">环保行业</x:t>
        </x:is>
      </x:c>
      <x:c r="I3287" s="4" t="inlineStr">
        <x:is>
          <x:t xml:space="preserve">2020-04-09</x:t>
        </x:is>
      </x:c>
      <x:c r="J3287" s="5" t="inlineStr">
        <x:is>
          <x:t xml:space="preserve">南通市崇川区通欣路109号</x:t>
        </x:is>
      </x:c>
      <x:c r="K3287" s="12" t="str">
        <x:f>LEFT("913206007140572604",18)</x:f>
        <x:v>913206007140572500</x:v>
      </x:c>
    </x:row>
    <x:row r="3288">
      <x:c r="A3288" s="2" t="n">
        <x:v>3287</x:v>
      </x:c>
      <x:c r="B3288" s="2" t="inlineStr">
        <x:is>
          <x:t xml:space="preserve">688097</x:t>
        </x:is>
      </x:c>
      <x:c r="C3288" s="3" t="inlineStr">
        <x:is>
          <x:t xml:space="preserve">博众精工</x:t>
        </x:is>
      </x:c>
      <x:c r="D3288" s="3" t="inlineStr">
        <x:is>
          <x:t xml:space="preserve">博众精工科技股份有限公司</x:t>
        </x:is>
      </x:c>
      <x:c r="E3288" s="2" t="inlineStr">
        <x:is>
          <x:t xml:space="preserve">江苏省</x:t>
        </x:is>
      </x:c>
      <x:c r="F3288" s="2" t="inlineStr">
        <x:is>
          <x:t xml:space="preserve">苏州市</x:t>
        </x:is>
      </x:c>
      <x:c r="G3288" s="3" t="inlineStr">
        <x:is>
          <x:t xml:space="preserve">江苏省-苏州市</x:t>
        </x:is>
      </x:c>
      <x:c r="H3288" s="2" t="inlineStr">
        <x:is>
          <x:t xml:space="preserve">专用设备</x:t>
        </x:is>
      </x:c>
      <x:c r="I3288" s="2" t="inlineStr">
        <x:is>
          <x:t xml:space="preserve">2021-05-12</x:t>
        </x:is>
      </x:c>
      <x:c r="J3288" s="3" t="inlineStr">
        <x:is>
          <x:t xml:space="preserve">吴江经济技术开发区湖心西路666号</x:t>
        </x:is>
      </x:c>
      <x:c r="K3288" s="12" t="str">
        <x:f>LEFT("91320509793313356E",18)</x:f>
        <x:v>91320509793313356E</x:v>
      </x:c>
    </x:row>
    <x:row r="3289">
      <x:c r="A3289" s="4" t="n">
        <x:v>3288</x:v>
      </x:c>
      <x:c r="B3289" s="4" t="inlineStr">
        <x:is>
          <x:t xml:space="preserve">688103</x:t>
        </x:is>
      </x:c>
      <x:c r="C3289" s="5" t="inlineStr">
        <x:is>
          <x:t xml:space="preserve">国力电子</x:t>
        </x:is>
      </x:c>
      <x:c r="D3289" s="5" t="inlineStr">
        <x:is>
          <x:t xml:space="preserve">昆山国力电子科技股份有限公司</x:t>
        </x:is>
      </x:c>
      <x:c r="E3289" s="4" t="inlineStr">
        <x:is>
          <x:t xml:space="preserve">江苏省</x:t>
        </x:is>
      </x:c>
      <x:c r="F3289" s="4" t="inlineStr">
        <x:is>
          <x:t xml:space="preserve">苏州市</x:t>
        </x:is>
      </x:c>
      <x:c r="G3289" s="5" t="inlineStr">
        <x:is>
          <x:t xml:space="preserve">江苏省-苏州市</x:t>
        </x:is>
      </x:c>
      <x:c r="H3289" s="4" t="inlineStr">
        <x:is>
          <x:t xml:space="preserve">电子元件</x:t>
        </x:is>
      </x:c>
      <x:c r="I3289" s="4" t="inlineStr">
        <x:is>
          <x:t xml:space="preserve">2021-09-10</x:t>
        </x:is>
      </x:c>
      <x:c r="J3289" s="5" t="inlineStr">
        <x:is>
          <x:t xml:space="preserve">江苏省昆山开发区西湖路28号</x:t>
        </x:is>
      </x:c>
      <x:c r="K3289" s="12" t="str">
        <x:f>LEFT("91320583724173046J",18)</x:f>
        <x:v>91320583724173046J</x:v>
      </x:c>
    </x:row>
    <x:row r="3290">
      <x:c r="A3290" s="2" t="n">
        <x:v>3289</x:v>
      </x:c>
      <x:c r="B3290" s="2" t="inlineStr">
        <x:is>
          <x:t xml:space="preserve">688105</x:t>
        </x:is>
      </x:c>
      <x:c r="C3290" s="3" t="inlineStr">
        <x:is>
          <x:t xml:space="preserve">诺唯赞</x:t>
        </x:is>
      </x:c>
      <x:c r="D3290" s="3" t="inlineStr">
        <x:is>
          <x:t xml:space="preserve">南京诺唯赞生物科技股份有限公司</x:t>
        </x:is>
      </x:c>
      <x:c r="E3290" s="2" t="inlineStr">
        <x:is>
          <x:t xml:space="preserve">江苏省</x:t>
        </x:is>
      </x:c>
      <x:c r="F3290" s="2" t="inlineStr">
        <x:is>
          <x:t xml:space="preserve">南京市</x:t>
        </x:is>
      </x:c>
      <x:c r="G3290" s="3" t="inlineStr">
        <x:is>
          <x:t xml:space="preserve">江苏省-南京市</x:t>
        </x:is>
      </x:c>
      <x:c r="H3290" s="2" t="inlineStr">
        <x:is>
          <x:t xml:space="preserve">医疗器械</x:t>
        </x:is>
      </x:c>
      <x:c r="I3290" s="2" t="inlineStr">
        <x:is>
          <x:t xml:space="preserve">2021-11-15</x:t>
        </x:is>
      </x:c>
      <x:c r="J3290" s="3" t="inlineStr">
        <x:is>
          <x:t xml:space="preserve">南京经济技术开发区科创路红枫科技园C1-2栋东段1-6层</x:t>
        </x:is>
      </x:c>
      <x:c r="K3290" s="12" t="str">
        <x:f>LEFT("91320192589435065R",18)</x:f>
        <x:v>91320192589435065R</x:v>
      </x:c>
    </x:row>
    <x:row r="3291">
      <x:c r="A3291" s="4" t="n">
        <x:v>3290</x:v>
      </x:c>
      <x:c r="B3291" s="4" t="inlineStr">
        <x:is>
          <x:t xml:space="preserve">688106</x:t>
        </x:is>
      </x:c>
      <x:c r="C3291" s="5" t="inlineStr">
        <x:is>
          <x:t xml:space="preserve">金宏气体</x:t>
        </x:is>
      </x:c>
      <x:c r="D3291" s="5" t="inlineStr">
        <x:is>
          <x:t xml:space="preserve">金宏气体股份有限公司</x:t>
        </x:is>
      </x:c>
      <x:c r="E3291" s="4" t="inlineStr">
        <x:is>
          <x:t xml:space="preserve">江苏省</x:t>
        </x:is>
      </x:c>
      <x:c r="F3291" s="4" t="inlineStr">
        <x:is>
          <x:t xml:space="preserve">苏州市</x:t>
        </x:is>
      </x:c>
      <x:c r="G3291" s="5" t="inlineStr">
        <x:is>
          <x:t xml:space="preserve">江苏省-苏州市</x:t>
        </x:is>
      </x:c>
      <x:c r="H3291" s="4" t="inlineStr">
        <x:is>
          <x:t xml:space="preserve">电子化学品</x:t>
        </x:is>
      </x:c>
      <x:c r="I3291" s="4" t="inlineStr">
        <x:is>
          <x:t xml:space="preserve">2020-06-16</x:t>
        </x:is>
      </x:c>
      <x:c r="J3291" s="5" t="inlineStr">
        <x:is>
          <x:t xml:space="preserve">苏州市相城区黄埭镇潘阳工业园安民路</x:t>
        </x:is>
      </x:c>
      <x:c r="K3291" s="12" t="str">
        <x:f>LEFT("913205007149960577",18)</x:f>
        <x:v>913205007149960600</x:v>
      </x:c>
    </x:row>
    <x:row r="3292">
      <x:c r="A3292" s="2" t="n">
        <x:v>3291</x:v>
      </x:c>
      <x:c r="B3292" s="2" t="inlineStr">
        <x:is>
          <x:t xml:space="preserve">688113</x:t>
        </x:is>
      </x:c>
      <x:c r="C3292" s="3" t="inlineStr">
        <x:is>
          <x:t xml:space="preserve">联测科技</x:t>
        </x:is>
      </x:c>
      <x:c r="D3292" s="3" t="inlineStr">
        <x:is>
          <x:t xml:space="preserve">江苏联测机电科技股份有限公司</x:t>
        </x:is>
      </x:c>
      <x:c r="E3292" s="2" t="inlineStr">
        <x:is>
          <x:t xml:space="preserve">江苏省</x:t>
        </x:is>
      </x:c>
      <x:c r="F3292" s="2" t="inlineStr">
        <x:is>
          <x:t xml:space="preserve">启东市</x:t>
        </x:is>
      </x:c>
      <x:c r="G3292" s="3" t="inlineStr">
        <x:is>
          <x:t xml:space="preserve">江苏省-启东市</x:t>
        </x:is>
      </x:c>
      <x:c r="H3292" s="2" t="inlineStr">
        <x:is>
          <x:t xml:space="preserve">专用设备</x:t>
        </x:is>
      </x:c>
      <x:c r="I3292" s="2" t="inlineStr">
        <x:is>
          <x:t xml:space="preserve">2021-05-06</x:t>
        </x:is>
      </x:c>
      <x:c r="J3292" s="3" t="inlineStr">
        <x:is>
          <x:t xml:space="preserve">启东市人民西路2368-2370号</x:t>
        </x:is>
      </x:c>
      <x:c r="K3292" s="12" t="str">
        <x:f>LEFT("913206817395677261",18)</x:f>
        <x:v>913206817395677300</x:v>
      </x:c>
    </x:row>
    <x:row r="3293">
      <x:c r="A3293" s="4" t="n">
        <x:v>3292</x:v>
      </x:c>
      <x:c r="B3293" s="4" t="inlineStr">
        <x:is>
          <x:t xml:space="preserve">688116</x:t>
        </x:is>
      </x:c>
      <x:c r="C3293" s="5" t="inlineStr">
        <x:is>
          <x:t xml:space="preserve">天奈科技</x:t>
        </x:is>
      </x:c>
      <x:c r="D3293" s="5" t="inlineStr">
        <x:is>
          <x:t xml:space="preserve">江苏天奈科技股份有限公司</x:t>
        </x:is>
      </x:c>
      <x:c r="E3293" s="4" t="inlineStr">
        <x:is>
          <x:t xml:space="preserve">江苏省</x:t>
        </x:is>
      </x:c>
      <x:c r="F3293" s="4" t="inlineStr">
        <x:is>
          <x:t xml:space="preserve">镇江市</x:t>
        </x:is>
      </x:c>
      <x:c r="G3293" s="5" t="inlineStr">
        <x:is>
          <x:t xml:space="preserve">江苏省-镇江市</x:t>
        </x:is>
      </x:c>
      <x:c r="H3293" s="4" t="inlineStr">
        <x:is>
          <x:t xml:space="preserve">化学制品</x:t>
        </x:is>
      </x:c>
      <x:c r="I3293" s="4" t="inlineStr">
        <x:is>
          <x:t xml:space="preserve">2019-09-25</x:t>
        </x:is>
      </x:c>
      <x:c r="J3293" s="5" t="inlineStr">
        <x:is>
          <x:t xml:space="preserve">镇江新区青龙山路113号</x:t>
        </x:is>
      </x:c>
      <x:c r="K3293" s="12" t="str">
        <x:f>LEFT("913211915677547009",18)</x:f>
        <x:v>913211915677547000</x:v>
      </x:c>
    </x:row>
    <x:row r="3294">
      <x:c r="A3294" s="2" t="n">
        <x:v>3293</x:v>
      </x:c>
      <x:c r="B3294" s="2" t="inlineStr">
        <x:is>
          <x:t xml:space="preserve">688137</x:t>
        </x:is>
      </x:c>
      <x:c r="C3294" s="3" t="inlineStr">
        <x:is>
          <x:t xml:space="preserve">近岸蛋白</x:t>
        </x:is>
      </x:c>
      <x:c r="D3294" s="3" t="inlineStr">
        <x:is>
          <x:t xml:space="preserve">苏州近岸蛋白质科技股份有限公司</x:t>
        </x:is>
      </x:c>
      <x:c r="E3294" s="2" t="inlineStr">
        <x:is>
          <x:t xml:space="preserve">江苏省</x:t>
        </x:is>
      </x:c>
      <x:c r="F3294" s="2" t="inlineStr">
        <x:is>
          <x:t xml:space="preserve">苏州市</x:t>
        </x:is>
      </x:c>
      <x:c r="G3294" s="3" t="inlineStr">
        <x:is>
          <x:t xml:space="preserve">江苏省-苏州市</x:t>
        </x:is>
      </x:c>
      <x:c r="H3294" s="2" t="inlineStr">
        <x:is>
          <x:t xml:space="preserve">生物制品</x:t>
        </x:is>
      </x:c>
      <x:c r="I3294" s="2" t="inlineStr">
        <x:is>
          <x:t xml:space="preserve">2022-09-29</x:t>
        </x:is>
      </x:c>
      <x:c r="J3294" s="3" t="inlineStr">
        <x:is>
          <x:t xml:space="preserve">江苏省苏州市吴江经济技术开发区云创路228号3层,4层</x:t>
        </x:is>
      </x:c>
      <x:c r="K3294" s="12" t="str">
        <x:f>LEFT("913205096944813703",18)</x:f>
        <x:v>913205096944813700</x:v>
      </x:c>
    </x:row>
    <x:row r="3295">
      <x:c r="A3295" s="4" t="n">
        <x:v>3294</x:v>
      </x:c>
      <x:c r="B3295" s="4" t="inlineStr">
        <x:is>
          <x:t xml:space="preserve">688147</x:t>
        </x:is>
      </x:c>
      <x:c r="C3295" s="5" t="inlineStr">
        <x:is>
          <x:t xml:space="preserve">微导纳米</x:t>
        </x:is>
      </x:c>
      <x:c r="D3295" s="5" t="inlineStr">
        <x:is>
          <x:t xml:space="preserve">江苏微导纳米科技股份有限公司</x:t>
        </x:is>
      </x:c>
      <x:c r="E3295" s="4" t="inlineStr">
        <x:is>
          <x:t xml:space="preserve">江苏省</x:t>
        </x:is>
      </x:c>
      <x:c r="F3295" s="4" t="inlineStr">
        <x:is>
          <x:t xml:space="preserve">无锡市</x:t>
        </x:is>
      </x:c>
      <x:c r="G3295" s="5" t="inlineStr">
        <x:is>
          <x:t xml:space="preserve">江苏省-无锡市</x:t>
        </x:is>
      </x:c>
      <x:c r="H3295" s="4" t="inlineStr">
        <x:is>
          <x:t xml:space="preserve">半导体</x:t>
        </x:is>
      </x:c>
      <x:c r="I3295" s="4" t="inlineStr">
        <x:is>
          <x:t xml:space="preserve">2022-12-23</x:t>
        </x:is>
      </x:c>
      <x:c r="J3295" s="5" t="inlineStr">
        <x:is>
          <x:t xml:space="preserve">无锡市新吴区长江南路27号</x:t>
        </x:is>
      </x:c>
      <x:c r="K3295" s="12" t="str">
        <x:f>LEFT("91320213MA1MDBFY36",18)</x:f>
        <x:v>91320213MA1MDBFY36</x:v>
      </x:c>
    </x:row>
    <x:row r="3296">
      <x:c r="A3296" s="2" t="n">
        <x:v>3295</x:v>
      </x:c>
      <x:c r="B3296" s="2" t="inlineStr">
        <x:is>
          <x:t xml:space="preserve">688166</x:t>
        </x:is>
      </x:c>
      <x:c r="C3296" s="3" t="inlineStr">
        <x:is>
          <x:t xml:space="preserve">博瑞医药</x:t>
        </x:is>
      </x:c>
      <x:c r="D3296" s="3" t="inlineStr">
        <x:is>
          <x:t xml:space="preserve">博瑞生物医药(苏州)股份有限公司</x:t>
        </x:is>
      </x:c>
      <x:c r="E3296" s="2" t="inlineStr">
        <x:is>
          <x:t xml:space="preserve">江苏省</x:t>
        </x:is>
      </x:c>
      <x:c r="F3296" s="2" t="inlineStr">
        <x:is>
          <x:t xml:space="preserve">苏州市</x:t>
        </x:is>
      </x:c>
      <x:c r="G3296" s="3" t="inlineStr">
        <x:is>
          <x:t xml:space="preserve">江苏省-苏州市</x:t>
        </x:is>
      </x:c>
      <x:c r="H3296" s="2" t="inlineStr">
        <x:is>
          <x:t xml:space="preserve">医药制造</x:t>
        </x:is>
      </x:c>
      <x:c r="I3296" s="2" t="inlineStr">
        <x:is>
          <x:t xml:space="preserve">2019-11-08</x:t>
        </x:is>
      </x:c>
      <x:c r="J3296" s="3" t="inlineStr">
        <x:is>
          <x:t xml:space="preserve">苏州工业园区星湖街218号纳米科技园C25栋</x:t>
        </x:is>
      </x:c>
      <x:c r="K3296" s="12" t="str">
        <x:f>LEFT("91320000731789594Y",18)</x:f>
        <x:v>91320000731789594Y</x:v>
      </x:c>
    </x:row>
    <x:row r="3297">
      <x:c r="A3297" s="4" t="n">
        <x:v>3296</x:v>
      </x:c>
      <x:c r="B3297" s="4" t="inlineStr">
        <x:is>
          <x:t xml:space="preserve">688170</x:t>
        </x:is>
      </x:c>
      <x:c r="C3297" s="5" t="inlineStr">
        <x:is>
          <x:t xml:space="preserve">德龙激光</x:t>
        </x:is>
      </x:c>
      <x:c r="D3297" s="5" t="inlineStr">
        <x:is>
          <x:t xml:space="preserve">苏州德龙激光股份有限公司</x:t>
        </x:is>
      </x:c>
      <x:c r="E3297" s="4" t="inlineStr">
        <x:is>
          <x:t xml:space="preserve">江苏省</x:t>
        </x:is>
      </x:c>
      <x:c r="F3297" s="4" t="inlineStr">
        <x:is>
          <x:t xml:space="preserve">苏州市</x:t>
        </x:is>
      </x:c>
      <x:c r="G3297" s="5" t="inlineStr">
        <x:is>
          <x:t xml:space="preserve">江苏省-苏州市</x:t>
        </x:is>
      </x:c>
      <x:c r="H3297" s="4" t="inlineStr">
        <x:is>
          <x:t xml:space="preserve">专用设备</x:t>
        </x:is>
      </x:c>
      <x:c r="I3297" s="4" t="inlineStr">
        <x:is>
          <x:t xml:space="preserve">2022-04-29</x:t>
        </x:is>
      </x:c>
      <x:c r="J3297" s="5" t="inlineStr">
        <x:is>
          <x:t xml:space="preserve">中国(江苏)自由贸易试验区苏州片区苏州工业园区杏林街98号</x:t>
        </x:is>
      </x:c>
      <x:c r="K3297" s="12" t="str">
        <x:f>LEFT("91320000772463777D",18)</x:f>
        <x:v>91320000772463777D</x:v>
      </x:c>
    </x:row>
    <x:row r="3298">
      <x:c r="A3298" s="2" t="n">
        <x:v>3297</x:v>
      </x:c>
      <x:c r="B3298" s="2" t="inlineStr">
        <x:is>
          <x:t xml:space="preserve">688176</x:t>
        </x:is>
      </x:c>
      <x:c r="C3298" s="3" t="inlineStr">
        <x:is>
          <x:t xml:space="preserve">亚虹医药</x:t>
        </x:is>
      </x:c>
      <x:c r="D3298" s="3" t="inlineStr">
        <x:is>
          <x:t xml:space="preserve">江苏亚虹医药科技股份有限公司</x:t>
        </x:is>
      </x:c>
      <x:c r="E3298" s="2" t="inlineStr">
        <x:is>
          <x:t xml:space="preserve">江苏省</x:t>
        </x:is>
      </x:c>
      <x:c r="F3298" s="2" t="inlineStr">
        <x:is>
          <x:t xml:space="preserve">泰州市</x:t>
        </x:is>
      </x:c>
      <x:c r="G3298" s="3" t="inlineStr">
        <x:is>
          <x:t xml:space="preserve">江苏省-泰州市</x:t>
        </x:is>
      </x:c>
      <x:c r="H3298" s="2" t="inlineStr">
        <x:is>
          <x:t xml:space="preserve">生物制品</x:t>
        </x:is>
      </x:c>
      <x:c r="I3298" s="2" t="inlineStr">
        <x:is>
          <x:t xml:space="preserve">2022-01-07</x:t>
        </x:is>
      </x:c>
      <x:c r="J3298" s="3" t="inlineStr">
        <x:is>
          <x:t xml:space="preserve">泰州药城大道一号(创业路东侧、园南路北侧)的新药创制基地二期D幢大楼1009房间</x:t>
        </x:is>
      </x:c>
      <x:c r="K3298" s="12" t="str">
        <x:f>LEFT("91321291552450798T",18)</x:f>
        <x:v>91321291552450798T</x:v>
      </x:c>
    </x:row>
    <x:row r="3299">
      <x:c r="A3299" s="4" t="n">
        <x:v>3298</x:v>
      </x:c>
      <x:c r="B3299" s="4" t="inlineStr">
        <x:is>
          <x:t xml:space="preserve">688178</x:t>
        </x:is>
      </x:c>
      <x:c r="C3299" s="5" t="inlineStr">
        <x:is>
          <x:t xml:space="preserve">万德斯</x:t>
        </x:is>
      </x:c>
      <x:c r="D3299" s="5" t="inlineStr">
        <x:is>
          <x:t xml:space="preserve">南京万德斯环保科技股份有限公司</x:t>
        </x:is>
      </x:c>
      <x:c r="E3299" s="4" t="inlineStr">
        <x:is>
          <x:t xml:space="preserve">江苏省</x:t>
        </x:is>
      </x:c>
      <x:c r="F3299" s="4" t="inlineStr">
        <x:is>
          <x:t xml:space="preserve">南京市</x:t>
        </x:is>
      </x:c>
      <x:c r="G3299" s="5" t="inlineStr">
        <x:is>
          <x:t xml:space="preserve">江苏省-南京市</x:t>
        </x:is>
      </x:c>
      <x:c r="H3299" s="4" t="inlineStr">
        <x:is>
          <x:t xml:space="preserve">环保工程</x:t>
        </x:is>
      </x:c>
      <x:c r="I3299" s="4" t="inlineStr">
        <x:is>
          <x:t xml:space="preserve">2020-01-14</x:t>
        </x:is>
      </x:c>
      <x:c r="J3299" s="5" t="inlineStr">
        <x:is>
          <x:t xml:space="preserve">江苏省南京市江宁区乾德路57号</x:t>
        </x:is>
      </x:c>
      <x:c r="K3299" s="12" t="str">
        <x:f>LEFT("91320100663774904W",18)</x:f>
        <x:v>91320100663774904W</x:v>
      </x:c>
    </x:row>
    <x:row r="3300">
      <x:c r="A3300" s="2" t="n">
        <x:v>3299</x:v>
      </x:c>
      <x:c r="B3300" s="2" t="inlineStr">
        <x:is>
          <x:t xml:space="preserve">688182</x:t>
        </x:is>
      </x:c>
      <x:c r="C3300" s="3" t="inlineStr">
        <x:is>
          <x:t xml:space="preserve">灿勤科技</x:t>
        </x:is>
      </x:c>
      <x:c r="D3300" s="3" t="inlineStr">
        <x:is>
          <x:t xml:space="preserve">江苏灿勤科技股份有限公司</x:t>
        </x:is>
      </x:c>
      <x:c r="E3300" s="2" t="inlineStr">
        <x:is>
          <x:t xml:space="preserve">江苏省</x:t>
        </x:is>
      </x:c>
      <x:c r="F3300" s="2" t="inlineStr">
        <x:is>
          <x:t xml:space="preserve">张家港市</x:t>
        </x:is>
      </x:c>
      <x:c r="G3300" s="3" t="inlineStr">
        <x:is>
          <x:t xml:space="preserve">江苏省-张家港市</x:t>
        </x:is>
      </x:c>
      <x:c r="H3300" s="2" t="inlineStr">
        <x:is>
          <x:t xml:space="preserve">通讯行业</x:t>
        </x:is>
      </x:c>
      <x:c r="I3300" s="2" t="inlineStr">
        <x:is>
          <x:t xml:space="preserve">2021-11-16</x:t>
        </x:is>
      </x:c>
      <x:c r="J3300" s="3" t="inlineStr">
        <x:is>
          <x:t xml:space="preserve">张家港市金港镇金港路266号</x:t>
        </x:is>
      </x:c>
      <x:c r="K3300" s="12" t="str">
        <x:f>LEFT("913205927605187509",18)</x:f>
        <x:v>913205927605187500</x:v>
      </x:c>
    </x:row>
    <x:row r="3301">
      <x:c r="A3301" s="4" t="n">
        <x:v>3300</x:v>
      </x:c>
      <x:c r="B3301" s="4" t="inlineStr">
        <x:is>
          <x:t xml:space="preserve">688186</x:t>
        </x:is>
      </x:c>
      <x:c r="C3301" s="5" t="inlineStr">
        <x:is>
          <x:t xml:space="preserve">广大特材</x:t>
        </x:is>
      </x:c>
      <x:c r="D3301" s="5" t="inlineStr">
        <x:is>
          <x:t xml:space="preserve">张家港广大特材股份有限公司</x:t>
        </x:is>
      </x:c>
      <x:c r="E3301" s="4" t="inlineStr">
        <x:is>
          <x:t xml:space="preserve">江苏省</x:t>
        </x:is>
      </x:c>
      <x:c r="F3301" s="4" t="inlineStr">
        <x:is>
          <x:t xml:space="preserve">省张家港市</x:t>
        </x:is>
      </x:c>
      <x:c r="G3301" s="5" t="inlineStr">
        <x:is>
          <x:t xml:space="preserve">江苏省-省张家港市</x:t>
        </x:is>
      </x:c>
      <x:c r="H3301" s="4" t="inlineStr">
        <x:is>
          <x:t xml:space="preserve">风电设备</x:t>
        </x:is>
      </x:c>
      <x:c r="I3301" s="4" t="inlineStr">
        <x:is>
          <x:t xml:space="preserve">2020-02-11</x:t>
        </x:is>
      </x:c>
      <x:c r="J3301" s="5" t="inlineStr">
        <x:is>
          <x:t xml:space="preserve">江苏省张家港市凤凰镇安庆村</x:t>
        </x:is>
      </x:c>
      <x:c r="K3301" s="12" t="str">
        <x:f>LEFT("91320582790874377A",18)</x:f>
        <x:v>91320582790874377A</x:v>
      </x:c>
    </x:row>
    <x:row r="3302">
      <x:c r="A3302" s="2" t="n">
        <x:v>3301</x:v>
      </x:c>
      <x:c r="B3302" s="2" t="inlineStr">
        <x:is>
          <x:t xml:space="preserve">688192</x:t>
        </x:is>
      </x:c>
      <x:c r="C3302" s="3" t="inlineStr">
        <x:is>
          <x:t xml:space="preserve">迪哲医药</x:t>
        </x:is>
      </x:c>
      <x:c r="D3302" s="3" t="inlineStr">
        <x:is>
          <x:t xml:space="preserve">迪哲(江苏)医药股份有限公司</x:t>
        </x:is>
      </x:c>
      <x:c r="E3302" s="2" t="inlineStr">
        <x:is>
          <x:t xml:space="preserve">江苏省</x:t>
        </x:is>
      </x:c>
      <x:c r="F3302" s="2" t="inlineStr">
        <x:is>
          <x:t xml:space="preserve">无锡市</x:t>
        </x:is>
      </x:c>
      <x:c r="G3302" s="3" t="inlineStr">
        <x:is>
          <x:t xml:space="preserve">江苏省-无锡市</x:t>
        </x:is>
      </x:c>
      <x:c r="H3302" s="2" t="inlineStr">
        <x:is>
          <x:t xml:space="preserve">化学制药</x:t>
        </x:is>
      </x:c>
      <x:c r="I3302" s="2" t="inlineStr">
        <x:is>
          <x:t xml:space="preserve">2021-12-10</x:t>
        </x:is>
      </x:c>
      <x:c r="J3302" s="3" t="inlineStr">
        <x:is>
          <x:t xml:space="preserve">无锡市新吴区和风路26号汇融商务广场C栋404、405、416室</x:t>
        </x:is>
      </x:c>
      <x:c r="K3302" s="12" t="str">
        <x:f>LEFT("91320214MA1T6H5736",18)</x:f>
        <x:v>91320214MA1T6H5736</x:v>
      </x:c>
    </x:row>
    <x:row r="3303">
      <x:c r="A3303" s="4" t="n">
        <x:v>3302</x:v>
      </x:c>
      <x:c r="B3303" s="4" t="inlineStr">
        <x:is>
          <x:t xml:space="preserve">688205</x:t>
        </x:is>
      </x:c>
      <x:c r="C3303" s="5" t="inlineStr">
        <x:is>
          <x:t xml:space="preserve">德科立</x:t>
        </x:is>
      </x:c>
      <x:c r="D3303" s="5" t="inlineStr">
        <x:is>
          <x:t xml:space="preserve">无锡市德科立光电子技术股份有限公司</x:t>
        </x:is>
      </x:c>
      <x:c r="E3303" s="4" t="inlineStr">
        <x:is>
          <x:t xml:space="preserve">江苏省</x:t>
        </x:is>
      </x:c>
      <x:c r="F3303" s="4" t="inlineStr">
        <x:is>
          <x:t xml:space="preserve">无锡市</x:t>
        </x:is>
      </x:c>
      <x:c r="G3303" s="5" t="inlineStr">
        <x:is>
          <x:t xml:space="preserve">江苏省-无锡市</x:t>
        </x:is>
      </x:c>
      <x:c r="H3303" s="4" t="inlineStr">
        <x:is>
          <x:t xml:space="preserve">光学光电子</x:t>
        </x:is>
      </x:c>
      <x:c r="I3303" s="4" t="inlineStr">
        <x:is>
          <x:t xml:space="preserve">2022-08-09</x:t>
        </x:is>
      </x:c>
      <x:c r="J3303" s="5" t="inlineStr">
        <x:is>
          <x:t xml:space="preserve">无锡市新吴区科园路6号</x:t>
        </x:is>
      </x:c>
      <x:c r="K3303" s="12" t="str">
        <x:f>LEFT("913202137186955428",18)</x:f>
        <x:v>913202137186955400</x:v>
      </x:c>
    </x:row>
    <x:row r="3304">
      <x:c r="A3304" s="2" t="n">
        <x:v>3303</x:v>
      </x:c>
      <x:c r="B3304" s="2" t="inlineStr">
        <x:is>
          <x:t xml:space="preserve">688211</x:t>
        </x:is>
      </x:c>
      <x:c r="C3304" s="3" t="inlineStr">
        <x:is>
          <x:t xml:space="preserve">中科微至</x:t>
        </x:is>
      </x:c>
      <x:c r="D3304" s="3" t="inlineStr">
        <x:is>
          <x:t xml:space="preserve">中科微至科技股份有限公司</x:t>
        </x:is>
      </x:c>
      <x:c r="E3304" s="2" t="inlineStr">
        <x:is>
          <x:t xml:space="preserve">江苏省</x:t>
        </x:is>
      </x:c>
      <x:c r="F3304" s="2" t="inlineStr">
        <x:is>
          <x:t xml:space="preserve">无锡市</x:t>
        </x:is>
      </x:c>
      <x:c r="G3304" s="3" t="inlineStr">
        <x:is>
          <x:t xml:space="preserve">江苏省-无锡市</x:t>
        </x:is>
      </x:c>
      <x:c r="H3304" s="2" t="inlineStr">
        <x:is>
          <x:t xml:space="preserve">交运物流</x:t>
        </x:is>
      </x:c>
      <x:c r="I3304" s="2" t="inlineStr">
        <x:is>
          <x:t xml:space="preserve">2021-10-26</x:t>
        </x:is>
      </x:c>
      <x:c r="J3304" s="3" t="inlineStr">
        <x:is>
          <x:t xml:space="preserve">无锡市锡山区安泰三路979号</x:t>
        </x:is>
      </x:c>
      <x:c r="K3304" s="12" t="str">
        <x:f>LEFT("91320214MA1MLB3M2A",18)</x:f>
        <x:v>91320214MA1MLB3M2A</x:v>
      </x:c>
    </x:row>
    <x:row r="3305">
      <x:c r="A3305" s="4" t="n">
        <x:v>3304</x:v>
      </x:c>
      <x:c r="B3305" s="4" t="inlineStr">
        <x:is>
          <x:t xml:space="preserve">688218</x:t>
        </x:is>
      </x:c>
      <x:c r="C3305" s="5" t="inlineStr">
        <x:is>
          <x:t xml:space="preserve">江苏北人</x:t>
        </x:is>
      </x:c>
      <x:c r="D3305" s="5" t="inlineStr">
        <x:is>
          <x:t xml:space="preserve">江苏北人智能制造科技股份有限公司</x:t>
        </x:is>
      </x:c>
      <x:c r="E3305" s="4" t="inlineStr">
        <x:is>
          <x:t xml:space="preserve">江苏省</x:t>
        </x:is>
      </x:c>
      <x:c r="F3305" s="4" t="inlineStr">
        <x:is>
          <x:t xml:space="preserve">苏州市</x:t>
        </x:is>
      </x:c>
      <x:c r="G3305" s="5" t="inlineStr">
        <x:is>
          <x:t xml:space="preserve">江苏省-苏州市</x:t>
        </x:is>
      </x:c>
      <x:c r="H3305" s="4" t="inlineStr">
        <x:is>
          <x:t xml:space="preserve">专用设备</x:t>
        </x:is>
      </x:c>
      <x:c r="I3305" s="4" t="inlineStr">
        <x:is>
          <x:t xml:space="preserve">2019-12-11</x:t>
        </x:is>
      </x:c>
      <x:c r="J3305" s="5" t="inlineStr">
        <x:is>
          <x:t xml:space="preserve">苏州工业园区青丘巷1号</x:t>
        </x:is>
      </x:c>
      <x:c r="K3305" s="12" t="str">
        <x:f>LEFT("91320000588426511G",18)</x:f>
        <x:v>91320000588426511G</x:v>
      </x:c>
    </x:row>
    <x:row r="3306">
      <x:c r="A3306" s="2" t="n">
        <x:v>3305</x:v>
      </x:c>
      <x:c r="B3306" s="2" t="inlineStr">
        <x:is>
          <x:t xml:space="preserve">688221</x:t>
        </x:is>
      </x:c>
      <x:c r="C3306" s="3" t="inlineStr">
        <x:is>
          <x:t xml:space="preserve">前沿生物</x:t>
        </x:is>
      </x:c>
      <x:c r="D3306" s="3" t="inlineStr">
        <x:is>
          <x:t xml:space="preserve">前沿生物药业(南京)股份有限公司</x:t>
        </x:is>
      </x:c>
      <x:c r="E3306" s="2" t="inlineStr">
        <x:is>
          <x:t xml:space="preserve">江苏省</x:t>
        </x:is>
      </x:c>
      <x:c r="F3306" s="2" t="inlineStr">
        <x:is>
          <x:t xml:space="preserve">南京市</x:t>
        </x:is>
      </x:c>
      <x:c r="G3306" s="3" t="inlineStr">
        <x:is>
          <x:t xml:space="preserve">江苏省-南京市</x:t>
        </x:is>
      </x:c>
      <x:c r="H3306" s="2" t="inlineStr">
        <x:is>
          <x:t xml:space="preserve">医药制造</x:t>
        </x:is>
      </x:c>
      <x:c r="I3306" s="2" t="inlineStr">
        <x:is>
          <x:t xml:space="preserve">2020-10-28</x:t>
        </x:is>
      </x:c>
      <x:c r="J3306" s="3" t="inlineStr">
        <x:is>
          <x:t xml:space="preserve">江苏省南京市江宁区至道路8号</x:t>
        </x:is>
      </x:c>
      <x:c r="K3306" s="12" t="str">
        <x:f>LEFT("913201150579884270",18)</x:f>
        <x:v>913201150579884300</x:v>
      </x:c>
    </x:row>
    <x:row r="3307">
      <x:c r="A3307" s="4" t="n">
        <x:v>3306</x:v>
      </x:c>
      <x:c r="B3307" s="4" t="inlineStr">
        <x:is>
          <x:t xml:space="preserve">688225</x:t>
        </x:is>
      </x:c>
      <x:c r="C3307" s="5" t="inlineStr">
        <x:is>
          <x:t xml:space="preserve">亚信安全</x:t>
        </x:is>
      </x:c>
      <x:c r="D3307" s="5" t="inlineStr">
        <x:is>
          <x:t xml:space="preserve">亚信安全科技股份有限公司</x:t>
        </x:is>
      </x:c>
      <x:c r="E3307" s="4" t="inlineStr">
        <x:is>
          <x:t xml:space="preserve">江苏省</x:t>
        </x:is>
      </x:c>
      <x:c r="F3307" s="4" t="inlineStr">
        <x:is>
          <x:t xml:space="preserve">南京市</x:t>
        </x:is>
      </x:c>
      <x:c r="G3307" s="5" t="inlineStr">
        <x:is>
          <x:t xml:space="preserve">江苏省-南京市</x:t>
        </x:is>
      </x:c>
      <x:c r="H3307" s="4" t="inlineStr">
        <x:is>
          <x:t xml:space="preserve">软件开发</x:t>
        </x:is>
      </x:c>
      <x:c r="I3307" s="4" t="inlineStr">
        <x:is>
          <x:t xml:space="preserve">2022-02-09</x:t>
        </x:is>
      </x:c>
      <x:c r="J3307" s="5" t="inlineStr">
        <x:is>
          <x:t xml:space="preserve">南京市雨花台区花神大道98号01栋</x:t>
        </x:is>
      </x:c>
      <x:c r="K3307" s="12" t="str">
        <x:f>LEFT("913201003216357797",18)</x:f>
        <x:v>913201003216357800</x:v>
      </x:c>
    </x:row>
    <x:row r="3308">
      <x:c r="A3308" s="2" t="n">
        <x:v>3307</x:v>
      </x:c>
      <x:c r="B3308" s="2" t="inlineStr">
        <x:is>
          <x:t xml:space="preserve">688226</x:t>
        </x:is>
      </x:c>
      <x:c r="C3308" s="3" t="inlineStr">
        <x:is>
          <x:t xml:space="preserve">威腾电气</x:t>
        </x:is>
      </x:c>
      <x:c r="D3308" s="3" t="inlineStr">
        <x:is>
          <x:t xml:space="preserve">威腾电气集团股份有限公司</x:t>
        </x:is>
      </x:c>
      <x:c r="E3308" s="2" t="inlineStr">
        <x:is>
          <x:t xml:space="preserve">江苏省</x:t>
        </x:is>
      </x:c>
      <x:c r="F3308" s="2" t="inlineStr">
        <x:is>
          <x:t xml:space="preserve">扬中市</x:t>
        </x:is>
      </x:c>
      <x:c r="G3308" s="3" t="inlineStr">
        <x:is>
          <x:t xml:space="preserve">江苏省-扬中市</x:t>
        </x:is>
      </x:c>
      <x:c r="H3308" s="2" t="inlineStr">
        <x:is>
          <x:t xml:space="preserve">输配电气</x:t>
        </x:is>
      </x:c>
      <x:c r="I3308" s="2" t="inlineStr">
        <x:is>
          <x:t xml:space="preserve">2021-07-07</x:t>
        </x:is>
      </x:c>
      <x:c r="J3308" s="3" t="inlineStr">
        <x:is>
          <x:t xml:space="preserve">扬中市新坝科技园南自路1号</x:t>
        </x:is>
      </x:c>
      <x:c r="K3308" s="12" t="str">
        <x:f>LEFT("913211007558988918",18)</x:f>
        <x:v>913211007558988900</x:v>
      </x:c>
    </x:row>
    <x:row r="3309">
      <x:c r="A3309" s="4" t="n">
        <x:v>3308</x:v>
      </x:c>
      <x:c r="B3309" s="4" t="inlineStr">
        <x:is>
          <x:t xml:space="preserve">688231</x:t>
        </x:is>
      </x:c>
      <x:c r="C3309" s="5" t="inlineStr">
        <x:is>
          <x:t xml:space="preserve">隆达股份</x:t>
        </x:is>
      </x:c>
      <x:c r="D3309" s="5" t="inlineStr">
        <x:is>
          <x:t xml:space="preserve">江苏隆达超合金股份有限公司</x:t>
        </x:is>
      </x:c>
      <x:c r="E3309" s="4" t="inlineStr">
        <x:is>
          <x:t xml:space="preserve">江苏省</x:t>
        </x:is>
      </x:c>
      <x:c r="F3309" s="4" t="inlineStr">
        <x:is>
          <x:t xml:space="preserve">无锡市</x:t>
        </x:is>
      </x:c>
      <x:c r="G3309" s="5" t="inlineStr">
        <x:is>
          <x:t xml:space="preserve">江苏省-无锡市</x:t>
        </x:is>
      </x:c>
      <x:c r="H3309" s="4" t="inlineStr">
        <x:is>
          <x:t xml:space="preserve">有色金属</x:t>
        </x:is>
      </x:c>
      <x:c r="I3309" s="4" t="inlineStr">
        <x:is>
          <x:t xml:space="preserve">2022-07-22</x:t>
        </x:is>
      </x:c>
      <x:c r="J3309" s="5" t="inlineStr">
        <x:is>
          <x:t xml:space="preserve">江苏省无锡市锡山区安镇街道翔云路18号</x:t>
        </x:is>
      </x:c>
      <x:c r="K3309" s="12" t="str">
        <x:f>LEFT("913202057635770434",18)</x:f>
        <x:v>913202057635770500</x:v>
      </x:c>
    </x:row>
    <x:row r="3310">
      <x:c r="A3310" s="2" t="n">
        <x:v>3309</x:v>
      </x:c>
      <x:c r="B3310" s="2" t="inlineStr">
        <x:is>
          <x:t xml:space="preserve">688232</x:t>
        </x:is>
      </x:c>
      <x:c r="C3310" s="3" t="inlineStr">
        <x:is>
          <x:t xml:space="preserve">新点软件</x:t>
        </x:is>
      </x:c>
      <x:c r="D3310" s="3" t="inlineStr">
        <x:is>
          <x:t xml:space="preserve">国泰新点软件股份有限公司</x:t>
        </x:is>
      </x:c>
      <x:c r="E3310" s="2" t="inlineStr">
        <x:is>
          <x:t xml:space="preserve">江苏省</x:t>
        </x:is>
      </x:c>
      <x:c r="F3310" s="2" t="inlineStr">
        <x:is>
          <x:t xml:space="preserve">苏州市</x:t>
        </x:is>
      </x:c>
      <x:c r="G3310" s="3" t="inlineStr">
        <x:is>
          <x:t xml:space="preserve">江苏省-苏州市</x:t>
        </x:is>
      </x:c>
      <x:c r="H3310" s="2" t="inlineStr">
        <x:is>
          <x:t xml:space="preserve">软件服务</x:t>
        </x:is>
      </x:c>
      <x:c r="I3310" s="2" t="inlineStr">
        <x:is>
          <x:t xml:space="preserve">2021-11-17</x:t>
        </x:is>
      </x:c>
      <x:c r="J3310" s="3" t="inlineStr">
        <x:is>
          <x:t xml:space="preserve">张家港经济开发区(杨舍镇长兴路)</x:t>
        </x:is>
      </x:c>
      <x:c r="K3310" s="12" t="str">
        <x:f>LEFT("91320582704068740Y",18)</x:f>
        <x:v>91320582704068740Y</x:v>
      </x:c>
    </x:row>
    <x:row r="3311">
      <x:c r="A3311" s="4" t="n">
        <x:v>3310</x:v>
      </x:c>
      <x:c r="B3311" s="4" t="inlineStr">
        <x:is>
          <x:t xml:space="preserve">688257</x:t>
        </x:is>
      </x:c>
      <x:c r="C3311" s="5" t="inlineStr">
        <x:is>
          <x:t xml:space="preserve">新锐股份</x:t>
        </x:is>
      </x:c>
      <x:c r="D3311" s="5" t="inlineStr">
        <x:is>
          <x:t xml:space="preserve">苏州新锐合金工具股份有限公司</x:t>
        </x:is>
      </x:c>
      <x:c r="E3311" s="4" t="inlineStr">
        <x:is>
          <x:t xml:space="preserve">江苏省</x:t>
        </x:is>
      </x:c>
      <x:c r="F3311" s="4" t="inlineStr">
        <x:is>
          <x:t xml:space="preserve">苏州市</x:t>
        </x:is>
      </x:c>
      <x:c r="G3311" s="5" t="inlineStr">
        <x:is>
          <x:t xml:space="preserve">江苏省-苏州市</x:t>
        </x:is>
      </x:c>
      <x:c r="H3311" s="4" t="inlineStr">
        <x:is>
          <x:t xml:space="preserve">有色金属</x:t>
        </x:is>
      </x:c>
      <x:c r="I3311" s="4" t="inlineStr">
        <x:is>
          <x:t xml:space="preserve">2021-10-27</x:t>
        </x:is>
      </x:c>
      <x:c r="J3311" s="5" t="inlineStr">
        <x:is>
          <x:t xml:space="preserve">苏州工业园区唯亭镇双马街133号</x:t>
        </x:is>
      </x:c>
      <x:c r="K3311" s="12" t="str">
        <x:f>LEFT("9132000077867054XF",18)</x:f>
        <x:v>9132000077867054XF</x:v>
      </x:c>
    </x:row>
    <x:row r="3312">
      <x:c r="A3312" s="2" t="n">
        <x:v>3311</x:v>
      </x:c>
      <x:c r="B3312" s="2" t="inlineStr">
        <x:is>
          <x:t xml:space="preserve">688258</x:t>
        </x:is>
      </x:c>
      <x:c r="C3312" s="3" t="inlineStr">
        <x:is>
          <x:t xml:space="preserve">卓易信息</x:t>
        </x:is>
      </x:c>
      <x:c r="D3312" s="3" t="inlineStr">
        <x:is>
          <x:t xml:space="preserve">江苏卓易信息科技股份有限公司</x:t>
        </x:is>
      </x:c>
      <x:c r="E3312" s="2" t="inlineStr">
        <x:is>
          <x:t xml:space="preserve">江苏省</x:t>
        </x:is>
      </x:c>
      <x:c r="F3312" s="2" t="inlineStr">
        <x:is>
          <x:t xml:space="preserve">宜兴市</x:t>
        </x:is>
      </x:c>
      <x:c r="G3312" s="3" t="inlineStr">
        <x:is>
          <x:t xml:space="preserve">江苏省-宜兴市</x:t>
        </x:is>
      </x:c>
      <x:c r="H3312" s="2" t="inlineStr">
        <x:is>
          <x:t xml:space="preserve">互联网服务</x:t>
        </x:is>
      </x:c>
      <x:c r="I3312" s="2" t="inlineStr">
        <x:is>
          <x:t xml:space="preserve">2019-12-09</x:t>
        </x:is>
      </x:c>
      <x:c r="J3312" s="3" t="inlineStr">
        <x:is>
          <x:t xml:space="preserve">宜兴市新街街道兴业路298号</x:t>
        </x:is>
      </x:c>
      <x:c r="K3312" s="12" t="str">
        <x:f>LEFT("913202006754651566",18)</x:f>
        <x:v>913202006754651500</x:v>
      </x:c>
    </x:row>
    <x:row r="3313">
      <x:c r="A3313" s="4" t="n">
        <x:v>3312</x:v>
      </x:c>
      <x:c r="B3313" s="4" t="inlineStr">
        <x:is>
          <x:t xml:space="preserve">688259</x:t>
        </x:is>
      </x:c>
      <x:c r="C3313" s="5" t="inlineStr">
        <x:is>
          <x:t xml:space="preserve">创耀科技</x:t>
        </x:is>
      </x:c>
      <x:c r="D3313" s="5" t="inlineStr">
        <x:is>
          <x:t xml:space="preserve">创耀(苏州)通信科技股份有限公司</x:t>
        </x:is>
      </x:c>
      <x:c r="E3313" s="4" t="inlineStr">
        <x:is>
          <x:t xml:space="preserve">江苏省</x:t>
        </x:is>
      </x:c>
      <x:c r="F3313" s="4" t="inlineStr">
        <x:is>
          <x:t xml:space="preserve">苏州市</x:t>
        </x:is>
      </x:c>
      <x:c r="G3313" s="5" t="inlineStr">
        <x:is>
          <x:t xml:space="preserve">江苏省-苏州市</x:t>
        </x:is>
      </x:c>
      <x:c r="H3313" s="4" t="inlineStr">
        <x:is>
          <x:t xml:space="preserve">半导体</x:t>
        </x:is>
      </x:c>
      <x:c r="I3313" s="4" t="inlineStr">
        <x:is>
          <x:t xml:space="preserve">2022-01-12</x:t>
        </x:is>
      </x:c>
      <x:c r="J3313" s="5" t="inlineStr">
        <x:is>
          <x:t xml:space="preserve">中国(江苏)自由贸易试验区苏州片区苏州工业园区集贤街89号6幢1501室</x:t>
        </x:is>
      </x:c>
      <x:c r="K3313" s="12" t="str">
        <x:f>LEFT("91320594789949044E",18)</x:f>
        <x:v>91320594789949044E</x:v>
      </x:c>
    </x:row>
    <x:row r="3314">
      <x:c r="A3314" s="2" t="n">
        <x:v>3313</x:v>
      </x:c>
      <x:c r="B3314" s="2" t="inlineStr">
        <x:is>
          <x:t xml:space="preserve">688260</x:t>
        </x:is>
      </x:c>
      <x:c r="C3314" s="3" t="inlineStr">
        <x:is>
          <x:t xml:space="preserve">昀冢科技</x:t>
        </x:is>
      </x:c>
      <x:c r="D3314" s="3" t="inlineStr">
        <x:is>
          <x:t xml:space="preserve">苏州昀冢电子科技股份有限公司</x:t>
        </x:is>
      </x:c>
      <x:c r="E3314" s="2" t="inlineStr">
        <x:is>
          <x:t xml:space="preserve">江苏省</x:t>
        </x:is>
      </x:c>
      <x:c r="F3314" s="2" t="inlineStr">
        <x:is>
          <x:t xml:space="preserve">昆山市</x:t>
        </x:is>
      </x:c>
      <x:c r="G3314" s="3" t="inlineStr">
        <x:is>
          <x:t xml:space="preserve">江苏省-昆山市</x:t>
        </x:is>
      </x:c>
      <x:c r="H3314" s="2" t="inlineStr">
        <x:is>
          <x:t xml:space="preserve">消费电子</x:t>
        </x:is>
      </x:c>
      <x:c r="I3314" s="2" t="inlineStr">
        <x:is>
          <x:t xml:space="preserve">2021-04-06</x:t>
        </x:is>
      </x:c>
      <x:c r="J3314" s="3" t="inlineStr">
        <x:is>
          <x:t xml:space="preserve">昆山市周市镇宋家港路269号</x:t>
        </x:is>
      </x:c>
      <x:c r="K3314" s="12" t="str">
        <x:f>LEFT("91320583085045936C",18)</x:f>
        <x:v>91320583085045936C</x:v>
      </x:c>
    </x:row>
    <x:row r="3315">
      <x:c r="A3315" s="4" t="n">
        <x:v>3314</x:v>
      </x:c>
      <x:c r="B3315" s="4" t="inlineStr">
        <x:is>
          <x:t xml:space="preserve">688261</x:t>
        </x:is>
      </x:c>
      <x:c r="C3315" s="5" t="inlineStr">
        <x:is>
          <x:t xml:space="preserve">东微半导</x:t>
        </x:is>
      </x:c>
      <x:c r="D3315" s="5" t="inlineStr">
        <x:is>
          <x:t xml:space="preserve">苏州东微半导体股份有限公司</x:t>
        </x:is>
      </x:c>
      <x:c r="E3315" s="4" t="inlineStr">
        <x:is>
          <x:t xml:space="preserve">江苏省</x:t>
        </x:is>
      </x:c>
      <x:c r="F3315" s="4" t="inlineStr">
        <x:is>
          <x:t xml:space="preserve">苏州市</x:t>
        </x:is>
      </x:c>
      <x:c r="G3315" s="5" t="inlineStr">
        <x:is>
          <x:t xml:space="preserve">江苏省-苏州市</x:t>
        </x:is>
      </x:c>
      <x:c r="H3315" s="4" t="inlineStr">
        <x:is>
          <x:t xml:space="preserve">半导体</x:t>
        </x:is>
      </x:c>
      <x:c r="I3315" s="4" t="inlineStr">
        <x:is>
          <x:t xml:space="preserve">2022-02-10</x:t>
        </x:is>
      </x:c>
      <x:c r="J3315" s="5" t="inlineStr">
        <x:is>
          <x:t xml:space="preserve">江苏省苏州市工业园区金鸡湖大道99号纳米城东南区65栋</x:t>
        </x:is>
      </x:c>
      <x:c r="K3315" s="12" t="str">
        <x:f>LEFT("91320594680506522G",18)</x:f>
        <x:v>91320594680506522G</x:v>
      </x:c>
    </x:row>
    <x:row r="3316">
      <x:c r="A3316" s="2" t="n">
        <x:v>3315</x:v>
      </x:c>
      <x:c r="B3316" s="2" t="inlineStr">
        <x:is>
          <x:t xml:space="preserve">688262</x:t>
        </x:is>
      </x:c>
      <x:c r="C3316" s="3" t="inlineStr">
        <x:is>
          <x:t xml:space="preserve">国芯科技</x:t>
        </x:is>
      </x:c>
      <x:c r="D3316" s="3" t="inlineStr">
        <x:is>
          <x:t xml:space="preserve">苏州国芯科技股份有限公司</x:t>
        </x:is>
      </x:c>
      <x:c r="E3316" s="2" t="inlineStr">
        <x:is>
          <x:t xml:space="preserve">江苏省</x:t>
        </x:is>
      </x:c>
      <x:c r="F3316" s="2" t="inlineStr">
        <x:is>
          <x:t xml:space="preserve">苏州市</x:t>
        </x:is>
      </x:c>
      <x:c r="G3316" s="3" t="inlineStr">
        <x:is>
          <x:t xml:space="preserve">江苏省-苏州市</x:t>
        </x:is>
      </x:c>
      <x:c r="H3316" s="2" t="inlineStr">
        <x:is>
          <x:t xml:space="preserve">半导体</x:t>
        </x:is>
      </x:c>
      <x:c r="I3316" s="2" t="inlineStr">
        <x:is>
          <x:t xml:space="preserve">2022-01-06</x:t>
        </x:is>
      </x:c>
      <x:c r="J3316" s="3" t="inlineStr">
        <x:is>
          <x:t xml:space="preserve">苏州市高新区汾湖路99号狮山总部经济中心1号楼</x:t>
        </x:is>
      </x:c>
      <x:c r="K3316" s="12" t="str">
        <x:f>LEFT("91320505729311356W",18)</x:f>
        <x:v>91320505729311356W</x:v>
      </x:c>
    </x:row>
    <x:row r="3317">
      <x:c r="A3317" s="4" t="n">
        <x:v>3316</x:v>
      </x:c>
      <x:c r="B3317" s="4" t="inlineStr">
        <x:is>
          <x:t xml:space="preserve">688266</x:t>
        </x:is>
      </x:c>
      <x:c r="C3317" s="5" t="inlineStr">
        <x:is>
          <x:t xml:space="preserve">泽璟制药</x:t>
        </x:is>
      </x:c>
      <x:c r="D3317" s="5" t="inlineStr">
        <x:is>
          <x:t xml:space="preserve">苏州泽璟生物制药股份有限公司</x:t>
        </x:is>
      </x:c>
      <x:c r="E3317" s="4" t="inlineStr">
        <x:is>
          <x:t xml:space="preserve">江苏省</x:t>
        </x:is>
      </x:c>
      <x:c r="F3317" s="4" t="inlineStr">
        <x:is>
          <x:t xml:space="preserve">苏省昆山市</x:t>
        </x:is>
      </x:c>
      <x:c r="G3317" s="5" t="inlineStr">
        <x:is>
          <x:t xml:space="preserve">江苏省-苏省昆山市</x:t>
        </x:is>
      </x:c>
      <x:c r="H3317" s="4" t="inlineStr">
        <x:is>
          <x:t xml:space="preserve">医药制造</x:t>
        </x:is>
      </x:c>
      <x:c r="I3317" s="4" t="inlineStr">
        <x:is>
          <x:t xml:space="preserve">2020-01-23</x:t>
        </x:is>
      </x:c>
      <x:c r="J3317" s="5" t="inlineStr">
        <x:is>
          <x:t xml:space="preserve">江苏省昆山市玉山镇晨丰路209号</x:t>
        </x:is>
      </x:c>
      <x:c r="K3317" s="12" t="str">
        <x:f>LEFT("91320583685894616H",18)</x:f>
        <x:v>91320583685894616H</x:v>
      </x:c>
    </x:row>
    <x:row r="3318">
      <x:c r="A3318" s="2" t="n">
        <x:v>3317</x:v>
      </x:c>
      <x:c r="B3318" s="2" t="inlineStr">
        <x:is>
          <x:t xml:space="preserve">688273</x:t>
        </x:is>
      </x:c>
      <x:c r="C3318" s="3" t="inlineStr">
        <x:is>
          <x:t xml:space="preserve">麦澜德</x:t>
        </x:is>
      </x:c>
      <x:c r="D3318" s="3" t="inlineStr">
        <x:is>
          <x:t xml:space="preserve">南京麦澜德医疗科技股份有限公司</x:t>
        </x:is>
      </x:c>
      <x:c r="E3318" s="2" t="inlineStr">
        <x:is>
          <x:t xml:space="preserve">江苏省</x:t>
        </x:is>
      </x:c>
      <x:c r="F3318" s="2" t="inlineStr">
        <x:is>
          <x:t xml:space="preserve">南京市</x:t>
        </x:is>
      </x:c>
      <x:c r="G3318" s="3" t="inlineStr">
        <x:is>
          <x:t xml:space="preserve">江苏省-南京市</x:t>
        </x:is>
      </x:c>
      <x:c r="H3318" s="2" t="inlineStr">
        <x:is>
          <x:t xml:space="preserve">医疗器械</x:t>
        </x:is>
      </x:c>
      <x:c r="I3318" s="2" t="inlineStr">
        <x:is>
          <x:t xml:space="preserve">2022-08-11</x:t>
        </x:is>
      </x:c>
      <x:c r="J3318" s="3" t="inlineStr">
        <x:is>
          <x:t xml:space="preserve">南京市江宁区乾德路6号5幢二层(江宁高新园)</x:t>
        </x:is>
      </x:c>
      <x:c r="K3318" s="12" t="str">
        <x:f>LEFT("9132011505799566XM",18)</x:f>
        <x:v>9132011505799566XM</x:v>
      </x:c>
    </x:row>
    <x:row r="3319">
      <x:c r="A3319" s="4" t="n">
        <x:v>3318</x:v>
      </x:c>
      <x:c r="B3319" s="4" t="inlineStr">
        <x:is>
          <x:t xml:space="preserve">688286</x:t>
        </x:is>
      </x:c>
      <x:c r="C3319" s="5" t="inlineStr">
        <x:is>
          <x:t xml:space="preserve">敏芯股份</x:t>
        </x:is>
      </x:c>
      <x:c r="D3319" s="5" t="inlineStr">
        <x:is>
          <x:t xml:space="preserve">苏州敏芯微电子技术股份有限公司</x:t>
        </x:is>
      </x:c>
      <x:c r="E3319" s="4" t="inlineStr">
        <x:is>
          <x:t xml:space="preserve">江苏省</x:t>
        </x:is>
      </x:c>
      <x:c r="F3319" s="4" t="inlineStr">
        <x:is>
          <x:t xml:space="preserve">苏州市</x:t>
        </x:is>
      </x:c>
      <x:c r="G3319" s="5" t="inlineStr">
        <x:is>
          <x:t xml:space="preserve">江苏省-苏州市</x:t>
        </x:is>
      </x:c>
      <x:c r="H3319" s="4" t="inlineStr">
        <x:is>
          <x:t xml:space="preserve">半导体</x:t>
        </x:is>
      </x:c>
      <x:c r="I3319" s="4" t="inlineStr">
        <x:is>
          <x:t xml:space="preserve">2020-08-10</x:t>
        </x:is>
      </x:c>
      <x:c r="J3319" s="5" t="inlineStr">
        <x:is>
          <x:t xml:space="preserve">中国(江苏)自由贸易试验区苏州片区苏州工业园区旺家浜巷8号</x:t>
        </x:is>
      </x:c>
      <x:c r="K3319" s="12" t="str">
        <x:f>LEFT("913200006676081021",18)</x:f>
        <x:v>913200006676081000</x:v>
      </x:c>
    </x:row>
    <x:row r="3320">
      <x:c r="A3320" s="2" t="n">
        <x:v>3319</x:v>
      </x:c>
      <x:c r="B3320" s="2" t="inlineStr">
        <x:is>
          <x:t xml:space="preserve">688295</x:t>
        </x:is>
      </x:c>
      <x:c r="C3320" s="3" t="inlineStr">
        <x:is>
          <x:t xml:space="preserve">中复神鹰</x:t>
        </x:is>
      </x:c>
      <x:c r="D3320" s="3" t="inlineStr">
        <x:is>
          <x:t xml:space="preserve">中复神鹰碳纤维股份有限公司</x:t>
        </x:is>
      </x:c>
      <x:c r="E3320" s="2" t="inlineStr">
        <x:is>
          <x:t xml:space="preserve">江苏省</x:t>
        </x:is>
      </x:c>
      <x:c r="F3320" s="2" t="inlineStr">
        <x:is>
          <x:t xml:space="preserve">连云港市</x:t>
        </x:is>
      </x:c>
      <x:c r="G3320" s="3" t="inlineStr">
        <x:is>
          <x:t xml:space="preserve">江苏省-连云港市</x:t>
        </x:is>
      </x:c>
      <x:c r="H3320" s="2" t="inlineStr">
        <x:is>
          <x:t xml:space="preserve">化纤行业</x:t>
        </x:is>
      </x:c>
      <x:c r="I3320" s="2" t="inlineStr">
        <x:is>
          <x:t xml:space="preserve">2022-04-06</x:t>
        </x:is>
      </x:c>
      <x:c r="J3320" s="3" t="inlineStr">
        <x:is>
          <x:t xml:space="preserve">连云港经济技术开发区大浦工业区南环路北</x:t>
        </x:is>
      </x:c>
      <x:c r="K3320" s="12" t="str">
        <x:f>LEFT("913207007849886428",18)</x:f>
        <x:v>913207007849886500</x:v>
      </x:c>
    </x:row>
    <x:row r="3321">
      <x:c r="A3321" s="4" t="n">
        <x:v>3320</x:v>
      </x:c>
      <x:c r="B3321" s="4" t="inlineStr">
        <x:is>
          <x:t xml:space="preserve">688300</x:t>
        </x:is>
      </x:c>
      <x:c r="C3321" s="5" t="inlineStr">
        <x:is>
          <x:t xml:space="preserve">联瑞新材</x:t>
        </x:is>
      </x:c>
      <x:c r="D3321" s="5" t="inlineStr">
        <x:is>
          <x:t xml:space="preserve">江苏联瑞新材料股份有限公司</x:t>
        </x:is>
      </x:c>
      <x:c r="E3321" s="4" t="inlineStr">
        <x:is>
          <x:t xml:space="preserve">江苏省</x:t>
        </x:is>
      </x:c>
      <x:c r="F3321" s="4" t="inlineStr">
        <x:is>
          <x:t xml:space="preserve">连云港市</x:t>
        </x:is>
      </x:c>
      <x:c r="G3321" s="5" t="inlineStr">
        <x:is>
          <x:t xml:space="preserve">江苏省-连云港市</x:t>
        </x:is>
      </x:c>
      <x:c r="H3321" s="4" t="inlineStr">
        <x:is>
          <x:t xml:space="preserve">非金属材料</x:t>
        </x:is>
      </x:c>
      <x:c r="I3321" s="4" t="inlineStr">
        <x:is>
          <x:t xml:space="preserve">2019-11-15</x:t>
        </x:is>
      </x:c>
      <x:c r="J3321" s="5" t="inlineStr">
        <x:is>
          <x:t xml:space="preserve">江苏省连云港市海州区新浦经济开发区</x:t>
        </x:is>
      </x:c>
      <x:c r="K3321" s="12" t="str">
        <x:f>LEFT("913207007382577341",18)</x:f>
        <x:v>913207007382577300</x:v>
      </x:c>
    </x:row>
    <x:row r="3322">
      <x:c r="A3322" s="2" t="n">
        <x:v>3321</x:v>
      </x:c>
      <x:c r="B3322" s="2" t="inlineStr">
        <x:is>
          <x:t xml:space="preserve">688329</x:t>
        </x:is>
      </x:c>
      <x:c r="C3322" s="3" t="inlineStr">
        <x:is>
          <x:t xml:space="preserve">艾隆科技</x:t>
        </x:is>
      </x:c>
      <x:c r="D3322" s="3" t="inlineStr">
        <x:is>
          <x:t xml:space="preserve">苏州艾隆科技股份有限公司</x:t>
        </x:is>
      </x:c>
      <x:c r="E3322" s="2" t="inlineStr">
        <x:is>
          <x:t xml:space="preserve">江苏省</x:t>
        </x:is>
      </x:c>
      <x:c r="F3322" s="2" t="inlineStr">
        <x:is>
          <x:t xml:space="preserve">苏州市</x:t>
        </x:is>
      </x:c>
      <x:c r="G3322" s="3" t="inlineStr">
        <x:is>
          <x:t xml:space="preserve">江苏省-苏州市</x:t>
        </x:is>
      </x:c>
      <x:c r="H3322" s="2" t="inlineStr">
        <x:is>
          <x:t xml:space="preserve">专用设备</x:t>
        </x:is>
      </x:c>
      <x:c r="I3322" s="2" t="inlineStr">
        <x:is>
          <x:t xml:space="preserve">2021-03-29</x:t>
        </x:is>
      </x:c>
      <x:c r="J3322" s="3" t="inlineStr">
        <x:is>
          <x:t xml:space="preserve">中国(江苏)自由贸易试验区苏州片区苏州工业园区新庆路71号</x:t>
        </x:is>
      </x:c>
      <x:c r="K3322" s="12" t="str">
        <x:f>LEFT("91320000784377390K",18)</x:f>
        <x:v>91320000784377390K</x:v>
      </x:c>
    </x:row>
    <x:row r="3323">
      <x:c r="A3323" s="4" t="n">
        <x:v>3322</x:v>
      </x:c>
      <x:c r="B3323" s="4" t="inlineStr">
        <x:is>
          <x:t xml:space="preserve">688337</x:t>
        </x:is>
      </x:c>
      <x:c r="C3323" s="5" t="inlineStr">
        <x:is>
          <x:t xml:space="preserve">普源精电</x:t>
        </x:is>
      </x:c>
      <x:c r="D3323" s="5" t="inlineStr">
        <x:is>
          <x:t xml:space="preserve">普源精电科技股份有限公司</x:t>
        </x:is>
      </x:c>
      <x:c r="E3323" s="4" t="inlineStr">
        <x:is>
          <x:t xml:space="preserve">江苏省</x:t>
        </x:is>
      </x:c>
      <x:c r="F3323" s="4" t="inlineStr">
        <x:is>
          <x:t xml:space="preserve">苏州市</x:t>
        </x:is>
      </x:c>
      <x:c r="G3323" s="5" t="inlineStr">
        <x:is>
          <x:t xml:space="preserve">江苏省-苏州市</x:t>
        </x:is>
      </x:c>
      <x:c r="H3323" s="4" t="inlineStr">
        <x:is>
          <x:t xml:space="preserve">仪器仪表</x:t>
        </x:is>
      </x:c>
      <x:c r="I3323" s="4" t="inlineStr">
        <x:is>
          <x:t xml:space="preserve">2022-04-08</x:t>
        </x:is>
      </x:c>
      <x:c r="J3323" s="5" t="inlineStr">
        <x:is>
          <x:t xml:space="preserve">苏州高新区科灵路8号</x:t>
        </x:is>
      </x:c>
      <x:c r="K3323" s="12" t="str">
        <x:f>LEFT("91320505688344441R",18)</x:f>
        <x:v>91320505688344441R</x:v>
      </x:c>
    </x:row>
    <x:row r="3324">
      <x:c r="A3324" s="2" t="n">
        <x:v>3323</x:v>
      </x:c>
      <x:c r="B3324" s="2" t="inlineStr">
        <x:is>
          <x:t xml:space="preserve">688350</x:t>
        </x:is>
      </x:c>
      <x:c r="C3324" s="3" t="inlineStr">
        <x:is>
          <x:t xml:space="preserve">富淼科技</x:t>
        </x:is>
      </x:c>
      <x:c r="D3324" s="3" t="inlineStr">
        <x:is>
          <x:t xml:space="preserve">江苏富淼科技股份有限公司</x:t>
        </x:is>
      </x:c>
      <x:c r="E3324" s="2" t="inlineStr">
        <x:is>
          <x:t xml:space="preserve">江苏省</x:t>
        </x:is>
      </x:c>
      <x:c r="F3324" s="2" t="inlineStr">
        <x:is>
          <x:t xml:space="preserve">张家港市</x:t>
        </x:is>
      </x:c>
      <x:c r="G3324" s="3" t="inlineStr">
        <x:is>
          <x:t xml:space="preserve">江苏省-张家港市</x:t>
        </x:is>
      </x:c>
      <x:c r="H3324" s="2" t="inlineStr">
        <x:is>
          <x:t xml:space="preserve">化工行业</x:t>
        </x:is>
      </x:c>
      <x:c r="I3324" s="2" t="inlineStr">
        <x:is>
          <x:t xml:space="preserve">2021-01-28</x:t>
        </x:is>
      </x:c>
      <x:c r="J3324" s="3" t="inlineStr">
        <x:is>
          <x:t xml:space="preserve">张家港市凤凰镇杨家桥村(飞翔化工集中区)</x:t>
        </x:is>
      </x:c>
      <x:c r="K3324" s="12" t="str">
        <x:f>LEFT("91320500566862646E",18)</x:f>
        <x:v>91320500566862646E</x:v>
      </x:c>
    </x:row>
    <x:row r="3325">
      <x:c r="A3325" s="4" t="n">
        <x:v>3324</x:v>
      </x:c>
      <x:c r="B3325" s="4" t="inlineStr">
        <x:is>
          <x:t xml:space="preserve">688353</x:t>
        </x:is>
      </x:c>
      <x:c r="C3325" s="5" t="inlineStr">
        <x:is>
          <x:t xml:space="preserve">华盛锂电</x:t>
        </x:is>
      </x:c>
      <x:c r="D3325" s="5" t="inlineStr">
        <x:is>
          <x:t xml:space="preserve">江苏华盛锂电材料股份有限公司</x:t>
        </x:is>
      </x:c>
      <x:c r="E3325" s="4" t="inlineStr">
        <x:is>
          <x:t xml:space="preserve">江苏省</x:t>
        </x:is>
      </x:c>
      <x:c r="F3325" s="4" t="inlineStr">
        <x:is>
          <x:t xml:space="preserve">泰州市</x:t>
        </x:is>
      </x:c>
      <x:c r="G3325" s="5" t="inlineStr">
        <x:is>
          <x:t xml:space="preserve">江苏省-泰州市</x:t>
        </x:is>
      </x:c>
      <x:c r="H3325" s="4" t="inlineStr">
        <x:is>
          <x:t xml:space="preserve">化学制品</x:t>
        </x:is>
      </x:c>
      <x:c r="I3325" s="4" t="inlineStr">
        <x:is>
          <x:t xml:space="preserve">2022-07-13</x:t>
        </x:is>
      </x:c>
      <x:c r="J3325" s="5" t="inlineStr">
        <x:is>
          <x:t xml:space="preserve">江苏扬子江国际化学工业园德盛路1号</x:t>
        </x:is>
      </x:c>
      <x:c r="K3325" s="12" t="str">
        <x:f>LEFT("91320592703677712B",18)</x:f>
        <x:v>91320592703677712B</x:v>
      </x:c>
    </x:row>
    <x:row r="3326">
      <x:c r="A3326" s="2" t="n">
        <x:v>3325</x:v>
      </x:c>
      <x:c r="B3326" s="2" t="inlineStr">
        <x:is>
          <x:t xml:space="preserve">688355</x:t>
        </x:is>
      </x:c>
      <x:c r="C3326" s="3" t="inlineStr">
        <x:is>
          <x:t xml:space="preserve">明志科技</x:t>
        </x:is>
      </x:c>
      <x:c r="D3326" s="3" t="inlineStr">
        <x:is>
          <x:t xml:space="preserve">苏州明志科技股份有限公司</x:t>
        </x:is>
      </x:c>
      <x:c r="E3326" s="2" t="inlineStr">
        <x:is>
          <x:t xml:space="preserve">江苏省</x:t>
        </x:is>
      </x:c>
      <x:c r="F3326" s="2" t="inlineStr">
        <x:is>
          <x:t xml:space="preserve">苏州市</x:t>
        </x:is>
      </x:c>
      <x:c r="G3326" s="3" t="inlineStr">
        <x:is>
          <x:t xml:space="preserve">江苏省-苏州市</x:t>
        </x:is>
      </x:c>
      <x:c r="H3326" s="2" t="inlineStr">
        <x:is>
          <x:t xml:space="preserve">通用设备</x:t>
        </x:is>
      </x:c>
      <x:c r="I3326" s="2" t="inlineStr">
        <x:is>
          <x:t xml:space="preserve">2021-05-12</x:t>
        </x:is>
      </x:c>
      <x:c r="J3326" s="3" t="inlineStr">
        <x:is>
          <x:t xml:space="preserve">苏州市吴江区同里镇同肖西路1999号</x:t>
        </x:is>
      </x:c>
      <x:c r="K3326" s="12" t="str">
        <x:f>LEFT("91320509745584370J",18)</x:f>
        <x:v>91320509745584370J</x:v>
      </x:c>
    </x:row>
    <x:row r="3327">
      <x:c r="A3327" s="4" t="n">
        <x:v>3326</x:v>
      </x:c>
      <x:c r="B3327" s="4" t="inlineStr">
        <x:is>
          <x:t xml:space="preserve">688358</x:t>
        </x:is>
      </x:c>
      <x:c r="C3327" s="5" t="inlineStr">
        <x:is>
          <x:t xml:space="preserve">祥生医疗</x:t>
        </x:is>
      </x:c>
      <x:c r="D3327" s="5" t="inlineStr">
        <x:is>
          <x:t xml:space="preserve">无锡祥生医疗科技股份有限公司</x:t>
        </x:is>
      </x:c>
      <x:c r="E3327" s="4" t="inlineStr">
        <x:is>
          <x:t xml:space="preserve">江苏省</x:t>
        </x:is>
      </x:c>
      <x:c r="F3327" s="4" t="inlineStr">
        <x:is>
          <x:t xml:space="preserve">无锡市</x:t>
        </x:is>
      </x:c>
      <x:c r="G3327" s="5" t="inlineStr">
        <x:is>
          <x:t xml:space="preserve">江苏省-无锡市</x:t>
        </x:is>
      </x:c>
      <x:c r="H3327" s="4" t="inlineStr">
        <x:is>
          <x:t xml:space="preserve">医疗器械</x:t>
        </x:is>
      </x:c>
      <x:c r="I3327" s="4" t="inlineStr">
        <x:is>
          <x:t xml:space="preserve">2019-12-03</x:t>
        </x:is>
      </x:c>
      <x:c r="J3327" s="5" t="inlineStr">
        <x:is>
          <x:t xml:space="preserve">无锡新吴区长江南路3号</x:t>
        </x:is>
      </x:c>
      <x:c r="K3327" s="12" t="str">
        <x:f>LEFT("91320214240508153D",18)</x:f>
        <x:v>91320214240508153D</x:v>
      </x:c>
    </x:row>
    <x:row r="3328">
      <x:c r="A3328" s="2" t="n">
        <x:v>3327</x:v>
      </x:c>
      <x:c r="B3328" s="2" t="inlineStr">
        <x:is>
          <x:t xml:space="preserve">688371</x:t>
        </x:is>
      </x:c>
      <x:c r="C3328" s="3" t="inlineStr">
        <x:is>
          <x:t xml:space="preserve">菲沃泰</x:t>
        </x:is>
      </x:c>
      <x:c r="D3328" s="3" t="inlineStr">
        <x:is>
          <x:t xml:space="preserve">江苏菲沃泰纳米科技股份有限公司</x:t>
        </x:is>
      </x:c>
      <x:c r="E3328" s="2" t="inlineStr">
        <x:is>
          <x:t xml:space="preserve">江苏省</x:t>
        </x:is>
      </x:c>
      <x:c r="F3328" s="2" t="inlineStr">
        <x:is>
          <x:t xml:space="preserve">无锡市</x:t>
        </x:is>
      </x:c>
      <x:c r="G3328" s="3" t="inlineStr">
        <x:is>
          <x:t xml:space="preserve">江苏省-无锡市</x:t>
        </x:is>
      </x:c>
      <x:c r="H3328" s="2" t="inlineStr">
        <x:is>
          <x:t xml:space="preserve">电子元件</x:t>
        </x:is>
      </x:c>
      <x:c r="I3328" s="2" t="inlineStr">
        <x:is>
          <x:t xml:space="preserve">2022-08-02</x:t>
        </x:is>
      </x:c>
      <x:c r="J3328" s="3" t="inlineStr">
        <x:is>
          <x:t xml:space="preserve">无锡市新吴区新华路277号</x:t>
        </x:is>
      </x:c>
      <x:c r="K3328" s="12" t="str">
        <x:f>LEFT("91320206MA1MRM1F5E",18)</x:f>
        <x:v>91320206MA1MRM1F5E</x:v>
      </x:c>
    </x:row>
    <x:row r="3329">
      <x:c r="A3329" s="4" t="n">
        <x:v>3328</x:v>
      </x:c>
      <x:c r="B3329" s="4" t="inlineStr">
        <x:is>
          <x:t xml:space="preserve">688375</x:t>
        </x:is>
      </x:c>
      <x:c r="C3329" s="5" t="inlineStr">
        <x:is>
          <x:t xml:space="preserve">国博电子</x:t>
        </x:is>
      </x:c>
      <x:c r="D3329" s="5" t="inlineStr">
        <x:is>
          <x:t xml:space="preserve">南京国博电子股份有限公司</x:t>
        </x:is>
      </x:c>
      <x:c r="E3329" s="4" t="inlineStr">
        <x:is>
          <x:t xml:space="preserve">江苏省</x:t>
        </x:is>
      </x:c>
      <x:c r="F3329" s="4" t="inlineStr">
        <x:is>
          <x:t xml:space="preserve">南京市</x:t>
        </x:is>
      </x:c>
      <x:c r="G3329" s="5" t="inlineStr">
        <x:is>
          <x:t xml:space="preserve">江苏省-南京市</x:t>
        </x:is>
      </x:c>
      <x:c r="H3329" s="4" t="inlineStr">
        <x:is>
          <x:t xml:space="preserve">电子元件</x:t>
        </x:is>
      </x:c>
      <x:c r="I3329" s="4" t="inlineStr">
        <x:is>
          <x:t xml:space="preserve">2022-07-22</x:t>
        </x:is>
      </x:c>
      <x:c r="J3329" s="5" t="inlineStr">
        <x:is>
          <x:t xml:space="preserve">南京市江宁经济技术开发区正方中路155号</x:t>
        </x:is>
      </x:c>
      <x:c r="K3329" s="12" t="str">
        <x:f>LEFT("913201157031141514",18)</x:f>
        <x:v>913201157031141500</x:v>
      </x:c>
    </x:row>
    <x:row r="3330">
      <x:c r="A3330" s="2" t="n">
        <x:v>3329</x:v>
      </x:c>
      <x:c r="B3330" s="2" t="inlineStr">
        <x:is>
          <x:t xml:space="preserve">688376</x:t>
        </x:is>
      </x:c>
      <x:c r="C3330" s="3" t="inlineStr">
        <x:is>
          <x:t xml:space="preserve">美埃科技</x:t>
        </x:is>
      </x:c>
      <x:c r="D3330" s="3" t="inlineStr">
        <x:is>
          <x:t xml:space="preserve">美埃(中国)环境科技股份有限公司</x:t>
        </x:is>
      </x:c>
      <x:c r="E3330" s="2" t="inlineStr">
        <x:is>
          <x:t xml:space="preserve">江苏省</x:t>
        </x:is>
      </x:c>
      <x:c r="F3330" s="2" t="inlineStr">
        <x:is>
          <x:t xml:space="preserve">南京市</x:t>
        </x:is>
      </x:c>
      <x:c r="G3330" s="3" t="inlineStr">
        <x:is>
          <x:t xml:space="preserve">江苏省-南京市</x:t>
        </x:is>
      </x:c>
      <x:c r="H3330" s="2" t="inlineStr">
        <x:is>
          <x:t xml:space="preserve">环保行业</x:t>
        </x:is>
      </x:c>
      <x:c r="I3330" s="2" t="inlineStr">
        <x:is>
          <x:t xml:space="preserve">2022-11-18</x:t>
        </x:is>
      </x:c>
      <x:c r="J3330" s="3" t="inlineStr">
        <x:is>
          <x:t xml:space="preserve">南京市江宁区秣陵街道蓝霞路101号</x:t>
        </x:is>
      </x:c>
      <x:c r="K3330" s="12" t="str">
        <x:f>LEFT("91320115726090287L",18)</x:f>
        <x:v>91320115726090287L</x:v>
      </x:c>
    </x:row>
    <x:row r="3331">
      <x:c r="A3331" s="4" t="n">
        <x:v>3330</x:v>
      </x:c>
      <x:c r="B3331" s="4" t="inlineStr">
        <x:is>
          <x:t xml:space="preserve">688377</x:t>
        </x:is>
      </x:c>
      <x:c r="C3331" s="5" t="inlineStr">
        <x:is>
          <x:t xml:space="preserve">迪威尔</x:t>
        </x:is>
      </x:c>
      <x:c r="D3331" s="5" t="inlineStr">
        <x:is>
          <x:t xml:space="preserve">南京迪威尔高端制造股份有限公司</x:t>
        </x:is>
      </x:c>
      <x:c r="E3331" s="4" t="inlineStr">
        <x:is>
          <x:t xml:space="preserve">江苏省</x:t>
        </x:is>
      </x:c>
      <x:c r="F3331" s="4" t="inlineStr">
        <x:is>
          <x:t xml:space="preserve">南京市</x:t>
        </x:is>
      </x:c>
      <x:c r="G3331" s="5" t="inlineStr">
        <x:is>
          <x:t xml:space="preserve">江苏省-南京市</x:t>
        </x:is>
      </x:c>
      <x:c r="H3331" s="4" t="inlineStr">
        <x:is>
          <x:t xml:space="preserve">专用设备</x:t>
        </x:is>
      </x:c>
      <x:c r="I3331" s="4" t="inlineStr">
        <x:is>
          <x:t xml:space="preserve">2020-07-08</x:t>
        </x:is>
      </x:c>
      <x:c r="J3331" s="5" t="inlineStr">
        <x:is>
          <x:t xml:space="preserve">南京市江北新区迪西路8号</x:t>
        </x:is>
      </x:c>
      <x:c r="K3331" s="12" t="str">
        <x:f>LEFT("91320100690440184F",18)</x:f>
        <x:v>91320100690440184F</x:v>
      </x:c>
    </x:row>
    <x:row r="3332">
      <x:c r="A3332" s="2" t="n">
        <x:v>3331</x:v>
      </x:c>
      <x:c r="B3332" s="2" t="inlineStr">
        <x:is>
          <x:t xml:space="preserve">688381</x:t>
        </x:is>
      </x:c>
      <x:c r="C3332" s="3" t="inlineStr">
        <x:is>
          <x:t xml:space="preserve">帝奥微</x:t>
        </x:is>
      </x:c>
      <x:c r="D3332" s="3" t="inlineStr">
        <x:is>
          <x:t xml:space="preserve">江苏帝奥微电子股份有限公司</x:t>
        </x:is>
      </x:c>
      <x:c r="E3332" s="2" t="inlineStr">
        <x:is>
          <x:t xml:space="preserve">江苏省</x:t>
        </x:is>
      </x:c>
      <x:c r="F3332" s="2" t="inlineStr">
        <x:is>
          <x:t xml:space="preserve">南通市</x:t>
        </x:is>
      </x:c>
      <x:c r="G3332" s="3" t="inlineStr">
        <x:is>
          <x:t xml:space="preserve">江苏省-南通市</x:t>
        </x:is>
      </x:c>
      <x:c r="H3332" s="2" t="inlineStr">
        <x:is>
          <x:t xml:space="preserve">半导体</x:t>
        </x:is>
      </x:c>
      <x:c r="I3332" s="2" t="inlineStr">
        <x:is>
          <x:t xml:space="preserve">2022-08-23</x:t>
        </x:is>
      </x:c>
      <x:c r="J3332" s="3" t="inlineStr">
        <x:is>
          <x:t xml:space="preserve">江苏省南通市崇州大道60号南通创新区紫琅科技城1号楼12层</x:t>
        </x:is>
      </x:c>
      <x:c r="K3332" s="12" t="str">
        <x:f>LEFT("91320691550288985K",18)</x:f>
        <x:v>91320691550288985K</x:v>
      </x:c>
    </x:row>
    <x:row r="3333">
      <x:c r="A3333" s="4" t="n">
        <x:v>3332</x:v>
      </x:c>
      <x:c r="B3333" s="4" t="inlineStr">
        <x:is>
          <x:t xml:space="preserve">688386</x:t>
        </x:is>
      </x:c>
      <x:c r="C3333" s="5" t="inlineStr">
        <x:is>
          <x:t xml:space="preserve">泛亚微透</x:t>
        </x:is>
      </x:c>
      <x:c r="D3333" s="5" t="inlineStr">
        <x:is>
          <x:t xml:space="preserve">江苏泛亚微透科技股份有限公司</x:t>
        </x:is>
      </x:c>
      <x:c r="E3333" s="4" t="inlineStr">
        <x:is>
          <x:t xml:space="preserve">江苏省</x:t>
        </x:is>
      </x:c>
      <x:c r="F3333" s="4" t="inlineStr">
        <x:is>
          <x:t xml:space="preserve">常州市</x:t>
        </x:is>
      </x:c>
      <x:c r="G3333" s="5" t="inlineStr">
        <x:is>
          <x:t xml:space="preserve">江苏省-常州市</x:t>
        </x:is>
      </x:c>
      <x:c r="H3333" s="4" t="inlineStr">
        <x:is>
          <x:t xml:space="preserve">塑胶制品</x:t>
        </x:is>
      </x:c>
      <x:c r="I3333" s="4" t="inlineStr">
        <x:is>
          <x:t xml:space="preserve">2020-10-16</x:t>
        </x:is>
      </x:c>
      <x:c r="J3333" s="5" t="inlineStr">
        <x:is>
          <x:t xml:space="preserve">常州市武进区礼嘉镇前漕路8号</x:t>
        </x:is>
      </x:c>
      <x:c r="K3333" s="12" t="str">
        <x:f>LEFT("91320400250842753X",18)</x:f>
        <x:v>91320400250842753X</x:v>
      </x:c>
    </x:row>
    <x:row r="3334">
      <x:c r="A3334" s="2" t="n">
        <x:v>3333</x:v>
      </x:c>
      <x:c r="B3334" s="2" t="inlineStr">
        <x:is>
          <x:t xml:space="preserve">688390</x:t>
        </x:is>
      </x:c>
      <x:c r="C3334" s="3" t="inlineStr">
        <x:is>
          <x:t xml:space="preserve">固德威</x:t>
        </x:is>
      </x:c>
      <x:c r="D3334" s="3" t="inlineStr">
        <x:is>
          <x:t xml:space="preserve">固德威技术股份有限公司</x:t>
        </x:is>
      </x:c>
      <x:c r="E3334" s="2" t="inlineStr">
        <x:is>
          <x:t xml:space="preserve">江苏省</x:t>
        </x:is>
      </x:c>
      <x:c r="F3334" s="2" t="inlineStr">
        <x:is>
          <x:t xml:space="preserve">苏州市</x:t>
        </x:is>
      </x:c>
      <x:c r="G3334" s="3" t="inlineStr">
        <x:is>
          <x:t xml:space="preserve">江苏省-苏州市</x:t>
        </x:is>
      </x:c>
      <x:c r="H3334" s="2" t="inlineStr">
        <x:is>
          <x:t xml:space="preserve">光伏设备</x:t>
        </x:is>
      </x:c>
      <x:c r="I3334" s="2" t="inlineStr">
        <x:is>
          <x:t xml:space="preserve">2020-09-04</x:t>
        </x:is>
      </x:c>
      <x:c r="J3334" s="3" t="inlineStr">
        <x:is>
          <x:t xml:space="preserve">苏州市高新区紫金路90号</x:t>
        </x:is>
      </x:c>
      <x:c r="K3334" s="12" t="str">
        <x:f>LEFT("91320500564313408C",18)</x:f>
        <x:v>91320500564313408C</x:v>
      </x:c>
    </x:row>
    <x:row r="3335">
      <x:c r="A3335" s="4" t="n">
        <x:v>3334</x:v>
      </x:c>
      <x:c r="B3335" s="4" t="inlineStr">
        <x:is>
          <x:t xml:space="preserve">688399</x:t>
        </x:is>
      </x:c>
      <x:c r="C3335" s="5" t="inlineStr">
        <x:is>
          <x:t xml:space="preserve">硕世生物</x:t>
        </x:is>
      </x:c>
      <x:c r="D3335" s="5" t="inlineStr">
        <x:is>
          <x:t xml:space="preserve">江苏硕世生物科技股份有限公司</x:t>
        </x:is>
      </x:c>
      <x:c r="E3335" s="4" t="inlineStr">
        <x:is>
          <x:t xml:space="preserve">江苏省</x:t>
        </x:is>
      </x:c>
      <x:c r="F3335" s="4" t="inlineStr">
        <x:is>
          <x:t xml:space="preserve">泰州市</x:t>
        </x:is>
      </x:c>
      <x:c r="G3335" s="5" t="inlineStr">
        <x:is>
          <x:t xml:space="preserve">江苏省-泰州市</x:t>
        </x:is>
      </x:c>
      <x:c r="H3335" s="4" t="inlineStr">
        <x:is>
          <x:t xml:space="preserve">医疗器械</x:t>
        </x:is>
      </x:c>
      <x:c r="I3335" s="4" t="inlineStr">
        <x:is>
          <x:t xml:space="preserve">2019-12-05</x:t>
        </x:is>
      </x:c>
      <x:c r="J3335" s="5" t="inlineStr">
        <x:is>
          <x:t xml:space="preserve">江苏省泰州市药城大道837号</x:t>
        </x:is>
      </x:c>
      <x:c r="K3335" s="12" t="str">
        <x:f>LEFT("91321291553790049X",18)</x:f>
        <x:v>91321291553790049X</x:v>
      </x:c>
    </x:row>
    <x:row r="3336">
      <x:c r="A3336" s="2" t="n">
        <x:v>3335</x:v>
      </x:c>
      <x:c r="B3336" s="2" t="inlineStr">
        <x:is>
          <x:t xml:space="preserve">688408</x:t>
        </x:is>
      </x:c>
      <x:c r="C3336" s="3" t="inlineStr">
        <x:is>
          <x:t xml:space="preserve">中信博</x:t>
        </x:is>
      </x:c>
      <x:c r="D3336" s="3" t="inlineStr">
        <x:is>
          <x:t xml:space="preserve">江苏中信博新能源科技股份有限公司</x:t>
        </x:is>
      </x:c>
      <x:c r="E3336" s="2" t="inlineStr">
        <x:is>
          <x:t xml:space="preserve">江苏省</x:t>
        </x:is>
      </x:c>
      <x:c r="F3336" s="2" t="inlineStr">
        <x:is>
          <x:t xml:space="preserve">昆山市</x:t>
        </x:is>
      </x:c>
      <x:c r="G3336" s="3" t="inlineStr">
        <x:is>
          <x:t xml:space="preserve">江苏省-昆山市</x:t>
        </x:is>
      </x:c>
      <x:c r="H3336" s="2" t="inlineStr">
        <x:is>
          <x:t xml:space="preserve">光伏设备</x:t>
        </x:is>
      </x:c>
      <x:c r="I3336" s="2" t="inlineStr">
        <x:is>
          <x:t xml:space="preserve">2020-08-28</x:t>
        </x:is>
      </x:c>
      <x:c r="J3336" s="3" t="inlineStr">
        <x:is>
          <x:t xml:space="preserve">昆山市陆家镇华阳路190号</x:t>
        </x:is>
      </x:c>
      <x:c r="K3336" s="12" t="str">
        <x:f>LEFT("91320583696798806E",18)</x:f>
        <x:v>91320583696798806E</x:v>
      </x:c>
    </x:row>
    <x:row r="3337">
      <x:c r="A3337" s="4" t="n">
        <x:v>3336</x:v>
      </x:c>
      <x:c r="B3337" s="4" t="inlineStr">
        <x:is>
          <x:t xml:space="preserve">688426</x:t>
        </x:is>
      </x:c>
      <x:c r="C3337" s="5" t="inlineStr">
        <x:is>
          <x:t xml:space="preserve">康为世纪</x:t>
        </x:is>
      </x:c>
      <x:c r="D3337" s="5" t="inlineStr">
        <x:is>
          <x:t xml:space="preserve">江苏康为世纪生物科技股份有限公司</x:t>
        </x:is>
      </x:c>
      <x:c r="E3337" s="4" t="inlineStr">
        <x:is>
          <x:t xml:space="preserve">江苏省</x:t>
        </x:is>
      </x:c>
      <x:c r="F3337" s="4" t="inlineStr">
        <x:is>
          <x:t xml:space="preserve">泰州市</x:t>
        </x:is>
      </x:c>
      <x:c r="G3337" s="5" t="inlineStr">
        <x:is>
          <x:t xml:space="preserve">江苏省-泰州市</x:t>
        </x:is>
      </x:c>
      <x:c r="H3337" s="4" t="inlineStr">
        <x:is>
          <x:t xml:space="preserve">生物制品</x:t>
        </x:is>
      </x:c>
      <x:c r="I3337" s="4" t="inlineStr">
        <x:is>
          <x:t xml:space="preserve">2022-10-25</x:t>
        </x:is>
      </x:c>
      <x:c r="J3337" s="5" t="inlineStr">
        <x:is>
          <x:t xml:space="preserve">泰州市医药高新区泽兰路18号</x:t>
        </x:is>
      </x:c>
      <x:c r="K3337" s="12" t="str">
        <x:f>LEFT("91321291561773986P",18)</x:f>
        <x:v>91321291561773986P</x:v>
      </x:c>
    </x:row>
    <x:row r="3338">
      <x:c r="A3338" s="2" t="n">
        <x:v>3337</x:v>
      </x:c>
      <x:c r="B3338" s="2" t="inlineStr">
        <x:is>
          <x:t xml:space="preserve">688429</x:t>
        </x:is>
      </x:c>
      <x:c r="C3338" s="3" t="inlineStr">
        <x:is>
          <x:t xml:space="preserve">时创能源</x:t>
        </x:is>
      </x:c>
      <x:c r="D3338" s="3" t="inlineStr">
        <x:is>
          <x:t xml:space="preserve">常州时创能源股份有限公司</x:t>
        </x:is>
      </x:c>
      <x:c r="E3338" s="2" t="inlineStr">
        <x:is>
          <x:t xml:space="preserve">江苏省</x:t>
        </x:is>
      </x:c>
      <x:c r="F3338" s="2" t="inlineStr">
        <x:is>
          <x:t xml:space="preserve">溧阳市</x:t>
        </x:is>
      </x:c>
      <x:c r="G3338" s="3" t="inlineStr">
        <x:is>
          <x:t xml:space="preserve">江苏省-溧阳市</x:t>
        </x:is>
      </x:c>
      <x:c r="H3338" s="2" t="inlineStr">
        <x:is>
          <x:t xml:space="preserve">光伏设备</x:t>
        </x:is>
      </x:c>
      <x:c r="I3338" s="2" t="inlineStr">
        <x:is>
          <x:t xml:space="preserve">2023-06-29</x:t>
        </x:is>
      </x:c>
      <x:c r="J3338" s="3" t="inlineStr">
        <x:is>
          <x:t xml:space="preserve">溧阳市溧城镇吴潭渡路8号</x:t>
        </x:is>
      </x:c>
      <x:c r="K3338" s="12" t="str">
        <x:f>LEFT("91320481696789635G",18)</x:f>
        <x:v>91320481696789635G</x:v>
      </x:c>
    </x:row>
    <x:row r="3339">
      <x:c r="A3339" s="4" t="n">
        <x:v>3338</x:v>
      </x:c>
      <x:c r="B3339" s="4" t="inlineStr">
        <x:is>
          <x:t xml:space="preserve">688448</x:t>
        </x:is>
      </x:c>
      <x:c r="C3339" s="5" t="inlineStr">
        <x:is>
          <x:t xml:space="preserve">磁谷科技</x:t>
        </x:is>
      </x:c>
      <x:c r="D3339" s="5" t="inlineStr">
        <x:is>
          <x:t xml:space="preserve">南京磁谷科技股份有限公司</x:t>
        </x:is>
      </x:c>
      <x:c r="E3339" s="4" t="inlineStr">
        <x:is>
          <x:t xml:space="preserve">江苏省</x:t>
        </x:is>
      </x:c>
      <x:c r="F3339" s="4" t="inlineStr">
        <x:is>
          <x:t xml:space="preserve">南京市</x:t>
        </x:is>
      </x:c>
      <x:c r="G3339" s="5" t="inlineStr">
        <x:is>
          <x:t xml:space="preserve">江苏省-南京市</x:t>
        </x:is>
      </x:c>
      <x:c r="H3339" s="4" t="inlineStr">
        <x:is>
          <x:t xml:space="preserve">通用设备</x:t>
        </x:is>
      </x:c>
      <x:c r="I3339" s="4" t="inlineStr">
        <x:is>
          <x:t xml:space="preserve">2022-09-21</x:t>
        </x:is>
      </x:c>
      <x:c r="J3339" s="5" t="inlineStr">
        <x:is>
          <x:t xml:space="preserve">南京市江宁区金鑫中路99号(江宁开发区)</x:t>
        </x:is>
      </x:c>
      <x:c r="K3339" s="12" t="str">
        <x:f>LEFT("913201157904467941",18)</x:f>
        <x:v>913201157904468000</x:v>
      </x:c>
    </x:row>
    <x:row r="3340">
      <x:c r="A3340" s="2" t="n">
        <x:v>3339</x:v>
      </x:c>
      <x:c r="B3340" s="2" t="inlineStr">
        <x:is>
          <x:t xml:space="preserve">688450</x:t>
        </x:is>
      </x:c>
      <x:c r="C3340" s="3" t="inlineStr">
        <x:is>
          <x:t xml:space="preserve">光格科技</x:t>
        </x:is>
      </x:c>
      <x:c r="D3340" s="3" t="inlineStr">
        <x:is>
          <x:t xml:space="preserve">苏州光格科技股份有限公司</x:t>
        </x:is>
      </x:c>
      <x:c r="E3340" s="2" t="inlineStr">
        <x:is>
          <x:t xml:space="preserve">江苏省</x:t>
        </x:is>
      </x:c>
      <x:c r="F3340" s="2" t="inlineStr">
        <x:is>
          <x:t xml:space="preserve">苏州市</x:t>
        </x:is>
      </x:c>
      <x:c r="G3340" s="3" t="inlineStr">
        <x:is>
          <x:t xml:space="preserve">江苏省-苏州市</x:t>
        </x:is>
      </x:c>
      <x:c r="H3340" s="2" t="inlineStr">
        <x:is>
          <x:t xml:space="preserve">仪器仪表</x:t>
        </x:is>
      </x:c>
      <x:c r="I3340" s="2" t="inlineStr">
        <x:is>
          <x:t xml:space="preserve">2023-07-24</x:t>
        </x:is>
      </x:c>
      <x:c r="J3340" s="3" t="inlineStr">
        <x:is>
          <x:t xml:space="preserve">苏州工业园区东平街270号澳洋顺昌大厦3C,3D</x:t>
        </x:is>
      </x:c>
      <x:c r="K3340" s="12" t="str">
        <x:f>LEFT("91320594554649549N",18)</x:f>
        <x:v>91320594554649549N</x:v>
      </x:c>
    </x:row>
    <x:row r="3341">
      <x:c r="A3341" s="4" t="n">
        <x:v>3340</x:v>
      </x:c>
      <x:c r="B3341" s="4" t="inlineStr">
        <x:is>
          <x:t xml:space="preserve">688472</x:t>
        </x:is>
      </x:c>
      <x:c r="C3341" s="5" t="inlineStr">
        <x:is>
          <x:t xml:space="preserve">阿特斯</x:t>
        </x:is>
      </x:c>
      <x:c r="D3341" s="5" t="inlineStr">
        <x:is>
          <x:t xml:space="preserve">阿特斯阳光电力集团股份有限公司</x:t>
        </x:is>
      </x:c>
      <x:c r="E3341" s="4" t="inlineStr">
        <x:is>
          <x:t xml:space="preserve">江苏省</x:t>
        </x:is>
      </x:c>
      <x:c r="F3341" s="4" t="inlineStr">
        <x:is>
          <x:t xml:space="preserve">苏州市</x:t>
        </x:is>
      </x:c>
      <x:c r="G3341" s="5" t="inlineStr">
        <x:is>
          <x:t xml:space="preserve">江苏省-苏州市</x:t>
        </x:is>
      </x:c>
      <x:c r="H3341" s="4" t="inlineStr">
        <x:is>
          <x:t xml:space="preserve">光伏设备</x:t>
        </x:is>
      </x:c>
      <x:c r="I3341" s="4" t="inlineStr">
        <x:is>
          <x:t xml:space="preserve">2023-06-09</x:t>
        </x:is>
      </x:c>
      <x:c r="J3341" s="5" t="inlineStr">
        <x:is>
          <x:t xml:space="preserve">苏州高新区鹿山路199号</x:t>
        </x:is>
      </x:c>
      <x:c r="K3341" s="12" t="str">
        <x:f>LEFT("91320505691330112T",18)</x:f>
        <x:v>91320505691330112T</x:v>
      </x:c>
    </x:row>
    <x:row r="3342">
      <x:c r="A3342" s="2" t="n">
        <x:v>3341</x:v>
      </x:c>
      <x:c r="B3342" s="2" t="inlineStr">
        <x:is>
          <x:t xml:space="preserve">688478</x:t>
        </x:is>
      </x:c>
      <x:c r="C3342" s="3" t="inlineStr">
        <x:is>
          <x:t xml:space="preserve">晶升股份</x:t>
        </x:is>
      </x:c>
      <x:c r="D3342" s="3" t="inlineStr">
        <x:is>
          <x:t xml:space="preserve">南京晶升装备股份有限公司</x:t>
        </x:is>
      </x:c>
      <x:c r="E3342" s="2" t="inlineStr">
        <x:is>
          <x:t xml:space="preserve">江苏省</x:t>
        </x:is>
      </x:c>
      <x:c r="F3342" s="2" t="inlineStr">
        <x:is>
          <x:t xml:space="preserve">南京市</x:t>
        </x:is>
      </x:c>
      <x:c r="G3342" s="3" t="inlineStr">
        <x:is>
          <x:t xml:space="preserve">江苏省-南京市</x:t>
        </x:is>
      </x:c>
      <x:c r="H3342" s="2" t="inlineStr">
        <x:is>
          <x:t xml:space="preserve">半导体</x:t>
        </x:is>
      </x:c>
      <x:c r="I3342" s="2" t="inlineStr">
        <x:is>
          <x:t xml:space="preserve">2023-04-24</x:t>
        </x:is>
      </x:c>
      <x:c r="J3342" s="3" t="inlineStr">
        <x:is>
          <x:t xml:space="preserve">南京经济技术开发区综辉路49号</x:t>
        </x:is>
      </x:c>
      <x:c r="K3342" s="12" t="str">
        <x:f>LEFT("91320192589410351R",18)</x:f>
        <x:v>91320192589410351R</x:v>
      </x:c>
    </x:row>
    <x:row r="3343">
      <x:c r="A3343" s="4" t="n">
        <x:v>3342</x:v>
      </x:c>
      <x:c r="B3343" s="4" t="inlineStr">
        <x:is>
          <x:t xml:space="preserve">688488</x:t>
        </x:is>
      </x:c>
      <x:c r="C3343" s="5" t="inlineStr">
        <x:is>
          <x:t xml:space="preserve">艾迪药业</x:t>
        </x:is>
      </x:c>
      <x:c r="D3343" s="5" t="inlineStr">
        <x:is>
          <x:t xml:space="preserve">江苏艾迪药业集团股份有限公司</x:t>
        </x:is>
      </x:c>
      <x:c r="E3343" s="4" t="inlineStr">
        <x:is>
          <x:t xml:space="preserve">江苏省</x:t>
        </x:is>
      </x:c>
      <x:c r="F3343" s="4" t="inlineStr">
        <x:is>
          <x:t xml:space="preserve">扬州市</x:t>
        </x:is>
      </x:c>
      <x:c r="G3343" s="5" t="inlineStr">
        <x:is>
          <x:t xml:space="preserve">江苏省-扬州市</x:t>
        </x:is>
      </x:c>
      <x:c r="H3343" s="4" t="inlineStr">
        <x:is>
          <x:t xml:space="preserve">生物制品</x:t>
        </x:is>
      </x:c>
      <x:c r="I3343" s="4" t="inlineStr">
        <x:is>
          <x:t xml:space="preserve">2020-07-20</x:t>
        </x:is>
      </x:c>
      <x:c r="J3343" s="5" t="inlineStr">
        <x:is>
          <x:t xml:space="preserve">扬州市邗江区新甘泉西路69号</x:t>
        </x:is>
      </x:c>
      <x:c r="K3343" s="12" t="str">
        <x:f>LEFT("913210006979433664",18)</x:f>
        <x:v>913210006979433700</x:v>
      </x:c>
    </x:row>
    <x:row r="3344">
      <x:c r="A3344" s="2" t="n">
        <x:v>3343</x:v>
      </x:c>
      <x:c r="B3344" s="2" t="inlineStr">
        <x:is>
          <x:t xml:space="preserve">688496</x:t>
        </x:is>
      </x:c>
      <x:c r="C3344" s="3" t="inlineStr">
        <x:is>
          <x:t xml:space="preserve">清越科技</x:t>
        </x:is>
      </x:c>
      <x:c r="D3344" s="3" t="inlineStr">
        <x:is>
          <x:t xml:space="preserve">苏州清越光电科技股份有限公司</x:t>
        </x:is>
      </x:c>
      <x:c r="E3344" s="2" t="inlineStr">
        <x:is>
          <x:t xml:space="preserve">江苏省</x:t>
        </x:is>
      </x:c>
      <x:c r="F3344" s="2" t="inlineStr">
        <x:is>
          <x:t xml:space="preserve">苏省昆山市</x:t>
        </x:is>
      </x:c>
      <x:c r="G3344" s="3" t="inlineStr">
        <x:is>
          <x:t xml:space="preserve">江苏省-苏省昆山市</x:t>
        </x:is>
      </x:c>
      <x:c r="H3344" s="2" t="inlineStr">
        <x:is>
          <x:t xml:space="preserve">电子元件</x:t>
        </x:is>
      </x:c>
      <x:c r="I3344" s="2" t="inlineStr">
        <x:is>
          <x:t xml:space="preserve">2022-12-28</x:t>
        </x:is>
      </x:c>
      <x:c r="J3344" s="3" t="inlineStr">
        <x:is>
          <x:t xml:space="preserve">江苏省昆山市高新区晨丰路188号</x:t>
        </x:is>
      </x:c>
      <x:c r="K3344" s="12" t="str">
        <x:f>LEFT("91320583569198947W",18)</x:f>
        <x:v>91320583569198947W</x:v>
      </x:c>
    </x:row>
    <x:row r="3345">
      <x:c r="A3345" s="4" t="n">
        <x:v>3344</x:v>
      </x:c>
      <x:c r="B3345" s="4" t="inlineStr">
        <x:is>
          <x:t xml:space="preserve">688502</x:t>
        </x:is>
      </x:c>
      <x:c r="C3345" s="5" t="inlineStr">
        <x:is>
          <x:t xml:space="preserve">茂莱光学</x:t>
        </x:is>
      </x:c>
      <x:c r="D3345" s="5" t="inlineStr">
        <x:is>
          <x:t xml:space="preserve">南京茂莱光学科技股份有限公司</x:t>
        </x:is>
      </x:c>
      <x:c r="E3345" s="4" t="inlineStr">
        <x:is>
          <x:t xml:space="preserve">江苏省</x:t>
        </x:is>
      </x:c>
      <x:c r="F3345" s="4" t="inlineStr">
        <x:is>
          <x:t xml:space="preserve">南京市</x:t>
        </x:is>
      </x:c>
      <x:c r="G3345" s="5" t="inlineStr">
        <x:is>
          <x:t xml:space="preserve">江苏省-南京市</x:t>
        </x:is>
      </x:c>
      <x:c r="H3345" s="4" t="inlineStr">
        <x:is>
          <x:t xml:space="preserve">光学光电子</x:t>
        </x:is>
      </x:c>
      <x:c r="I3345" s="4" t="inlineStr">
        <x:is>
          <x:t xml:space="preserve">2023-03-09</x:t>
        </x:is>
      </x:c>
      <x:c r="J3345" s="5" t="inlineStr">
        <x:is>
          <x:t xml:space="preserve">南京市江宁开发区铺岗街398号</x:t>
        </x:is>
      </x:c>
      <x:c r="K3345" s="12" t="str">
        <x:f>LEFT("91320100608978891U",18)</x:f>
        <x:v>91320100608978891U</x:v>
      </x:c>
    </x:row>
    <x:row r="3346">
      <x:c r="A3346" s="2" t="n">
        <x:v>3345</x:v>
      </x:c>
      <x:c r="B3346" s="2" t="inlineStr">
        <x:is>
          <x:t xml:space="preserve">688503</x:t>
        </x:is>
      </x:c>
      <x:c r="C3346" s="3" t="inlineStr">
        <x:is>
          <x:t xml:space="preserve">聚和材料</x:t>
        </x:is>
      </x:c>
      <x:c r="D3346" s="3" t="inlineStr">
        <x:is>
          <x:t xml:space="preserve">常州聚和新材料股份有限公司</x:t>
        </x:is>
      </x:c>
      <x:c r="E3346" s="2" t="inlineStr">
        <x:is>
          <x:t xml:space="preserve">江苏省</x:t>
        </x:is>
      </x:c>
      <x:c r="F3346" s="2" t="inlineStr">
        <x:is>
          <x:t xml:space="preserve">常州市</x:t>
        </x:is>
      </x:c>
      <x:c r="G3346" s="3" t="inlineStr">
        <x:is>
          <x:t xml:space="preserve">江苏省-常州市</x:t>
        </x:is>
      </x:c>
      <x:c r="H3346" s="2" t="inlineStr">
        <x:is>
          <x:t xml:space="preserve">光伏设备</x:t>
        </x:is>
      </x:c>
      <x:c r="I3346" s="2" t="inlineStr">
        <x:is>
          <x:t xml:space="preserve">2022-12-09</x:t>
        </x:is>
      </x:c>
      <x:c r="J3346" s="3" t="inlineStr">
        <x:is>
          <x:t xml:space="preserve">常州市新北区浏阳河路66号</x:t>
        </x:is>
      </x:c>
      <x:c r="K3346" s="12" t="str">
        <x:f>LEFT("91320400354589561B",18)</x:f>
        <x:v>91320400354589561B</x:v>
      </x:c>
    </x:row>
    <x:row r="3347">
      <x:c r="A3347" s="4" t="n">
        <x:v>3346</x:v>
      </x:c>
      <x:c r="B3347" s="4" t="inlineStr">
        <x:is>
          <x:t xml:space="preserve">688508</x:t>
        </x:is>
      </x:c>
      <x:c r="C3347" s="5" t="inlineStr">
        <x:is>
          <x:t xml:space="preserve">芯朋微</x:t>
        </x:is>
      </x:c>
      <x:c r="D3347" s="5" t="inlineStr">
        <x:is>
          <x:t xml:space="preserve">无锡芯朋微电子股份有限公司</x:t>
        </x:is>
      </x:c>
      <x:c r="E3347" s="4" t="inlineStr">
        <x:is>
          <x:t xml:space="preserve">江苏省</x:t>
        </x:is>
      </x:c>
      <x:c r="F3347" s="4" t="inlineStr">
        <x:is>
          <x:t xml:space="preserve">无锡市</x:t>
        </x:is>
      </x:c>
      <x:c r="G3347" s="5" t="inlineStr">
        <x:is>
          <x:t xml:space="preserve">江苏省-无锡市</x:t>
        </x:is>
      </x:c>
      <x:c r="H3347" s="4" t="inlineStr">
        <x:is>
          <x:t xml:space="preserve">半导体</x:t>
        </x:is>
      </x:c>
      <x:c r="I3347" s="4" t="inlineStr">
        <x:is>
          <x:t xml:space="preserve">2020-07-22</x:t>
        </x:is>
      </x:c>
      <x:c r="J3347" s="5" t="inlineStr">
        <x:is>
          <x:t xml:space="preserve">无锡新吴区长江路16号芯朋大厦</x:t>
        </x:is>
      </x:c>
      <x:c r="K3347" s="12" t="str">
        <x:f>LEFT("91320200782736492H",18)</x:f>
        <x:v>91320200782736492H</x:v>
      </x:c>
    </x:row>
    <x:row r="3348">
      <x:c r="A3348" s="2" t="n">
        <x:v>3347</x:v>
      </x:c>
      <x:c r="B3348" s="2" t="inlineStr">
        <x:is>
          <x:t xml:space="preserve">688510</x:t>
        </x:is>
      </x:c>
      <x:c r="C3348" s="3" t="inlineStr">
        <x:is>
          <x:t xml:space="preserve">航亚科技</x:t>
        </x:is>
      </x:c>
      <x:c r="D3348" s="3" t="inlineStr">
        <x:is>
          <x:t xml:space="preserve">无锡航亚科技股份有限公司</x:t>
        </x:is>
      </x:c>
      <x:c r="E3348" s="2" t="inlineStr">
        <x:is>
          <x:t xml:space="preserve">江苏省</x:t>
        </x:is>
      </x:c>
      <x:c r="F3348" s="2" t="inlineStr">
        <x:is>
          <x:t xml:space="preserve">无锡市</x:t>
        </x:is>
      </x:c>
      <x:c r="G3348" s="3" t="inlineStr">
        <x:is>
          <x:t xml:space="preserve">江苏省-无锡市</x:t>
        </x:is>
      </x:c>
      <x:c r="H3348" s="2" t="inlineStr">
        <x:is>
          <x:t xml:space="preserve">航天航空</x:t>
        </x:is>
      </x:c>
      <x:c r="I3348" s="2" t="inlineStr">
        <x:is>
          <x:t xml:space="preserve">2020-12-16</x:t>
        </x:is>
      </x:c>
      <x:c r="J3348" s="3" t="inlineStr">
        <x:is>
          <x:t xml:space="preserve">江苏省无锡市新东安路35号</x:t>
        </x:is>
      </x:c>
      <x:c r="K3348" s="12" t="str">
        <x:f>LEFT("91320213061850324J",18)</x:f>
        <x:v>91320213061850324J</x:v>
      </x:c>
    </x:row>
    <x:row r="3349">
      <x:c r="A3349" s="4" t="n">
        <x:v>3348</x:v>
      </x:c>
      <x:c r="B3349" s="4" t="inlineStr">
        <x:is>
          <x:t xml:space="preserve">688515</x:t>
        </x:is>
      </x:c>
      <x:c r="C3349" s="5" t="inlineStr">
        <x:is>
          <x:t xml:space="preserve">裕太微</x:t>
        </x:is>
      </x:c>
      <x:c r="D3349" s="5" t="inlineStr">
        <x:is>
          <x:t xml:space="preserve">裕太微电子股份有限公司</x:t>
        </x:is>
      </x:c>
      <x:c r="E3349" s="4" t="inlineStr">
        <x:is>
          <x:t xml:space="preserve">江苏省</x:t>
        </x:is>
      </x:c>
      <x:c r="F3349" s="4" t="inlineStr">
        <x:is>
          <x:t xml:space="preserve">苏州市</x:t>
        </x:is>
      </x:c>
      <x:c r="G3349" s="5" t="inlineStr">
        <x:is>
          <x:t xml:space="preserve">江苏省-苏州市</x:t>
        </x:is>
      </x:c>
      <x:c r="H3349" s="4" t="inlineStr">
        <x:is>
          <x:t xml:space="preserve">半导体</x:t>
        </x:is>
      </x:c>
      <x:c r="I3349" s="4" t="inlineStr">
        <x:is>
          <x:t xml:space="preserve">2023-02-10</x:t>
        </x:is>
      </x:c>
      <x:c r="J3349" s="5" t="inlineStr">
        <x:is>
          <x:t xml:space="preserve">苏州市高新区科技城科灵路78号4号楼201室</x:t>
        </x:is>
      </x:c>
      <x:c r="K3349" s="12" t="str">
        <x:f>LEFT("91320505MA1NCA8B3B",18)</x:f>
        <x:v>91320505MA1NCA8B3B</x:v>
      </x:c>
    </x:row>
    <x:row r="3350">
      <x:c r="A3350" s="2" t="n">
        <x:v>3349</x:v>
      </x:c>
      <x:c r="B3350" s="2" t="inlineStr">
        <x:is>
          <x:t xml:space="preserve">688516</x:t>
        </x:is>
      </x:c>
      <x:c r="C3350" s="3" t="inlineStr">
        <x:is>
          <x:t xml:space="preserve">奥特维</x:t>
        </x:is>
      </x:c>
      <x:c r="D3350" s="3" t="inlineStr">
        <x:is>
          <x:t xml:space="preserve">无锡奥特维科技股份有限公司</x:t>
        </x:is>
      </x:c>
      <x:c r="E3350" s="2" t="inlineStr">
        <x:is>
          <x:t xml:space="preserve">江苏省</x:t>
        </x:is>
      </x:c>
      <x:c r="F3350" s="2" t="inlineStr">
        <x:is>
          <x:t xml:space="preserve">无锡市</x:t>
        </x:is>
      </x:c>
      <x:c r="G3350" s="3" t="inlineStr">
        <x:is>
          <x:t xml:space="preserve">江苏省-无锡市</x:t>
        </x:is>
      </x:c>
      <x:c r="H3350" s="2" t="inlineStr">
        <x:is>
          <x:t xml:space="preserve">光伏设备</x:t>
        </x:is>
      </x:c>
      <x:c r="I3350" s="2" t="inlineStr">
        <x:is>
          <x:t xml:space="preserve">2020-05-21</x:t>
        </x:is>
      </x:c>
      <x:c r="J3350" s="3" t="inlineStr">
        <x:is>
          <x:t xml:space="preserve">江苏省无锡市新吴区新华路3号</x:t>
        </x:is>
      </x:c>
      <x:c r="K3350" s="12" t="str">
        <x:f>LEFT("913202005502754040",18)</x:f>
        <x:v>913202005502754000</x:v>
      </x:c>
    </x:row>
    <x:row r="3351">
      <x:c r="A3351" s="4" t="n">
        <x:v>3350</x:v>
      </x:c>
      <x:c r="B3351" s="4" t="inlineStr">
        <x:is>
          <x:t xml:space="preserve">688531</x:t>
        </x:is>
      </x:c>
      <x:c r="C3351" s="5" t="inlineStr">
        <x:is>
          <x:t xml:space="preserve">日联科技</x:t>
        </x:is>
      </x:c>
      <x:c r="D3351" s="5" t="inlineStr">
        <x:is>
          <x:t xml:space="preserve">日联科技集团股份有限公司</x:t>
        </x:is>
      </x:c>
      <x:c r="E3351" s="4" t="inlineStr">
        <x:is>
          <x:t xml:space="preserve">江苏省</x:t>
        </x:is>
      </x:c>
      <x:c r="F3351" s="4" t="inlineStr">
        <x:is>
          <x:t xml:space="preserve">无锡市</x:t>
        </x:is>
      </x:c>
      <x:c r="G3351" s="5" t="inlineStr">
        <x:is>
          <x:t xml:space="preserve">江苏省-无锡市</x:t>
        </x:is>
      </x:c>
      <x:c r="H3351" s="4" t="inlineStr">
        <x:is>
          <x:t xml:space="preserve">专用设备</x:t>
        </x:is>
      </x:c>
      <x:c r="I3351" s="4" t="inlineStr">
        <x:is>
          <x:t xml:space="preserve">2023-03-31</x:t>
        </x:is>
      </x:c>
      <x:c r="J3351" s="5" t="inlineStr">
        <x:is>
          <x:t xml:space="preserve">无锡市新吴区漓江路11号</x:t>
        </x:is>
      </x:c>
      <x:c r="K3351" s="12" t="str">
        <x:f>LEFT("91320200692568341T",18)</x:f>
        <x:v>91320200692568341T</x:v>
      </x:c>
    </x:row>
    <x:row r="3352">
      <x:c r="A3352" s="2" t="n">
        <x:v>3351</x:v>
      </x:c>
      <x:c r="B3352" s="2" t="inlineStr">
        <x:is>
          <x:t xml:space="preserve">688533</x:t>
        </x:is>
      </x:c>
      <x:c r="C3352" s="3" t="inlineStr">
        <x:is>
          <x:t xml:space="preserve">上声电子</x:t>
        </x:is>
      </x:c>
      <x:c r="D3352" s="3" t="inlineStr">
        <x:is>
          <x:t xml:space="preserve">苏州上声电子股份有限公司</x:t>
        </x:is>
      </x:c>
      <x:c r="E3352" s="2" t="inlineStr">
        <x:is>
          <x:t xml:space="preserve">江苏省</x:t>
        </x:is>
      </x:c>
      <x:c r="F3352" s="2" t="inlineStr">
        <x:is>
          <x:t xml:space="preserve">苏州市</x:t>
        </x:is>
      </x:c>
      <x:c r="G3352" s="3" t="inlineStr">
        <x:is>
          <x:t xml:space="preserve">江苏省-苏州市</x:t>
        </x:is>
      </x:c>
      <x:c r="H3352" s="2" t="inlineStr">
        <x:is>
          <x:t xml:space="preserve">汽车零部件</x:t>
        </x:is>
      </x:c>
      <x:c r="I3352" s="2" t="inlineStr">
        <x:is>
          <x:t xml:space="preserve">2021-04-19</x:t>
        </x:is>
      </x:c>
      <x:c r="J3352" s="3" t="inlineStr">
        <x:is>
          <x:t xml:space="preserve">苏州市相城区元和街道科技园中创路333号</x:t>
        </x:is>
      </x:c>
      <x:c r="K3352" s="12" t="str">
        <x:f>LEFT("91320500608285358M",18)</x:f>
        <x:v>91320500608285358M</x:v>
      </x:c>
    </x:row>
    <x:row r="3353">
      <x:c r="A3353" s="4" t="n">
        <x:v>3352</x:v>
      </x:c>
      <x:c r="B3353" s="4" t="inlineStr">
        <x:is>
          <x:t xml:space="preserve">688535</x:t>
        </x:is>
      </x:c>
      <x:c r="C3353" s="5" t="inlineStr">
        <x:is>
          <x:t xml:space="preserve">华海诚科</x:t>
        </x:is>
      </x:c>
      <x:c r="D3353" s="5" t="inlineStr">
        <x:is>
          <x:t xml:space="preserve">江苏华海诚科新材料股份有限公司</x:t>
        </x:is>
      </x:c>
      <x:c r="E3353" s="4" t="inlineStr">
        <x:is>
          <x:t xml:space="preserve">江苏省</x:t>
        </x:is>
      </x:c>
      <x:c r="F3353" s="4" t="inlineStr">
        <x:is>
          <x:t xml:space="preserve">连云港市</x:t>
        </x:is>
      </x:c>
      <x:c r="G3353" s="5" t="inlineStr">
        <x:is>
          <x:t xml:space="preserve">江苏省-连云港市</x:t>
        </x:is>
      </x:c>
      <x:c r="H3353" s="4" t="inlineStr">
        <x:is>
          <x:t xml:space="preserve">半导体</x:t>
        </x:is>
      </x:c>
      <x:c r="I3353" s="4" t="inlineStr">
        <x:is>
          <x:t xml:space="preserve">2023-04-04</x:t>
        </x:is>
      </x:c>
      <x:c r="J3353" s="5" t="inlineStr">
        <x:is>
          <x:t xml:space="preserve">江苏省连云港市连云区经济技术开发区东方大道66号</x:t>
        </x:is>
      </x:c>
      <x:c r="K3353" s="12" t="str">
        <x:f>LEFT("913207005668572738",18)</x:f>
        <x:v>913207005668572800</x:v>
      </x:c>
    </x:row>
    <x:row r="3354">
      <x:c r="A3354" s="2" t="n">
        <x:v>3353</x:v>
      </x:c>
      <x:c r="B3354" s="2" t="inlineStr">
        <x:is>
          <x:t xml:space="preserve">688536</x:t>
        </x:is>
      </x:c>
      <x:c r="C3354" s="3" t="inlineStr">
        <x:is>
          <x:t xml:space="preserve">思瑞浦</x:t>
        </x:is>
      </x:c>
      <x:c r="D3354" s="3" t="inlineStr">
        <x:is>
          <x:t xml:space="preserve">思瑞浦微电子科技(苏州)股份有限公司</x:t>
        </x:is>
      </x:c>
      <x:c r="E3354" s="2" t="inlineStr">
        <x:is>
          <x:t xml:space="preserve">江苏省</x:t>
        </x:is>
      </x:c>
      <x:c r="F3354" s="2" t="inlineStr">
        <x:is>
          <x:t xml:space="preserve">苏州市</x:t>
        </x:is>
      </x:c>
      <x:c r="G3354" s="3" t="inlineStr">
        <x:is>
          <x:t xml:space="preserve">江苏省-苏州市</x:t>
        </x:is>
      </x:c>
      <x:c r="H3354" s="2" t="inlineStr">
        <x:is>
          <x:t xml:space="preserve">半导体</x:t>
        </x:is>
      </x:c>
      <x:c r="I3354" s="2" t="inlineStr">
        <x:is>
          <x:t xml:space="preserve">2020-09-21</x:t>
        </x:is>
      </x:c>
      <x:c r="J3354" s="3" t="inlineStr">
        <x:is>
          <x:t xml:space="preserve">苏州工业园区星湖街328号创意产业园2-B303</x:t>
        </x:is>
      </x:c>
      <x:c r="K3354" s="12" t="str">
        <x:f>LEFT("91320000593916443C",18)</x:f>
        <x:v>91320000593916443C</x:v>
      </x:c>
    </x:row>
    <x:row r="3355">
      <x:c r="A3355" s="4" t="n">
        <x:v>3354</x:v>
      </x:c>
      <x:c r="B3355" s="4" t="inlineStr">
        <x:is>
          <x:t xml:space="preserve">688539</x:t>
        </x:is>
      </x:c>
      <x:c r="C3355" s="5" t="inlineStr">
        <x:is>
          <x:t xml:space="preserve">高华科技</x:t>
        </x:is>
      </x:c>
      <x:c r="D3355" s="5" t="inlineStr">
        <x:is>
          <x:t xml:space="preserve">南京高华科技股份有限公司</x:t>
        </x:is>
      </x:c>
      <x:c r="E3355" s="4" t="inlineStr">
        <x:is>
          <x:t xml:space="preserve">江苏省</x:t>
        </x:is>
      </x:c>
      <x:c r="F3355" s="4" t="inlineStr">
        <x:is>
          <x:t xml:space="preserve">南京市</x:t>
        </x:is>
      </x:c>
      <x:c r="G3355" s="5" t="inlineStr">
        <x:is>
          <x:t xml:space="preserve">江苏省-南京市</x:t>
        </x:is>
      </x:c>
      <x:c r="H3355" s="4" t="inlineStr">
        <x:is>
          <x:t xml:space="preserve">电子元件</x:t>
        </x:is>
      </x:c>
      <x:c r="I3355" s="4" t="inlineStr">
        <x:is>
          <x:t xml:space="preserve">2023-04-18</x:t>
        </x:is>
      </x:c>
      <x:c r="J3355" s="5" t="inlineStr">
        <x:is>
          <x:t xml:space="preserve">南京市经济技术开发区栖霞大道66号</x:t>
        </x:is>
      </x:c>
      <x:c r="K3355" s="12" t="str">
        <x:f>LEFT("91320100721718987K",18)</x:f>
        <x:v>91320100721718987K</x:v>
      </x:c>
    </x:row>
    <x:row r="3356">
      <x:c r="A3356" s="2" t="n">
        <x:v>3355</x:v>
      </x:c>
      <x:c r="B3356" s="2" t="inlineStr">
        <x:is>
          <x:t xml:space="preserve">688558</x:t>
        </x:is>
      </x:c>
      <x:c r="C3356" s="3" t="inlineStr">
        <x:is>
          <x:t xml:space="preserve">国盛智科</x:t>
        </x:is>
      </x:c>
      <x:c r="D3356" s="3" t="inlineStr">
        <x:is>
          <x:t xml:space="preserve">南通国盛智能科技集团股份有限公司</x:t>
        </x:is>
      </x:c>
      <x:c r="E3356" s="2" t="inlineStr">
        <x:is>
          <x:t xml:space="preserve">江苏省</x:t>
        </x:is>
      </x:c>
      <x:c r="F3356" s="2" t="inlineStr">
        <x:is>
          <x:t xml:space="preserve">南通市</x:t>
        </x:is>
      </x:c>
      <x:c r="G3356" s="3" t="inlineStr">
        <x:is>
          <x:t xml:space="preserve">江苏省-南通市</x:t>
        </x:is>
      </x:c>
      <x:c r="H3356" s="2" t="inlineStr">
        <x:is>
          <x:t xml:space="preserve">机械行业</x:t>
        </x:is>
      </x:c>
      <x:c r="I3356" s="2" t="inlineStr">
        <x:is>
          <x:t xml:space="preserve">2020-06-30</x:t>
        </x:is>
      </x:c>
      <x:c r="J3356" s="3" t="inlineStr">
        <x:is>
          <x:t xml:space="preserve">南通市港闸经济开发区永通路2号</x:t>
        </x:is>
      </x:c>
      <x:c r="K3356" s="12" t="str">
        <x:f>LEFT("9132060071496854X3",18)</x:f>
        <x:v>9132060071496854X3</x:v>
      </x:c>
    </x:row>
    <x:row r="3357">
      <x:c r="A3357" s="4" t="n">
        <x:v>3356</x:v>
      </x:c>
      <x:c r="B3357" s="4" t="inlineStr">
        <x:is>
          <x:t xml:space="preserve">688566</x:t>
        </x:is>
      </x:c>
      <x:c r="C3357" s="5" t="inlineStr">
        <x:is>
          <x:t xml:space="preserve">吉贝尔</x:t>
        </x:is>
      </x:c>
      <x:c r="D3357" s="5" t="inlineStr">
        <x:is>
          <x:t xml:space="preserve">江苏吉贝尔药业股份有限公司</x:t>
        </x:is>
      </x:c>
      <x:c r="E3357" s="4" t="inlineStr">
        <x:is>
          <x:t xml:space="preserve">江苏省</x:t>
        </x:is>
      </x:c>
      <x:c r="F3357" s="4" t="inlineStr">
        <x:is>
          <x:t xml:space="preserve">镇江市</x:t>
        </x:is>
      </x:c>
      <x:c r="G3357" s="5" t="inlineStr">
        <x:is>
          <x:t xml:space="preserve">江苏省-镇江市</x:t>
        </x:is>
      </x:c>
      <x:c r="H3357" s="4" t="inlineStr">
        <x:is>
          <x:t xml:space="preserve">医药制造</x:t>
        </x:is>
      </x:c>
      <x:c r="I3357" s="4" t="inlineStr">
        <x:is>
          <x:t xml:space="preserve">2020-05-18</x:t>
        </x:is>
      </x:c>
      <x:c r="J3357" s="5" t="inlineStr">
        <x:is>
          <x:t xml:space="preserve">镇江市高新技术产业开发园区</x:t>
        </x:is>
      </x:c>
      <x:c r="K3357" s="12" t="str">
        <x:f>LEFT("913211007317784571",18)</x:f>
        <x:v>913211007317784600</x:v>
      </x:c>
    </x:row>
    <x:row r="3358">
      <x:c r="A3358" s="2" t="n">
        <x:v>3357</x:v>
      </x:c>
      <x:c r="B3358" s="2" t="inlineStr">
        <x:is>
          <x:t xml:space="preserve">688580</x:t>
        </x:is>
      </x:c>
      <x:c r="C3358" s="3" t="inlineStr">
        <x:is>
          <x:t xml:space="preserve">伟思医疗</x:t>
        </x:is>
      </x:c>
      <x:c r="D3358" s="3" t="inlineStr">
        <x:is>
          <x:t xml:space="preserve">南京伟思医疗科技股份有限公司</x:t>
        </x:is>
      </x:c>
      <x:c r="E3358" s="2" t="inlineStr">
        <x:is>
          <x:t xml:space="preserve">江苏省</x:t>
        </x:is>
      </x:c>
      <x:c r="F3358" s="2" t="inlineStr">
        <x:is>
          <x:t xml:space="preserve">南京市</x:t>
        </x:is>
      </x:c>
      <x:c r="G3358" s="3" t="inlineStr">
        <x:is>
          <x:t xml:space="preserve">江苏省-南京市</x:t>
        </x:is>
      </x:c>
      <x:c r="H3358" s="2" t="inlineStr">
        <x:is>
          <x:t xml:space="preserve">医疗器械</x:t>
        </x:is>
      </x:c>
      <x:c r="I3358" s="2" t="inlineStr">
        <x:is>
          <x:t xml:space="preserve">2020-07-21</x:t>
        </x:is>
      </x:c>
      <x:c r="J3358" s="3" t="inlineStr">
        <x:is>
          <x:t xml:space="preserve">南京市雨花台区宁双路19号9栋</x:t>
        </x:is>
      </x:c>
      <x:c r="K3358" s="12" t="str">
        <x:f>LEFT("913201007217994654",18)</x:f>
        <x:v>913201007217994600</x:v>
      </x:c>
    </x:row>
    <x:row r="3359">
      <x:c r="A3359" s="4" t="n">
        <x:v>3358</x:v>
      </x:c>
      <x:c r="B3359" s="4" t="inlineStr">
        <x:is>
          <x:t xml:space="preserve">688588</x:t>
        </x:is>
      </x:c>
      <x:c r="C3359" s="5" t="inlineStr">
        <x:is>
          <x:t xml:space="preserve">凌志软件</x:t>
        </x:is>
      </x:c>
      <x:c r="D3359" s="5" t="inlineStr">
        <x:is>
          <x:t xml:space="preserve">苏州工业园区凌志软件股份有限公司</x:t>
        </x:is>
      </x:c>
      <x:c r="E3359" s="4" t="inlineStr">
        <x:is>
          <x:t xml:space="preserve">江苏省</x:t>
        </x:is>
      </x:c>
      <x:c r="F3359" s="4" t="inlineStr">
        <x:is>
          <x:t xml:space="preserve">苏州市</x:t>
        </x:is>
      </x:c>
      <x:c r="G3359" s="5" t="inlineStr">
        <x:is>
          <x:t xml:space="preserve">江苏省-苏州市</x:t>
        </x:is>
      </x:c>
      <x:c r="H3359" s="4" t="inlineStr">
        <x:is>
          <x:t xml:space="preserve">软件服务</x:t>
        </x:is>
      </x:c>
      <x:c r="I3359" s="4" t="inlineStr">
        <x:is>
          <x:t xml:space="preserve">2020-05-11</x:t>
        </x:is>
      </x:c>
      <x:c r="J3359" s="5" t="inlineStr">
        <x:is>
          <x:t xml:space="preserve">苏州工业园区启泰路96号</x:t>
        </x:is>
      </x:c>
      <x:c r="K3359" s="12" t="str">
        <x:f>LEFT("9132000074558280X7",18)</x:f>
        <x:v>9132000074558280X7</x:v>
      </x:c>
    </x:row>
    <x:row r="3360">
      <x:c r="A3360" s="2" t="n">
        <x:v>3359</x:v>
      </x:c>
      <x:c r="B3360" s="2" t="inlineStr">
        <x:is>
          <x:t xml:space="preserve">688599</x:t>
        </x:is>
      </x:c>
      <x:c r="C3360" s="3" t="inlineStr">
        <x:is>
          <x:t xml:space="preserve">天合光能</x:t>
        </x:is>
      </x:c>
      <x:c r="D3360" s="3" t="inlineStr">
        <x:is>
          <x:t xml:space="preserve">天合光能股份有限公司</x:t>
        </x:is>
      </x:c>
      <x:c r="E3360" s="2" t="inlineStr">
        <x:is>
          <x:t xml:space="preserve">江苏省</x:t>
        </x:is>
      </x:c>
      <x:c r="F3360" s="2" t="inlineStr">
        <x:is>
          <x:t xml:space="preserve">常州市</x:t>
        </x:is>
      </x:c>
      <x:c r="G3360" s="3" t="inlineStr">
        <x:is>
          <x:t xml:space="preserve">江苏省-常州市</x:t>
        </x:is>
      </x:c>
      <x:c r="H3360" s="2" t="inlineStr">
        <x:is>
          <x:t xml:space="preserve">光伏设备</x:t>
        </x:is>
      </x:c>
      <x:c r="I3360" s="2" t="inlineStr">
        <x:is>
          <x:t xml:space="preserve">2020-06-10</x:t>
        </x:is>
      </x:c>
      <x:c r="J3360" s="3" t="inlineStr">
        <x:is>
          <x:t xml:space="preserve">常州市新北区天合光伏产业园天合路2号</x:t>
        </x:is>
      </x:c>
      <x:c r="K3360" s="12" t="str">
        <x:f>LEFT("91320411608131455L",18)</x:f>
        <x:v>91320411608131455L</x:v>
      </x:c>
    </x:row>
    <x:row r="3361">
      <x:c r="A3361" s="4" t="n">
        <x:v>3360</x:v>
      </x:c>
      <x:c r="B3361" s="4" t="inlineStr">
        <x:is>
          <x:t xml:space="preserve">688601</x:t>
        </x:is>
      </x:c>
      <x:c r="C3361" s="5" t="inlineStr">
        <x:is>
          <x:t xml:space="preserve">力芯微</x:t>
        </x:is>
      </x:c>
      <x:c r="D3361" s="5" t="inlineStr">
        <x:is>
          <x:t xml:space="preserve">无锡力芯微电子股份有限公司</x:t>
        </x:is>
      </x:c>
      <x:c r="E3361" s="4" t="inlineStr">
        <x:is>
          <x:t xml:space="preserve">江苏省</x:t>
        </x:is>
      </x:c>
      <x:c r="F3361" s="4" t="inlineStr">
        <x:is>
          <x:t xml:space="preserve">无锡市</x:t>
        </x:is>
      </x:c>
      <x:c r="G3361" s="5" t="inlineStr">
        <x:is>
          <x:t xml:space="preserve">江苏省-无锡市</x:t>
        </x:is>
      </x:c>
      <x:c r="H3361" s="4" t="inlineStr">
        <x:is>
          <x:t xml:space="preserve">半导体</x:t>
        </x:is>
      </x:c>
      <x:c r="I3361" s="4" t="inlineStr">
        <x:is>
          <x:t xml:space="preserve">2021-06-28</x:t>
        </x:is>
      </x:c>
      <x:c r="J3361" s="5" t="inlineStr">
        <x:is>
          <x:t xml:space="preserve">无锡新区新辉环路8号</x:t>
        </x:is>
      </x:c>
      <x:c r="K3361" s="12" t="str">
        <x:f>LEFT("91320200738287183E",18)</x:f>
        <x:v>91320200738287183E</x:v>
      </x:c>
    </x:row>
    <x:row r="3362">
      <x:c r="A3362" s="2" t="n">
        <x:v>3361</x:v>
      </x:c>
      <x:c r="B3362" s="2" t="inlineStr">
        <x:is>
          <x:t xml:space="preserve">688605</x:t>
        </x:is>
      </x:c>
      <x:c r="C3362" s="3" t="inlineStr">
        <x:is>
          <x:t xml:space="preserve">先锋精科</x:t>
        </x:is>
      </x:c>
      <x:c r="D3362" s="3" t="inlineStr">
        <x:is>
          <x:t xml:space="preserve">江苏先锋精密科技股份有限公司</x:t>
        </x:is>
      </x:c>
      <x:c r="E3362" s="2" t="inlineStr">
        <x:is>
          <x:t xml:space="preserve">江苏省</x:t>
        </x:is>
      </x:c>
      <x:c r="F3362" s="2" t="inlineStr">
        <x:is>
          <x:t xml:space="preserve">苏省靖江市</x:t>
        </x:is>
      </x:c>
      <x:c r="G3362" s="3" t="inlineStr">
        <x:is>
          <x:t xml:space="preserve">江苏省-苏省靖江市</x:t>
        </x:is>
      </x:c>
      <x:c r="H3362" s="2" t="inlineStr">
        <x:is>
          <x:t xml:space="preserve">半导体</x:t>
        </x:is>
      </x:c>
      <x:c r="I3362" s="2" t="inlineStr">
        <x:is>
          <x:t xml:space="preserve">2024-12-12</x:t>
        </x:is>
      </x:c>
      <x:c r="J3362" s="3" t="inlineStr">
        <x:is>
          <x:t xml:space="preserve">江苏省靖江市经济开发区新港大道195号</x:t>
        </x:is>
      </x:c>
      <x:c r="K3362" s="12" t="str">
        <x:f>LEFT("91321282673031370B",18)</x:f>
        <x:v>91321282673031370B</x:v>
      </x:c>
    </x:row>
    <x:row r="3363">
      <x:c r="A3363" s="4" t="n">
        <x:v>3362</x:v>
      </x:c>
      <x:c r="B3363" s="4" t="inlineStr">
        <x:is>
          <x:t xml:space="preserve">688607</x:t>
        </x:is>
      </x:c>
      <x:c r="C3363" s="5" t="inlineStr">
        <x:is>
          <x:t xml:space="preserve">康众医疗</x:t>
        </x:is>
      </x:c>
      <x:c r="D3363" s="5" t="inlineStr">
        <x:is>
          <x:t xml:space="preserve">江苏康众数字医疗科技股份有限公司</x:t>
        </x:is>
      </x:c>
      <x:c r="E3363" s="4" t="inlineStr">
        <x:is>
          <x:t xml:space="preserve">江苏省</x:t>
        </x:is>
      </x:c>
      <x:c r="F3363" s="4" t="inlineStr">
        <x:is>
          <x:t xml:space="preserve">苏州市</x:t>
        </x:is>
      </x:c>
      <x:c r="G3363" s="5" t="inlineStr">
        <x:is>
          <x:t xml:space="preserve">江苏省-苏州市</x:t>
        </x:is>
      </x:c>
      <x:c r="H3363" s="4" t="inlineStr">
        <x:is>
          <x:t xml:space="preserve">医疗器械</x:t>
        </x:is>
      </x:c>
      <x:c r="I3363" s="4" t="inlineStr">
        <x:is>
          <x:t xml:space="preserve">2021-02-01</x:t>
        </x:is>
      </x:c>
      <x:c r="J3363" s="5" t="inlineStr">
        <x:is>
          <x:t xml:space="preserve">苏州工业园区星湖街218号生物纳米园A2楼、B3楼501室</x:t>
        </x:is>
      </x:c>
      <x:c r="K3363" s="12" t="str">
        <x:f>LEFT("913205946617779330",18)</x:f>
        <x:v>913205946617779300</x:v>
      </x:c>
    </x:row>
    <x:row r="3364">
      <x:c r="A3364" s="2" t="n">
        <x:v>3363</x:v>
      </x:c>
      <x:c r="B3364" s="2" t="inlineStr">
        <x:is>
          <x:t xml:space="preserve">688631</x:t>
        </x:is>
      </x:c>
      <x:c r="C3364" s="3" t="inlineStr">
        <x:is>
          <x:t xml:space="preserve">莱斯信息</x:t>
        </x:is>
      </x:c>
      <x:c r="D3364" s="3" t="inlineStr">
        <x:is>
          <x:t xml:space="preserve">南京莱斯信息技术股份有限公司</x:t>
        </x:is>
      </x:c>
      <x:c r="E3364" s="2" t="inlineStr">
        <x:is>
          <x:t xml:space="preserve">江苏省</x:t>
        </x:is>
      </x:c>
      <x:c r="F3364" s="2" t="inlineStr">
        <x:is>
          <x:t xml:space="preserve">南京市</x:t>
        </x:is>
      </x:c>
      <x:c r="G3364" s="3" t="inlineStr">
        <x:is>
          <x:t xml:space="preserve">江苏省-南京市</x:t>
        </x:is>
      </x:c>
      <x:c r="H3364" s="2" t="inlineStr">
        <x:is>
          <x:t xml:space="preserve">软件开发</x:t>
        </x:is>
      </x:c>
      <x:c r="I3364" s="2" t="inlineStr">
        <x:is>
          <x:t xml:space="preserve">2023-06-28</x:t>
        </x:is>
      </x:c>
      <x:c r="J3364" s="3" t="inlineStr">
        <x:is>
          <x:t xml:space="preserve">南京市秦淮区永智路8号</x:t>
        </x:is>
      </x:c>
      <x:c r="K3364" s="12" t="str">
        <x:f>LEFT("913201001348786874",18)</x:f>
        <x:v>913201001348786800</x:v>
      </x:c>
    </x:row>
    <x:row r="3365">
      <x:c r="A3365" s="4" t="n">
        <x:v>3364</x:v>
      </x:c>
      <x:c r="B3365" s="4" t="inlineStr">
        <x:is>
          <x:t xml:space="preserve">688633</x:t>
        </x:is>
      </x:c>
      <x:c r="C3365" s="5" t="inlineStr">
        <x:is>
          <x:t xml:space="preserve">星球石墨</x:t>
        </x:is>
      </x:c>
      <x:c r="D3365" s="5" t="inlineStr">
        <x:is>
          <x:t xml:space="preserve">南通星球石墨股份有限公司</x:t>
        </x:is>
      </x:c>
      <x:c r="E3365" s="4" t="inlineStr">
        <x:is>
          <x:t xml:space="preserve">江苏省</x:t>
        </x:is>
      </x:c>
      <x:c r="F3365" s="4" t="inlineStr">
        <x:is>
          <x:t xml:space="preserve">如皋市</x:t>
        </x:is>
      </x:c>
      <x:c r="G3365" s="5" t="inlineStr">
        <x:is>
          <x:t xml:space="preserve">江苏省-如皋市</x:t>
        </x:is>
      </x:c>
      <x:c r="H3365" s="4" t="inlineStr">
        <x:is>
          <x:t xml:space="preserve">专用设备</x:t>
        </x:is>
      </x:c>
      <x:c r="I3365" s="4" t="inlineStr">
        <x:is>
          <x:t xml:space="preserve">2021-03-24</x:t>
        </x:is>
      </x:c>
      <x:c r="J3365" s="5" t="inlineStr">
        <x:is>
          <x:t xml:space="preserve">如皋市九华镇华兴路8号</x:t>
        </x:is>
      </x:c>
      <x:c r="K3365" s="12" t="str">
        <x:f>LEFT("91320682731773381X",18)</x:f>
        <x:v>91320682731773381X</x:v>
      </x:c>
    </x:row>
    <x:row r="3366">
      <x:c r="A3366" s="2" t="n">
        <x:v>3365</x:v>
      </x:c>
      <x:c r="B3366" s="2" t="inlineStr">
        <x:is>
          <x:t xml:space="preserve">688656</x:t>
        </x:is>
      </x:c>
      <x:c r="C3366" s="3" t="inlineStr">
        <x:is>
          <x:t xml:space="preserve">浩欧博</x:t>
        </x:is>
      </x:c>
      <x:c r="D3366" s="3" t="inlineStr">
        <x:is>
          <x:t xml:space="preserve">江苏浩欧博生物医药股份有限公司</x:t>
        </x:is>
      </x:c>
      <x:c r="E3366" s="2" t="inlineStr">
        <x:is>
          <x:t xml:space="preserve">江苏省</x:t>
        </x:is>
      </x:c>
      <x:c r="F3366" s="2" t="inlineStr">
        <x:is>
          <x:t xml:space="preserve">苏州市</x:t>
        </x:is>
      </x:c>
      <x:c r="G3366" s="3" t="inlineStr">
        <x:is>
          <x:t xml:space="preserve">江苏省-苏州市</x:t>
        </x:is>
      </x:c>
      <x:c r="H3366" s="2" t="inlineStr">
        <x:is>
          <x:t xml:space="preserve">医疗器械</x:t>
        </x:is>
      </x:c>
      <x:c r="I3366" s="2" t="inlineStr">
        <x:is>
          <x:t xml:space="preserve">2021-01-13</x:t>
        </x:is>
      </x:c>
      <x:c r="J3366" s="3" t="inlineStr">
        <x:is>
          <x:t xml:space="preserve">中国(江苏)自由贸易试验区苏州片区苏州工业园区东堰里路9号</x:t>
        </x:is>
      </x:c>
      <x:c r="K3366" s="12" t="str">
        <x:f>LEFT("91320594690261995C",18)</x:f>
        <x:v>91320594690261995C</x:v>
      </x:c>
    </x:row>
    <x:row r="3367">
      <x:c r="A3367" s="4" t="n">
        <x:v>3366</x:v>
      </x:c>
      <x:c r="B3367" s="4" t="inlineStr">
        <x:is>
          <x:t xml:space="preserve">688657</x:t>
        </x:is>
      </x:c>
      <x:c r="C3367" s="5" t="inlineStr">
        <x:is>
          <x:t xml:space="preserve">浩辰软件</x:t>
        </x:is>
      </x:c>
      <x:c r="D3367" s="5" t="inlineStr">
        <x:is>
          <x:t xml:space="preserve">苏州浩辰软件股份有限公司</x:t>
        </x:is>
      </x:c>
      <x:c r="E3367" s="4" t="inlineStr">
        <x:is>
          <x:t xml:space="preserve">江苏省</x:t>
        </x:is>
      </x:c>
      <x:c r="F3367" s="4" t="inlineStr">
        <x:is>
          <x:t xml:space="preserve">苏州市</x:t>
        </x:is>
      </x:c>
      <x:c r="G3367" s="5" t="inlineStr">
        <x:is>
          <x:t xml:space="preserve">江苏省-苏州市</x:t>
        </x:is>
      </x:c>
      <x:c r="H3367" s="4" t="inlineStr">
        <x:is>
          <x:t xml:space="preserve">软件开发</x:t>
        </x:is>
      </x:c>
      <x:c r="I3367" s="4" t="inlineStr">
        <x:is>
          <x:t xml:space="preserve">2023-10-10</x:t>
        </x:is>
      </x:c>
      <x:c r="J3367" s="5" t="inlineStr">
        <x:is>
          <x:t xml:space="preserve">苏州工业园区东平街286号</x:t>
        </x:is>
      </x:c>
      <x:c r="K3367" s="12" t="str">
        <x:f>LEFT("91320000733334390E",18)</x:f>
        <x:v>91320000733334390E</x:v>
      </x:c>
    </x:row>
    <x:row r="3368">
      <x:c r="A3368" s="2" t="n">
        <x:v>3367</x:v>
      </x:c>
      <x:c r="B3368" s="2" t="inlineStr">
        <x:is>
          <x:t xml:space="preserve">688661</x:t>
        </x:is>
      </x:c>
      <x:c r="C3368" s="3" t="inlineStr">
        <x:is>
          <x:t xml:space="preserve">和林微纳</x:t>
        </x:is>
      </x:c>
      <x:c r="D3368" s="3" t="inlineStr">
        <x:is>
          <x:t xml:space="preserve">苏州和林微纳科技股份有限公司</x:t>
        </x:is>
      </x:c>
      <x:c r="E3368" s="2" t="inlineStr">
        <x:is>
          <x:t xml:space="preserve">江苏省</x:t>
        </x:is>
      </x:c>
      <x:c r="F3368" s="2" t="inlineStr">
        <x:is>
          <x:t xml:space="preserve">苏州市</x:t>
        </x:is>
      </x:c>
      <x:c r="G3368" s="3" t="inlineStr">
        <x:is>
          <x:t xml:space="preserve">江苏省-苏州市</x:t>
        </x:is>
      </x:c>
      <x:c r="H3368" s="2" t="inlineStr">
        <x:is>
          <x:t xml:space="preserve">半导体</x:t>
        </x:is>
      </x:c>
      <x:c r="I3368" s="2" t="inlineStr">
        <x:is>
          <x:t xml:space="preserve">2021-03-29</x:t>
        </x:is>
      </x:c>
      <x:c r="J3368" s="3" t="inlineStr">
        <x:is>
          <x:t xml:space="preserve">苏州高新区峨眉山路80号</x:t>
        </x:is>
      </x:c>
      <x:c r="K3368" s="12" t="str">
        <x:f>LEFT("913205055985748841",18)</x:f>
        <x:v>913205055985748900</x:v>
      </x:c>
    </x:row>
    <x:row r="3369">
      <x:c r="A3369" s="4" t="n">
        <x:v>3368</x:v>
      </x:c>
      <x:c r="B3369" s="4" t="inlineStr">
        <x:is>
          <x:t xml:space="preserve">688670</x:t>
        </x:is>
      </x:c>
      <x:c r="C3369" s="5" t="inlineStr">
        <x:is>
          <x:t xml:space="preserve">金迪克</x:t>
        </x:is>
      </x:c>
      <x:c r="D3369" s="5" t="inlineStr">
        <x:is>
          <x:t xml:space="preserve">江苏金迪克生物技术股份有限公司</x:t>
        </x:is>
      </x:c>
      <x:c r="E3369" s="4" t="inlineStr">
        <x:is>
          <x:t xml:space="preserve">江苏省</x:t>
        </x:is>
      </x:c>
      <x:c r="F3369" s="4" t="inlineStr">
        <x:is>
          <x:t xml:space="preserve">泰州市</x:t>
        </x:is>
      </x:c>
      <x:c r="G3369" s="5" t="inlineStr">
        <x:is>
          <x:t xml:space="preserve">江苏省-泰州市</x:t>
        </x:is>
      </x:c>
      <x:c r="H3369" s="4" t="inlineStr">
        <x:is>
          <x:t xml:space="preserve">医药制造</x:t>
        </x:is>
      </x:c>
      <x:c r="I3369" s="4" t="inlineStr">
        <x:is>
          <x:t xml:space="preserve">2021-08-02</x:t>
        </x:is>
      </x:c>
      <x:c r="J3369" s="5" t="inlineStr">
        <x:is>
          <x:t xml:space="preserve">江苏省泰州市郁金路12号</x:t>
        </x:is>
      </x:c>
      <x:c r="K3369" s="12" t="str">
        <x:f>LEFT("9132129168412218X6",18)</x:f>
        <x:v>9132129168412218X6</x:v>
      </x:c>
    </x:row>
    <x:row r="3370">
      <x:c r="A3370" s="2" t="n">
        <x:v>3369</x:v>
      </x:c>
      <x:c r="B3370" s="2" t="inlineStr">
        <x:is>
          <x:t xml:space="preserve">688678</x:t>
        </x:is>
      </x:c>
      <x:c r="C3370" s="3" t="inlineStr">
        <x:is>
          <x:t xml:space="preserve">福立旺</x:t>
        </x:is>
      </x:c>
      <x:c r="D3370" s="3" t="inlineStr">
        <x:is>
          <x:t xml:space="preserve">福立旺精密机电(中国)股份有限公司</x:t>
        </x:is>
      </x:c>
      <x:c r="E3370" s="2" t="inlineStr">
        <x:is>
          <x:t xml:space="preserve">江苏省</x:t>
        </x:is>
      </x:c>
      <x:c r="F3370" s="2" t="inlineStr">
        <x:is>
          <x:t xml:space="preserve">苏省昆山市</x:t>
        </x:is>
      </x:c>
      <x:c r="G3370" s="3" t="inlineStr">
        <x:is>
          <x:t xml:space="preserve">江苏省-苏省昆山市</x:t>
        </x:is>
      </x:c>
      <x:c r="H3370" s="2" t="inlineStr">
        <x:is>
          <x:t xml:space="preserve">消费电子</x:t>
        </x:is>
      </x:c>
      <x:c r="I3370" s="2" t="inlineStr">
        <x:is>
          <x:t xml:space="preserve">2020-12-23</x:t>
        </x:is>
      </x:c>
      <x:c r="J3370" s="3" t="inlineStr">
        <x:is>
          <x:t xml:space="preserve">江苏省昆山市千灯镇玉溪西路168号</x:t>
        </x:is>
      </x:c>
      <x:c r="K3370" s="12" t="str">
        <x:f>LEFT("9132058378838423XD",18)</x:f>
        <x:v>9132058378838423XD</x:v>
      </x:c>
    </x:row>
    <x:row r="3371">
      <x:c r="A3371" s="4" t="n">
        <x:v>3370</x:v>
      </x:c>
      <x:c r="B3371" s="4" t="inlineStr">
        <x:is>
          <x:t xml:space="preserve">688685</x:t>
        </x:is>
      </x:c>
      <x:c r="C3371" s="5" t="inlineStr">
        <x:is>
          <x:t xml:space="preserve">迈信林</x:t>
        </x:is>
      </x:c>
      <x:c r="D3371" s="5" t="inlineStr">
        <x:is>
          <x:t xml:space="preserve">江苏迈信林航空科技股份有限公司</x:t>
        </x:is>
      </x:c>
      <x:c r="E3371" s="4" t="inlineStr">
        <x:is>
          <x:t xml:space="preserve">江苏省</x:t>
        </x:is>
      </x:c>
      <x:c r="F3371" s="4" t="inlineStr">
        <x:is>
          <x:t xml:space="preserve">苏州市</x:t>
        </x:is>
      </x:c>
      <x:c r="G3371" s="5" t="inlineStr">
        <x:is>
          <x:t xml:space="preserve">江苏省-苏州市</x:t>
        </x:is>
      </x:c>
      <x:c r="H3371" s="4" t="inlineStr">
        <x:is>
          <x:t xml:space="preserve">航天航空</x:t>
        </x:is>
      </x:c>
      <x:c r="I3371" s="4" t="inlineStr">
        <x:is>
          <x:t xml:space="preserve">2021-05-13</x:t>
        </x:is>
      </x:c>
      <x:c r="J3371" s="5" t="inlineStr">
        <x:is>
          <x:t xml:space="preserve">苏州市吴中区太湖街道溪虹路1009号</x:t>
        </x:is>
      </x:c>
      <x:c r="K3371" s="12" t="str">
        <x:f>LEFT("91320506551248029M",18)</x:f>
        <x:v>91320506551248029M</x:v>
      </x:c>
    </x:row>
    <x:row r="3372">
      <x:c r="A3372" s="2" t="n">
        <x:v>3371</x:v>
      </x:c>
      <x:c r="B3372" s="2" t="inlineStr">
        <x:is>
          <x:t xml:space="preserve">688689</x:t>
        </x:is>
      </x:c>
      <x:c r="C3372" s="3" t="inlineStr">
        <x:is>
          <x:t xml:space="preserve">银河微电</x:t>
        </x:is>
      </x:c>
      <x:c r="D3372" s="3" t="inlineStr">
        <x:is>
          <x:t xml:space="preserve">常州银河世纪微电子股份有限公司</x:t>
        </x:is>
      </x:c>
      <x:c r="E3372" s="2" t="inlineStr">
        <x:is>
          <x:t xml:space="preserve">江苏省</x:t>
        </x:is>
      </x:c>
      <x:c r="F3372" s="2" t="inlineStr">
        <x:is>
          <x:t xml:space="preserve">常州市</x:t>
        </x:is>
      </x:c>
      <x:c r="G3372" s="3" t="inlineStr">
        <x:is>
          <x:t xml:space="preserve">江苏省-常州市</x:t>
        </x:is>
      </x:c>
      <x:c r="H3372" s="2" t="inlineStr">
        <x:is>
          <x:t xml:space="preserve">半导体</x:t>
        </x:is>
      </x:c>
      <x:c r="I3372" s="2" t="inlineStr">
        <x:is>
          <x:t xml:space="preserve">2021-01-27</x:t>
        </x:is>
      </x:c>
      <x:c r="J3372" s="3" t="inlineStr">
        <x:is>
          <x:t xml:space="preserve">常州市新北区长江北路19号</x:t>
        </x:is>
      </x:c>
      <x:c r="K3372" s="12" t="str">
        <x:f>LEFT("91320411793325883H",18)</x:f>
        <x:v>91320411793325883H</x:v>
      </x:c>
    </x:row>
    <x:row r="3373">
      <x:c r="A3373" s="4" t="n">
        <x:v>3372</x:v>
      </x:c>
      <x:c r="B3373" s="4" t="inlineStr">
        <x:is>
          <x:t xml:space="preserve">688690</x:t>
        </x:is>
      </x:c>
      <x:c r="C3373" s="5" t="inlineStr">
        <x:is>
          <x:t xml:space="preserve">纳微科技</x:t>
        </x:is>
      </x:c>
      <x:c r="D3373" s="5" t="inlineStr">
        <x:is>
          <x:t xml:space="preserve">苏州纳微科技股份有限公司</x:t>
        </x:is>
      </x:c>
      <x:c r="E3373" s="4" t="inlineStr">
        <x:is>
          <x:t xml:space="preserve">江苏省</x:t>
        </x:is>
      </x:c>
      <x:c r="F3373" s="4" t="inlineStr">
        <x:is>
          <x:t xml:space="preserve">苏州市</x:t>
        </x:is>
      </x:c>
      <x:c r="G3373" s="5" t="inlineStr">
        <x:is>
          <x:t xml:space="preserve">江苏省-苏州市</x:t>
        </x:is>
      </x:c>
      <x:c r="H3373" s="4" t="inlineStr">
        <x:is>
          <x:t xml:space="preserve">化学制药</x:t>
        </x:is>
      </x:c>
      <x:c r="I3373" s="4" t="inlineStr">
        <x:is>
          <x:t xml:space="preserve">2021-06-23</x:t>
        </x:is>
      </x:c>
      <x:c r="J3373" s="5" t="inlineStr">
        <x:is>
          <x:t xml:space="preserve">苏州工业园区百川街2号</x:t>
        </x:is>
      </x:c>
      <x:c r="K3373" s="12" t="str">
        <x:f>LEFT("91320594667622406H",18)</x:f>
        <x:v>91320594667622406H</x:v>
      </x:c>
    </x:row>
    <x:row r="3374">
      <x:c r="A3374" s="2" t="n">
        <x:v>3373</x:v>
      </x:c>
      <x:c r="B3374" s="2" t="inlineStr">
        <x:is>
          <x:t xml:space="preserve">688693</x:t>
        </x:is>
      </x:c>
      <x:c r="C3374" s="3" t="inlineStr">
        <x:is>
          <x:t xml:space="preserve">锴威特</x:t>
        </x:is>
      </x:c>
      <x:c r="D3374" s="3" t="inlineStr">
        <x:is>
          <x:t xml:space="preserve">苏州锴威特半导体股份有限公司</x:t>
        </x:is>
      </x:c>
      <x:c r="E3374" s="2" t="inlineStr">
        <x:is>
          <x:t xml:space="preserve">江苏省</x:t>
        </x:is>
      </x:c>
      <x:c r="F3374" s="2" t="inlineStr">
        <x:is>
          <x:t xml:space="preserve">张家港市</x:t>
        </x:is>
      </x:c>
      <x:c r="G3374" s="3" t="inlineStr">
        <x:is>
          <x:t xml:space="preserve">江苏省-张家港市</x:t>
        </x:is>
      </x:c>
      <x:c r="H3374" s="2" t="inlineStr">
        <x:is>
          <x:t xml:space="preserve">半导体</x:t>
        </x:is>
      </x:c>
      <x:c r="I3374" s="2" t="inlineStr">
        <x:is>
          <x:t xml:space="preserve">2023-08-18</x:t>
        </x:is>
      </x:c>
      <x:c r="J3374" s="3" t="inlineStr">
        <x:is>
          <x:t xml:space="preserve">张家港市杨舍镇华昌路10号沙洲湖科创园B2幢01室</x:t>
        </x:is>
      </x:c>
      <x:c r="K3374" s="12" t="str">
        <x:f>LEFT("913205823237703256",18)</x:f>
        <x:v>913205823237703300</x:v>
      </x:c>
    </x:row>
    <x:row r="3375">
      <x:c r="A3375" s="4" t="n">
        <x:v>3374</x:v>
      </x:c>
      <x:c r="B3375" s="4" t="inlineStr">
        <x:is>
          <x:t xml:space="preserve">688697</x:t>
        </x:is>
      </x:c>
      <x:c r="C3375" s="5" t="inlineStr">
        <x:is>
          <x:t xml:space="preserve">纽威数控</x:t>
        </x:is>
      </x:c>
      <x:c r="D3375" s="5" t="inlineStr">
        <x:is>
          <x:t xml:space="preserve">纽威数控装备(苏州)股份有限公司</x:t>
        </x:is>
      </x:c>
      <x:c r="E3375" s="4" t="inlineStr">
        <x:is>
          <x:t xml:space="preserve">江苏省</x:t>
        </x:is>
      </x:c>
      <x:c r="F3375" s="4" t="inlineStr">
        <x:is>
          <x:t xml:space="preserve">苏州市</x:t>
        </x:is>
      </x:c>
      <x:c r="G3375" s="5" t="inlineStr">
        <x:is>
          <x:t xml:space="preserve">江苏省-苏州市</x:t>
        </x:is>
      </x:c>
      <x:c r="H3375" s="4" t="inlineStr">
        <x:is>
          <x:t xml:space="preserve">机械行业</x:t>
        </x:is>
      </x:c>
      <x:c r="I3375" s="4" t="inlineStr">
        <x:is>
          <x:t xml:space="preserve">2021-09-17</x:t>
        </x:is>
      </x:c>
      <x:c r="J3375" s="5" t="inlineStr">
        <x:is>
          <x:t xml:space="preserve">苏州高新区通安浔阳江路69号</x:t>
        </x:is>
      </x:c>
      <x:c r="K3375" s="12" t="str">
        <x:f>LEFT("91320505608243465X",18)</x:f>
        <x:v>91320505608243465X</x:v>
      </x:c>
    </x:row>
    <x:row r="3376">
      <x:c r="A3376" s="2" t="n">
        <x:v>3375</x:v>
      </x:c>
      <x:c r="B3376" s="2" t="inlineStr">
        <x:is>
          <x:t xml:space="preserve">688698</x:t>
        </x:is>
      </x:c>
      <x:c r="C3376" s="3" t="inlineStr">
        <x:is>
          <x:t xml:space="preserve">伟创电气</x:t>
        </x:is>
      </x:c>
      <x:c r="D3376" s="3" t="inlineStr">
        <x:is>
          <x:t xml:space="preserve">苏州伟创电气科技股份有限公司</x:t>
        </x:is>
      </x:c>
      <x:c r="E3376" s="2" t="inlineStr">
        <x:is>
          <x:t xml:space="preserve">江苏省</x:t>
        </x:is>
      </x:c>
      <x:c r="F3376" s="2" t="inlineStr">
        <x:is>
          <x:t xml:space="preserve">苏州市</x:t>
        </x:is>
      </x:c>
      <x:c r="G3376" s="3" t="inlineStr">
        <x:is>
          <x:t xml:space="preserve">江苏省-苏州市</x:t>
        </x:is>
      </x:c>
      <x:c r="H3376" s="2" t="inlineStr">
        <x:is>
          <x:t xml:space="preserve">专用设备</x:t>
        </x:is>
      </x:c>
      <x:c r="I3376" s="2" t="inlineStr">
        <x:is>
          <x:t xml:space="preserve">2020-12-29</x:t>
        </x:is>
      </x:c>
      <x:c r="J3376" s="3" t="inlineStr">
        <x:is>
          <x:t xml:space="preserve">苏州市吴中经济技术开发区郭巷街道淞葭路1000号</x:t>
        </x:is>
      </x:c>
      <x:c r="K3376" s="12" t="str">
        <x:f>LEFT("91320506079946869P",18)</x:f>
        <x:v>91320506079946869P</x:v>
      </x:c>
    </x:row>
    <x:row r="3377">
      <x:c r="A3377" s="4" t="n">
        <x:v>3376</x:v>
      </x:c>
      <x:c r="B3377" s="4" t="inlineStr">
        <x:is>
          <x:t xml:space="preserve">688700</x:t>
        </x:is>
      </x:c>
      <x:c r="C3377" s="5" t="inlineStr">
        <x:is>
          <x:t xml:space="preserve">东威科技</x:t>
        </x:is>
      </x:c>
      <x:c r="D3377" s="5" t="inlineStr">
        <x:is>
          <x:t xml:space="preserve">昆山东威科技股份有限公司</x:t>
        </x:is>
      </x:c>
      <x:c r="E3377" s="4" t="inlineStr">
        <x:is>
          <x:t xml:space="preserve">江苏省</x:t>
        </x:is>
      </x:c>
      <x:c r="F3377" s="4" t="inlineStr">
        <x:is>
          <x:t xml:space="preserve">昆山市</x:t>
        </x:is>
      </x:c>
      <x:c r="G3377" s="5" t="inlineStr">
        <x:is>
          <x:t xml:space="preserve">江苏省-昆山市</x:t>
        </x:is>
      </x:c>
      <x:c r="H3377" s="4" t="inlineStr">
        <x:is>
          <x:t xml:space="preserve">专用设备</x:t>
        </x:is>
      </x:c>
      <x:c r="I3377" s="4" t="inlineStr">
        <x:is>
          <x:t xml:space="preserve">2021-06-15</x:t>
        </x:is>
      </x:c>
      <x:c r="J3377" s="5" t="inlineStr">
        <x:is>
          <x:t xml:space="preserve">昆山市巴城镇东定路505号</x:t>
        </x:is>
      </x:c>
      <x:c r="K3377" s="12" t="str">
        <x:f>LEFT("913205837820996571",18)</x:f>
        <x:v>913205837820996600</x:v>
      </x:c>
    </x:row>
    <x:row r="3378">
      <x:c r="A3378" s="2" t="n">
        <x:v>3377</x:v>
      </x:c>
      <x:c r="B3378" s="2" t="inlineStr">
        <x:is>
          <x:t xml:space="preserve">688702</x:t>
        </x:is>
      </x:c>
      <x:c r="C3378" s="3" t="inlineStr">
        <x:is>
          <x:t xml:space="preserve">盛科通信</x:t>
        </x:is>
      </x:c>
      <x:c r="D3378" s="3" t="inlineStr">
        <x:is>
          <x:t xml:space="preserve">苏州盛科通信股份有限公司</x:t>
        </x:is>
      </x:c>
      <x:c r="E3378" s="2" t="inlineStr">
        <x:is>
          <x:t xml:space="preserve">江苏省</x:t>
        </x:is>
      </x:c>
      <x:c r="F3378" s="2" t="inlineStr">
        <x:is>
          <x:t xml:space="preserve">苏州市</x:t>
        </x:is>
      </x:c>
      <x:c r="G3378" s="3" t="inlineStr">
        <x:is>
          <x:t xml:space="preserve">江苏省-苏州市</x:t>
        </x:is>
      </x:c>
      <x:c r="H3378" s="2" t="inlineStr">
        <x:is>
          <x:t xml:space="preserve">半导体</x:t>
        </x:is>
      </x:c>
      <x:c r="I3378" s="2" t="inlineStr">
        <x:is>
          <x:t xml:space="preserve">2023-09-14</x:t>
        </x:is>
      </x:c>
      <x:c r="J3378" s="3" t="inlineStr">
        <x:is>
          <x:t xml:space="preserve">苏州工业园区江韵路258号</x:t>
        </x:is>
      </x:c>
      <x:c r="K3378" s="12" t="str">
        <x:f>LEFT("91320594769869338K",18)</x:f>
        <x:v>91320594769869338K</x:v>
      </x:c>
    </x:row>
    <x:row r="3379">
      <x:c r="A3379" s="4" t="n">
        <x:v>3378</x:v>
      </x:c>
      <x:c r="B3379" s="4" t="inlineStr">
        <x:is>
          <x:t xml:space="preserve">688711</x:t>
        </x:is>
      </x:c>
      <x:c r="C3379" s="5" t="inlineStr">
        <x:is>
          <x:t xml:space="preserve">宏微科技</x:t>
        </x:is>
      </x:c>
      <x:c r="D3379" s="5" t="inlineStr">
        <x:is>
          <x:t xml:space="preserve">江苏宏微科技股份有限公司</x:t>
        </x:is>
      </x:c>
      <x:c r="E3379" s="4" t="inlineStr">
        <x:is>
          <x:t xml:space="preserve">江苏省</x:t>
        </x:is>
      </x:c>
      <x:c r="F3379" s="4" t="inlineStr">
        <x:is>
          <x:t xml:space="preserve">常州市</x:t>
        </x:is>
      </x:c>
      <x:c r="G3379" s="5" t="inlineStr">
        <x:is>
          <x:t xml:space="preserve">江苏省-常州市</x:t>
        </x:is>
      </x:c>
      <x:c r="H3379" s="4" t="inlineStr">
        <x:is>
          <x:t xml:space="preserve">半导体</x:t>
        </x:is>
      </x:c>
      <x:c r="I3379" s="4" t="inlineStr">
        <x:is>
          <x:t xml:space="preserve">2021-09-01</x:t>
        </x:is>
      </x:c>
      <x:c r="J3379" s="5" t="inlineStr">
        <x:is>
          <x:t xml:space="preserve">常州市新北区华山路18号</x:t>
        </x:is>
      </x:c>
      <x:c r="K3379" s="12" t="str">
        <x:f>LEFT("913204007919521038",18)</x:f>
        <x:v>913204007919521000</x:v>
      </x:c>
    </x:row>
    <x:row r="3380">
      <x:c r="A3380" s="2" t="n">
        <x:v>3379</x:v>
      </x:c>
      <x:c r="B3380" s="2" t="inlineStr">
        <x:is>
          <x:t xml:space="preserve">688720</x:t>
        </x:is>
      </x:c>
      <x:c r="C3380" s="3" t="inlineStr">
        <x:is>
          <x:t xml:space="preserve">艾森股份</x:t>
        </x:is>
      </x:c>
      <x:c r="D3380" s="3" t="inlineStr">
        <x:is>
          <x:t xml:space="preserve">江苏艾森半导体材料股份有限公司</x:t>
        </x:is>
      </x:c>
      <x:c r="E3380" s="2" t="inlineStr">
        <x:is>
          <x:t xml:space="preserve">江苏省</x:t>
        </x:is>
      </x:c>
      <x:c r="F3380" s="2" t="inlineStr">
        <x:is>
          <x:t xml:space="preserve">苏省昆山市</x:t>
        </x:is>
      </x:c>
      <x:c r="G3380" s="3" t="inlineStr">
        <x:is>
          <x:t xml:space="preserve">江苏省-苏省昆山市</x:t>
        </x:is>
      </x:c>
      <x:c r="H3380" s="2" t="inlineStr">
        <x:is>
          <x:t xml:space="preserve">半导体</x:t>
        </x:is>
      </x:c>
      <x:c r="I3380" s="2" t="inlineStr">
        <x:is>
          <x:t xml:space="preserve">2023-12-06</x:t>
        </x:is>
      </x:c>
      <x:c r="J3380" s="3" t="inlineStr">
        <x:is>
          <x:t xml:space="preserve">江苏省昆山市千灯镇黄浦江路1647号</x:t>
        </x:is>
      </x:c>
      <x:c r="K3380" s="12" t="str">
        <x:f>LEFT("9132058355253262X1",18)</x:f>
        <x:v>9132058355253262X1</x:v>
      </x:c>
    </x:row>
    <x:row r="3381">
      <x:c r="A3381" s="4" t="n">
        <x:v>3380</x:v>
      </x:c>
      <x:c r="B3381" s="4" t="inlineStr">
        <x:is>
          <x:t xml:space="preserve">688755</x:t>
        </x:is>
      </x:c>
      <x:c r="C3381" s="5" t="inlineStr">
        <x:is>
          <x:t xml:space="preserve">汉邦科技</x:t>
        </x:is>
      </x:c>
      <x:c r="D3381" s="5" t="inlineStr">
        <x:is>
          <x:t xml:space="preserve">江苏汉邦科技股份有限公司</x:t>
        </x:is>
      </x:c>
      <x:c r="E3381" s="4" t="inlineStr">
        <x:is>
          <x:t xml:space="preserve">江苏省</x:t>
        </x:is>
      </x:c>
      <x:c r="F3381" s="4" t="inlineStr">
        <x:is>
          <x:t xml:space="preserve">淮安市</x:t>
        </x:is>
      </x:c>
      <x:c r="G3381" s="5" t="inlineStr">
        <x:is>
          <x:t xml:space="preserve">江苏省-淮安市</x:t>
        </x:is>
      </x:c>
      <x:c r="H3381" s="4" t="inlineStr">
        <x:is>
          <x:t xml:space="preserve">专用设备</x:t>
        </x:is>
      </x:c>
      <x:c r="I3381" s="4" t="inlineStr">
        <x:is>
          <x:t xml:space="preserve">2025-05-16</x:t>
        </x:is>
      </x:c>
      <x:c r="J3381" s="5" t="inlineStr">
        <x:is>
          <x:t xml:space="preserve">淮安经济技术开发区新竹路10号;淮安经济技术开发区集贤路1-9号</x:t>
        </x:is>
      </x:c>
      <x:c r="K3381" s="12" t="str">
        <x:f>LEFT("913208917038195227",18)</x:f>
        <x:v>913208917038195200</x:v>
      </x:c>
    </x:row>
    <x:row r="3382">
      <x:c r="A3382" s="2" t="n">
        <x:v>3381</x:v>
      </x:c>
      <x:c r="B3382" s="2" t="inlineStr">
        <x:is>
          <x:t xml:space="preserve">688757</x:t>
        </x:is>
      </x:c>
      <x:c r="C3382" s="3" t="inlineStr">
        <x:is>
          <x:t xml:space="preserve">胜科纳米</x:t>
        </x:is>
      </x:c>
      <x:c r="D3382" s="3" t="inlineStr">
        <x:is>
          <x:t xml:space="preserve">胜科纳米(苏州)股份有限公司</x:t>
        </x:is>
      </x:c>
      <x:c r="E3382" s="2" t="inlineStr">
        <x:is>
          <x:t xml:space="preserve">江苏省</x:t>
        </x:is>
      </x:c>
      <x:c r="F3382" s="2" t="inlineStr">
        <x:is>
          <x:t xml:space="preserve">苏州市</x:t>
        </x:is>
      </x:c>
      <x:c r="G3382" s="3" t="inlineStr">
        <x:is>
          <x:t xml:space="preserve">江苏省-苏州市</x:t>
        </x:is>
      </x:c>
      <x:c r="H3382" s="2" t="inlineStr">
        <x:is>
          <x:t xml:space="preserve">专业服务</x:t>
        </x:is>
      </x:c>
      <x:c r="I3382" s="2" t="inlineStr">
        <x:is>
          <x:t xml:space="preserve">2025-03-25</x:t>
        </x:is>
      </x:c>
      <x:c r="J3382" s="3" t="inlineStr">
        <x:is>
          <x:t xml:space="preserve">苏州工业园区朝前路9号</x:t>
        </x:is>
      </x:c>
      <x:c r="K3382" s="12" t="str">
        <x:f>LEFT("91320594051861281G",18)</x:f>
        <x:v>91320594051861281G</x:v>
      </x:c>
    </x:row>
    <x:row r="3383">
      <x:c r="A3383" s="4" t="n">
        <x:v>3382</x:v>
      </x:c>
      <x:c r="B3383" s="4" t="inlineStr">
        <x:is>
          <x:t xml:space="preserve">688758</x:t>
        </x:is>
      </x:c>
      <x:c r="C3383" s="5" t="inlineStr">
        <x:is>
          <x:t xml:space="preserve">赛分科技</x:t>
        </x:is>
      </x:c>
      <x:c r="D3383" s="5" t="inlineStr">
        <x:is>
          <x:t xml:space="preserve">苏州赛分科技股份有限公司</x:t>
        </x:is>
      </x:c>
      <x:c r="E3383" s="4" t="inlineStr">
        <x:is>
          <x:t xml:space="preserve">江苏省</x:t>
        </x:is>
      </x:c>
      <x:c r="F3383" s="4" t="inlineStr">
        <x:is>
          <x:t xml:space="preserve">苏州市</x:t>
        </x:is>
      </x:c>
      <x:c r="G3383" s="5" t="inlineStr">
        <x:is>
          <x:t xml:space="preserve">江苏省-苏州市</x:t>
        </x:is>
      </x:c>
      <x:c r="H3383" s="4" t="inlineStr">
        <x:is>
          <x:t xml:space="preserve">化学原料</x:t>
        </x:is>
      </x:c>
      <x:c r="I3383" s="4" t="inlineStr">
        <x:is>
          <x:t xml:space="preserve">2025-01-10</x:t>
        </x:is>
      </x:c>
      <x:c r="J3383" s="5" t="inlineStr">
        <x:is>
          <x:t xml:space="preserve">中国(江苏)自由贸易试验区苏州片区苏州工业园区集贤街11号</x:t>
        </x:is>
      </x:c>
      <x:c r="K3383" s="12" t="str">
        <x:f>LEFT("913205946865754144",18)</x:f>
        <x:v>913205946865754100</x:v>
      </x:c>
    </x:row>
    <x:row r="3384">
      <x:c r="A3384" s="2" t="n">
        <x:v>3383</x:v>
      </x:c>
      <x:c r="B3384" s="2" t="inlineStr">
        <x:is>
          <x:t xml:space="preserve">688800</x:t>
        </x:is>
      </x:c>
      <x:c r="C3384" s="3" t="inlineStr">
        <x:is>
          <x:t xml:space="preserve">瑞可达</x:t>
        </x:is>
      </x:c>
      <x:c r="D3384" s="3" t="inlineStr">
        <x:is>
          <x:t xml:space="preserve">苏州瑞可达连接系统股份有限公司</x:t>
        </x:is>
      </x:c>
      <x:c r="E3384" s="2" t="inlineStr">
        <x:is>
          <x:t xml:space="preserve">江苏省</x:t>
        </x:is>
      </x:c>
      <x:c r="F3384" s="2" t="inlineStr">
        <x:is>
          <x:t xml:space="preserve">苏州市</x:t>
        </x:is>
      </x:c>
      <x:c r="G3384" s="3" t="inlineStr">
        <x:is>
          <x:t xml:space="preserve">江苏省-苏州市</x:t>
        </x:is>
      </x:c>
      <x:c r="H3384" s="2" t="inlineStr">
        <x:is>
          <x:t xml:space="preserve">电子元件</x:t>
        </x:is>
      </x:c>
      <x:c r="I3384" s="2" t="inlineStr">
        <x:is>
          <x:t xml:space="preserve">2021-07-22</x:t>
        </x:is>
      </x:c>
      <x:c r="J3384" s="3" t="inlineStr">
        <x:is>
          <x:t xml:space="preserve">苏州市吴中区吴淞江科技产业园淞葭路998号</x:t>
        </x:is>
      </x:c>
      <x:c r="K3384" s="12" t="str">
        <x:f>LEFT("91320500784355327X",18)</x:f>
        <x:v>91320500784355327X</x:v>
      </x:c>
    </x:row>
    <x:row r="3385">
      <x:c r="A3385" s="4" t="n">
        <x:v>3384</x:v>
      </x:c>
      <x:c r="B3385" s="4" t="inlineStr">
        <x:is>
          <x:t xml:space="preserve">688809</x:t>
        </x:is>
      </x:c>
      <x:c r="C3385" s="5" t="inlineStr">
        <x:is>
          <x:t xml:space="preserve">强一股份</x:t>
        </x:is>
      </x:c>
      <x:c r="D3385" s="5" t="inlineStr">
        <x:is>
          <x:t xml:space="preserve">强一半导体(苏州)股份有限公司</x:t>
        </x:is>
      </x:c>
      <x:c r="E3385" s="4" t="inlineStr">
        <x:is>
          <x:t xml:space="preserve">江苏省</x:t>
        </x:is>
      </x:c>
      <x:c r="F3385" s="4" t="inlineStr">
        <x:is>
          <x:t xml:space="preserve">苏州市</x:t>
        </x:is>
      </x:c>
      <x:c r="G3385" s="5" t="inlineStr">
        <x:is>
          <x:t xml:space="preserve">江苏省-苏州市</x:t>
        </x:is>
      </x:c>
      <x:c r="H3385" s="4" t="inlineStr">
        <x:is>
          <x:t xml:space="preserve">半导体</x:t>
        </x:is>
      </x:c>
      <x:c r="I3385" s="4" t="inlineStr">
        <x:is>
          <x:t xml:space="preserve">2025-12-30</x:t>
        </x:is>
      </x:c>
      <x:c r="J3385" s="5" t="inlineStr">
        <x:is>
          <x:t xml:space="preserve">苏州工业园区东长路88号S3幢</x:t>
        </x:is>
      </x:c>
      <x:c r="K3385" s="12" t="str">
        <x:f>LEFT("91320594354568613M",18)</x:f>
        <x:v>91320594354568613M</x:v>
      </x:c>
    </x:row>
    <x:row r="3386">
      <x:c r="A3386" s="2" t="n">
        <x:v>3385</x:v>
      </x:c>
      <x:c r="B3386" s="2" t="inlineStr">
        <x:is>
          <x:t xml:space="preserve">000404</x:t>
        </x:is>
      </x:c>
      <x:c r="C3386" s="3" t="inlineStr">
        <x:is>
          <x:t xml:space="preserve">长虹华意</x:t>
        </x:is>
      </x:c>
      <x:c r="D3386" s="3" t="inlineStr">
        <x:is>
          <x:t xml:space="preserve">长虹华意压缩机股份有限公司</x:t>
        </x:is>
      </x:c>
      <x:c r="E3386" s="2" t="inlineStr">
        <x:is>
          <x:t xml:space="preserve">江西省</x:t>
        </x:is>
      </x:c>
      <x:c r="F3386" s="2" t="inlineStr">
        <x:is>
          <x:t xml:space="preserve">景德镇市</x:t>
        </x:is>
      </x:c>
      <x:c r="G3386" s="3" t="inlineStr">
        <x:is>
          <x:t xml:space="preserve">江西省-景德镇市</x:t>
        </x:is>
      </x:c>
      <x:c r="H3386" s="2" t="inlineStr">
        <x:is>
          <x:t xml:space="preserve">家电行业</x:t>
        </x:is>
      </x:c>
      <x:c r="I3386" s="2" t="inlineStr">
        <x:is>
          <x:t xml:space="preserve">1996-06-19</x:t>
        </x:is>
      </x:c>
      <x:c r="J3386" s="3" t="inlineStr">
        <x:is>
          <x:t xml:space="preserve">江西省景德镇市高新区长虹路1号</x:t>
        </x:is>
      </x:c>
      <x:c r="K3386" s="12" t="str">
        <x:f>LEFT("9136020070562223XY",18)</x:f>
        <x:v>9136020070562223XY</x:v>
      </x:c>
    </x:row>
    <x:row r="3387">
      <x:c r="A3387" s="4" t="n">
        <x:v>3386</x:v>
      </x:c>
      <x:c r="B3387" s="4" t="inlineStr">
        <x:is>
          <x:t xml:space="preserve">000550</x:t>
        </x:is>
      </x:c>
      <x:c r="C3387" s="5" t="inlineStr">
        <x:is>
          <x:t xml:space="preserve">江铃汽车</x:t>
        </x:is>
      </x:c>
      <x:c r="D3387" s="5" t="inlineStr">
        <x:is>
          <x:t xml:space="preserve">江铃汽车股份有限公司</x:t>
        </x:is>
      </x:c>
      <x:c r="E3387" s="4" t="inlineStr">
        <x:is>
          <x:t xml:space="preserve">江西省</x:t>
        </x:is>
      </x:c>
      <x:c r="F3387" s="4" t="inlineStr">
        <x:is>
          <x:t xml:space="preserve">南昌市</x:t>
        </x:is>
      </x:c>
      <x:c r="G3387" s="5" t="inlineStr">
        <x:is>
          <x:t xml:space="preserve">江西省-南昌市</x:t>
        </x:is>
      </x:c>
      <x:c r="H3387" s="4" t="inlineStr">
        <x:is>
          <x:t xml:space="preserve">汽车整车</x:t>
        </x:is>
      </x:c>
      <x:c r="I3387" s="4" t="inlineStr">
        <x:is>
          <x:t xml:space="preserve">1993-12-01</x:t>
        </x:is>
      </x:c>
      <x:c r="J3387" s="5" t="inlineStr">
        <x:is>
          <x:t xml:space="preserve">江西省南昌市南昌县迎宾中大道2111号</x:t>
        </x:is>
      </x:c>
      <x:c r="K3387" s="12" t="str">
        <x:f>LEFT("913600006124469438",18)</x:f>
        <x:v>913600006124469400</x:v>
      </x:c>
    </x:row>
    <x:row r="3388">
      <x:c r="A3388" s="2" t="n">
        <x:v>3387</x:v>
      </x:c>
      <x:c r="B3388" s="2" t="inlineStr">
        <x:is>
          <x:t xml:space="preserve">000650</x:t>
        </x:is>
      </x:c>
      <x:c r="C3388" s="3" t="inlineStr">
        <x:is>
          <x:t xml:space="preserve">仁和药业</x:t>
        </x:is>
      </x:c>
      <x:c r="D3388" s="3" t="inlineStr">
        <x:is>
          <x:t xml:space="preserve">仁和药业股份有限公司</x:t>
        </x:is>
      </x:c>
      <x:c r="E3388" s="2" t="inlineStr">
        <x:is>
          <x:t xml:space="preserve">江西省</x:t>
        </x:is>
      </x:c>
      <x:c r="F3388" s="2" t="inlineStr">
        <x:is>
          <x:t xml:space="preserve">宜春市</x:t>
        </x:is>
      </x:c>
      <x:c r="G3388" s="3" t="inlineStr">
        <x:is>
          <x:t xml:space="preserve">江西省-宜春市</x:t>
        </x:is>
      </x:c>
      <x:c r="H3388" s="2" t="inlineStr">
        <x:is>
          <x:t xml:space="preserve">中药</x:t>
        </x:is>
      </x:c>
      <x:c r="I3388" s="2" t="inlineStr">
        <x:is>
          <x:t xml:space="preserve">1996-12-10</x:t>
        </x:is>
      </x:c>
      <x:c r="J3388" s="3" t="inlineStr">
        <x:is>
          <x:t xml:space="preserve">江西省宜春市樟树市葛玄路6号</x:t>
        </x:is>
      </x:c>
      <x:c r="K3388" s="12" t="str">
        <x:f>LEFT("9136000070550994XX",18)</x:f>
        <x:v>9136000070550994XX</x:v>
      </x:c>
    </x:row>
    <x:row r="3389">
      <x:c r="A3389" s="4" t="n">
        <x:v>3388</x:v>
      </x:c>
      <x:c r="B3389" s="4" t="inlineStr">
        <x:is>
          <x:t xml:space="preserve">000789</x:t>
        </x:is>
      </x:c>
      <x:c r="C3389" s="5" t="inlineStr">
        <x:is>
          <x:t xml:space="preserve">万年青</x:t>
        </x:is>
      </x:c>
      <x:c r="D3389" s="5" t="inlineStr">
        <x:is>
          <x:t xml:space="preserve">江西万年青水泥股份有限公司</x:t>
        </x:is>
      </x:c>
      <x:c r="E3389" s="4" t="inlineStr">
        <x:is>
          <x:t xml:space="preserve">江西省</x:t>
        </x:is>
      </x:c>
      <x:c r="F3389" s="4" t="inlineStr">
        <x:is>
          <x:t xml:space="preserve">上饶市</x:t>
        </x:is>
      </x:c>
      <x:c r="G3389" s="5" t="inlineStr">
        <x:is>
          <x:t xml:space="preserve">江西省-上饶市</x:t>
        </x:is>
      </x:c>
      <x:c r="H3389" s="4" t="inlineStr">
        <x:is>
          <x:t xml:space="preserve">水泥建材</x:t>
        </x:is>
      </x:c>
      <x:c r="I3389" s="4" t="inlineStr">
        <x:is>
          <x:t xml:space="preserve">1997-09-23</x:t>
        </x:is>
      </x:c>
      <x:c r="J3389" s="5" t="inlineStr">
        <x:is>
          <x:t xml:space="preserve">江西省上饶市万年县</x:t>
        </x:is>
      </x:c>
      <x:c r="K3389" s="12" t="str">
        <x:f>LEFT("913611007057505811",18)</x:f>
        <x:v>913611007057505800</x:v>
      </x:c>
    </x:row>
    <x:row r="3390">
      <x:c r="A3390" s="2" t="n">
        <x:v>3389</x:v>
      </x:c>
      <x:c r="B3390" s="2" t="inlineStr">
        <x:is>
          <x:t xml:space="preserve">000820</x:t>
        </x:is>
      </x:c>
      <x:c r="C3390" s="3" t="inlineStr">
        <x:is>
          <x:t xml:space="preserve">神雾节能</x:t>
        </x:is>
      </x:c>
      <x:c r="D3390" s="3" t="inlineStr">
        <x:is>
          <x:t xml:space="preserve">神雾节能股份有限公司</x:t>
        </x:is>
      </x:c>
      <x:c r="E3390" s="2" t="inlineStr">
        <x:is>
          <x:t xml:space="preserve">江西省</x:t>
        </x:is>
      </x:c>
      <x:c r="F3390" s="2" t="inlineStr">
        <x:is>
          <x:t xml:space="preserve">南昌市</x:t>
        </x:is>
      </x:c>
      <x:c r="G3390" s="3" t="inlineStr">
        <x:is>
          <x:t xml:space="preserve">江西省-南昌市</x:t>
        </x:is>
      </x:c>
      <x:c r="H3390" s="2" t="inlineStr">
        <x:is>
          <x:t xml:space="preserve">环保工程</x:t>
        </x:is>
      </x:c>
      <x:c r="I3390" s="2" t="inlineStr">
        <x:is>
          <x:t xml:space="preserve">1998-06-30</x:t>
        </x:is>
      </x:c>
      <x:c r="J3390" s="3" t="inlineStr">
        <x:is>
          <x:t xml:space="preserve">江西省南昌市望城新区璜溪大道19号十一楼1188室</x:t>
        </x:is>
      </x:c>
      <x:c r="K3390" s="12" t="str">
        <x:f>LEFT("9121070024203000XM",18)</x:f>
        <x:v>9121070024203000XM</x:v>
      </x:c>
    </x:row>
    <x:row r="3391">
      <x:c r="A3391" s="4" t="n">
        <x:v>3390</x:v>
      </x:c>
      <x:c r="B3391" s="4" t="inlineStr">
        <x:is>
          <x:t xml:space="preserve">000829</x:t>
        </x:is>
      </x:c>
      <x:c r="C3391" s="5" t="inlineStr">
        <x:is>
          <x:t xml:space="preserve">天音控股</x:t>
        </x:is>
      </x:c>
      <x:c r="D3391" s="5" t="inlineStr">
        <x:is>
          <x:t xml:space="preserve">天音通信控股股份有限公司</x:t>
        </x:is>
      </x:c>
      <x:c r="E3391" s="4" t="inlineStr">
        <x:is>
          <x:t xml:space="preserve">江西省</x:t>
        </x:is>
      </x:c>
      <x:c r="F3391" s="4" t="inlineStr">
        <x:is>
          <x:t xml:space="preserve">赣州市</x:t>
        </x:is>
      </x:c>
      <x:c r="G3391" s="5" t="inlineStr">
        <x:is>
          <x:t xml:space="preserve">江西省-赣州市</x:t>
        </x:is>
      </x:c>
      <x:c r="H3391" s="4" t="inlineStr">
        <x:is>
          <x:t xml:space="preserve">贸易行业</x:t>
        </x:is>
      </x:c>
      <x:c r="I3391" s="4" t="inlineStr">
        <x:is>
          <x:t xml:space="preserve">1997-12-02</x:t>
        </x:is>
      </x:c>
      <x:c r="J3391" s="5" t="inlineStr">
        <x:is>
          <x:t xml:space="preserve">江西省赣州市经济技术开发区迎宾大道60号</x:t>
        </x:is>
      </x:c>
      <x:c r="K3391" s="12" t="str">
        <x:f>LEFT("91360700158312266X",18)</x:f>
        <x:v>91360700158312266X</x:v>
      </x:c>
    </x:row>
    <x:row r="3392">
      <x:c r="A3392" s="2" t="n">
        <x:v>3391</x:v>
      </x:c>
      <x:c r="B3392" s="2" t="inlineStr">
        <x:is>
          <x:t xml:space="preserve">000831</x:t>
        </x:is>
      </x:c>
      <x:c r="C3392" s="3" t="inlineStr">
        <x:is>
          <x:t xml:space="preserve">中国稀土</x:t>
        </x:is>
      </x:c>
      <x:c r="D3392" s="3" t="inlineStr">
        <x:is>
          <x:t xml:space="preserve">中国稀土集团资源科技股份有限公司</x:t>
        </x:is>
      </x:c>
      <x:c r="E3392" s="2" t="inlineStr">
        <x:is>
          <x:t xml:space="preserve">江西省</x:t>
        </x:is>
      </x:c>
      <x:c r="F3392" s="2" t="inlineStr">
        <x:is>
          <x:t xml:space="preserve">赣州市</x:t>
        </x:is>
      </x:c>
      <x:c r="G3392" s="3" t="inlineStr">
        <x:is>
          <x:t xml:space="preserve">江西省-赣州市</x:t>
        </x:is>
      </x:c>
      <x:c r="H3392" s="2" t="inlineStr">
        <x:is>
          <x:t xml:space="preserve">小金属</x:t>
        </x:is>
      </x:c>
      <x:c r="I3392" s="2" t="inlineStr">
        <x:is>
          <x:t xml:space="preserve">1998-09-11</x:t>
        </x:is>
      </x:c>
      <x:c r="J3392" s="3" t="inlineStr">
        <x:is>
          <x:t xml:space="preserve">江西省赣州市章贡区章江南大道18号豪德银座A栋15层</x:t>
        </x:is>
      </x:c>
      <x:c r="K3392" s="12" t="str">
        <x:f>LEFT("911408007011965525",18)</x:f>
        <x:v>911408007011965600</x:v>
      </x:c>
    </x:row>
    <x:row r="3393">
      <x:c r="A3393" s="4" t="n">
        <x:v>3392</x:v>
      </x:c>
      <x:c r="B3393" s="4" t="inlineStr">
        <x:is>
          <x:t xml:space="preserve">000899</x:t>
        </x:is>
      </x:c>
      <x:c r="C3393" s="5" t="inlineStr">
        <x:is>
          <x:t xml:space="preserve">赣能股份</x:t>
        </x:is>
      </x:c>
      <x:c r="D3393" s="5" t="inlineStr">
        <x:is>
          <x:t xml:space="preserve">江西赣能股份有限公司</x:t>
        </x:is>
      </x:c>
      <x:c r="E3393" s="4" t="inlineStr">
        <x:is>
          <x:t xml:space="preserve">江西省</x:t>
        </x:is>
      </x:c>
      <x:c r="F3393" s="4" t="inlineStr">
        <x:is>
          <x:t xml:space="preserve">南昌市</x:t>
        </x:is>
      </x:c>
      <x:c r="G3393" s="5" t="inlineStr">
        <x:is>
          <x:t xml:space="preserve">江西省-南昌市</x:t>
        </x:is>
      </x:c>
      <x:c r="H3393" s="4" t="inlineStr">
        <x:is>
          <x:t xml:space="preserve">电力行业</x:t>
        </x:is>
      </x:c>
      <x:c r="I3393" s="4" t="inlineStr">
        <x:is>
          <x:t xml:space="preserve">1997-11-26</x:t>
        </x:is>
      </x:c>
      <x:c r="J3393" s="5" t="inlineStr">
        <x:is>
          <x:t xml:space="preserve">江西省南昌市高新区火炬大街199号</x:t>
        </x:is>
      </x:c>
      <x:c r="K3393" s="12" t="str">
        <x:f>LEFT("913600001583122317",18)</x:f>
        <x:v>913600001583122300</x:v>
      </x:c>
    </x:row>
    <x:row r="3394">
      <x:c r="A3394" s="2" t="n">
        <x:v>3393</x:v>
      </x:c>
      <x:c r="B3394" s="2" t="inlineStr">
        <x:is>
          <x:t xml:space="preserve">000990</x:t>
        </x:is>
      </x:c>
      <x:c r="C3394" s="3" t="inlineStr">
        <x:is>
          <x:t xml:space="preserve">诚志股份</x:t>
        </x:is>
      </x:c>
      <x:c r="D3394" s="3" t="inlineStr">
        <x:is>
          <x:t xml:space="preserve">诚志股份有限公司</x:t>
        </x:is>
      </x:c>
      <x:c r="E3394" s="2" t="inlineStr">
        <x:is>
          <x:t xml:space="preserve">江西省</x:t>
        </x:is>
      </x:c>
      <x:c r="F3394" s="2" t="inlineStr">
        <x:is>
          <x:t xml:space="preserve">南昌市</x:t>
        </x:is>
      </x:c>
      <x:c r="G3394" s="3" t="inlineStr">
        <x:is>
          <x:t xml:space="preserve">江西省-南昌市</x:t>
        </x:is>
      </x:c>
      <x:c r="H3394" s="2" t="inlineStr">
        <x:is>
          <x:t xml:space="preserve">化学原料</x:t>
        </x:is>
      </x:c>
      <x:c r="I3394" s="2" t="inlineStr">
        <x:is>
          <x:t xml:space="preserve">2000-07-06</x:t>
        </x:is>
      </x:c>
      <x:c r="J3394" s="3" t="inlineStr">
        <x:is>
          <x:t xml:space="preserve">江西省南昌市经济技术开发区玉屏东大街299号</x:t>
        </x:is>
      </x:c>
      <x:c r="K3394" s="12" t="str">
        <x:f>LEFT("913600007055084968",18)</x:f>
        <x:v>913600007055084900</x:v>
      </x:c>
    </x:row>
    <x:row r="3395">
      <x:c r="A3395" s="4" t="n">
        <x:v>3394</x:v>
      </x:c>
      <x:c r="B3395" s="4" t="inlineStr">
        <x:is>
          <x:t xml:space="preserve">001223</x:t>
        </x:is>
      </x:c>
      <x:c r="C3395" s="5" t="inlineStr">
        <x:is>
          <x:t xml:space="preserve">欧克科技</x:t>
        </x:is>
      </x:c>
      <x:c r="D3395" s="5" t="inlineStr">
        <x:is>
          <x:t xml:space="preserve">欧克科技股份有限公司</x:t>
        </x:is>
      </x:c>
      <x:c r="E3395" s="4" t="inlineStr">
        <x:is>
          <x:t xml:space="preserve">江西省</x:t>
        </x:is>
      </x:c>
      <x:c r="F3395" s="4" t="inlineStr">
        <x:is>
          <x:t xml:space="preserve">九江市</x:t>
        </x:is>
      </x:c>
      <x:c r="G3395" s="5" t="inlineStr">
        <x:is>
          <x:t xml:space="preserve">江西省-九江市</x:t>
        </x:is>
      </x:c>
      <x:c r="H3395" s="4" t="inlineStr">
        <x:is>
          <x:t xml:space="preserve">专用设备</x:t>
        </x:is>
      </x:c>
      <x:c r="I3395" s="4" t="inlineStr">
        <x:is>
          <x:t xml:space="preserve">2022-12-12</x:t>
        </x:is>
      </x:c>
      <x:c r="J3395" s="5" t="inlineStr">
        <x:is>
          <x:t xml:space="preserve">江西省九江市修水县工业园芦塘项目区</x:t>
        </x:is>
      </x:c>
      <x:c r="K3395" s="12" t="str">
        <x:f>LEFT("91360424581605242N",18)</x:f>
        <x:v>91360424581605242N</x:v>
      </x:c>
    </x:row>
    <x:row r="3396">
      <x:c r="A3396" s="2" t="n">
        <x:v>3395</x:v>
      </x:c>
      <x:c r="B3396" s="2" t="inlineStr">
        <x:is>
          <x:t xml:space="preserve">001318</x:t>
        </x:is>
      </x:c>
      <x:c r="C3396" s="3" t="inlineStr">
        <x:is>
          <x:t xml:space="preserve">阳光乳业</x:t>
        </x:is>
      </x:c>
      <x:c r="D3396" s="3" t="inlineStr">
        <x:is>
          <x:t xml:space="preserve">江西阳光乳业股份有限公司</x:t>
        </x:is>
      </x:c>
      <x:c r="E3396" s="2" t="inlineStr">
        <x:is>
          <x:t xml:space="preserve">江西省</x:t>
        </x:is>
      </x:c>
      <x:c r="F3396" s="2" t="inlineStr">
        <x:is>
          <x:t xml:space="preserve">南昌市</x:t>
        </x:is>
      </x:c>
      <x:c r="G3396" s="3" t="inlineStr">
        <x:is>
          <x:t xml:space="preserve">江西省-南昌市</x:t>
        </x:is>
      </x:c>
      <x:c r="H3396" s="2" t="inlineStr">
        <x:is>
          <x:t xml:space="preserve">食品饮料</x:t>
        </x:is>
      </x:c>
      <x:c r="I3396" s="2" t="inlineStr">
        <x:is>
          <x:t xml:space="preserve">2022-05-20</x:t>
        </x:is>
      </x:c>
      <x:c r="J3396" s="3" t="inlineStr">
        <x:is>
          <x:t xml:space="preserve">江西省南昌市青云谱区青云谱岱山东路1号</x:t>
        </x:is>
      </x:c>
      <x:c r="K3396" s="12" t="str">
        <x:f>LEFT("9136010068345967X2",18)</x:f>
        <x:v>9136010068345967X2</x:v>
      </x:c>
    </x:row>
    <x:row r="3397">
      <x:c r="A3397" s="4" t="n">
        <x:v>3396</x:v>
      </x:c>
      <x:c r="B3397" s="4" t="inlineStr">
        <x:is>
          <x:t xml:space="preserve">001360</x:t>
        </x:is>
      </x:c>
      <x:c r="C3397" s="5" t="inlineStr">
        <x:is>
          <x:t xml:space="preserve">南矿集团</x:t>
        </x:is>
      </x:c>
      <x:c r="D3397" s="5" t="inlineStr">
        <x:is>
          <x:t xml:space="preserve">南昌矿机集团股份有限公司</x:t>
        </x:is>
      </x:c>
      <x:c r="E3397" s="4" t="inlineStr">
        <x:is>
          <x:t xml:space="preserve">江西省</x:t>
        </x:is>
      </x:c>
      <x:c r="F3397" s="4" t="inlineStr">
        <x:is>
          <x:t xml:space="preserve">南昌市</x:t>
        </x:is>
      </x:c>
      <x:c r="G3397" s="5" t="inlineStr">
        <x:is>
          <x:t xml:space="preserve">江西省-南昌市</x:t>
        </x:is>
      </x:c>
      <x:c r="H3397" s="4" t="inlineStr">
        <x:is>
          <x:t xml:space="preserve">专用设备</x:t>
        </x:is>
      </x:c>
      <x:c r="I3397" s="4" t="inlineStr">
        <x:is>
          <x:t xml:space="preserve">2023-04-10</x:t>
        </x:is>
      </x:c>
      <x:c r="J3397" s="5" t="inlineStr">
        <x:is>
          <x:t xml:space="preserve">江西省南昌市湾里区红湾大道300号</x:t>
        </x:is>
      </x:c>
      <x:c r="K3397" s="12" t="str">
        <x:f>LEFT("91360105746076642Q",18)</x:f>
        <x:v>91360105746076642Q</x:v>
      </x:c>
    </x:row>
    <x:row r="3398">
      <x:c r="A3398" s="2" t="n">
        <x:v>3397</x:v>
      </x:c>
      <x:c r="B3398" s="2" t="inlineStr">
        <x:is>
          <x:t xml:space="preserve">001366</x:t>
        </x:is>
      </x:c>
      <x:c r="C3398" s="3" t="inlineStr">
        <x:is>
          <x:t xml:space="preserve">播恩集团</x:t>
        </x:is>
      </x:c>
      <x:c r="D3398" s="3" t="inlineStr">
        <x:is>
          <x:t xml:space="preserve">播恩集团股份有限公司</x:t>
        </x:is>
      </x:c>
      <x:c r="E3398" s="2" t="inlineStr">
        <x:is>
          <x:t xml:space="preserve">江西省</x:t>
        </x:is>
      </x:c>
      <x:c r="F3398" s="2" t="inlineStr">
        <x:is>
          <x:t xml:space="preserve">赣州市</x:t>
        </x:is>
      </x:c>
      <x:c r="G3398" s="3" t="inlineStr">
        <x:is>
          <x:t xml:space="preserve">江西省-赣州市</x:t>
        </x:is>
      </x:c>
      <x:c r="H3398" s="2" t="inlineStr">
        <x:is>
          <x:t xml:space="preserve">农牧饲渔</x:t>
        </x:is>
      </x:c>
      <x:c r="I3398" s="2" t="inlineStr">
        <x:is>
          <x:t xml:space="preserve">2023-03-07</x:t>
        </x:is>
      </x:c>
      <x:c r="J3398" s="3" t="inlineStr">
        <x:is>
          <x:t xml:space="preserve">江西省赣州经济技术开发区迎宾大道中段</x:t>
        </x:is>
      </x:c>
      <x:c r="K3398" s="12" t="str">
        <x:f>LEFT("91360700787285803X",18)</x:f>
        <x:v>91360700787285803X</x:v>
      </x:c>
    </x:row>
    <x:row r="3399">
      <x:c r="A3399" s="4" t="n">
        <x:v>3398</x:v>
      </x:c>
      <x:c r="B3399" s="4" t="inlineStr">
        <x:is>
          <x:t xml:space="preserve">001376</x:t>
        </x:is>
      </x:c>
      <x:c r="C3399" s="5" t="inlineStr">
        <x:is>
          <x:t xml:space="preserve">百通能源</x:t>
        </x:is>
      </x:c>
      <x:c r="D3399" s="5" t="inlineStr">
        <x:is>
          <x:t xml:space="preserve">江西百通能源股份有限公司</x:t>
        </x:is>
      </x:c>
      <x:c r="E3399" s="4" t="inlineStr">
        <x:is>
          <x:t xml:space="preserve">江西省</x:t>
        </x:is>
      </x:c>
      <x:c r="F3399" s="4" t="inlineStr">
        <x:is>
          <x:t xml:space="preserve">南昌市</x:t>
        </x:is>
      </x:c>
      <x:c r="G3399" s="5" t="inlineStr">
        <x:is>
          <x:t xml:space="preserve">江西省-南昌市</x:t>
        </x:is>
      </x:c>
      <x:c r="H3399" s="4" t="inlineStr">
        <x:is>
          <x:t xml:space="preserve">公用事业</x:t>
        </x:is>
      </x:c>
      <x:c r="I3399" s="4" t="inlineStr">
        <x:is>
          <x:t xml:space="preserve">2023-11-03</x:t>
        </x:is>
      </x:c>
      <x:c r="J3399" s="5" t="inlineStr">
        <x:is>
          <x:t xml:space="preserve">江西省南昌市南昌经济技术开发区枫林西大街917号世纪新宸大厦2号楼2202室</x:t>
        </x:is>
      </x:c>
      <x:c r="K3399" s="12" t="str">
        <x:f>LEFT("91360100553538361K",18)</x:f>
        <x:v>91360100553538361K</x:v>
      </x:c>
    </x:row>
    <x:row r="3400">
      <x:c r="A3400" s="2" t="n">
        <x:v>3399</x:v>
      </x:c>
      <x:c r="B3400" s="2" t="inlineStr">
        <x:is>
          <x:t xml:space="preserve">002036</x:t>
        </x:is>
      </x:c>
      <x:c r="C3400" s="3" t="inlineStr">
        <x:is>
          <x:t xml:space="preserve">联创电子</x:t>
        </x:is>
      </x:c>
      <x:c r="D3400" s="3" t="inlineStr">
        <x:is>
          <x:t xml:space="preserve">联创电子科技股份有限公司</x:t>
        </x:is>
      </x:c>
      <x:c r="E3400" s="2" t="inlineStr">
        <x:is>
          <x:t xml:space="preserve">江西省</x:t>
        </x:is>
      </x:c>
      <x:c r="F3400" s="2" t="inlineStr">
        <x:is>
          <x:t xml:space="preserve">南昌市</x:t>
        </x:is>
      </x:c>
      <x:c r="G3400" s="3" t="inlineStr">
        <x:is>
          <x:t xml:space="preserve">江西省-南昌市</x:t>
        </x:is>
      </x:c>
      <x:c r="H3400" s="2" t="inlineStr">
        <x:is>
          <x:t xml:space="preserve">光学光电子</x:t>
        </x:is>
      </x:c>
      <x:c r="I3400" s="2" t="inlineStr">
        <x:is>
          <x:t xml:space="preserve">2004-09-03</x:t>
        </x:is>
      </x:c>
      <x:c r="J3400" s="3" t="inlineStr">
        <x:is>
          <x:t xml:space="preserve">江西省南昌市高新开发区京东大道1699号</x:t>
        </x:is>
      </x:c>
      <x:c r="K3400" s="12" t="str">
        <x:f>LEFT("91330200704851719X",18)</x:f>
        <x:v>91330200704851719X</x:v>
      </x:c>
    </x:row>
    <x:row r="3401">
      <x:c r="A3401" s="4" t="n">
        <x:v>3400</x:v>
      </x:c>
      <x:c r="B3401" s="4" t="inlineStr">
        <x:is>
          <x:t xml:space="preserve">002068</x:t>
        </x:is>
      </x:c>
      <x:c r="C3401" s="5" t="inlineStr">
        <x:is>
          <x:t xml:space="preserve">黑猫股份</x:t>
        </x:is>
      </x:c>
      <x:c r="D3401" s="5" t="inlineStr">
        <x:is>
          <x:t xml:space="preserve">江西黑猫炭黑股份有限公司</x:t>
        </x:is>
      </x:c>
      <x:c r="E3401" s="4" t="inlineStr">
        <x:is>
          <x:t xml:space="preserve">江西省</x:t>
        </x:is>
      </x:c>
      <x:c r="F3401" s="4" t="inlineStr">
        <x:is>
          <x:t xml:space="preserve">景德镇市</x:t>
        </x:is>
      </x:c>
      <x:c r="G3401" s="5" t="inlineStr">
        <x:is>
          <x:t xml:space="preserve">江西省-景德镇市</x:t>
        </x:is>
      </x:c>
      <x:c r="H3401" s="4" t="inlineStr">
        <x:is>
          <x:t xml:space="preserve">橡胶制品</x:t>
        </x:is>
      </x:c>
      <x:c r="I3401" s="4" t="inlineStr">
        <x:is>
          <x:t xml:space="preserve">2006-09-15</x:t>
        </x:is>
      </x:c>
      <x:c r="J3401" s="5" t="inlineStr">
        <x:is>
          <x:t xml:space="preserve">江西省景德镇市历尧</x:t>
        </x:is>
      </x:c>
      <x:c r="K3401" s="12" t="str">
        <x:f>LEFT("91360200727764837D",18)</x:f>
        <x:v>91360200727764837D</x:v>
      </x:c>
    </x:row>
    <x:row r="3402">
      <x:c r="A3402" s="2" t="n">
        <x:v>3401</x:v>
      </x:c>
      <x:c r="B3402" s="2" t="inlineStr">
        <x:is>
          <x:t xml:space="preserve">002157</x:t>
        </x:is>
      </x:c>
      <x:c r="C3402" s="3" t="inlineStr">
        <x:is>
          <x:t xml:space="preserve">正邦科技</x:t>
        </x:is>
      </x:c>
      <x:c r="D3402" s="3" t="inlineStr">
        <x:is>
          <x:t xml:space="preserve">江西正邦科技股份有限公司</x:t>
        </x:is>
      </x:c>
      <x:c r="E3402" s="2" t="inlineStr">
        <x:is>
          <x:t xml:space="preserve">江西省</x:t>
        </x:is>
      </x:c>
      <x:c r="F3402" s="2" t="inlineStr">
        <x:is>
          <x:t xml:space="preserve">南昌市</x:t>
        </x:is>
      </x:c>
      <x:c r="G3402" s="3" t="inlineStr">
        <x:is>
          <x:t xml:space="preserve">江西省-南昌市</x:t>
        </x:is>
      </x:c>
      <x:c r="H3402" s="2" t="inlineStr">
        <x:is>
          <x:t xml:space="preserve">农牧饲渔</x:t>
        </x:is>
      </x:c>
      <x:c r="I3402" s="2" t="inlineStr">
        <x:is>
          <x:t xml:space="preserve">2007-08-17</x:t>
        </x:is>
      </x:c>
      <x:c r="J3402" s="3" t="inlineStr">
        <x:is>
          <x:t xml:space="preserve">江西省南昌市南昌高新技术产业开发区昌东大道7003号办公大楼6楼</x:t>
        </x:is>
      </x:c>
      <x:c r="K3402" s="12" t="str">
        <x:f>LEFT("913600006124405335",18)</x:f>
        <x:v>913600006124405400</x:v>
      </x:c>
    </x:row>
    <x:row r="3403">
      <x:c r="A3403" s="4" t="n">
        <x:v>3402</x:v>
      </x:c>
      <x:c r="B3403" s="4" t="inlineStr">
        <x:is>
          <x:t xml:space="preserve">002176</x:t>
        </x:is>
      </x:c>
      <x:c r="C3403" s="5" t="inlineStr">
        <x:is>
          <x:t xml:space="preserve">江特电机</x:t>
        </x:is>
      </x:c>
      <x:c r="D3403" s="5" t="inlineStr">
        <x:is>
          <x:t xml:space="preserve">江西特种电机股份有限公司</x:t>
        </x:is>
      </x:c>
      <x:c r="E3403" s="4" t="inlineStr">
        <x:is>
          <x:t xml:space="preserve">江西省</x:t>
        </x:is>
      </x:c>
      <x:c r="F3403" s="4" t="inlineStr">
        <x:is>
          <x:t xml:space="preserve">宜春市</x:t>
        </x:is>
      </x:c>
      <x:c r="G3403" s="5" t="inlineStr">
        <x:is>
          <x:t xml:space="preserve">江西省-宜春市</x:t>
        </x:is>
      </x:c>
      <x:c r="H3403" s="4" t="inlineStr">
        <x:is>
          <x:t xml:space="preserve">电机</x:t>
        </x:is>
      </x:c>
      <x:c r="I3403" s="4" t="inlineStr">
        <x:is>
          <x:t xml:space="preserve">2007-10-12</x:t>
        </x:is>
      </x:c>
      <x:c r="J3403" s="5" t="inlineStr">
        <x:is>
          <x:t xml:space="preserve">江西省宜春市袁州区环城南路581号</x:t>
        </x:is>
      </x:c>
      <x:c r="K3403" s="12" t="str">
        <x:f>LEFT("9136090016100044XH",18)</x:f>
        <x:v>9136090016100044XH</x:v>
      </x:c>
    </x:row>
    <x:row r="3404">
      <x:c r="A3404" s="2" t="n">
        <x:v>3403</x:v>
      </x:c>
      <x:c r="B3404" s="2" t="inlineStr">
        <x:is>
          <x:t xml:space="preserve">002343</x:t>
        </x:is>
      </x:c>
      <x:c r="C3404" s="3" t="inlineStr">
        <x:is>
          <x:t xml:space="preserve">慈文传媒</x:t>
        </x:is>
      </x:c>
      <x:c r="D3404" s="3" t="inlineStr">
        <x:is>
          <x:t xml:space="preserve">慈文传媒股份有限公司</x:t>
        </x:is>
      </x:c>
      <x:c r="E3404" s="2" t="inlineStr">
        <x:is>
          <x:t xml:space="preserve">江西省</x:t>
        </x:is>
      </x:c>
      <x:c r="F3404" s="2" t="inlineStr">
        <x:is>
          <x:t xml:space="preserve">南昌市</x:t>
        </x:is>
      </x:c>
      <x:c r="G3404" s="3" t="inlineStr">
        <x:is>
          <x:t xml:space="preserve">江西省-南昌市</x:t>
        </x:is>
      </x:c>
      <x:c r="H3404" s="2" t="inlineStr">
        <x:is>
          <x:t xml:space="preserve">文化传媒</x:t>
        </x:is>
      </x:c>
      <x:c r="I3404" s="2" t="inlineStr">
        <x:is>
          <x:t xml:space="preserve">2010-01-26</x:t>
        </x:is>
      </x:c>
      <x:c r="J3404" s="3" t="inlineStr">
        <x:is>
          <x:t xml:space="preserve">南昌经济技术开发区秀先路999号技术协同创新园2-6#4楼404</x:t>
        </x:is>
      </x:c>
      <x:c r="K3404" s="12" t="str">
        <x:f>LEFT("91330000146460907E",18)</x:f>
        <x:v>91330000146460907E</x:v>
      </x:c>
    </x:row>
    <x:row r="3405">
      <x:c r="A3405" s="4" t="n">
        <x:v>3404</x:v>
      </x:c>
      <x:c r="B3405" s="4" t="inlineStr">
        <x:is>
          <x:t xml:space="preserve">002378</x:t>
        </x:is>
      </x:c>
      <x:c r="C3405" s="5" t="inlineStr">
        <x:is>
          <x:t xml:space="preserve">章源钨业</x:t>
        </x:is>
      </x:c>
      <x:c r="D3405" s="5" t="inlineStr">
        <x:is>
          <x:t xml:space="preserve">崇义章源钨业股份有限公司</x:t>
        </x:is>
      </x:c>
      <x:c r="E3405" s="4" t="inlineStr">
        <x:is>
          <x:t xml:space="preserve">江西省</x:t>
        </x:is>
      </x:c>
      <x:c r="F3405" s="4" t="inlineStr">
        <x:is>
          <x:t xml:space="preserve">赣州市</x:t>
        </x:is>
      </x:c>
      <x:c r="G3405" s="5" t="inlineStr">
        <x:is>
          <x:t xml:space="preserve">江西省-赣州市</x:t>
        </x:is>
      </x:c>
      <x:c r="H3405" s="4" t="inlineStr">
        <x:is>
          <x:t xml:space="preserve">小金属</x:t>
        </x:is>
      </x:c>
      <x:c r="I3405" s="4" t="inlineStr">
        <x:is>
          <x:t xml:space="preserve">2010-03-31</x:t>
        </x:is>
      </x:c>
      <x:c r="J3405" s="5" t="inlineStr">
        <x:is>
          <x:t xml:space="preserve">江西省赣州市崇义县城塔下</x:t>
        </x:is>
      </x:c>
      <x:c r="K3405" s="12" t="str">
        <x:f>LEFT("91360700160482766K",18)</x:f>
        <x:v>91360700160482766K</x:v>
      </x:c>
    </x:row>
    <x:row r="3406">
      <x:c r="A3406" s="2" t="n">
        <x:v>3405</x:v>
      </x:c>
      <x:c r="B3406" s="2" t="inlineStr">
        <x:is>
          <x:t xml:space="preserve">002460</x:t>
        </x:is>
      </x:c>
      <x:c r="C3406" s="3" t="inlineStr">
        <x:is>
          <x:t xml:space="preserve">赣锋锂业</x:t>
        </x:is>
      </x:c>
      <x:c r="D3406" s="3" t="inlineStr">
        <x:is>
          <x:t xml:space="preserve">江西赣锋锂业集团股份有限公司</x:t>
        </x:is>
      </x:c>
      <x:c r="E3406" s="2" t="inlineStr">
        <x:is>
          <x:t xml:space="preserve">江西省</x:t>
        </x:is>
      </x:c>
      <x:c r="F3406" s="2" t="inlineStr">
        <x:is>
          <x:t xml:space="preserve">新余市</x:t>
        </x:is>
      </x:c>
      <x:c r="G3406" s="3" t="inlineStr">
        <x:is>
          <x:t xml:space="preserve">江西省-新余市</x:t>
        </x:is>
      </x:c>
      <x:c r="H3406" s="2" t="inlineStr">
        <x:is>
          <x:t xml:space="preserve">能源金属</x:t>
        </x:is>
      </x:c>
      <x:c r="I3406" s="2" t="inlineStr">
        <x:is>
          <x:t xml:space="preserve">2010-08-10</x:t>
        </x:is>
      </x:c>
      <x:c r="J3406" s="3" t="inlineStr">
        <x:is>
          <x:t xml:space="preserve">江西省新余市经济开发区龙腾路</x:t>
        </x:is>
      </x:c>
      <x:c r="K3406" s="12" t="str">
        <x:f>LEFT("91360500716575125F",18)</x:f>
        <x:v>91360500716575125F</x:v>
      </x:c>
    </x:row>
    <x:row r="3407">
      <x:c r="A3407" s="4" t="n">
        <x:v>3406</x:v>
      </x:c>
      <x:c r="B3407" s="4" t="inlineStr">
        <x:is>
          <x:t xml:space="preserve">002529</x:t>
        </x:is>
      </x:c>
      <x:c r="C3407" s="5" t="inlineStr">
        <x:is>
          <x:t xml:space="preserve">*ST海源</x:t>
        </x:is>
      </x:c>
      <x:c r="D3407" s="5" t="inlineStr">
        <x:is>
          <x:t xml:space="preserve">江西海源复合材料科技股份有限公司</x:t>
        </x:is>
      </x:c>
      <x:c r="E3407" s="4" t="inlineStr">
        <x:is>
          <x:t xml:space="preserve">江西省</x:t>
        </x:is>
      </x:c>
      <x:c r="F3407" s="4" t="inlineStr">
        <x:is>
          <x:t xml:space="preserve">新余市</x:t>
        </x:is>
      </x:c>
      <x:c r="G3407" s="5" t="inlineStr">
        <x:is>
          <x:t xml:space="preserve">江西省-新余市</x:t>
        </x:is>
      </x:c>
      <x:c r="H3407" s="4" t="inlineStr">
        <x:is>
          <x:t xml:space="preserve">专用设备</x:t>
        </x:is>
      </x:c>
      <x:c r="I3407" s="4" t="inlineStr">
        <x:is>
          <x:t xml:space="preserve">2010-12-24</x:t>
        </x:is>
      </x:c>
      <x:c r="J3407" s="5" t="inlineStr">
        <x:is>
          <x:t xml:space="preserve">江西省新余市高新开发区新城大道行政服务中心3楼388室</x:t>
        </x:is>
      </x:c>
      <x:c r="K3407" s="12" t="str">
        <x:f>LEFT("91350000751365473X",18)</x:f>
        <x:v>91350000751365473X</x:v>
      </x:c>
    </x:row>
    <x:row r="3408">
      <x:c r="A3408" s="2" t="n">
        <x:v>3407</x:v>
      </x:c>
      <x:c r="B3408" s="2" t="inlineStr">
        <x:is>
          <x:t xml:space="preserve">002591</x:t>
        </x:is>
      </x:c>
      <x:c r="C3408" s="3" t="inlineStr">
        <x:is>
          <x:t xml:space="preserve">恒大高新</x:t>
        </x:is>
      </x:c>
      <x:c r="D3408" s="3" t="inlineStr">
        <x:is>
          <x:t xml:space="preserve">江西恒大高新技术股份有限公司</x:t>
        </x:is>
      </x:c>
      <x:c r="E3408" s="2" t="inlineStr">
        <x:is>
          <x:t xml:space="preserve">江西省</x:t>
        </x:is>
      </x:c>
      <x:c r="F3408" s="2" t="inlineStr">
        <x:is>
          <x:t xml:space="preserve">南昌市</x:t>
        </x:is>
      </x:c>
      <x:c r="G3408" s="3" t="inlineStr">
        <x:is>
          <x:t xml:space="preserve">江西省-南昌市</x:t>
        </x:is>
      </x:c>
      <x:c r="H3408" s="2" t="inlineStr">
        <x:is>
          <x:t xml:space="preserve">互联网服务</x:t>
        </x:is>
      </x:c>
      <x:c r="I3408" s="2" t="inlineStr">
        <x:is>
          <x:t xml:space="preserve">2011-06-21</x:t>
        </x:is>
      </x:c>
      <x:c r="J3408" s="3" t="inlineStr">
        <x:is>
          <x:t xml:space="preserve">江西省南昌市高新开发区金庐北路88号</x:t>
        </x:is>
      </x:c>
      <x:c r="K3408" s="12" t="str">
        <x:f>LEFT("91360106613024646A",18)</x:f>
        <x:v>91360106613024646A</x:v>
      </x:c>
    </x:row>
    <x:row r="3409">
      <x:c r="A3409" s="4" t="n">
        <x:v>3408</x:v>
      </x:c>
      <x:c r="B3409" s="4" t="inlineStr">
        <x:is>
          <x:t xml:space="preserve">002670</x:t>
        </x:is>
      </x:c>
      <x:c r="C3409" s="5" t="inlineStr">
        <x:is>
          <x:t xml:space="preserve">国盛金控</x:t>
        </x:is>
      </x:c>
      <x:c r="D3409" s="5" t="inlineStr">
        <x:is>
          <x:t xml:space="preserve">国盛证券股份有限公司</x:t>
        </x:is>
      </x:c>
      <x:c r="E3409" s="4" t="inlineStr">
        <x:is>
          <x:t xml:space="preserve">江西省</x:t>
        </x:is>
      </x:c>
      <x:c r="F3409" s="4" t="inlineStr">
        <x:is>
          <x:t xml:space="preserve">南昌市</x:t>
        </x:is>
      </x:c>
      <x:c r="G3409" s="5" t="inlineStr">
        <x:is>
          <x:t xml:space="preserve">江西省-南昌市</x:t>
        </x:is>
      </x:c>
      <x:c r="H3409" s="4" t="inlineStr">
        <x:is>
          <x:t xml:space="preserve">券商信托</x:t>
        </x:is>
      </x:c>
      <x:c r="I3409" s="4" t="inlineStr">
        <x:is>
          <x:t xml:space="preserve">2012-04-16</x:t>
        </x:is>
      </x:c>
      <x:c r="J3409" s="5" t="inlineStr">
        <x:is>
          <x:t xml:space="preserve">江西省南昌市西湖区云锦路1888号华侨城五期云域9栋1楼108室</x:t>
        </x:is>
      </x:c>
      <x:c r="K3409" s="12" t="str">
        <x:f>LEFT("91440606617655613W",18)</x:f>
        <x:v>91440606617655613W</x:v>
      </x:c>
    </x:row>
    <x:row r="3410">
      <x:c r="A3410" s="2" t="n">
        <x:v>3409</x:v>
      </x:c>
      <x:c r="B3410" s="2" t="inlineStr">
        <x:is>
          <x:t xml:space="preserve">002695</x:t>
        </x:is>
      </x:c>
      <x:c r="C3410" s="3" t="inlineStr">
        <x:is>
          <x:t xml:space="preserve">煌上煌</x:t>
        </x:is>
      </x:c>
      <x:c r="D3410" s="3" t="inlineStr">
        <x:is>
          <x:t xml:space="preserve">江西煌上煌集团食品股份有限公司</x:t>
        </x:is>
      </x:c>
      <x:c r="E3410" s="2" t="inlineStr">
        <x:is>
          <x:t xml:space="preserve">江西省</x:t>
        </x:is>
      </x:c>
      <x:c r="F3410" s="2" t="inlineStr">
        <x:is>
          <x:t xml:space="preserve">南昌市</x:t>
        </x:is>
      </x:c>
      <x:c r="G3410" s="3" t="inlineStr">
        <x:is>
          <x:t xml:space="preserve">江西省-南昌市</x:t>
        </x:is>
      </x:c>
      <x:c r="H3410" s="2" t="inlineStr">
        <x:is>
          <x:t xml:space="preserve">食品饮料</x:t>
        </x:is>
      </x:c>
      <x:c r="I3410" s="2" t="inlineStr">
        <x:is>
          <x:t xml:space="preserve">2012-09-05</x:t>
        </x:is>
      </x:c>
      <x:c r="J3410" s="3" t="inlineStr">
        <x:is>
          <x:t xml:space="preserve">江西省南昌县小蓝经济开发区洪州大道66号</x:t>
        </x:is>
      </x:c>
      <x:c r="K3410" s="12" t="str">
        <x:f>LEFT("91360100158401226E",18)</x:f>
        <x:v>91360100158401226E</x:v>
      </x:c>
    </x:row>
    <x:row r="3411">
      <x:c r="A3411" s="4" t="n">
        <x:v>3410</x:v>
      </x:c>
      <x:c r="B3411" s="4" t="inlineStr">
        <x:is>
          <x:t xml:space="preserve">002748</x:t>
        </x:is>
      </x:c>
      <x:c r="C3411" s="5" t="inlineStr">
        <x:is>
          <x:t xml:space="preserve">世龙实业</x:t>
        </x:is>
      </x:c>
      <x:c r="D3411" s="5" t="inlineStr">
        <x:is>
          <x:t xml:space="preserve">江西世龙实业股份有限公司</x:t>
        </x:is>
      </x:c>
      <x:c r="E3411" s="4" t="inlineStr">
        <x:is>
          <x:t xml:space="preserve">江西省</x:t>
        </x:is>
      </x:c>
      <x:c r="F3411" s="4" t="inlineStr">
        <x:is>
          <x:t xml:space="preserve">景德镇市</x:t>
        </x:is>
      </x:c>
      <x:c r="G3411" s="5" t="inlineStr">
        <x:is>
          <x:t xml:space="preserve">江西省-景德镇市</x:t>
        </x:is>
      </x:c>
      <x:c r="H3411" s="4" t="inlineStr">
        <x:is>
          <x:t xml:space="preserve">化学原料</x:t>
        </x:is>
      </x:c>
      <x:c r="I3411" s="4" t="inlineStr">
        <x:is>
          <x:t xml:space="preserve">2015-03-19</x:t>
        </x:is>
      </x:c>
      <x:c r="J3411" s="5" t="inlineStr">
        <x:is>
          <x:t xml:space="preserve">江西省景德镇市乐平市工业园区</x:t>
        </x:is>
      </x:c>
      <x:c r="K3411" s="12" t="str">
        <x:f>LEFT("913602007567501195",18)</x:f>
        <x:v>913602007567501200</x:v>
      </x:c>
    </x:row>
    <x:row r="3412">
      <x:c r="A3412" s="2" t="n">
        <x:v>3411</x:v>
      </x:c>
      <x:c r="B3412" s="2" t="inlineStr">
        <x:is>
          <x:t xml:space="preserve">002760</x:t>
        </x:is>
      </x:c>
      <x:c r="C3412" s="3" t="inlineStr">
        <x:is>
          <x:t xml:space="preserve">凤形股份</x:t>
        </x:is>
      </x:c>
      <x:c r="D3412" s="3" t="inlineStr">
        <x:is>
          <x:t xml:space="preserve">凤形股份有限公司</x:t>
        </x:is>
      </x:c>
      <x:c r="E3412" s="2" t="inlineStr">
        <x:is>
          <x:t xml:space="preserve">江西省</x:t>
        </x:is>
      </x:c>
      <x:c r="F3412" s="2" t="inlineStr">
        <x:is>
          <x:t xml:space="preserve">南昌市</x:t>
        </x:is>
      </x:c>
      <x:c r="G3412" s="3" t="inlineStr">
        <x:is>
          <x:t xml:space="preserve">江西省-南昌市</x:t>
        </x:is>
      </x:c>
      <x:c r="H3412" s="2" t="inlineStr">
        <x:is>
          <x:t xml:space="preserve">通用设备</x:t>
        </x:is>
      </x:c>
      <x:c r="I3412" s="2" t="inlineStr">
        <x:is>
          <x:t xml:space="preserve">2015-06-11</x:t>
        </x:is>
      </x:c>
      <x:c r="J3412" s="3" t="inlineStr">
        <x:is>
          <x:t xml:space="preserve">江西省南昌市南昌县小蓝经济技术开发区金沙三路1888号</x:t>
        </x:is>
      </x:c>
      <x:c r="K3412" s="12" t="str">
        <x:f>LEFT("91341800153422220U",18)</x:f>
        <x:v>91341800153422220U</x:v>
      </x:c>
    </x:row>
    <x:row r="3413">
      <x:c r="A3413" s="4" t="n">
        <x:v>3412</x:v>
      </x:c>
      <x:c r="B3413" s="4" t="inlineStr">
        <x:is>
          <x:t xml:space="preserve">002991</x:t>
        </x:is>
      </x:c>
      <x:c r="C3413" s="5" t="inlineStr">
        <x:is>
          <x:t xml:space="preserve">甘源食品</x:t>
        </x:is>
      </x:c>
      <x:c r="D3413" s="5" t="inlineStr">
        <x:is>
          <x:t xml:space="preserve">甘源食品股份有限公司</x:t>
        </x:is>
      </x:c>
      <x:c r="E3413" s="4" t="inlineStr">
        <x:is>
          <x:t xml:space="preserve">江西省</x:t>
        </x:is>
      </x:c>
      <x:c r="F3413" s="4" t="inlineStr">
        <x:is>
          <x:t xml:space="preserve">萍乡市</x:t>
        </x:is>
      </x:c>
      <x:c r="G3413" s="5" t="inlineStr">
        <x:is>
          <x:t xml:space="preserve">江西省-萍乡市</x:t>
        </x:is>
      </x:c>
      <x:c r="H3413" s="4" t="inlineStr">
        <x:is>
          <x:t xml:space="preserve">食品饮料</x:t>
        </x:is>
      </x:c>
      <x:c r="I3413" s="4" t="inlineStr">
        <x:is>
          <x:t xml:space="preserve">2020-07-31</x:t>
        </x:is>
      </x:c>
      <x:c r="J3413" s="5" t="inlineStr">
        <x:is>
          <x:t xml:space="preserve">江西省萍乡市萍乡经济技术开发区清泉生物医药食品工业园</x:t>
        </x:is>
      </x:c>
      <x:c r="K3413" s="12" t="str">
        <x:f>LEFT("91360300784121328X",18)</x:f>
        <x:v>91360300784121328X</x:v>
      </x:c>
    </x:row>
    <x:row r="3414">
      <x:c r="A3414" s="2" t="n">
        <x:v>3413</x:v>
      </x:c>
      <x:c r="B3414" s="2" t="inlineStr">
        <x:is>
          <x:t xml:space="preserve">300066</x:t>
        </x:is>
      </x:c>
      <x:c r="C3414" s="3" t="inlineStr">
        <x:is>
          <x:t xml:space="preserve">三川智慧</x:t>
        </x:is>
      </x:c>
      <x:c r="D3414" s="3" t="inlineStr">
        <x:is>
          <x:t xml:space="preserve">三川智慧科技股份有限公司</x:t>
        </x:is>
      </x:c>
      <x:c r="E3414" s="2" t="inlineStr">
        <x:is>
          <x:t xml:space="preserve">江西省</x:t>
        </x:is>
      </x:c>
      <x:c r="F3414" s="2" t="inlineStr">
        <x:is>
          <x:t xml:space="preserve">鹰潭市</x:t>
        </x:is>
      </x:c>
      <x:c r="G3414" s="3" t="inlineStr">
        <x:is>
          <x:t xml:space="preserve">江西省-鹰潭市</x:t>
        </x:is>
      </x:c>
      <x:c r="H3414" s="2" t="inlineStr">
        <x:is>
          <x:t xml:space="preserve">仪器仪表</x:t>
        </x:is>
      </x:c>
      <x:c r="I3414" s="2" t="inlineStr">
        <x:is>
          <x:t xml:space="preserve">2010-03-26</x:t>
        </x:is>
      </x:c>
      <x:c r="J3414" s="3" t="inlineStr">
        <x:is>
          <x:t xml:space="preserve">江西省鹰潭高新区龙岗片区三川水工产业园</x:t>
        </x:is>
      </x:c>
      <x:c r="K3414" s="12" t="str">
        <x:f>LEFT("91360600759986995D",18)</x:f>
        <x:v>91360600759986995D</x:v>
      </x:c>
    </x:row>
    <x:row r="3415">
      <x:c r="A3415" s="4" t="n">
        <x:v>3414</x:v>
      </x:c>
      <x:c r="B3415" s="4" t="inlineStr">
        <x:is>
          <x:t xml:space="preserve">300095</x:t>
        </x:is>
      </x:c>
      <x:c r="C3415" s="5" t="inlineStr">
        <x:is>
          <x:t xml:space="preserve">华伍股份</x:t>
        </x:is>
      </x:c>
      <x:c r="D3415" s="5" t="inlineStr">
        <x:is>
          <x:t xml:space="preserve">江西华伍制动器股份有限公司</x:t>
        </x:is>
      </x:c>
      <x:c r="E3415" s="4" t="inlineStr">
        <x:is>
          <x:t xml:space="preserve">江西省</x:t>
        </x:is>
      </x:c>
      <x:c r="F3415" s="4" t="inlineStr">
        <x:is>
          <x:t xml:space="preserve">西省丰城市</x:t>
        </x:is>
      </x:c>
      <x:c r="G3415" s="5" t="inlineStr">
        <x:is>
          <x:t xml:space="preserve">江西省-西省丰城市</x:t>
        </x:is>
      </x:c>
      <x:c r="H3415" s="4" t="inlineStr">
        <x:is>
          <x:t xml:space="preserve">机械行业</x:t>
        </x:is>
      </x:c>
      <x:c r="I3415" s="4" t="inlineStr">
        <x:is>
          <x:t xml:space="preserve">2010-07-28</x:t>
        </x:is>
      </x:c>
      <x:c r="J3415" s="5" t="inlineStr">
        <x:is>
          <x:t xml:space="preserve">江西省丰城市高新技术产业园区火炬大道26号</x:t>
        </x:is>
      </x:c>
      <x:c r="K3415" s="12" t="str">
        <x:f>LEFT("91360981723917058Y",18)</x:f>
        <x:v>91360981723917058Y</x:v>
      </x:c>
    </x:row>
    <x:row r="3416">
      <x:c r="A3416" s="2" t="n">
        <x:v>3415</x:v>
      </x:c>
      <x:c r="B3416" s="2" t="inlineStr">
        <x:is>
          <x:t xml:space="preserve">300256</x:t>
        </x:is>
      </x:c>
      <x:c r="C3416" s="3" t="inlineStr">
        <x:is>
          <x:t xml:space="preserve">星星科技</x:t>
        </x:is>
      </x:c>
      <x:c r="D3416" s="3" t="inlineStr">
        <x:is>
          <x:t xml:space="preserve">江西星星科技股份有限公司</x:t>
        </x:is>
      </x:c>
      <x:c r="E3416" s="2" t="inlineStr">
        <x:is>
          <x:t xml:space="preserve">江西省</x:t>
        </x:is>
      </x:c>
      <x:c r="F3416" s="2" t="inlineStr">
        <x:is>
          <x:t xml:space="preserve">萍乡市</x:t>
        </x:is>
      </x:c>
      <x:c r="G3416" s="3" t="inlineStr">
        <x:is>
          <x:t xml:space="preserve">江西省-萍乡市</x:t>
        </x:is>
      </x:c>
      <x:c r="H3416" s="2" t="inlineStr">
        <x:is>
          <x:t xml:space="preserve">消费电子</x:t>
        </x:is>
      </x:c>
      <x:c r="I3416" s="2" t="inlineStr">
        <x:is>
          <x:t xml:space="preserve">2011-08-19</x:t>
        </x:is>
      </x:c>
      <x:c r="J3416" s="3" t="inlineStr">
        <x:is>
          <x:t xml:space="preserve">江西省萍乡市萍乡经济技术开发区彭高镇周江村上棚81号</x:t>
        </x:is>
      </x:c>
      <x:c r="K3416" s="12" t="str">
        <x:f>LEFT("91330000754906634T",18)</x:f>
        <x:v>91330000754906634T</x:v>
      </x:c>
    </x:row>
    <x:row r="3417">
      <x:c r="A3417" s="4" t="n">
        <x:v>3416</x:v>
      </x:c>
      <x:c r="B3417" s="4" t="inlineStr">
        <x:is>
          <x:t xml:space="preserve">300294</x:t>
        </x:is>
      </x:c>
      <x:c r="C3417" s="5" t="inlineStr">
        <x:is>
          <x:t xml:space="preserve">博雅生物</x:t>
        </x:is>
      </x:c>
      <x:c r="D3417" s="5" t="inlineStr">
        <x:is>
          <x:t xml:space="preserve">华润博雅生物制药集团股份有限公司</x:t>
        </x:is>
      </x:c>
      <x:c r="E3417" s="4" t="inlineStr">
        <x:is>
          <x:t xml:space="preserve">江西省</x:t>
        </x:is>
      </x:c>
      <x:c r="F3417" s="4" t="inlineStr">
        <x:is>
          <x:t xml:space="preserve">抚州市</x:t>
        </x:is>
      </x:c>
      <x:c r="G3417" s="5" t="inlineStr">
        <x:is>
          <x:t xml:space="preserve">江西省-抚州市</x:t>
        </x:is>
      </x:c>
      <x:c r="H3417" s="4" t="inlineStr">
        <x:is>
          <x:t xml:space="preserve">生物制品</x:t>
        </x:is>
      </x:c>
      <x:c r="I3417" s="4" t="inlineStr">
        <x:is>
          <x:t xml:space="preserve">2012-03-08</x:t>
        </x:is>
      </x:c>
      <x:c r="J3417" s="5" t="inlineStr">
        <x:is>
          <x:t xml:space="preserve">江西省抚州市高新技术产业园区惠泉路333号</x:t>
        </x:is>
      </x:c>
      <x:c r="K3417" s="12" t="str">
        <x:f>LEFT("913610007277556904",18)</x:f>
        <x:v>913610007277556900</x:v>
      </x:c>
    </x:row>
    <x:row r="3418">
      <x:c r="A3418" s="2" t="n">
        <x:v>3417</x:v>
      </x:c>
      <x:c r="B3418" s="2" t="inlineStr">
        <x:is>
          <x:t xml:space="preserve">300399</x:t>
        </x:is>
      </x:c>
      <x:c r="C3418" s="3" t="inlineStr">
        <x:is>
          <x:t xml:space="preserve">天利科技</x:t>
        </x:is>
      </x:c>
      <x:c r="D3418" s="3" t="inlineStr">
        <x:is>
          <x:t xml:space="preserve">江西天利科技股份有限公司</x:t>
        </x:is>
      </x:c>
      <x:c r="E3418" s="2" t="inlineStr">
        <x:is>
          <x:t xml:space="preserve">江西省</x:t>
        </x:is>
      </x:c>
      <x:c r="F3418" s="2" t="inlineStr">
        <x:is>
          <x:t xml:space="preserve">上饶市</x:t>
        </x:is>
      </x:c>
      <x:c r="G3418" s="3" t="inlineStr">
        <x:is>
          <x:t xml:space="preserve">江西省-上饶市</x:t>
        </x:is>
      </x:c>
      <x:c r="H3418" s="2" t="inlineStr">
        <x:is>
          <x:t xml:space="preserve">电子信息</x:t>
        </x:is>
      </x:c>
      <x:c r="I3418" s="2" t="inlineStr">
        <x:is>
          <x:t xml:space="preserve">2014-10-09</x:t>
        </x:is>
      </x:c>
      <x:c r="J3418" s="3" t="inlineStr">
        <x:is>
          <x:t xml:space="preserve">江西省上饶市高铁经济试验区茶圣东路文创中心2号楼139室</x:t>
        </x:is>
      </x:c>
      <x:c r="K3418" s="12" t="str">
        <x:f>LEFT("91110000785541009C",18)</x:f>
        <x:v>91110000785541009C</x:v>
      </x:c>
    </x:row>
    <x:row r="3419">
      <x:c r="A3419" s="4" t="n">
        <x:v>3418</x:v>
      </x:c>
      <x:c r="B3419" s="4" t="inlineStr">
        <x:is>
          <x:t xml:space="preserve">300453</x:t>
        </x:is>
      </x:c>
      <x:c r="C3419" s="5" t="inlineStr">
        <x:is>
          <x:t xml:space="preserve">三鑫医疗</x:t>
        </x:is>
      </x:c>
      <x:c r="D3419" s="5" t="inlineStr">
        <x:is>
          <x:t xml:space="preserve">江西三鑫医疗科技股份有限公司</x:t>
        </x:is>
      </x:c>
      <x:c r="E3419" s="4" t="inlineStr">
        <x:is>
          <x:t xml:space="preserve">江西省</x:t>
        </x:is>
      </x:c>
      <x:c r="F3419" s="4" t="inlineStr">
        <x:is>
          <x:t xml:space="preserve">南昌市</x:t>
        </x:is>
      </x:c>
      <x:c r="G3419" s="5" t="inlineStr">
        <x:is>
          <x:t xml:space="preserve">江西省-南昌市</x:t>
        </x:is>
      </x:c>
      <x:c r="H3419" s="4" t="inlineStr">
        <x:is>
          <x:t xml:space="preserve">医疗器械</x:t>
        </x:is>
      </x:c>
      <x:c r="I3419" s="4" t="inlineStr">
        <x:is>
          <x:t xml:space="preserve">2015-05-15</x:t>
        </x:is>
      </x:c>
      <x:c r="J3419" s="5" t="inlineStr">
        <x:is>
          <x:t xml:space="preserve">江西省南昌县小蓝经济开发区富山大道999号</x:t>
        </x:is>
      </x:c>
      <x:c r="K3419" s="12" t="str">
        <x:f>LEFT("91360100613026983X",18)</x:f>
        <x:v>91360100613026983X</x:v>
      </x:c>
    </x:row>
    <x:row r="3420">
      <x:c r="A3420" s="2" t="n">
        <x:v>3419</x:v>
      </x:c>
      <x:c r="B3420" s="2" t="inlineStr">
        <x:is>
          <x:t xml:space="preserve">300472</x:t>
        </x:is>
      </x:c>
      <x:c r="C3420" s="3" t="inlineStr">
        <x:is>
          <x:t xml:space="preserve">新元科技</x:t>
        </x:is>
      </x:c>
      <x:c r="D3420" s="3" t="inlineStr">
        <x:is>
          <x:t xml:space="preserve">万向新元科技股份有限公司</x:t>
        </x:is>
      </x:c>
      <x:c r="E3420" s="2" t="inlineStr">
        <x:is>
          <x:t xml:space="preserve">江西省</x:t>
        </x:is>
      </x:c>
      <x:c r="F3420" s="2" t="inlineStr">
        <x:is>
          <x:t xml:space="preserve">抚州市</x:t>
        </x:is>
      </x:c>
      <x:c r="G3420" s="3" t="inlineStr">
        <x:is>
          <x:t xml:space="preserve">江西省-抚州市</x:t>
        </x:is>
      </x:c>
      <x:c r="H3420" s="2" t="inlineStr">
        <x:is>
          <x:t xml:space="preserve">专用设备</x:t>
        </x:is>
      </x:c>
      <x:c r="I3420" s="2" t="inlineStr">
        <x:is>
          <x:t xml:space="preserve">2015-06-11</x:t>
        </x:is>
      </x:c>
      <x:c r="J3420" s="3" t="inlineStr">
        <x:is>
          <x:t xml:space="preserve">江西省抚州市临川区才都工业园区科技园路666号临川高新科技产业园办公楼</x:t>
        </x:is>
      </x:c>
      <x:c r="K3420" s="12" t="str">
        <x:f>LEFT("911100007546611048",18)</x:f>
        <x:v>911100007546611100</x:v>
      </x:c>
    </x:row>
    <x:row r="3421">
      <x:c r="A3421" s="4" t="n">
        <x:v>3420</x:v>
      </x:c>
      <x:c r="B3421" s="4" t="inlineStr">
        <x:is>
          <x:t xml:space="preserve">300497</x:t>
        </x:is>
      </x:c>
      <x:c r="C3421" s="5" t="inlineStr">
        <x:is>
          <x:t xml:space="preserve">富祥药业</x:t>
        </x:is>
      </x:c>
      <x:c r="D3421" s="5" t="inlineStr">
        <x:is>
          <x:t xml:space="preserve">江西富祥药业股份有限公司</x:t>
        </x:is>
      </x:c>
      <x:c r="E3421" s="4" t="inlineStr">
        <x:is>
          <x:t xml:space="preserve">江西省</x:t>
        </x:is>
      </x:c>
      <x:c r="F3421" s="4" t="inlineStr">
        <x:is>
          <x:t xml:space="preserve">景德镇市</x:t>
        </x:is>
      </x:c>
      <x:c r="G3421" s="5" t="inlineStr">
        <x:is>
          <x:t xml:space="preserve">江西省-景德镇市</x:t>
        </x:is>
      </x:c>
      <x:c r="H3421" s="4" t="inlineStr">
        <x:is>
          <x:t xml:space="preserve">医药制造</x:t>
        </x:is>
      </x:c>
      <x:c r="I3421" s="4" t="inlineStr">
        <x:is>
          <x:t xml:space="preserve">2015-12-22</x:t>
        </x:is>
      </x:c>
      <x:c r="J3421" s="5" t="inlineStr">
        <x:is>
          <x:t xml:space="preserve">景德镇市昌江区鱼丽工业区2号(鱼山与丽阳交界处)</x:t>
        </x:is>
      </x:c>
      <x:c r="K3421" s="12" t="str">
        <x:f>LEFT("913602007363605788",18)</x:f>
        <x:v>913602007363605800</x:v>
      </x:c>
    </x:row>
    <x:row r="3422">
      <x:c r="A3422" s="2" t="n">
        <x:v>3421</x:v>
      </x:c>
      <x:c r="B3422" s="2" t="inlineStr">
        <x:is>
          <x:t xml:space="preserve">300636</x:t>
        </x:is>
      </x:c>
      <x:c r="C3422" s="3" t="inlineStr">
        <x:is>
          <x:t xml:space="preserve">同和药业</x:t>
        </x:is>
      </x:c>
      <x:c r="D3422" s="3" t="inlineStr">
        <x:is>
          <x:t xml:space="preserve">江西同和药业股份有限公司</x:t>
        </x:is>
      </x:c>
      <x:c r="E3422" s="2" t="inlineStr">
        <x:is>
          <x:t xml:space="preserve">江西省</x:t>
        </x:is>
      </x:c>
      <x:c r="F3422" s="2" t="inlineStr">
        <x:is>
          <x:t xml:space="preserve">宜春市</x:t>
        </x:is>
      </x:c>
      <x:c r="G3422" s="3" t="inlineStr">
        <x:is>
          <x:t xml:space="preserve">江西省-宜春市</x:t>
        </x:is>
      </x:c>
      <x:c r="H3422" s="2" t="inlineStr">
        <x:is>
          <x:t xml:space="preserve">医药制造</x:t>
        </x:is>
      </x:c>
      <x:c r="I3422" s="2" t="inlineStr">
        <x:is>
          <x:t xml:space="preserve">2017-03-31</x:t>
        </x:is>
      </x:c>
      <x:c r="J3422" s="3" t="inlineStr">
        <x:is>
          <x:t xml:space="preserve">江西省宜春市奉新县奉新高新技术产业园区</x:t>
        </x:is>
      </x:c>
      <x:c r="K3422" s="12" t="str">
        <x:f>LEFT("913609007599770366",18)</x:f>
        <x:v>913609007599770400</x:v>
      </x:c>
    </x:row>
    <x:row r="3423">
      <x:c r="A3423" s="4" t="n">
        <x:v>3422</x:v>
      </x:c>
      <x:c r="B3423" s="4" t="inlineStr">
        <x:is>
          <x:t xml:space="preserve">300722</x:t>
        </x:is>
      </x:c>
      <x:c r="C3423" s="5" t="inlineStr">
        <x:is>
          <x:t xml:space="preserve">新余国科</x:t>
        </x:is>
      </x:c>
      <x:c r="D3423" s="5" t="inlineStr">
        <x:is>
          <x:t xml:space="preserve">江西新余国科科技股份有限公司</x:t>
        </x:is>
      </x:c>
      <x:c r="E3423" s="4" t="inlineStr">
        <x:is>
          <x:t xml:space="preserve">江西省</x:t>
        </x:is>
      </x:c>
      <x:c r="F3423" s="4" t="inlineStr">
        <x:is>
          <x:t xml:space="preserve">新余市</x:t>
        </x:is>
      </x:c>
      <x:c r="G3423" s="5" t="inlineStr">
        <x:is>
          <x:t xml:space="preserve">江西省-新余市</x:t>
        </x:is>
      </x:c>
      <x:c r="H3423" s="4" t="inlineStr">
        <x:is>
          <x:t xml:space="preserve">航天航空</x:t>
        </x:is>
      </x:c>
      <x:c r="I3423" s="4" t="inlineStr">
        <x:is>
          <x:t xml:space="preserve">2017-11-10</x:t>
        </x:is>
      </x:c>
      <x:c r="J3423" s="5" t="inlineStr">
        <x:is>
          <x:t xml:space="preserve">江西省新余市仙女湖区观巢镇松山江村</x:t>
        </x:is>
      </x:c>
      <x:c r="K3423" s="12" t="str">
        <x:f>LEFT("91360500674954556L",18)</x:f>
        <x:v>91360500674954556L</x:v>
      </x:c>
    </x:row>
    <x:row r="3424">
      <x:c r="A3424" s="2" t="n">
        <x:v>3423</x:v>
      </x:c>
      <x:c r="B3424" s="2" t="inlineStr">
        <x:is>
          <x:t xml:space="preserve">300748</x:t>
        </x:is>
      </x:c>
      <x:c r="C3424" s="3" t="inlineStr">
        <x:is>
          <x:t xml:space="preserve">金力永磁</x:t>
        </x:is>
      </x:c>
      <x:c r="D3424" s="3" t="inlineStr">
        <x:is>
          <x:t xml:space="preserve">江西金力永磁科技股份有限公司</x:t>
        </x:is>
      </x:c>
      <x:c r="E3424" s="2" t="inlineStr">
        <x:is>
          <x:t xml:space="preserve">江西省</x:t>
        </x:is>
      </x:c>
      <x:c r="F3424" s="2" t="inlineStr">
        <x:is>
          <x:t xml:space="preserve">赣州市</x:t>
        </x:is>
      </x:c>
      <x:c r="G3424" s="3" t="inlineStr">
        <x:is>
          <x:t xml:space="preserve">江西省-赣州市</x:t>
        </x:is>
      </x:c>
      <x:c r="H3424" s="2" t="inlineStr">
        <x:is>
          <x:t xml:space="preserve">小金属</x:t>
        </x:is>
      </x:c>
      <x:c r="I3424" s="2" t="inlineStr">
        <x:is>
          <x:t xml:space="preserve">2018-09-21</x:t>
        </x:is>
      </x:c>
      <x:c r="J3424" s="3" t="inlineStr">
        <x:is>
          <x:t xml:space="preserve">江西省赣州市经济技术开发区工业园</x:t>
        </x:is>
      </x:c>
      <x:c r="K3424" s="12" t="str">
        <x:f>LEFT("913607006779749909",18)</x:f>
        <x:v>913607006779749900</x:v>
      </x:c>
    </x:row>
    <x:row r="3425">
      <x:c r="A3425" s="4" t="n">
        <x:v>3424</x:v>
      </x:c>
      <x:c r="B3425" s="4" t="inlineStr">
        <x:is>
          <x:t xml:space="preserve">300787</x:t>
        </x:is>
      </x:c>
      <x:c r="C3425" s="5" t="inlineStr">
        <x:is>
          <x:t xml:space="preserve">海能实业</x:t>
        </x:is>
      </x:c>
      <x:c r="D3425" s="5" t="inlineStr">
        <x:is>
          <x:t xml:space="preserve">安福县海能实业股份有限公司</x:t>
        </x:is>
      </x:c>
      <x:c r="E3425" s="4" t="inlineStr">
        <x:is>
          <x:t xml:space="preserve">江西省</x:t>
        </x:is>
      </x:c>
      <x:c r="F3425" s="4" t="inlineStr">
        <x:is>
          <x:t xml:space="preserve">吉安市</x:t>
        </x:is>
      </x:c>
      <x:c r="G3425" s="5" t="inlineStr">
        <x:is>
          <x:t xml:space="preserve">江西省-吉安市</x:t>
        </x:is>
      </x:c>
      <x:c r="H3425" s="4" t="inlineStr">
        <x:is>
          <x:t xml:space="preserve">消费电子</x:t>
        </x:is>
      </x:c>
      <x:c r="I3425" s="4" t="inlineStr">
        <x:is>
          <x:t xml:space="preserve">2019-08-15</x:t>
        </x:is>
      </x:c>
      <x:c r="J3425" s="5" t="inlineStr">
        <x:is>
          <x:t xml:space="preserve">江西省吉安市安福县工业园</x:t>
        </x:is>
      </x:c>
      <x:c r="K3425" s="12" t="str">
        <x:f>LEFT("91360829690971719T",18)</x:f>
        <x:v>91360829690971719T</x:v>
      </x:c>
    </x:row>
    <x:row r="3426">
      <x:c r="A3426" s="2" t="n">
        <x:v>3425</x:v>
      </x:c>
      <x:c r="B3426" s="2" t="inlineStr">
        <x:is>
          <x:t xml:space="preserve">300818</x:t>
        </x:is>
      </x:c>
      <x:c r="C3426" s="3" t="inlineStr">
        <x:is>
          <x:t xml:space="preserve">耐普矿机</x:t>
        </x:is>
      </x:c>
      <x:c r="D3426" s="3" t="inlineStr">
        <x:is>
          <x:t xml:space="preserve">江西耐普矿机股份有限公司</x:t>
        </x:is>
      </x:c>
      <x:c r="E3426" s="2" t="inlineStr">
        <x:is>
          <x:t xml:space="preserve">江西省</x:t>
        </x:is>
      </x:c>
      <x:c r="F3426" s="2" t="inlineStr">
        <x:is>
          <x:t xml:space="preserve">上饶市</x:t>
        </x:is>
      </x:c>
      <x:c r="G3426" s="3" t="inlineStr">
        <x:is>
          <x:t xml:space="preserve">江西省-上饶市</x:t>
        </x:is>
      </x:c>
      <x:c r="H3426" s="2" t="inlineStr">
        <x:is>
          <x:t xml:space="preserve">专用设备</x:t>
        </x:is>
      </x:c>
      <x:c r="I3426" s="2" t="inlineStr">
        <x:is>
          <x:t xml:space="preserve">2020-02-12</x:t>
        </x:is>
      </x:c>
      <x:c r="J3426" s="3" t="inlineStr">
        <x:is>
          <x:t xml:space="preserve">江西省上饶市上饶经济技术开发区经开大道318号</x:t>
        </x:is>
      </x:c>
      <x:c r="K3426" s="12" t="str">
        <x:f>LEFT("913611007814526310",18)</x:f>
        <x:v>913611007814526300</x:v>
      </x:c>
    </x:row>
    <x:row r="3427">
      <x:c r="A3427" s="4" t="n">
        <x:v>3426</x:v>
      </x:c>
      <x:c r="B3427" s="4" t="inlineStr">
        <x:is>
          <x:t xml:space="preserve">300906</x:t>
        </x:is>
      </x:c>
      <x:c r="C3427" s="5" t="inlineStr">
        <x:is>
          <x:t xml:space="preserve">日月明</x:t>
        </x:is>
      </x:c>
      <x:c r="D3427" s="5" t="inlineStr">
        <x:is>
          <x:t xml:space="preserve">江西日月明测控科技股份有限公司</x:t>
        </x:is>
      </x:c>
      <x:c r="E3427" s="4" t="inlineStr">
        <x:is>
          <x:t xml:space="preserve">江西省</x:t>
        </x:is>
      </x:c>
      <x:c r="F3427" s="4" t="inlineStr">
        <x:is>
          <x:t xml:space="preserve">南昌市</x:t>
        </x:is>
      </x:c>
      <x:c r="G3427" s="5" t="inlineStr">
        <x:is>
          <x:t xml:space="preserve">江西省-南昌市</x:t>
        </x:is>
      </x:c>
      <x:c r="H3427" s="4" t="inlineStr">
        <x:is>
          <x:t xml:space="preserve">交运设备</x:t>
        </x:is>
      </x:c>
      <x:c r="I3427" s="4" t="inlineStr">
        <x:is>
          <x:t xml:space="preserve">2020-11-05</x:t>
        </x:is>
      </x:c>
      <x:c r="J3427" s="5" t="inlineStr">
        <x:is>
          <x:t xml:space="preserve">江西省南昌市高新技术产业开发区高新四路999号</x:t>
        </x:is>
      </x:c>
      <x:c r="K3427" s="12" t="str">
        <x:f>LEFT("91360106784146840K",18)</x:f>
        <x:v>91360106784146840K</x:v>
      </x:c>
    </x:row>
    <x:row r="3428">
      <x:c r="A3428" s="2" t="n">
        <x:v>3427</x:v>
      </x:c>
      <x:c r="B3428" s="2" t="inlineStr">
        <x:is>
          <x:t xml:space="preserve">300986</x:t>
        </x:is>
      </x:c>
      <x:c r="C3428" s="3" t="inlineStr">
        <x:is>
          <x:t xml:space="preserve">志特新材</x:t>
        </x:is>
      </x:c>
      <x:c r="D3428" s="3" t="inlineStr">
        <x:is>
          <x:t xml:space="preserve">江西志特新材料股份有限公司</x:t>
        </x:is>
      </x:c>
      <x:c r="E3428" s="2" t="inlineStr">
        <x:is>
          <x:t xml:space="preserve">江西省</x:t>
        </x:is>
      </x:c>
      <x:c r="F3428" s="2" t="inlineStr">
        <x:is>
          <x:t xml:space="preserve">抚州市</x:t>
        </x:is>
      </x:c>
      <x:c r="G3428" s="3" t="inlineStr">
        <x:is>
          <x:t xml:space="preserve">江西省-抚州市</x:t>
        </x:is>
      </x:c>
      <x:c r="H3428" s="2" t="inlineStr">
        <x:is>
          <x:t xml:space="preserve">装修装饰</x:t>
        </x:is>
      </x:c>
      <x:c r="I3428" s="2" t="inlineStr">
        <x:is>
          <x:t xml:space="preserve">2021-04-30</x:t>
        </x:is>
      </x:c>
      <x:c r="J3428" s="3" t="inlineStr">
        <x:is>
          <x:t xml:space="preserve">江西省抚州市广昌县广昌工业园区</x:t>
        </x:is>
      </x:c>
      <x:c r="K3428" s="12" t="str">
        <x:f>LEFT("91361000586570245D",18)</x:f>
        <x:v>91361000586570245D</x:v>
      </x:c>
    </x:row>
    <x:row r="3429">
      <x:c r="A3429" s="4" t="n">
        <x:v>3428</x:v>
      </x:c>
      <x:c r="B3429" s="4" t="inlineStr">
        <x:is>
          <x:t xml:space="preserve">301083</x:t>
        </x:is>
      </x:c>
      <x:c r="C3429" s="5" t="inlineStr">
        <x:is>
          <x:t xml:space="preserve">百胜智能</x:t>
        </x:is>
      </x:c>
      <x:c r="D3429" s="5" t="inlineStr">
        <x:is>
          <x:t xml:space="preserve">江西百胜智能科技股份有限公司</x:t>
        </x:is>
      </x:c>
      <x:c r="E3429" s="4" t="inlineStr">
        <x:is>
          <x:t xml:space="preserve">江西省</x:t>
        </x:is>
      </x:c>
      <x:c r="F3429" s="4" t="inlineStr">
        <x:is>
          <x:t xml:space="preserve">南昌市</x:t>
        </x:is>
      </x:c>
      <x:c r="G3429" s="5" t="inlineStr">
        <x:is>
          <x:t xml:space="preserve">江西省-南昌市</x:t>
        </x:is>
      </x:c>
      <x:c r="H3429" s="4" t="inlineStr">
        <x:is>
          <x:t xml:space="preserve">专用设备</x:t>
        </x:is>
      </x:c>
      <x:c r="I3429" s="4" t="inlineStr">
        <x:is>
          <x:t xml:space="preserve">2021-10-21</x:t>
        </x:is>
      </x:c>
      <x:c r="J3429" s="5" t="inlineStr">
        <x:is>
          <x:t xml:space="preserve">江西省南昌市南昌县小蓝经济技术开发区小蓝中大道1220号</x:t>
        </x:is>
      </x:c>
      <x:c r="K3429" s="12" t="str">
        <x:f>LEFT("913600007055083069",18)</x:f>
        <x:v>913600007055083000</x:v>
      </x:c>
    </x:row>
    <x:row r="3430">
      <x:c r="A3430" s="2" t="n">
        <x:v>3429</x:v>
      </x:c>
      <x:c r="B3430" s="2" t="inlineStr">
        <x:is>
          <x:t xml:space="preserve">301132</x:t>
        </x:is>
      </x:c>
      <x:c r="C3430" s="3" t="inlineStr">
        <x:is>
          <x:t xml:space="preserve">满坤科技</x:t>
        </x:is>
      </x:c>
      <x:c r="D3430" s="3" t="inlineStr">
        <x:is>
          <x:t xml:space="preserve">吉安满坤科技股份有限公司</x:t>
        </x:is>
      </x:c>
      <x:c r="E3430" s="2" t="inlineStr">
        <x:is>
          <x:t xml:space="preserve">江西省</x:t>
        </x:is>
      </x:c>
      <x:c r="F3430" s="2" t="inlineStr">
        <x:is>
          <x:t xml:space="preserve">吉安市</x:t>
        </x:is>
      </x:c>
      <x:c r="G3430" s="3" t="inlineStr">
        <x:is>
          <x:t xml:space="preserve">江西省-吉安市</x:t>
        </x:is>
      </x:c>
      <x:c r="H3430" s="2" t="inlineStr">
        <x:is>
          <x:t xml:space="preserve">电子元件</x:t>
        </x:is>
      </x:c>
      <x:c r="I3430" s="2" t="inlineStr">
        <x:is>
          <x:t xml:space="preserve">2022-08-10</x:t>
        </x:is>
      </x:c>
      <x:c r="J3430" s="3" t="inlineStr">
        <x:is>
          <x:t xml:space="preserve">吉安市井冈山经济技术开发区火炬大道191号</x:t>
        </x:is>
      </x:c>
      <x:c r="K3430" s="12" t="str">
        <x:f>LEFT("91360805672429045F",18)</x:f>
        <x:v>91360805672429045F</x:v>
      </x:c>
    </x:row>
    <x:row r="3431">
      <x:c r="A3431" s="4" t="n">
        <x:v>3430</x:v>
      </x:c>
      <x:c r="B3431" s="4" t="inlineStr">
        <x:is>
          <x:t xml:space="preserve">301176</x:t>
        </x:is>
      </x:c>
      <x:c r="C3431" s="5" t="inlineStr">
        <x:is>
          <x:t xml:space="preserve">逸豪新材</x:t>
        </x:is>
      </x:c>
      <x:c r="D3431" s="5" t="inlineStr">
        <x:is>
          <x:t xml:space="preserve">赣州逸豪新材料股份有限公司</x:t>
        </x:is>
      </x:c>
      <x:c r="E3431" s="4" t="inlineStr">
        <x:is>
          <x:t xml:space="preserve">江西省</x:t>
        </x:is>
      </x:c>
      <x:c r="F3431" s="4" t="inlineStr">
        <x:is>
          <x:t xml:space="preserve">赣州市</x:t>
        </x:is>
      </x:c>
      <x:c r="G3431" s="5" t="inlineStr">
        <x:is>
          <x:t xml:space="preserve">江西省-赣州市</x:t>
        </x:is>
      </x:c>
      <x:c r="H3431" s="4" t="inlineStr">
        <x:is>
          <x:t xml:space="preserve">电子元件</x:t>
        </x:is>
      </x:c>
      <x:c r="I3431" s="4" t="inlineStr">
        <x:is>
          <x:t xml:space="preserve">2022-09-28</x:t>
        </x:is>
      </x:c>
      <x:c r="J3431" s="5" t="inlineStr">
        <x:is>
          <x:t xml:space="preserve">江西省赣州市章贡区冶金路16号</x:t>
        </x:is>
      </x:c>
      <x:c r="K3431" s="12" t="str">
        <x:f>LEFT("91360700754225484B",18)</x:f>
        <x:v>91360700754225484B</x:v>
      </x:c>
    </x:row>
    <x:row r="3432">
      <x:c r="A3432" s="2" t="n">
        <x:v>3431</x:v>
      </x:c>
      <x:c r="B3432" s="2" t="inlineStr">
        <x:is>
          <x:t xml:space="preserve">301190</x:t>
        </x:is>
      </x:c>
      <x:c r="C3432" s="3" t="inlineStr">
        <x:is>
          <x:t xml:space="preserve">善水科技</x:t>
        </x:is>
      </x:c>
      <x:c r="D3432" s="3" t="inlineStr">
        <x:is>
          <x:t xml:space="preserve">九江善水科技股份有限公司</x:t>
        </x:is>
      </x:c>
      <x:c r="E3432" s="2" t="inlineStr">
        <x:is>
          <x:t xml:space="preserve">江西省</x:t>
        </x:is>
      </x:c>
      <x:c r="F3432" s="2" t="inlineStr">
        <x:is>
          <x:t xml:space="preserve">九江市</x:t>
        </x:is>
      </x:c>
      <x:c r="G3432" s="3" t="inlineStr">
        <x:is>
          <x:t xml:space="preserve">江西省-九江市</x:t>
        </x:is>
      </x:c>
      <x:c r="H3432" s="2" t="inlineStr">
        <x:is>
          <x:t xml:space="preserve">化学制品</x:t>
        </x:is>
      </x:c>
      <x:c r="I3432" s="2" t="inlineStr">
        <x:is>
          <x:t xml:space="preserve">2021-12-24</x:t>
        </x:is>
      </x:c>
      <x:c r="J3432" s="3" t="inlineStr">
        <x:is>
          <x:t xml:space="preserve">江西省九江市彭泽县矶山工业园区</x:t>
        </x:is>
      </x:c>
      <x:c r="K3432" s="12" t="str">
        <x:f>LEFT("91360430593788445M",18)</x:f>
        <x:v>91360430593788445M</x:v>
      </x:c>
    </x:row>
    <x:row r="3433">
      <x:c r="A3433" s="4" t="n">
        <x:v>3432</x:v>
      </x:c>
      <x:c r="B3433" s="4" t="inlineStr">
        <x:is>
          <x:t xml:space="preserve">301219</x:t>
        </x:is>
      </x:c>
      <x:c r="C3433" s="5" t="inlineStr">
        <x:is>
          <x:t xml:space="preserve">腾远钴业</x:t>
        </x:is>
      </x:c>
      <x:c r="D3433" s="5" t="inlineStr">
        <x:is>
          <x:t xml:space="preserve">赣州腾远钴业新材料股份有限公司</x:t>
        </x:is>
      </x:c>
      <x:c r="E3433" s="4" t="inlineStr">
        <x:is>
          <x:t xml:space="preserve">江西省</x:t>
        </x:is>
      </x:c>
      <x:c r="F3433" s="4" t="inlineStr">
        <x:is>
          <x:t xml:space="preserve">赣州市</x:t>
        </x:is>
      </x:c>
      <x:c r="G3433" s="5" t="inlineStr">
        <x:is>
          <x:t xml:space="preserve">江西省-赣州市</x:t>
        </x:is>
      </x:c>
      <x:c r="H3433" s="4" t="inlineStr">
        <x:is>
          <x:t xml:space="preserve">能源金属</x:t>
        </x:is>
      </x:c>
      <x:c r="I3433" s="4" t="inlineStr">
        <x:is>
          <x:t xml:space="preserve">2022-03-17</x:t>
        </x:is>
      </x:c>
      <x:c r="J3433" s="5" t="inlineStr">
        <x:is>
          <x:t xml:space="preserve">江西省赣州市赣县区赣州高新技术产业开发区稀金大道9号</x:t>
        </x:is>
      </x:c>
      <x:c r="K3433" s="12" t="str">
        <x:f>LEFT("91360721759978573P",18)</x:f>
        <x:v>91360721759978573P</x:v>
      </x:c>
    </x:row>
    <x:row r="3434">
      <x:c r="A3434" s="2" t="n">
        <x:v>3433</x:v>
      </x:c>
      <x:c r="B3434" s="2" t="inlineStr">
        <x:is>
          <x:t xml:space="preserve">301251</x:t>
        </x:is>
      </x:c>
      <x:c r="C3434" s="3" t="inlineStr">
        <x:is>
          <x:t xml:space="preserve">威尔高</x:t>
        </x:is>
      </x:c>
      <x:c r="D3434" s="3" t="inlineStr">
        <x:is>
          <x:t xml:space="preserve">江西威尔高电子股份有限公司</x:t>
        </x:is>
      </x:c>
      <x:c r="E3434" s="2" t="inlineStr">
        <x:is>
          <x:t xml:space="preserve">江西省</x:t>
        </x:is>
      </x:c>
      <x:c r="F3434" s="2" t="inlineStr">
        <x:is>
          <x:t xml:space="preserve">吉安市</x:t>
        </x:is>
      </x:c>
      <x:c r="G3434" s="3" t="inlineStr">
        <x:is>
          <x:t xml:space="preserve">江西省-吉安市</x:t>
        </x:is>
      </x:c>
      <x:c r="H3434" s="2" t="inlineStr">
        <x:is>
          <x:t xml:space="preserve">电子元件</x:t>
        </x:is>
      </x:c>
      <x:c r="I3434" s="2" t="inlineStr">
        <x:is>
          <x:t xml:space="preserve">2023-09-06</x:t>
        </x:is>
      </x:c>
      <x:c r="J3434" s="3" t="inlineStr">
        <x:is>
          <x:t xml:space="preserve">江西省吉安市井冈山经济技术开发区永锦大道1号</x:t>
        </x:is>
      </x:c>
      <x:c r="K3434" s="12" t="str">
        <x:f>LEFT("91360805MA35UHL002",18)</x:f>
        <x:v>91360805MA35UHL002</x:v>
      </x:c>
    </x:row>
    <x:row r="3435">
      <x:c r="A3435" s="4" t="n">
        <x:v>3434</x:v>
      </x:c>
      <x:c r="B3435" s="4" t="inlineStr">
        <x:is>
          <x:t xml:space="preserve">301383</x:t>
        </x:is>
      </x:c>
      <x:c r="C3435" s="5" t="inlineStr">
        <x:is>
          <x:t xml:space="preserve">天键股份</x:t>
        </x:is>
      </x:c>
      <x:c r="D3435" s="5" t="inlineStr">
        <x:is>
          <x:t xml:space="preserve">天键电声股份有限公司</x:t>
        </x:is>
      </x:c>
      <x:c r="E3435" s="4" t="inlineStr">
        <x:is>
          <x:t xml:space="preserve">江西省</x:t>
        </x:is>
      </x:c>
      <x:c r="F3435" s="4" t="inlineStr">
        <x:is>
          <x:t xml:space="preserve">赣州市</x:t>
        </x:is>
      </x:c>
      <x:c r="G3435" s="5" t="inlineStr">
        <x:is>
          <x:t xml:space="preserve">江西省-赣州市</x:t>
        </x:is>
      </x:c>
      <x:c r="H3435" s="4" t="inlineStr">
        <x:is>
          <x:t xml:space="preserve">电子元件</x:t>
        </x:is>
      </x:c>
      <x:c r="I3435" s="4" t="inlineStr">
        <x:is>
          <x:t xml:space="preserve">2023-06-09</x:t>
        </x:is>
      </x:c>
      <x:c r="J3435" s="5" t="inlineStr">
        <x:is>
          <x:t xml:space="preserve">江西省赣州市于都县上欧工业小区宝矿路66号</x:t>
        </x:is>
      </x:c>
      <x:c r="K3435" s="12" t="str">
        <x:f>LEFT("913607313328261677",18)</x:f>
        <x:v>913607313328261600</x:v>
      </x:c>
    </x:row>
    <x:row r="3436">
      <x:c r="A3436" s="2" t="n">
        <x:v>3435</x:v>
      </x:c>
      <x:c r="B3436" s="2" t="inlineStr">
        <x:is>
          <x:t xml:space="preserve">301446</x:t>
        </x:is>
      </x:c>
      <x:c r="C3436" s="3" t="inlineStr">
        <x:is>
          <x:t xml:space="preserve">福事特</x:t>
        </x:is>
      </x:c>
      <x:c r="D3436" s="3" t="inlineStr">
        <x:is>
          <x:t xml:space="preserve">江西福事特液压股份有限公司</x:t>
        </x:is>
      </x:c>
      <x:c r="E3436" s="2" t="inlineStr">
        <x:is>
          <x:t xml:space="preserve">江西省</x:t>
        </x:is>
      </x:c>
      <x:c r="F3436" s="2" t="inlineStr">
        <x:is>
          <x:t xml:space="preserve">上饶市</x:t>
        </x:is>
      </x:c>
      <x:c r="G3436" s="3" t="inlineStr">
        <x:is>
          <x:t xml:space="preserve">江西省-上饶市</x:t>
        </x:is>
      </x:c>
      <x:c r="H3436" s="2" t="inlineStr">
        <x:is>
          <x:t xml:space="preserve">通用设备</x:t>
        </x:is>
      </x:c>
      <x:c r="I3436" s="2" t="inlineStr">
        <x:is>
          <x:t xml:space="preserve">2023-07-25</x:t>
        </x:is>
      </x:c>
      <x:c r="J3436" s="3" t="inlineStr">
        <x:is>
          <x:t xml:space="preserve">江西省上饶经济技术开发区江家大道51号</x:t>
        </x:is>
      </x:c>
      <x:c r="K3436" s="12" t="str">
        <x:f>LEFT("91361100772367101X",18)</x:f>
        <x:v>91361100772367101X</x:v>
      </x:c>
    </x:row>
    <x:row r="3437">
      <x:c r="A3437" s="4" t="n">
        <x:v>3436</x:v>
      </x:c>
      <x:c r="B3437" s="4" t="inlineStr">
        <x:is>
          <x:t xml:space="preserve">301511</x:t>
        </x:is>
      </x:c>
      <x:c r="C3437" s="5" t="inlineStr">
        <x:is>
          <x:t xml:space="preserve">德福科技</x:t>
        </x:is>
      </x:c>
      <x:c r="D3437" s="5" t="inlineStr">
        <x:is>
          <x:t xml:space="preserve">九江德福科技股份有限公司</x:t>
        </x:is>
      </x:c>
      <x:c r="E3437" s="4" t="inlineStr">
        <x:is>
          <x:t xml:space="preserve">江西省</x:t>
        </x:is>
      </x:c>
      <x:c r="F3437" s="4" t="inlineStr">
        <x:is>
          <x:t xml:space="preserve">九江市</x:t>
        </x:is>
      </x:c>
      <x:c r="G3437" s="5" t="inlineStr">
        <x:is>
          <x:t xml:space="preserve">江西省-九江市</x:t>
        </x:is>
      </x:c>
      <x:c r="H3437" s="4" t="inlineStr">
        <x:is>
          <x:t xml:space="preserve">电池</x:t>
        </x:is>
      </x:c>
      <x:c r="I3437" s="4" t="inlineStr">
        <x:is>
          <x:t xml:space="preserve">2023-08-17</x:t>
        </x:is>
      </x:c>
      <x:c r="J3437" s="5" t="inlineStr">
        <x:is>
          <x:t xml:space="preserve">江西省九江市开发区汽车工业园顺意路15号</x:t>
        </x:is>
      </x:c>
      <x:c r="K3437" s="12" t="str">
        <x:f>LEFT("913604001593066347",18)</x:f>
        <x:v>913604001593066400</x:v>
      </x:c>
    </x:row>
    <x:row r="3438">
      <x:c r="A3438" s="2" t="n">
        <x:v>3437</x:v>
      </x:c>
      <x:c r="B3438" s="2" t="inlineStr">
        <x:is>
          <x:t xml:space="preserve">301575</x:t>
        </x:is>
      </x:c>
      <x:c r="C3438" s="3" t="inlineStr">
        <x:is>
          <x:t xml:space="preserve">艾芬达</x:t>
        </x:is>
      </x:c>
      <x:c r="D3438" s="3" t="inlineStr">
        <x:is>
          <x:t xml:space="preserve">江西艾芬达暖通科技股份有限公司</x:t>
        </x:is>
      </x:c>
      <x:c r="E3438" s="2" t="inlineStr">
        <x:is>
          <x:t xml:space="preserve">江西省</x:t>
        </x:is>
      </x:c>
      <x:c r="F3438" s="2" t="inlineStr">
        <x:is>
          <x:t xml:space="preserve">上饶市</x:t>
        </x:is>
      </x:c>
      <x:c r="G3438" s="3" t="inlineStr">
        <x:is>
          <x:t xml:space="preserve">江西省-上饶市</x:t>
        </x:is>
      </x:c>
      <x:c r="H3438" s="2" t="inlineStr">
        <x:is>
          <x:t xml:space="preserve">家用轻工</x:t>
        </x:is>
      </x:c>
      <x:c r="I3438" s="2" t="inlineStr">
        <x:is>
          <x:t xml:space="preserve">2025-09-10</x:t>
        </x:is>
      </x:c>
      <x:c r="J3438" s="3" t="inlineStr">
        <x:is>
          <x:t xml:space="preserve">江西省上饶市上饶经济技术开发区兴业大道97号</x:t>
        </x:is>
      </x:c>
      <x:c r="K3438" s="12" t="str">
        <x:f>LEFT("91361100775896017B",18)</x:f>
        <x:v>91361100775896017B</x:v>
      </x:c>
    </x:row>
    <x:row r="3439">
      <x:c r="A3439" s="4" t="n">
        <x:v>3438</x:v>
      </x:c>
      <x:c r="B3439" s="4" t="inlineStr">
        <x:is>
          <x:t xml:space="preserve">600053</x:t>
        </x:is>
      </x:c>
      <x:c r="C3439" s="5" t="inlineStr">
        <x:is>
          <x:t xml:space="preserve">九鼎投资</x:t>
        </x:is>
      </x:c>
      <x:c r="D3439" s="5" t="inlineStr">
        <x:is>
          <x:t xml:space="preserve">昆吾九鼎投资控股股份有限公司</x:t>
        </x:is>
      </x:c>
      <x:c r="E3439" s="4" t="inlineStr">
        <x:is>
          <x:t xml:space="preserve">江西省</x:t>
        </x:is>
      </x:c>
      <x:c r="F3439" s="4" t="inlineStr">
        <x:is>
          <x:t xml:space="preserve">南昌市</x:t>
        </x:is>
      </x:c>
      <x:c r="G3439" s="5" t="inlineStr">
        <x:is>
          <x:t xml:space="preserve">江西省-南昌市</x:t>
        </x:is>
      </x:c>
      <x:c r="H3439" s="4" t="inlineStr">
        <x:is>
          <x:t xml:space="preserve">多元金融</x:t>
        </x:is>
      </x:c>
      <x:c r="I3439" s="4" t="inlineStr">
        <x:is>
          <x:t xml:space="preserve">1997-04-18</x:t>
        </x:is>
      </x:c>
      <x:c r="J3439" s="5" t="inlineStr">
        <x:is>
          <x:t xml:space="preserve">江西省南昌市东湖区董家窑路112号紫金城写字楼A座20层</x:t>
        </x:is>
      </x:c>
      <x:c r="K3439" s="12" t="str">
        <x:f>LEFT("91360000158309980U",18)</x:f>
        <x:v>91360000158309980U</x:v>
      </x:c>
    </x:row>
    <x:row r="3440">
      <x:c r="A3440" s="2" t="n">
        <x:v>3439</x:v>
      </x:c>
      <x:c r="B3440" s="2" t="inlineStr">
        <x:is>
          <x:t xml:space="preserve">600071</x:t>
        </x:is>
      </x:c>
      <x:c r="C3440" s="3" t="inlineStr">
        <x:is>
          <x:t xml:space="preserve">凤凰光学</x:t>
        </x:is>
      </x:c>
      <x:c r="D3440" s="3" t="inlineStr">
        <x:is>
          <x:t xml:space="preserve">凤凰光学股份有限公司</x:t>
        </x:is>
      </x:c>
      <x:c r="E3440" s="2" t="inlineStr">
        <x:is>
          <x:t xml:space="preserve">江西省</x:t>
        </x:is>
      </x:c>
      <x:c r="F3440" s="2" t="inlineStr">
        <x:is>
          <x:t xml:space="preserve">上饶市</x:t>
        </x:is>
      </x:c>
      <x:c r="G3440" s="3" t="inlineStr">
        <x:is>
          <x:t xml:space="preserve">江西省-上饶市</x:t>
        </x:is>
      </x:c>
      <x:c r="H3440" s="2" t="inlineStr">
        <x:is>
          <x:t xml:space="preserve">光学光电子</x:t>
        </x:is>
      </x:c>
      <x:c r="I3440" s="2" t="inlineStr">
        <x:is>
          <x:t xml:space="preserve">1997-05-28</x:t>
        </x:is>
      </x:c>
      <x:c r="J3440" s="3" t="inlineStr">
        <x:is>
          <x:t xml:space="preserve">江西省上饶市凤凰西大道197号</x:t>
        </x:is>
      </x:c>
      <x:c r="K3440" s="12" t="str">
        <x:f>LEFT("91361100705740527M",18)</x:f>
        <x:v>91361100705740527M</x:v>
      </x:c>
    </x:row>
    <x:row r="3441">
      <x:c r="A3441" s="4" t="n">
        <x:v>3440</x:v>
      </x:c>
      <x:c r="B3441" s="4" t="inlineStr">
        <x:is>
          <x:t xml:space="preserve">600228</x:t>
        </x:is>
      </x:c>
      <x:c r="C3441" s="5" t="inlineStr">
        <x:is>
          <x:t xml:space="preserve">*ST返利</x:t>
        </x:is>
      </x:c>
      <x:c r="D3441" s="5" t="inlineStr">
        <x:is>
          <x:t xml:space="preserve">返利网数字科技股份有限公司</x:t>
        </x:is>
      </x:c>
      <x:c r="E3441" s="4" t="inlineStr">
        <x:is>
          <x:t xml:space="preserve">江西省</x:t>
        </x:is>
      </x:c>
      <x:c r="F3441" s="4" t="inlineStr">
        <x:is>
          <x:t xml:space="preserve">赣州市</x:t>
        </x:is>
      </x:c>
      <x:c r="G3441" s="5" t="inlineStr">
        <x:is>
          <x:t xml:space="preserve">江西省-赣州市</x:t>
        </x:is>
      </x:c>
      <x:c r="H3441" s="4" t="inlineStr">
        <x:is>
          <x:t xml:space="preserve">电子信息</x:t>
        </x:is>
      </x:c>
      <x:c r="I3441" s="4" t="inlineStr">
        <x:is>
          <x:t xml:space="preserve">1999-01-19</x:t>
        </x:is>
      </x:c>
      <x:c r="J3441" s="5" t="inlineStr">
        <x:is>
          <x:t xml:space="preserve">江西省赣州市章贡区长征大道31号商会大厦8楼805室</x:t>
        </x:is>
      </x:c>
      <x:c r="K3441" s="12" t="str">
        <x:f>LEFT("913607007055082697",18)</x:f>
        <x:v>913607007055082800</x:v>
      </x:c>
    </x:row>
    <x:row r="3442">
      <x:c r="A3442" s="2" t="n">
        <x:v>3441</x:v>
      </x:c>
      <x:c r="B3442" s="2" t="inlineStr">
        <x:is>
          <x:t xml:space="preserve">600269</x:t>
        </x:is>
      </x:c>
      <x:c r="C3442" s="3" t="inlineStr">
        <x:is>
          <x:t xml:space="preserve">赣粤高速</x:t>
        </x:is>
      </x:c>
      <x:c r="D3442" s="3" t="inlineStr">
        <x:is>
          <x:t xml:space="preserve">江西赣粤高速公路股份有限公司</x:t>
        </x:is>
      </x:c>
      <x:c r="E3442" s="2" t="inlineStr">
        <x:is>
          <x:t xml:space="preserve">江西省</x:t>
        </x:is>
      </x:c>
      <x:c r="F3442" s="2" t="inlineStr">
        <x:is>
          <x:t xml:space="preserve">南昌市</x:t>
        </x:is>
      </x:c>
      <x:c r="G3442" s="3" t="inlineStr">
        <x:is>
          <x:t xml:space="preserve">江西省-南昌市</x:t>
        </x:is>
      </x:c>
      <x:c r="H3442" s="2" t="inlineStr">
        <x:is>
          <x:t xml:space="preserve">高速公路</x:t>
        </x:is>
      </x:c>
      <x:c r="I3442" s="2" t="inlineStr">
        <x:is>
          <x:t xml:space="preserve">2000-05-18</x:t>
        </x:is>
      </x:c>
      <x:c r="J3442" s="3" t="inlineStr">
        <x:is>
          <x:t xml:space="preserve">江西省南昌市高新技术开发区火炬大街199号赣能大厦</x:t>
        </x:is>
      </x:c>
      <x:c r="K3442" s="12" t="str">
        <x:f>LEFT("91360000705501796N",18)</x:f>
        <x:v>91360000705501796N</x:v>
      </x:c>
    </x:row>
    <x:row r="3443">
      <x:c r="A3443" s="4" t="n">
        <x:v>3442</x:v>
      </x:c>
      <x:c r="B3443" s="4" t="inlineStr">
        <x:is>
          <x:t xml:space="preserve">600316</x:t>
        </x:is>
      </x:c>
      <x:c r="C3443" s="5" t="inlineStr">
        <x:is>
          <x:t xml:space="preserve">洪都航空</x:t>
        </x:is>
      </x:c>
      <x:c r="D3443" s="5" t="inlineStr">
        <x:is>
          <x:t xml:space="preserve">江西洪都航空工业股份有限公司</x:t>
        </x:is>
      </x:c>
      <x:c r="E3443" s="4" t="inlineStr">
        <x:is>
          <x:t xml:space="preserve">江西省</x:t>
        </x:is>
      </x:c>
      <x:c r="F3443" s="4" t="inlineStr">
        <x:is>
          <x:t xml:space="preserve">南昌市</x:t>
        </x:is>
      </x:c>
      <x:c r="G3443" s="5" t="inlineStr">
        <x:is>
          <x:t xml:space="preserve">江西省-南昌市</x:t>
        </x:is>
      </x:c>
      <x:c r="H3443" s="4" t="inlineStr">
        <x:is>
          <x:t xml:space="preserve">航天航空</x:t>
        </x:is>
      </x:c>
      <x:c r="I3443" s="4" t="inlineStr">
        <x:is>
          <x:t xml:space="preserve">2000-12-15</x:t>
        </x:is>
      </x:c>
      <x:c r="J3443" s="5" t="inlineStr">
        <x:is>
          <x:t xml:space="preserve">江西省南昌市南昌高新技术开发区航空城</x:t>
        </x:is>
      </x:c>
      <x:c r="K3443" s="12" t="str">
        <x:f>LEFT("91360000705515290C",18)</x:f>
        <x:v>91360000705515290C</x:v>
      </x:c>
    </x:row>
    <x:row r="3444">
      <x:c r="A3444" s="2" t="n">
        <x:v>3443</x:v>
      </x:c>
      <x:c r="B3444" s="2" t="inlineStr">
        <x:is>
          <x:t xml:space="preserve">600337</x:t>
        </x:is>
      </x:c>
      <x:c r="C3444" s="3" t="inlineStr">
        <x:is>
          <x:t xml:space="preserve">美克家居</x:t>
        </x:is>
      </x:c>
      <x:c r="D3444" s="3" t="inlineStr">
        <x:is>
          <x:t xml:space="preserve">美克国际家居用品股份有限公司</x:t>
        </x:is>
      </x:c>
      <x:c r="E3444" s="2" t="inlineStr">
        <x:is>
          <x:t xml:space="preserve">江西省</x:t>
        </x:is>
      </x:c>
      <x:c r="F3444" s="2" t="inlineStr">
        <x:is>
          <x:t xml:space="preserve">赣州市</x:t>
        </x:is>
      </x:c>
      <x:c r="G3444" s="3" t="inlineStr">
        <x:is>
          <x:t xml:space="preserve">江西省-赣州市</x:t>
        </x:is>
      </x:c>
      <x:c r="H3444" s="2" t="inlineStr">
        <x:is>
          <x:t xml:space="preserve">木业家具</x:t>
        </x:is>
      </x:c>
      <x:c r="I3444" s="2" t="inlineStr">
        <x:is>
          <x:t xml:space="preserve">2000-11-27</x:t>
        </x:is>
      </x:c>
      <x:c r="J3444" s="3" t="inlineStr">
        <x:is>
          <x:t xml:space="preserve">江西省赣州市南康区经济开发区美克数创科艺园</x:t>
        </x:is>
      </x:c>
      <x:c r="K3444" s="12" t="str">
        <x:f>LEFT("916501006255516701",18)</x:f>
        <x:v>916501006255516700</x:v>
      </x:c>
    </x:row>
    <x:row r="3445">
      <x:c r="A3445" s="4" t="n">
        <x:v>3444</x:v>
      </x:c>
      <x:c r="B3445" s="4" t="inlineStr">
        <x:is>
          <x:t xml:space="preserve">600358</x:t>
        </x:is>
      </x:c>
      <x:c r="C3445" s="5" t="inlineStr">
        <x:is>
          <x:t xml:space="preserve">ST联合</x:t>
        </x:is>
      </x:c>
      <x:c r="D3445" s="5" t="inlineStr">
        <x:is>
          <x:t xml:space="preserve">国旅文化投资集团股份有限公司</x:t>
        </x:is>
      </x:c>
      <x:c r="E3445" s="4" t="inlineStr">
        <x:is>
          <x:t xml:space="preserve">江西省</x:t>
        </x:is>
      </x:c>
      <x:c r="F3445" s="4" t="inlineStr">
        <x:is>
          <x:t xml:space="preserve">南昌市</x:t>
        </x:is>
      </x:c>
      <x:c r="G3445" s="5" t="inlineStr">
        <x:is>
          <x:t xml:space="preserve">江西省-南昌市</x:t>
        </x:is>
      </x:c>
      <x:c r="H3445" s="4" t="inlineStr">
        <x:is>
          <x:t xml:space="preserve">互联网服务</x:t>
        </x:is>
      </x:c>
      <x:c r="I3445" s="4" t="inlineStr">
        <x:is>
          <x:t xml:space="preserve">2000-09-22</x:t>
        </x:is>
      </x:c>
      <x:c r="J3445" s="5" t="inlineStr">
        <x:is>
          <x:t xml:space="preserve">江西省南昌市红谷滩区学府大道1号阿尔法34栋6楼</x:t>
        </x:is>
      </x:c>
      <x:c r="K3445" s="12" t="str">
        <x:f>LEFT("91320000249707722B",18)</x:f>
        <x:v>91320000249707722B</x:v>
      </x:c>
    </x:row>
    <x:row r="3446">
      <x:c r="A3446" s="2" t="n">
        <x:v>3445</x:v>
      </x:c>
      <x:c r="B3446" s="2" t="inlineStr">
        <x:is>
          <x:t xml:space="preserve">600362</x:t>
        </x:is>
      </x:c>
      <x:c r="C3446" s="3" t="inlineStr">
        <x:is>
          <x:t xml:space="preserve">江西铜业</x:t>
        </x:is>
      </x:c>
      <x:c r="D3446" s="3" t="inlineStr">
        <x:is>
          <x:t xml:space="preserve">江西铜业股份有限公司</x:t>
        </x:is>
      </x:c>
      <x:c r="E3446" s="2" t="inlineStr">
        <x:is>
          <x:t xml:space="preserve">江西省</x:t>
        </x:is>
      </x:c>
      <x:c r="F3446" s="2" t="inlineStr">
        <x:is>
          <x:t xml:space="preserve">西省贵溪市</x:t>
        </x:is>
      </x:c>
      <x:c r="G3446" s="3" t="inlineStr">
        <x:is>
          <x:t xml:space="preserve">江西省-西省贵溪市</x:t>
        </x:is>
      </x:c>
      <x:c r="H3446" s="2" t="inlineStr">
        <x:is>
          <x:t xml:space="preserve">有色金属</x:t>
        </x:is>
      </x:c>
      <x:c r="I3446" s="2" t="inlineStr">
        <x:is>
          <x:t xml:space="preserve">2002-01-11</x:t>
        </x:is>
      </x:c>
      <x:c r="J3446" s="3" t="inlineStr">
        <x:is>
          <x:t xml:space="preserve">中华人民共和国江西省贵溪市冶金大道15号</x:t>
        </x:is>
      </x:c>
      <x:c r="K3446" s="12" t="str">
        <x:f>LEFT("91360000625912173B",18)</x:f>
        <x:v>91360000625912173B</x:v>
      </x:c>
    </x:row>
    <x:row r="3447">
      <x:c r="A3447" s="4" t="n">
        <x:v>3446</x:v>
      </x:c>
      <x:c r="B3447" s="4" t="inlineStr">
        <x:is>
          <x:t xml:space="preserve">600363</x:t>
        </x:is>
      </x:c>
      <x:c r="C3447" s="5" t="inlineStr">
        <x:is>
          <x:t xml:space="preserve">联创光电</x:t>
        </x:is>
      </x:c>
      <x:c r="D3447" s="5" t="inlineStr">
        <x:is>
          <x:t xml:space="preserve">江西联创光电科技股份有限公司</x:t>
        </x:is>
      </x:c>
      <x:c r="E3447" s="4" t="inlineStr">
        <x:is>
          <x:t xml:space="preserve">江西省</x:t>
        </x:is>
      </x:c>
      <x:c r="F3447" s="4" t="inlineStr">
        <x:is>
          <x:t xml:space="preserve">南昌市</x:t>
        </x:is>
      </x:c>
      <x:c r="G3447" s="5" t="inlineStr">
        <x:is>
          <x:t xml:space="preserve">江西省-南昌市</x:t>
        </x:is>
      </x:c>
      <x:c r="H3447" s="4" t="inlineStr">
        <x:is>
          <x:t xml:space="preserve">光学光电子</x:t>
        </x:is>
      </x:c>
      <x:c r="I3447" s="4" t="inlineStr">
        <x:is>
          <x:t xml:space="preserve">2001-03-29</x:t>
        </x:is>
      </x:c>
      <x:c r="J3447" s="5" t="inlineStr">
        <x:is>
          <x:t xml:space="preserve">江西省南昌市高新技术产业开发区京东大道168号</x:t>
        </x:is>
      </x:c>
      <x:c r="K3447" s="12" t="str">
        <x:f>LEFT("9136000070551268X6",18)</x:f>
        <x:v>9136000070551268X6</x:v>
      </x:c>
    </x:row>
    <x:row r="3448">
      <x:c r="A3448" s="2" t="n">
        <x:v>3447</x:v>
      </x:c>
      <x:c r="B3448" s="2" t="inlineStr">
        <x:is>
          <x:t xml:space="preserve">600373</x:t>
        </x:is>
      </x:c>
      <x:c r="C3448" s="3" t="inlineStr">
        <x:is>
          <x:t xml:space="preserve">中文传媒</x:t>
        </x:is>
      </x:c>
      <x:c r="D3448" s="3" t="inlineStr">
        <x:is>
          <x:t xml:space="preserve">中文天地出版传媒集团股份有限公司</x:t>
        </x:is>
      </x:c>
      <x:c r="E3448" s="2" t="inlineStr">
        <x:is>
          <x:t xml:space="preserve">江西省</x:t>
        </x:is>
      </x:c>
      <x:c r="F3448" s="2" t="inlineStr">
        <x:is>
          <x:t xml:space="preserve">上饶市</x:t>
        </x:is>
      </x:c>
      <x:c r="G3448" s="3" t="inlineStr">
        <x:is>
          <x:t xml:space="preserve">江西省-上饶市</x:t>
        </x:is>
      </x:c>
      <x:c r="H3448" s="2" t="inlineStr">
        <x:is>
          <x:t xml:space="preserve">文化传媒</x:t>
        </x:is>
      </x:c>
      <x:c r="I3448" s="2" t="inlineStr">
        <x:is>
          <x:t xml:space="preserve">2002-03-04</x:t>
        </x:is>
      </x:c>
      <x:c r="J3448" s="3" t="inlineStr">
        <x:is>
          <x:t xml:space="preserve">江西省上饶市上饶经济技术开发区兴园大道32号双创科技城10号楼</x:t>
        </x:is>
      </x:c>
      <x:c r="K3448" s="12" t="str">
        <x:f>LEFT("91361100705758356U",18)</x:f>
        <x:v>91361100705758356U</x:v>
      </x:c>
    </x:row>
    <x:row r="3449">
      <x:c r="A3449" s="4" t="n">
        <x:v>3448</x:v>
      </x:c>
      <x:c r="B3449" s="4" t="inlineStr">
        <x:is>
          <x:t xml:space="preserve">600397</x:t>
        </x:is>
      </x:c>
      <x:c r="C3449" s="5" t="inlineStr">
        <x:is>
          <x:t xml:space="preserve">江钨装备</x:t>
        </x:is>
      </x:c>
      <x:c r="D3449" s="5" t="inlineStr">
        <x:is>
          <x:t xml:space="preserve">江西江钨稀贵装备股份有限公司</x:t>
        </x:is>
      </x:c>
      <x:c r="E3449" s="4" t="inlineStr">
        <x:is>
          <x:t xml:space="preserve">江西省</x:t>
        </x:is>
      </x:c>
      <x:c r="F3449" s="4" t="inlineStr">
        <x:is>
          <x:t xml:space="preserve">萍乡市</x:t>
        </x:is>
      </x:c>
      <x:c r="G3449" s="5" t="inlineStr">
        <x:is>
          <x:t xml:space="preserve">江西省-萍乡市</x:t>
        </x:is>
      </x:c>
      <x:c r="H3449" s="4" t="inlineStr">
        <x:is>
          <x:t xml:space="preserve">专用设备</x:t>
        </x:is>
      </x:c>
      <x:c r="I3449" s="4" t="inlineStr">
        <x:is>
          <x:t xml:space="preserve">2002-07-02</x:t>
        </x:is>
      </x:c>
      <x:c r="J3449" s="5" t="inlineStr">
        <x:is>
          <x:t xml:space="preserve">江西省萍乡市昭萍东路3号</x:t>
        </x:is>
      </x:c>
      <x:c r="K3449" s="12" t="str">
        <x:f>LEFT("913603007165007488",18)</x:f>
        <x:v>913603007165007500</x:v>
      </x:c>
    </x:row>
    <x:row r="3450">
      <x:c r="A3450" s="2" t="n">
        <x:v>3449</x:v>
      </x:c>
      <x:c r="B3450" s="2" t="inlineStr">
        <x:is>
          <x:t xml:space="preserve">600461</x:t>
        </x:is>
      </x:c>
      <x:c r="C3450" s="3" t="inlineStr">
        <x:is>
          <x:t xml:space="preserve">洪城环境</x:t>
        </x:is>
      </x:c>
      <x:c r="D3450" s="3" t="inlineStr">
        <x:is>
          <x:t xml:space="preserve">江西洪城环境股份有限公司</x:t>
        </x:is>
      </x:c>
      <x:c r="E3450" s="2" t="inlineStr">
        <x:is>
          <x:t xml:space="preserve">江西省</x:t>
        </x:is>
      </x:c>
      <x:c r="F3450" s="2" t="inlineStr">
        <x:is>
          <x:t xml:space="preserve">南昌市</x:t>
        </x:is>
      </x:c>
      <x:c r="G3450" s="3" t="inlineStr">
        <x:is>
          <x:t xml:space="preserve">江西省-南昌市</x:t>
        </x:is>
      </x:c>
      <x:c r="H3450" s="2" t="inlineStr">
        <x:is>
          <x:t xml:space="preserve">公用事业</x:t>
        </x:is>
      </x:c>
      <x:c r="I3450" s="2" t="inlineStr">
        <x:is>
          <x:t xml:space="preserve">2004-06-01</x:t>
        </x:is>
      </x:c>
      <x:c r="J3450" s="3" t="inlineStr">
        <x:is>
          <x:t xml:space="preserve">江西省南昌市西湖区灌婴路98号</x:t>
        </x:is>
      </x:c>
      <x:c r="K3450" s="12" t="str">
        <x:f>LEFT("91360000723915976N",18)</x:f>
        <x:v>91360000723915976N</x:v>
      </x:c>
    </x:row>
    <x:row r="3451">
      <x:c r="A3451" s="4" t="n">
        <x:v>3450</x:v>
      </x:c>
      <x:c r="B3451" s="4" t="inlineStr">
        <x:is>
          <x:t xml:space="preserve">600507</x:t>
        </x:is>
      </x:c>
      <x:c r="C3451" s="5" t="inlineStr">
        <x:is>
          <x:t xml:space="preserve">方大特钢</x:t>
        </x:is>
      </x:c>
      <x:c r="D3451" s="5" t="inlineStr">
        <x:is>
          <x:t xml:space="preserve">方大特钢科技股份有限公司</x:t>
        </x:is>
      </x:c>
      <x:c r="E3451" s="4" t="inlineStr">
        <x:is>
          <x:t xml:space="preserve">江西省</x:t>
        </x:is>
      </x:c>
      <x:c r="F3451" s="4" t="inlineStr">
        <x:is>
          <x:t xml:space="preserve">南昌市</x:t>
        </x:is>
      </x:c>
      <x:c r="G3451" s="5" t="inlineStr">
        <x:is>
          <x:t xml:space="preserve">江西省-南昌市</x:t>
        </x:is>
      </x:c>
      <x:c r="H3451" s="4" t="inlineStr">
        <x:is>
          <x:t xml:space="preserve">钢铁行业</x:t>
        </x:is>
      </x:c>
      <x:c r="I3451" s="4" t="inlineStr">
        <x:is>
          <x:t xml:space="preserve">2003-09-30</x:t>
        </x:is>
      </x:c>
      <x:c r="J3451" s="5" t="inlineStr">
        <x:is>
          <x:t xml:space="preserve">南昌市高新技术产业开发区火炬大道31号</x:t>
        </x:is>
      </x:c>
      <x:c r="K3451" s="12" t="str">
        <x:f>LEFT("913600007055142716",18)</x:f>
        <x:v>913600007055142700</x:v>
      </x:c>
    </x:row>
    <x:row r="3452">
      <x:c r="A3452" s="2" t="n">
        <x:v>3451</x:v>
      </x:c>
      <x:c r="B3452" s="2" t="inlineStr">
        <x:is>
          <x:t xml:space="preserve">600561</x:t>
        </x:is>
      </x:c>
      <x:c r="C3452" s="3" t="inlineStr">
        <x:is>
          <x:t xml:space="preserve">江西长运</x:t>
        </x:is>
      </x:c>
      <x:c r="D3452" s="3" t="inlineStr">
        <x:is>
          <x:t xml:space="preserve">江西长运股份有限公司</x:t>
        </x:is>
      </x:c>
      <x:c r="E3452" s="2" t="inlineStr">
        <x:is>
          <x:t xml:space="preserve">江西省</x:t>
        </x:is>
      </x:c>
      <x:c r="F3452" s="2" t="inlineStr">
        <x:is>
          <x:t xml:space="preserve">南昌市</x:t>
        </x:is>
      </x:c>
      <x:c r="G3452" s="3" t="inlineStr">
        <x:is>
          <x:t xml:space="preserve">江西省-南昌市</x:t>
        </x:is>
      </x:c>
      <x:c r="H3452" s="2" t="inlineStr">
        <x:is>
          <x:t xml:space="preserve">高速公路</x:t>
        </x:is>
      </x:c>
      <x:c r="I3452" s="2" t="inlineStr">
        <x:is>
          <x:t xml:space="preserve">2002-07-16</x:t>
        </x:is>
      </x:c>
      <x:c r="J3452" s="3" t="inlineStr">
        <x:is>
          <x:t xml:space="preserve">南昌市红谷滩新区平安西二街1号</x:t>
        </x:is>
      </x:c>
      <x:c r="K3452" s="12" t="str">
        <x:f>LEFT("91360000158375283N",18)</x:f>
        <x:v>91360000158375283N</x:v>
      </x:c>
    </x:row>
    <x:row r="3453">
      <x:c r="A3453" s="4" t="n">
        <x:v>3452</x:v>
      </x:c>
      <x:c r="B3453" s="4" t="inlineStr">
        <x:is>
          <x:t xml:space="preserve">600590</x:t>
        </x:is>
      </x:c>
      <x:c r="C3453" s="5" t="inlineStr">
        <x:is>
          <x:t xml:space="preserve">泰豪科技</x:t>
        </x:is>
      </x:c>
      <x:c r="D3453" s="5" t="inlineStr">
        <x:is>
          <x:t xml:space="preserve">泰豪科技股份有限公司</x:t>
        </x:is>
      </x:c>
      <x:c r="E3453" s="4" t="inlineStr">
        <x:is>
          <x:t xml:space="preserve">江西省</x:t>
        </x:is>
      </x:c>
      <x:c r="F3453" s="4" t="inlineStr">
        <x:is>
          <x:t xml:space="preserve">南昌市</x:t>
        </x:is>
      </x:c>
      <x:c r="G3453" s="5" t="inlineStr">
        <x:is>
          <x:t xml:space="preserve">江西省-南昌市</x:t>
        </x:is>
      </x:c>
      <x:c r="H3453" s="4" t="inlineStr">
        <x:is>
          <x:t xml:space="preserve">输配电气</x:t>
        </x:is>
      </x:c>
      <x:c r="I3453" s="4" t="inlineStr">
        <x:is>
          <x:t xml:space="preserve">2002-07-03</x:t>
        </x:is>
      </x:c>
      <x:c r="J3453" s="5" t="inlineStr">
        <x:is>
          <x:t xml:space="preserve">江西省南昌市高新开发区清华泰豪大楼</x:t>
        </x:is>
      </x:c>
      <x:c r="K3453" s="12" t="str">
        <x:f>LEFT("91360000158304717T",18)</x:f>
        <x:v>91360000158304717T</x:v>
      </x:c>
    </x:row>
    <x:row r="3454">
      <x:c r="A3454" s="2" t="n">
        <x:v>3453</x:v>
      </x:c>
      <x:c r="B3454" s="2" t="inlineStr">
        <x:is>
          <x:t xml:space="preserve">600750</x:t>
        </x:is>
      </x:c>
      <x:c r="C3454" s="3" t="inlineStr">
        <x:is>
          <x:t xml:space="preserve">江中药业</x:t>
        </x:is>
      </x:c>
      <x:c r="D3454" s="3" t="inlineStr">
        <x:is>
          <x:t xml:space="preserve">华润江中药业股份有限公司</x:t>
        </x:is>
      </x:c>
      <x:c r="E3454" s="2" t="inlineStr">
        <x:is>
          <x:t xml:space="preserve">江西省</x:t>
        </x:is>
      </x:c>
      <x:c r="F3454" s="2" t="inlineStr">
        <x:is>
          <x:t xml:space="preserve">南昌市</x:t>
        </x:is>
      </x:c>
      <x:c r="G3454" s="3" t="inlineStr">
        <x:is>
          <x:t xml:space="preserve">江西省-南昌市</x:t>
        </x:is>
      </x:c>
      <x:c r="H3454" s="2" t="inlineStr">
        <x:is>
          <x:t xml:space="preserve">中药</x:t>
        </x:is>
      </x:c>
      <x:c r="I3454" s="2" t="inlineStr">
        <x:is>
          <x:t xml:space="preserve">1996-09-23</x:t>
        </x:is>
      </x:c>
      <x:c r="J3454" s="3" t="inlineStr">
        <x:is>
          <x:t xml:space="preserve">江西省南昌市高新区火炬大道788号</x:t>
        </x:is>
      </x:c>
      <x:c r="K3454" s="12" t="str">
        <x:f>LEFT("91360000158307408H",18)</x:f>
        <x:v>91360000158307408H</x:v>
      </x:c>
    </x:row>
    <x:row r="3455">
      <x:c r="A3455" s="4" t="n">
        <x:v>3454</x:v>
      </x:c>
      <x:c r="B3455" s="4" t="inlineStr">
        <x:is>
          <x:t xml:space="preserve">600782</x:t>
        </x:is>
      </x:c>
      <x:c r="C3455" s="5" t="inlineStr">
        <x:is>
          <x:t xml:space="preserve">新钢股份</x:t>
        </x:is>
      </x:c>
      <x:c r="D3455" s="5" t="inlineStr">
        <x:is>
          <x:t xml:space="preserve">新余钢铁股份有限公司</x:t>
        </x:is>
      </x:c>
      <x:c r="E3455" s="4" t="inlineStr">
        <x:is>
          <x:t xml:space="preserve">江西省</x:t>
        </x:is>
      </x:c>
      <x:c r="F3455" s="4" t="inlineStr">
        <x:is>
          <x:t xml:space="preserve">新余市</x:t>
        </x:is>
      </x:c>
      <x:c r="G3455" s="5" t="inlineStr">
        <x:is>
          <x:t xml:space="preserve">江西省-新余市</x:t>
        </x:is>
      </x:c>
      <x:c r="H3455" s="4" t="inlineStr">
        <x:is>
          <x:t xml:space="preserve">钢铁行业</x:t>
        </x:is>
      </x:c>
      <x:c r="I3455" s="4" t="inlineStr">
        <x:is>
          <x:t xml:space="preserve">1996-12-25</x:t>
        </x:is>
      </x:c>
      <x:c r="J3455" s="5" t="inlineStr">
        <x:is>
          <x:t xml:space="preserve">江西省新余市铁焦路</x:t>
        </x:is>
      </x:c>
      <x:c r="K3455" s="12" t="str">
        <x:f>LEFT("913605001583084437",18)</x:f>
        <x:v>913605001583084400</x:v>
      </x:c>
    </x:row>
    <x:row r="3456">
      <x:c r="A3456" s="2" t="n">
        <x:v>3455</x:v>
      </x:c>
      <x:c r="B3456" s="2" t="inlineStr">
        <x:is>
          <x:t xml:space="preserve">601065</x:t>
        </x:is>
      </x:c>
      <x:c r="C3456" s="3" t="inlineStr">
        <x:is>
          <x:t xml:space="preserve">江盐集团</x:t>
        </x:is>
      </x:c>
      <x:c r="D3456" s="3" t="inlineStr">
        <x:is>
          <x:t xml:space="preserve">江西省盐业集团股份有限公司</x:t>
        </x:is>
      </x:c>
      <x:c r="E3456" s="2" t="inlineStr">
        <x:is>
          <x:t xml:space="preserve">江西省</x:t>
        </x:is>
      </x:c>
      <x:c r="F3456" s="2" t="inlineStr">
        <x:is>
          <x:t xml:space="preserve">南昌市</x:t>
        </x:is>
      </x:c>
      <x:c r="G3456" s="3" t="inlineStr">
        <x:is>
          <x:t xml:space="preserve">江西省-南昌市</x:t>
        </x:is>
      </x:c>
      <x:c r="H3456" s="2" t="inlineStr">
        <x:is>
          <x:t xml:space="preserve">化学原料</x:t>
        </x:is>
      </x:c>
      <x:c r="I3456" s="2" t="inlineStr">
        <x:is>
          <x:t xml:space="preserve">2023-04-10</x:t>
        </x:is>
      </x:c>
      <x:c r="J3456" s="3" t="inlineStr">
        <x:is>
          <x:t xml:space="preserve">江西省南昌市红谷滩区庐山南大道369号</x:t>
        </x:is>
      </x:c>
      <x:c r="K3456" s="12" t="str">
        <x:f>LEFT("91360000158260136N",18)</x:f>
        <x:v>91360000158260136N</x:v>
      </x:c>
    </x:row>
    <x:row r="3457">
      <x:c r="A3457" s="4" t="n">
        <x:v>3456</x:v>
      </x:c>
      <x:c r="B3457" s="4" t="inlineStr">
        <x:is>
          <x:t xml:space="preserve">601778</x:t>
        </x:is>
      </x:c>
      <x:c r="C3457" s="5" t="inlineStr">
        <x:is>
          <x:t xml:space="preserve">晶科科技</x:t>
        </x:is>
      </x:c>
      <x:c r="D3457" s="5" t="inlineStr">
        <x:is>
          <x:t xml:space="preserve">晶科电力科技股份有限公司</x:t>
        </x:is>
      </x:c>
      <x:c r="E3457" s="4" t="inlineStr">
        <x:is>
          <x:t xml:space="preserve">江西省</x:t>
        </x:is>
      </x:c>
      <x:c r="F3457" s="4" t="inlineStr">
        <x:is>
          <x:t xml:space="preserve">上饶市</x:t>
        </x:is>
      </x:c>
      <x:c r="G3457" s="5" t="inlineStr">
        <x:is>
          <x:t xml:space="preserve">江西省-上饶市</x:t>
        </x:is>
      </x:c>
      <x:c r="H3457" s="4" t="inlineStr">
        <x:is>
          <x:t xml:space="preserve">电力行业</x:t>
        </x:is>
      </x:c>
      <x:c r="I3457" s="4" t="inlineStr">
        <x:is>
          <x:t xml:space="preserve">2020-05-19</x:t>
        </x:is>
      </x:c>
      <x:c r="J3457" s="5" t="inlineStr">
        <x:is>
          <x:t xml:space="preserve">江西省上饶市横峰县岑阳镇国道西路63号</x:t>
        </x:is>
      </x:c>
      <x:c r="K3457" s="12" t="str">
        <x:f>LEFT("913611005787856680",18)</x:f>
        <x:v>913611005787856600</x:v>
      </x:c>
    </x:row>
    <x:row r="3458">
      <x:c r="A3458" s="2" t="n">
        <x:v>3457</x:v>
      </x:c>
      <x:c r="B3458" s="2" t="inlineStr">
        <x:is>
          <x:t xml:space="preserve">603124</x:t>
        </x:is>
      </x:c>
      <x:c r="C3458" s="3" t="inlineStr">
        <x:is>
          <x:t xml:space="preserve">江南新材</x:t>
        </x:is>
      </x:c>
      <x:c r="D3458" s="3" t="inlineStr">
        <x:is>
          <x:t xml:space="preserve">江西江南新材料科技股份有限公司</x:t>
        </x:is>
      </x:c>
      <x:c r="E3458" s="2" t="inlineStr">
        <x:is>
          <x:t xml:space="preserve">江西省</x:t>
        </x:is>
      </x:c>
      <x:c r="F3458" s="2" t="inlineStr">
        <x:is>
          <x:t xml:space="preserve">鹰潭市</x:t>
        </x:is>
      </x:c>
      <x:c r="G3458" s="3" t="inlineStr">
        <x:is>
          <x:t xml:space="preserve">江西省-鹰潭市</x:t>
        </x:is>
      </x:c>
      <x:c r="H3458" s="2" t="inlineStr">
        <x:is>
          <x:t xml:space="preserve">--</x:t>
        </x:is>
      </x:c>
      <x:c r="I3458" s="2" t="inlineStr">
        <x:is>
          <x:t xml:space="preserve">2025-03-20</x:t>
        </x:is>
      </x:c>
      <x:c r="J3458" s="3" t="inlineStr">
        <x:is>
          <x:t xml:space="preserve">江西省鹰潭市月湖区鹰潭工业园区</x:t>
        </x:is>
      </x:c>
      <x:c r="K3458" s="12" t="str">
        <x:f>LEFT("913606006647584129",18)</x:f>
        <x:v>913606006647584100</x:v>
      </x:c>
    </x:row>
    <x:row r="3459">
      <x:c r="A3459" s="4" t="n">
        <x:v>3458</x:v>
      </x:c>
      <x:c r="B3459" s="4" t="inlineStr">
        <x:is>
          <x:t xml:space="preserve">603235</x:t>
        </x:is>
      </x:c>
      <x:c r="C3459" s="5" t="inlineStr">
        <x:is>
          <x:t xml:space="preserve">天新药业</x:t>
        </x:is>
      </x:c>
      <x:c r="D3459" s="5" t="inlineStr">
        <x:is>
          <x:t xml:space="preserve">江西天新药业股份有限公司</x:t>
        </x:is>
      </x:c>
      <x:c r="E3459" s="4" t="inlineStr">
        <x:is>
          <x:t xml:space="preserve">江西省</x:t>
        </x:is>
      </x:c>
      <x:c r="F3459" s="4" t="inlineStr">
        <x:is>
          <x:t xml:space="preserve">景德镇市</x:t>
        </x:is>
      </x:c>
      <x:c r="G3459" s="5" t="inlineStr">
        <x:is>
          <x:t xml:space="preserve">江西省-景德镇市</x:t>
        </x:is>
      </x:c>
      <x:c r="H3459" s="4" t="inlineStr">
        <x:is>
          <x:t xml:space="preserve">食品饮料</x:t>
        </x:is>
      </x:c>
      <x:c r="I3459" s="4" t="inlineStr">
        <x:is>
          <x:t xml:space="preserve">2022-07-12</x:t>
        </x:is>
      </x:c>
      <x:c r="J3459" s="5" t="inlineStr">
        <x:is>
          <x:t xml:space="preserve">江西省景德镇市乐平市工业园</x:t>
        </x:is>
      </x:c>
      <x:c r="K3459" s="12" t="str">
        <x:f>LEFT("91360200767014627G",18)</x:f>
        <x:v>91360200767014627G</x:v>
      </x:c>
    </x:row>
    <x:row r="3460">
      <x:c r="A3460" s="2" t="n">
        <x:v>3459</x:v>
      </x:c>
      <x:c r="B3460" s="2" t="inlineStr">
        <x:is>
          <x:t xml:space="preserve">603257</x:t>
        </x:is>
      </x:c>
      <x:c r="C3460" s="3" t="inlineStr">
        <x:is>
          <x:t xml:space="preserve">中国瑞林</x:t>
        </x:is>
      </x:c>
      <x:c r="D3460" s="3" t="inlineStr">
        <x:is>
          <x:t xml:space="preserve">中国瑞林工程技术股份有限公司</x:t>
        </x:is>
      </x:c>
      <x:c r="E3460" s="2" t="inlineStr">
        <x:is>
          <x:t xml:space="preserve">江西省</x:t>
        </x:is>
      </x:c>
      <x:c r="F3460" s="2" t="inlineStr">
        <x:is>
          <x:t xml:space="preserve">南昌市</x:t>
        </x:is>
      </x:c>
      <x:c r="G3460" s="3" t="inlineStr">
        <x:is>
          <x:t xml:space="preserve">江西省-南昌市</x:t>
        </x:is>
      </x:c>
      <x:c r="H3460" s="2" t="inlineStr">
        <x:is>
          <x:t xml:space="preserve">工程咨询服务</x:t>
        </x:is>
      </x:c>
      <x:c r="I3460" s="2" t="inlineStr">
        <x:is>
          <x:t xml:space="preserve">2025-04-08</x:t>
        </x:is>
      </x:c>
      <x:c r="J3460" s="3" t="inlineStr">
        <x:is>
          <x:t xml:space="preserve">江西省南昌市红角洲前湖大道888号</x:t>
        </x:is>
      </x:c>
      <x:c r="K3460" s="12" t="str">
        <x:f>LEFT("91360000158263599J",18)</x:f>
        <x:v>91360000158263599J</x:v>
      </x:c>
    </x:row>
    <x:row r="3461">
      <x:c r="A3461" s="4" t="n">
        <x:v>3460</x:v>
      </x:c>
      <x:c r="B3461" s="4" t="inlineStr">
        <x:is>
          <x:t xml:space="preserve">603398</x:t>
        </x:is>
      </x:c>
      <x:c r="C3461" s="5" t="inlineStr">
        <x:is>
          <x:t xml:space="preserve">*ST沐邦</x:t>
        </x:is>
      </x:c>
      <x:c r="D3461" s="5" t="inlineStr">
        <x:is>
          <x:t xml:space="preserve">江西沐邦高科股份有限公司</x:t>
        </x:is>
      </x:c>
      <x:c r="E3461" s="4" t="inlineStr">
        <x:is>
          <x:t xml:space="preserve">江西省</x:t>
        </x:is>
      </x:c>
      <x:c r="F3461" s="4" t="inlineStr">
        <x:is>
          <x:t xml:space="preserve">南昌市</x:t>
        </x:is>
      </x:c>
      <x:c r="G3461" s="5" t="inlineStr">
        <x:is>
          <x:t xml:space="preserve">江西省-南昌市</x:t>
        </x:is>
      </x:c>
      <x:c r="H3461" s="4" t="inlineStr">
        <x:is>
          <x:t xml:space="preserve">光伏设备</x:t>
        </x:is>
      </x:c>
      <x:c r="I3461" s="4" t="inlineStr">
        <x:is>
          <x:t xml:space="preserve">2015-12-09</x:t>
        </x:is>
      </x:c>
      <x:c r="J3461" s="5" t="inlineStr">
        <x:is>
          <x:t xml:space="preserve">江西省南昌市安义县工业园区东阳大道18号</x:t>
        </x:is>
      </x:c>
      <x:c r="K3461" s="12" t="str">
        <x:f>LEFT("91440500752874130F",18)</x:f>
        <x:v>91440500752874130F</x:v>
      </x:c>
    </x:row>
    <x:row r="3462">
      <x:c r="A3462" s="2" t="n">
        <x:v>3461</x:v>
      </x:c>
      <x:c r="B3462" s="2" t="inlineStr">
        <x:is>
          <x:t xml:space="preserve">603773</x:t>
        </x:is>
      </x:c>
      <x:c r="C3462" s="3" t="inlineStr">
        <x:is>
          <x:t xml:space="preserve">沃格光电</x:t>
        </x:is>
      </x:c>
      <x:c r="D3462" s="3" t="inlineStr">
        <x:is>
          <x:t xml:space="preserve">江西沃格光电集团股份有限公司</x:t>
        </x:is>
      </x:c>
      <x:c r="E3462" s="2" t="inlineStr">
        <x:is>
          <x:t xml:space="preserve">江西省</x:t>
        </x:is>
      </x:c>
      <x:c r="F3462" s="2" t="inlineStr">
        <x:is>
          <x:t xml:space="preserve">新余市</x:t>
        </x:is>
      </x:c>
      <x:c r="G3462" s="3" t="inlineStr">
        <x:is>
          <x:t xml:space="preserve">江西省-新余市</x:t>
        </x:is>
      </x:c>
      <x:c r="H3462" s="2" t="inlineStr">
        <x:is>
          <x:t xml:space="preserve">光学光电子</x:t>
        </x:is>
      </x:c>
      <x:c r="I3462" s="2" t="inlineStr">
        <x:is>
          <x:t xml:space="preserve">2018-04-17</x:t>
        </x:is>
      </x:c>
      <x:c r="J3462" s="3" t="inlineStr">
        <x:is>
          <x:t xml:space="preserve">江西省新余高新技术产业开发区西城大道沃格工业园</x:t>
        </x:is>
      </x:c>
      <x:c r="K3462" s="12" t="str">
        <x:f>LEFT("91360500698460390M",18)</x:f>
        <x:v>91360500698460390M</x:v>
      </x:c>
    </x:row>
    <x:row r="3463">
      <x:c r="A3463" s="4" t="n">
        <x:v>3462</x:v>
      </x:c>
      <x:c r="B3463" s="4" t="inlineStr">
        <x:is>
          <x:t xml:space="preserve">603977</x:t>
        </x:is>
      </x:c>
      <x:c r="C3463" s="5" t="inlineStr">
        <x:is>
          <x:t xml:space="preserve">国泰集团</x:t>
        </x:is>
      </x:c>
      <x:c r="D3463" s="5" t="inlineStr">
        <x:is>
          <x:t xml:space="preserve">江西国泰集团股份有限公司</x:t>
        </x:is>
      </x:c>
      <x:c r="E3463" s="4" t="inlineStr">
        <x:is>
          <x:t xml:space="preserve">江西省</x:t>
        </x:is>
      </x:c>
      <x:c r="F3463" s="4" t="inlineStr">
        <x:is>
          <x:t xml:space="preserve">南昌市</x:t>
        </x:is>
      </x:c>
      <x:c r="G3463" s="5" t="inlineStr">
        <x:is>
          <x:t xml:space="preserve">江西省-南昌市</x:t>
        </x:is>
      </x:c>
      <x:c r="H3463" s="4" t="inlineStr">
        <x:is>
          <x:t xml:space="preserve">化工行业</x:t>
        </x:is>
      </x:c>
      <x:c r="I3463" s="4" t="inlineStr">
        <x:is>
          <x:t xml:space="preserve">2016-11-11</x:t>
        </x:is>
      </x:c>
      <x:c r="J3463" s="5" t="inlineStr">
        <x:is>
          <x:t xml:space="preserve">江西省南昌市南昌高新技术产业开发区高新大道699号</x:t>
        </x:is>
      </x:c>
      <x:c r="K3463" s="12" t="str">
        <x:f>LEFT("913600007969593637",18)</x:f>
        <x:v>913600007969593600</x:v>
      </x:c>
    </x:row>
    <x:row r="3464">
      <x:c r="A3464" s="2" t="n">
        <x:v>3463</x:v>
      </x:c>
      <x:c r="B3464" s="2" t="inlineStr">
        <x:is>
          <x:t xml:space="preserve">605090</x:t>
        </x:is>
      </x:c>
      <x:c r="C3464" s="3" t="inlineStr">
        <x:is>
          <x:t xml:space="preserve">九丰能源</x:t>
        </x:is>
      </x:c>
      <x:c r="D3464" s="3" t="inlineStr">
        <x:is>
          <x:t xml:space="preserve">江西九丰能源股份有限公司</x:t>
        </x:is>
      </x:c>
      <x:c r="E3464" s="2" t="inlineStr">
        <x:is>
          <x:t xml:space="preserve">江西省</x:t>
        </x:is>
      </x:c>
      <x:c r="F3464" s="2" t="inlineStr">
        <x:is>
          <x:t xml:space="preserve">赣州市</x:t>
        </x:is>
      </x:c>
      <x:c r="G3464" s="3" t="inlineStr">
        <x:is>
          <x:t xml:space="preserve">江西省-赣州市</x:t>
        </x:is>
      </x:c>
      <x:c r="H3464" s="2" t="inlineStr">
        <x:is>
          <x:t xml:space="preserve">燃气</x:t>
        </x:is>
      </x:c>
      <x:c r="I3464" s="2" t="inlineStr">
        <x:is>
          <x:t xml:space="preserve">2021-05-25</x:t>
        </x:is>
      </x:c>
      <x:c r="J3464" s="3" t="inlineStr">
        <x:is>
          <x:t xml:space="preserve">江西省赣州市于都县工业新区振兴大道西侧</x:t>
        </x:is>
      </x:c>
      <x:c r="K3464" s="12" t="str">
        <x:f>LEFT("91440101671830144D",18)</x:f>
        <x:v>91440101671830144D</x:v>
      </x:c>
    </x:row>
    <x:row r="3465">
      <x:c r="A3465" s="4" t="n">
        <x:v>3464</x:v>
      </x:c>
      <x:c r="B3465" s="4" t="inlineStr">
        <x:is>
          <x:t xml:space="preserve">605188</x:t>
        </x:is>
      </x:c>
      <x:c r="C3465" s="5" t="inlineStr">
        <x:is>
          <x:t xml:space="preserve">国光连锁</x:t>
        </x:is>
      </x:c>
      <x:c r="D3465" s="5" t="inlineStr">
        <x:is>
          <x:t xml:space="preserve">江西国光商业连锁股份有限公司</x:t>
        </x:is>
      </x:c>
      <x:c r="E3465" s="4" t="inlineStr">
        <x:is>
          <x:t xml:space="preserve">江西省</x:t>
        </x:is>
      </x:c>
      <x:c r="F3465" s="4" t="inlineStr">
        <x:is>
          <x:t xml:space="preserve">吉安市</x:t>
        </x:is>
      </x:c>
      <x:c r="G3465" s="5" t="inlineStr">
        <x:is>
          <x:t xml:space="preserve">江西省-吉安市</x:t>
        </x:is>
      </x:c>
      <x:c r="H3465" s="4" t="inlineStr">
        <x:is>
          <x:t xml:space="preserve">商业百货</x:t>
        </x:is>
      </x:c>
      <x:c r="I3465" s="4" t="inlineStr">
        <x:is>
          <x:t xml:space="preserve">2020-07-28</x:t>
        </x:is>
      </x:c>
      <x:c r="J3465" s="5" t="inlineStr">
        <x:is>
          <x:t xml:space="preserve">江西省吉安市青原区文天祥大道8号</x:t>
        </x:is>
      </x:c>
      <x:c r="K3465" s="12" t="str">
        <x:f>LEFT("91360800781469142R",18)</x:f>
        <x:v>91360800781469142R</x:v>
      </x:c>
    </x:row>
    <x:row r="3466">
      <x:c r="A3466" s="2" t="n">
        <x:v>3465</x:v>
      </x:c>
      <x:c r="B3466" s="2" t="inlineStr">
        <x:is>
          <x:t xml:space="preserve">605366</x:t>
        </x:is>
      </x:c>
      <x:c r="C3466" s="3" t="inlineStr">
        <x:is>
          <x:t xml:space="preserve">宏柏新材</x:t>
        </x:is>
      </x:c>
      <x:c r="D3466" s="3" t="inlineStr">
        <x:is>
          <x:t xml:space="preserve">江西宏柏新材料股份有限公司</x:t>
        </x:is>
      </x:c>
      <x:c r="E3466" s="2" t="inlineStr">
        <x:is>
          <x:t xml:space="preserve">江西省</x:t>
        </x:is>
      </x:c>
      <x:c r="F3466" s="2" t="inlineStr">
        <x:is>
          <x:t xml:space="preserve">西省乐平市</x:t>
        </x:is>
      </x:c>
      <x:c r="G3466" s="3" t="inlineStr">
        <x:is>
          <x:t xml:space="preserve">江西省-西省乐平市</x:t>
        </x:is>
      </x:c>
      <x:c r="H3466" s="2" t="inlineStr">
        <x:is>
          <x:t xml:space="preserve">化工行业</x:t>
        </x:is>
      </x:c>
      <x:c r="I3466" s="2" t="inlineStr">
        <x:is>
          <x:t xml:space="preserve">2020-08-12</x:t>
        </x:is>
      </x:c>
      <x:c r="J3466" s="3" t="inlineStr">
        <x:is>
          <x:t xml:space="preserve">江西省乐平市塔山工业园区工业九路</x:t>
        </x:is>
      </x:c>
      <x:c r="K3466" s="12" t="str">
        <x:f>LEFT("913602007841010956",18)</x:f>
        <x:v>913602007841011000</x:v>
      </x:c>
    </x:row>
    <x:row r="3467">
      <x:c r="A3467" s="4" t="n">
        <x:v>3466</x:v>
      </x:c>
      <x:c r="B3467" s="4" t="inlineStr">
        <x:is>
          <x:t xml:space="preserve">605399</x:t>
        </x:is>
      </x:c>
      <x:c r="C3467" s="5" t="inlineStr">
        <x:is>
          <x:t xml:space="preserve">晨光新材</x:t>
        </x:is>
      </x:c>
      <x:c r="D3467" s="5" t="inlineStr">
        <x:is>
          <x:t xml:space="preserve">江西晨光新材料股份有限公司</x:t>
        </x:is>
      </x:c>
      <x:c r="E3467" s="4" t="inlineStr">
        <x:is>
          <x:t xml:space="preserve">江西省</x:t>
        </x:is>
      </x:c>
      <x:c r="F3467" s="4" t="inlineStr">
        <x:is>
          <x:t xml:space="preserve">九江市</x:t>
        </x:is>
      </x:c>
      <x:c r="G3467" s="5" t="inlineStr">
        <x:is>
          <x:t xml:space="preserve">江西省-九江市</x:t>
        </x:is>
      </x:c>
      <x:c r="H3467" s="4" t="inlineStr">
        <x:is>
          <x:t xml:space="preserve">化工行业</x:t>
        </x:is>
      </x:c>
      <x:c r="I3467" s="4" t="inlineStr">
        <x:is>
          <x:t xml:space="preserve">2020-08-04</x:t>
        </x:is>
      </x:c>
      <x:c r="J3467" s="5" t="inlineStr">
        <x:is>
          <x:t xml:space="preserve">江西省九江市湖口县金砂湾工业园</x:t>
        </x:is>
      </x:c>
      <x:c r="K3467" s="12" t="str">
        <x:f>LEFT("91360400792837107D",18)</x:f>
        <x:v>91360400792837107D</x:v>
      </x:c>
    </x:row>
    <x:row r="3468">
      <x:c r="A3468" s="2" t="n">
        <x:v>3467</x:v>
      </x:c>
      <x:c r="B3468" s="2" t="inlineStr">
        <x:is>
          <x:t xml:space="preserve">688057</x:t>
        </x:is>
      </x:c>
      <x:c r="C3468" s="3" t="inlineStr">
        <x:is>
          <x:t xml:space="preserve">金达莱</x:t>
        </x:is>
      </x:c>
      <x:c r="D3468" s="3" t="inlineStr">
        <x:is>
          <x:t xml:space="preserve">江西金达莱环保股份有限公司</x:t>
        </x:is>
      </x:c>
      <x:c r="E3468" s="2" t="inlineStr">
        <x:is>
          <x:t xml:space="preserve">江西省</x:t>
        </x:is>
      </x:c>
      <x:c r="F3468" s="2" t="inlineStr">
        <x:is>
          <x:t xml:space="preserve">南昌市</x:t>
        </x:is>
      </x:c>
      <x:c r="G3468" s="3" t="inlineStr">
        <x:is>
          <x:t xml:space="preserve">江西省-南昌市</x:t>
        </x:is>
      </x:c>
      <x:c r="H3468" s="2" t="inlineStr">
        <x:is>
          <x:t xml:space="preserve">环保工程</x:t>
        </x:is>
      </x:c>
      <x:c r="I3468" s="2" t="inlineStr">
        <x:is>
          <x:t xml:space="preserve">2020-11-11</x:t>
        </x:is>
      </x:c>
      <x:c r="J3468" s="3" t="inlineStr">
        <x:is>
          <x:t xml:space="preserve">江西省南昌市新建区长堎外商投资开发区工业大道459号</x:t>
        </x:is>
      </x:c>
      <x:c r="K3468" s="12" t="str">
        <x:f>LEFT("91360100767035268J",18)</x:f>
        <x:v>91360100767035268J</x:v>
      </x:c>
    </x:row>
    <x:row r="3469">
      <x:c r="A3469" s="4" t="n">
        <x:v>3468</x:v>
      </x:c>
      <x:c r="B3469" s="4" t="inlineStr">
        <x:is>
          <x:t xml:space="preserve">688223</x:t>
        </x:is>
      </x:c>
      <x:c r="C3469" s="5" t="inlineStr">
        <x:is>
          <x:t xml:space="preserve">晶科能源</x:t>
        </x:is>
      </x:c>
      <x:c r="D3469" s="5" t="inlineStr">
        <x:is>
          <x:t xml:space="preserve">晶科能源股份有限公司</x:t>
        </x:is>
      </x:c>
      <x:c r="E3469" s="4" t="inlineStr">
        <x:is>
          <x:t xml:space="preserve">江西省</x:t>
        </x:is>
      </x:c>
      <x:c r="F3469" s="4" t="inlineStr">
        <x:is>
          <x:t xml:space="preserve">上饶市</x:t>
        </x:is>
      </x:c>
      <x:c r="G3469" s="5" t="inlineStr">
        <x:is>
          <x:t xml:space="preserve">江西省-上饶市</x:t>
        </x:is>
      </x:c>
      <x:c r="H3469" s="4" t="inlineStr">
        <x:is>
          <x:t xml:space="preserve">光伏设备</x:t>
        </x:is>
      </x:c>
      <x:c r="I3469" s="4" t="inlineStr">
        <x:is>
          <x:t xml:space="preserve">2022-01-26</x:t>
        </x:is>
      </x:c>
      <x:c r="J3469" s="5" t="inlineStr">
        <x:is>
          <x:t xml:space="preserve">江西省上饶经济技术开发区迎宾大道1号</x:t>
        </x:is>
      </x:c>
      <x:c r="K3469" s="12" t="str">
        <x:f>LEFT("91361100794799028G",18)</x:f>
        <x:v>91361100794799028G</x:v>
      </x:c>
    </x:row>
    <x:row r="3470">
      <x:c r="A3470" s="2" t="n">
        <x:v>3469</x:v>
      </x:c>
      <x:c r="B3470" s="2" t="inlineStr">
        <x:is>
          <x:t xml:space="preserve">688543</x:t>
        </x:is>
      </x:c>
      <x:c r="C3470" s="3" t="inlineStr">
        <x:is>
          <x:t xml:space="preserve">国科军工</x:t>
        </x:is>
      </x:c>
      <x:c r="D3470" s="3" t="inlineStr">
        <x:is>
          <x:t xml:space="preserve">江西国科军工集团股份有限公司</x:t>
        </x:is>
      </x:c>
      <x:c r="E3470" s="2" t="inlineStr">
        <x:is>
          <x:t xml:space="preserve">江西省</x:t>
        </x:is>
      </x:c>
      <x:c r="F3470" s="2" t="inlineStr">
        <x:is>
          <x:t xml:space="preserve">南昌市</x:t>
        </x:is>
      </x:c>
      <x:c r="G3470" s="3" t="inlineStr">
        <x:is>
          <x:t xml:space="preserve">江西省-南昌市</x:t>
        </x:is>
      </x:c>
      <x:c r="H3470" s="2" t="inlineStr">
        <x:is>
          <x:t xml:space="preserve">航天航空</x:t>
        </x:is>
      </x:c>
      <x:c r="I3470" s="2" t="inlineStr">
        <x:is>
          <x:t xml:space="preserve">2023-06-21</x:t>
        </x:is>
      </x:c>
      <x:c r="J3470" s="3" t="inlineStr">
        <x:is>
          <x:t xml:space="preserve">江西省南昌市南昌经济技术开发区建业大街999号</x:t>
        </x:is>
      </x:c>
      <x:c r="K3470" s="12" t="str">
        <x:f>LEFT("91360000669771691N",18)</x:f>
        <x:v>91360000669771691N</x:v>
      </x:c>
    </x:row>
    <x:row r="3471">
      <x:c r="A3471" s="4" t="n">
        <x:v>3470</x:v>
      </x:c>
      <x:c r="B3471" s="4" t="inlineStr">
        <x:is>
          <x:t xml:space="preserve">688560</x:t>
        </x:is>
      </x:c>
      <x:c r="C3471" s="5" t="inlineStr">
        <x:is>
          <x:t xml:space="preserve">明冠新材</x:t>
        </x:is>
      </x:c>
      <x:c r="D3471" s="5" t="inlineStr">
        <x:is>
          <x:t xml:space="preserve">明冠新材料股份有限公司</x:t>
        </x:is>
      </x:c>
      <x:c r="E3471" s="4" t="inlineStr">
        <x:is>
          <x:t xml:space="preserve">江西省</x:t>
        </x:is>
      </x:c>
      <x:c r="F3471" s="4" t="inlineStr">
        <x:is>
          <x:t xml:space="preserve">宜春市</x:t>
        </x:is>
      </x:c>
      <x:c r="G3471" s="5" t="inlineStr">
        <x:is>
          <x:t xml:space="preserve">江西省-宜春市</x:t>
        </x:is>
      </x:c>
      <x:c r="H3471" s="4" t="inlineStr">
        <x:is>
          <x:t xml:space="preserve">光伏设备</x:t>
        </x:is>
      </x:c>
      <x:c r="I3471" s="4" t="inlineStr">
        <x:is>
          <x:t xml:space="preserve">2020-12-24</x:t>
        </x:is>
      </x:c>
      <x:c r="J3471" s="5" t="inlineStr">
        <x:is>
          <x:t xml:space="preserve">江西省宜春市宜春经济技术开发区经发大道32号</x:t>
        </x:is>
      </x:c>
      <x:c r="K3471" s="12" t="str">
        <x:f>LEFT("91360900667497406N",18)</x:f>
        <x:v>91360900667497406N</x:v>
      </x:c>
    </x:row>
    <x:row r="3472">
      <x:c r="A3472" s="2" t="n">
        <x:v>3471</x:v>
      </x:c>
      <x:c r="B3472" s="2" t="inlineStr">
        <x:is>
          <x:t xml:space="preserve">688567</x:t>
        </x:is>
      </x:c>
      <x:c r="C3472" s="3" t="inlineStr">
        <x:is>
          <x:t xml:space="preserve">孚能科技</x:t>
        </x:is>
      </x:c>
      <x:c r="D3472" s="3" t="inlineStr">
        <x:is>
          <x:t xml:space="preserve">孚能科技(赣州)股份有限公司</x:t>
        </x:is>
      </x:c>
      <x:c r="E3472" s="2" t="inlineStr">
        <x:is>
          <x:t xml:space="preserve">江西省</x:t>
        </x:is>
      </x:c>
      <x:c r="F3472" s="2" t="inlineStr">
        <x:is>
          <x:t xml:space="preserve">赣州市</x:t>
        </x:is>
      </x:c>
      <x:c r="G3472" s="3" t="inlineStr">
        <x:is>
          <x:t xml:space="preserve">江西省-赣州市</x:t>
        </x:is>
      </x:c>
      <x:c r="H3472" s="2" t="inlineStr">
        <x:is>
          <x:t xml:space="preserve">电池</x:t>
        </x:is>
      </x:c>
      <x:c r="I3472" s="2" t="inlineStr">
        <x:is>
          <x:t xml:space="preserve">2020-07-17</x:t>
        </x:is>
      </x:c>
      <x:c r="J3472" s="3" t="inlineStr">
        <x:is>
          <x:t xml:space="preserve">江西省赣州经济技术开发区金岭西路北侧彩蝶路西侧</x:t>
        </x:is>
      </x:c>
      <x:c r="K3472" s="12" t="str">
        <x:f>LEFT("913607006984663896",18)</x:f>
        <x:v>913607006984663900</x:v>
      </x:c>
    </x:row>
    <x:row r="3473">
      <x:c r="A3473" s="4" t="n">
        <x:v>3472</x:v>
      </x:c>
      <x:c r="B3473" s="4" t="inlineStr">
        <x:is>
          <x:t xml:space="preserve">688786</x:t>
        </x:is>
      </x:c>
      <x:c r="C3473" s="5" t="inlineStr">
        <x:is>
          <x:t xml:space="preserve">悦安新材</x:t>
        </x:is>
      </x:c>
      <x:c r="D3473" s="5" t="inlineStr">
        <x:is>
          <x:t xml:space="preserve">江西悦安新材料股份有限公司</x:t>
        </x:is>
      </x:c>
      <x:c r="E3473" s="4" t="inlineStr">
        <x:is>
          <x:t xml:space="preserve">江西省</x:t>
        </x:is>
      </x:c>
      <x:c r="F3473" s="4" t="inlineStr">
        <x:is>
          <x:t xml:space="preserve">赣州市</x:t>
        </x:is>
      </x:c>
      <x:c r="G3473" s="5" t="inlineStr">
        <x:is>
          <x:t xml:space="preserve">江西省-赣州市</x:t>
        </x:is>
      </x:c>
      <x:c r="H3473" s="4" t="inlineStr">
        <x:is>
          <x:t xml:space="preserve">有色金属</x:t>
        </x:is>
      </x:c>
      <x:c r="I3473" s="4" t="inlineStr">
        <x:is>
          <x:t xml:space="preserve">2021-08-26</x:t>
        </x:is>
      </x:c>
      <x:c r="J3473" s="5" t="inlineStr">
        <x:is>
          <x:t xml:space="preserve">江西省赣州市大余县新世纪工业城</x:t>
        </x:is>
      </x:c>
      <x:c r="K3473" s="12" t="str">
        <x:f>LEFT("91360700767035073P",18)</x:f>
        <x:v>91360700767035073P</x:v>
      </x:c>
    </x:row>
    <x:row r="3474">
      <x:c r="A3474" s="2" t="n">
        <x:v>3473</x:v>
      </x:c>
      <x:c r="B3474" s="2" t="inlineStr">
        <x:is>
          <x:t xml:space="preserve">000158</x:t>
        </x:is>
      </x:c>
      <x:c r="C3474" s="3" t="inlineStr">
        <x:is>
          <x:t xml:space="preserve">常山北明</x:t>
        </x:is>
      </x:c>
      <x:c r="D3474" s="3" t="inlineStr">
        <x:is>
          <x:t xml:space="preserve">石家庄常山北明科技股份有限公司</x:t>
        </x:is>
      </x:c>
      <x:c r="E3474" s="2" t="inlineStr">
        <x:is>
          <x:t xml:space="preserve">河北省</x:t>
        </x:is>
      </x:c>
      <x:c r="F3474" s="2" t="inlineStr">
        <x:is>
          <x:t xml:space="preserve">石家庄市</x:t>
        </x:is>
      </x:c>
      <x:c r="G3474" s="3" t="inlineStr">
        <x:is>
          <x:t xml:space="preserve">河北省-石家庄市</x:t>
        </x:is>
      </x:c>
      <x:c r="H3474" s="2" t="inlineStr">
        <x:is>
          <x:t xml:space="preserve">综合行业</x:t>
        </x:is>
      </x:c>
      <x:c r="I3474" s="2" t="inlineStr">
        <x:is>
          <x:t xml:space="preserve">2000-07-24</x:t>
        </x:is>
      </x:c>
      <x:c r="J3474" s="3" t="inlineStr">
        <x:is>
          <x:t xml:space="preserve">河北省石家庄市长安区广安大街34号天利商务大厦九层</x:t>
        </x:is>
      </x:c>
      <x:c r="K3474" s="12" t="str">
        <x:f>LEFT("91130100700715920E",18)</x:f>
        <x:v>91130100700715920E</x:v>
      </x:c>
    </x:row>
    <x:row r="3475">
      <x:c r="A3475" s="4" t="n">
        <x:v>3474</x:v>
      </x:c>
      <x:c r="B3475" s="4" t="inlineStr">
        <x:is>
          <x:t xml:space="preserve">000401</x:t>
        </x:is>
      </x:c>
      <x:c r="C3475" s="5" t="inlineStr">
        <x:is>
          <x:t xml:space="preserve">金隅冀东</x:t>
        </x:is>
      </x:c>
      <x:c r="D3475" s="5" t="inlineStr">
        <x:is>
          <x:t xml:space="preserve">金隅冀东水泥集团股份有限公司</x:t>
        </x:is>
      </x:c>
      <x:c r="E3475" s="4" t="inlineStr">
        <x:is>
          <x:t xml:space="preserve">河北省</x:t>
        </x:is>
      </x:c>
      <x:c r="F3475" s="4" t="inlineStr">
        <x:is>
          <x:t xml:space="preserve">唐山市</x:t>
        </x:is>
      </x:c>
      <x:c r="G3475" s="5" t="inlineStr">
        <x:is>
          <x:t xml:space="preserve">河北省-唐山市</x:t>
        </x:is>
      </x:c>
      <x:c r="H3475" s="4" t="inlineStr">
        <x:is>
          <x:t xml:space="preserve">水泥建材</x:t>
        </x:is>
      </x:c>
      <x:c r="I3475" s="4" t="inlineStr">
        <x:is>
          <x:t xml:space="preserve">1996-06-14</x:t>
        </x:is>
      </x:c>
      <x:c r="J3475" s="5" t="inlineStr">
        <x:is>
          <x:t xml:space="preserve">河北省唐山市丰润区林荫路</x:t>
        </x:is>
      </x:c>
      <x:c r="K3475" s="12" t="str">
        <x:f>LEFT("91130200104364503X",18)</x:f>
        <x:v>91130200104364503X</x:v>
      </x:c>
    </x:row>
    <x:row r="3476">
      <x:c r="A3476" s="2" t="n">
        <x:v>3475</x:v>
      </x:c>
      <x:c r="B3476" s="2" t="inlineStr">
        <x:is>
          <x:t xml:space="preserve">000600</x:t>
        </x:is>
      </x:c>
      <x:c r="C3476" s="3" t="inlineStr">
        <x:is>
          <x:t xml:space="preserve">建投能源</x:t>
        </x:is>
      </x:c>
      <x:c r="D3476" s="3" t="inlineStr">
        <x:is>
          <x:t xml:space="preserve">河北建投能源投资股份有限公司</x:t>
        </x:is>
      </x:c>
      <x:c r="E3476" s="2" t="inlineStr">
        <x:is>
          <x:t xml:space="preserve">河北省</x:t>
        </x:is>
      </x:c>
      <x:c r="F3476" s="2" t="inlineStr">
        <x:is>
          <x:t xml:space="preserve">石家庄市</x:t>
        </x:is>
      </x:c>
      <x:c r="G3476" s="3" t="inlineStr">
        <x:is>
          <x:t xml:space="preserve">河北省-石家庄市</x:t>
        </x:is>
      </x:c>
      <x:c r="H3476" s="2" t="inlineStr">
        <x:is>
          <x:t xml:space="preserve">电力行业</x:t>
        </x:is>
      </x:c>
      <x:c r="I3476" s="2" t="inlineStr">
        <x:is>
          <x:t xml:space="preserve">1996-06-06</x:t>
        </x:is>
      </x:c>
      <x:c r="J3476" s="3" t="inlineStr">
        <x:is>
          <x:t xml:space="preserve">石家庄市裕华西路9号</x:t>
        </x:is>
      </x:c>
      <x:c r="K3476" s="12" t="str">
        <x:f>LEFT("91130100236018805C",18)</x:f>
        <x:v>91130100236018805C</x:v>
      </x:c>
    </x:row>
    <x:row r="3477">
      <x:c r="A3477" s="4" t="n">
        <x:v>3476</x:v>
      </x:c>
      <x:c r="B3477" s="4" t="inlineStr">
        <x:is>
          <x:t xml:space="preserve">000709</x:t>
        </x:is>
      </x:c>
      <x:c r="C3477" s="5" t="inlineStr">
        <x:is>
          <x:t xml:space="preserve">河钢股份</x:t>
        </x:is>
      </x:c>
      <x:c r="D3477" s="5" t="inlineStr">
        <x:is>
          <x:t xml:space="preserve">河钢股份有限公司</x:t>
        </x:is>
      </x:c>
      <x:c r="E3477" s="4" t="inlineStr">
        <x:is>
          <x:t xml:space="preserve">河北省</x:t>
        </x:is>
      </x:c>
      <x:c r="F3477" s="4" t="inlineStr">
        <x:is>
          <x:t xml:space="preserve">石家庄市</x:t>
        </x:is>
      </x:c>
      <x:c r="G3477" s="5" t="inlineStr">
        <x:is>
          <x:t xml:space="preserve">河北省-石家庄市</x:t>
        </x:is>
      </x:c>
      <x:c r="H3477" s="4" t="inlineStr">
        <x:is>
          <x:t xml:space="preserve">钢铁行业</x:t>
        </x:is>
      </x:c>
      <x:c r="I3477" s="4" t="inlineStr">
        <x:is>
          <x:t xml:space="preserve">1997-04-16</x:t>
        </x:is>
      </x:c>
      <x:c r="J3477" s="5" t="inlineStr">
        <x:is>
          <x:t xml:space="preserve">石家庄市体育南大街385号</x:t>
        </x:is>
      </x:c>
      <x:c r="K3477" s="12" t="str">
        <x:f>LEFT("91130000104759628H",18)</x:f>
        <x:v>91130000104759628H</x:v>
      </x:c>
    </x:row>
    <x:row r="3478">
      <x:c r="A3478" s="2" t="n">
        <x:v>3477</x:v>
      </x:c>
      <x:c r="B3478" s="2" t="inlineStr">
        <x:is>
          <x:t xml:space="preserve">000778</x:t>
        </x:is>
      </x:c>
      <x:c r="C3478" s="3" t="inlineStr">
        <x:is>
          <x:t xml:space="preserve">新兴铸管</x:t>
        </x:is>
      </x:c>
      <x:c r="D3478" s="3" t="inlineStr">
        <x:is>
          <x:t xml:space="preserve">新兴铸管股份有限公司</x:t>
        </x:is>
      </x:c>
      <x:c r="E3478" s="2" t="inlineStr">
        <x:is>
          <x:t xml:space="preserve">河北省</x:t>
        </x:is>
      </x:c>
      <x:c r="F3478" s="2" t="inlineStr">
        <x:is>
          <x:t xml:space="preserve">北省武安市</x:t>
        </x:is>
      </x:c>
      <x:c r="G3478" s="3" t="inlineStr">
        <x:is>
          <x:t xml:space="preserve">河北省-北省武安市</x:t>
        </x:is>
      </x:c>
      <x:c r="H3478" s="2" t="inlineStr">
        <x:is>
          <x:t xml:space="preserve">钢铁行业</x:t>
        </x:is>
      </x:c>
      <x:c r="I3478" s="2" t="inlineStr">
        <x:is>
          <x:t xml:space="preserve">1997-06-06</x:t>
        </x:is>
      </x:c>
      <x:c r="J3478" s="3" t="inlineStr">
        <x:is>
          <x:t xml:space="preserve">河北省武安市上洛阳村北(二六七二厂区)</x:t>
        </x:is>
      </x:c>
      <x:c r="K3478" s="12" t="str">
        <x:f>LEFT("91130400104365768G",18)</x:f>
        <x:v>91130400104365768G</x:v>
      </x:c>
    </x:row>
    <x:row r="3479">
      <x:c r="A3479" s="4" t="n">
        <x:v>3478</x:v>
      </x:c>
      <x:c r="B3479" s="4" t="inlineStr">
        <x:is>
          <x:t xml:space="preserve">000848</x:t>
        </x:is>
      </x:c>
      <x:c r="C3479" s="5" t="inlineStr">
        <x:is>
          <x:t xml:space="preserve">承德露露</x:t>
        </x:is>
      </x:c>
      <x:c r="D3479" s="5" t="inlineStr">
        <x:is>
          <x:t xml:space="preserve">承德露露股份公司</x:t>
        </x:is>
      </x:c>
      <x:c r="E3479" s="4" t="inlineStr">
        <x:is>
          <x:t xml:space="preserve">河北省</x:t>
        </x:is>
      </x:c>
      <x:c r="F3479" s="4" t="inlineStr">
        <x:is>
          <x:t xml:space="preserve">承德市</x:t>
        </x:is>
      </x:c>
      <x:c r="G3479" s="5" t="inlineStr">
        <x:is>
          <x:t xml:space="preserve">河北省-承德市</x:t>
        </x:is>
      </x:c>
      <x:c r="H3479" s="4" t="inlineStr">
        <x:is>
          <x:t xml:space="preserve">食品饮料</x:t>
        </x:is>
      </x:c>
      <x:c r="I3479" s="4" t="inlineStr">
        <x:is>
          <x:t xml:space="preserve">1997-11-13</x:t>
        </x:is>
      </x:c>
      <x:c r="J3479" s="5" t="inlineStr">
        <x:is>
          <x:t xml:space="preserve">河北省承德市高新技术产业开发区上板城园区(东区9号)</x:t>
        </x:is>
      </x:c>
      <x:c r="K3479" s="12" t="str">
        <x:f>LEFT("91130000601268264C",18)</x:f>
        <x:v>91130000601268264C</x:v>
      </x:c>
    </x:row>
    <x:row r="3480">
      <x:c r="A3480" s="2" t="n">
        <x:v>3479</x:v>
      </x:c>
      <x:c r="B3480" s="2" t="inlineStr">
        <x:is>
          <x:t xml:space="preserve">000856</x:t>
        </x:is>
      </x:c>
      <x:c r="C3480" s="3" t="inlineStr">
        <x:is>
          <x:t xml:space="preserve">冀东装备</x:t>
        </x:is>
      </x:c>
      <x:c r="D3480" s="3" t="inlineStr">
        <x:is>
          <x:t xml:space="preserve">唐山冀东装备工程股份有限公司</x:t>
        </x:is>
      </x:c>
      <x:c r="E3480" s="2" t="inlineStr">
        <x:is>
          <x:t xml:space="preserve">河北省</x:t>
        </x:is>
      </x:c>
      <x:c r="F3480" s="2" t="inlineStr">
        <x:is>
          <x:t xml:space="preserve">唐山市</x:t>
        </x:is>
      </x:c>
      <x:c r="G3480" s="3" t="inlineStr">
        <x:is>
          <x:t xml:space="preserve">河北省-唐山市</x:t>
        </x:is>
      </x:c>
      <x:c r="H3480" s="2" t="inlineStr">
        <x:is>
          <x:t xml:space="preserve">专用设备</x:t>
        </x:is>
      </x:c>
      <x:c r="I3480" s="2" t="inlineStr">
        <x:is>
          <x:t xml:space="preserve">1998-08-13</x:t>
        </x:is>
      </x:c>
      <x:c r="J3480" s="3" t="inlineStr">
        <x:is>
          <x:t xml:space="preserve">唐山曹妃甸区装备制造产业园区</x:t>
        </x:is>
      </x:c>
      <x:c r="K3480" s="12" t="str">
        <x:f>LEFT("9113020070071264XQ",18)</x:f>
        <x:v>9113020070071264XQ</x:v>
      </x:c>
    </x:row>
    <x:row r="3481">
      <x:c r="A3481" s="4" t="n">
        <x:v>3480</x:v>
      </x:c>
      <x:c r="B3481" s="4" t="inlineStr">
        <x:is>
          <x:t xml:space="preserve">000889</x:t>
        </x:is>
      </x:c>
      <x:c r="C3481" s="5" t="inlineStr">
        <x:is>
          <x:t xml:space="preserve">中嘉博创</x:t>
        </x:is>
      </x:c>
      <x:c r="D3481" s="5" t="inlineStr">
        <x:is>
          <x:t xml:space="preserve">中嘉博创信息技术股份有限公司</x:t>
        </x:is>
      </x:c>
      <x:c r="E3481" s="4" t="inlineStr">
        <x:is>
          <x:t xml:space="preserve">河北省</x:t>
        </x:is>
      </x:c>
      <x:c r="F3481" s="4" t="inlineStr">
        <x:is>
          <x:t xml:space="preserve">秦皇岛市</x:t>
        </x:is>
      </x:c>
      <x:c r="G3481" s="5" t="inlineStr">
        <x:is>
          <x:t xml:space="preserve">河北省-秦皇岛市</x:t>
        </x:is>
      </x:c>
      <x:c r="H3481" s="4" t="inlineStr">
        <x:is>
          <x:t xml:space="preserve">通信服务</x:t>
        </x:is>
      </x:c>
      <x:c r="I3481" s="4" t="inlineStr">
        <x:is>
          <x:t xml:space="preserve">1997-12-18</x:t>
        </x:is>
      </x:c>
      <x:c r="J3481" s="5" t="inlineStr">
        <x:is>
          <x:t xml:space="preserve">秦皇岛市海港区河北大街中段146号26层</x:t>
        </x:is>
      </x:c>
      <x:c r="K3481" s="12" t="str">
        <x:f>LEFT("91130300104366111M",18)</x:f>
        <x:v>91130300104366111M</x:v>
      </x:c>
    </x:row>
    <x:row r="3482">
      <x:c r="A3482" s="2" t="n">
        <x:v>3481</x:v>
      </x:c>
      <x:c r="B3482" s="2" t="inlineStr">
        <x:is>
          <x:t xml:space="preserve">000923</x:t>
        </x:is>
      </x:c>
      <x:c r="C3482" s="3" t="inlineStr">
        <x:is>
          <x:t xml:space="preserve">河钢资源</x:t>
        </x:is>
      </x:c>
      <x:c r="D3482" s="3" t="inlineStr">
        <x:is>
          <x:t xml:space="preserve">河钢资源股份有限公司</x:t>
        </x:is>
      </x:c>
      <x:c r="E3482" s="2" t="inlineStr">
        <x:is>
          <x:t xml:space="preserve">河北省</x:t>
        </x:is>
      </x:c>
      <x:c r="F3482" s="2" t="inlineStr">
        <x:is>
          <x:t xml:space="preserve">张家口市</x:t>
        </x:is>
      </x:c>
      <x:c r="G3482" s="3" t="inlineStr">
        <x:is>
          <x:t xml:space="preserve">河北省-张家口市</x:t>
        </x:is>
      </x:c>
      <x:c r="H3482" s="2" t="inlineStr">
        <x:is>
          <x:t xml:space="preserve">钢铁行业</x:t>
        </x:is>
      </x:c>
      <x:c r="I3482" s="2" t="inlineStr">
        <x:is>
          <x:t xml:space="preserve">1999-07-14</x:t>
        </x:is>
      </x:c>
      <x:c r="J3482" s="3" t="inlineStr">
        <x:is>
          <x:t xml:space="preserve">河北省张家口市宣化区东升路21号</x:t>
        </x:is>
      </x:c>
      <x:c r="K3482" s="12" t="str">
        <x:f>LEFT("911307007158386594",18)</x:f>
        <x:v>911307007158386600</x:v>
      </x:c>
    </x:row>
    <x:row r="3483">
      <x:c r="A3483" s="4" t="n">
        <x:v>3482</x:v>
      </x:c>
      <x:c r="B3483" s="4" t="inlineStr">
        <x:is>
          <x:t xml:space="preserve">000937</x:t>
        </x:is>
      </x:c>
      <x:c r="C3483" s="5" t="inlineStr">
        <x:is>
          <x:t xml:space="preserve">冀中能源</x:t>
        </x:is>
      </x:c>
      <x:c r="D3483" s="5" t="inlineStr">
        <x:is>
          <x:t xml:space="preserve">冀中能源股份有限公司</x:t>
        </x:is>
      </x:c>
      <x:c r="E3483" s="4" t="inlineStr">
        <x:is>
          <x:t xml:space="preserve">河北省</x:t>
        </x:is>
      </x:c>
      <x:c r="F3483" s="4" t="inlineStr">
        <x:is>
          <x:t xml:space="preserve">邢台市</x:t>
        </x:is>
      </x:c>
      <x:c r="G3483" s="5" t="inlineStr">
        <x:is>
          <x:t xml:space="preserve">河北省-邢台市</x:t>
        </x:is>
      </x:c>
      <x:c r="H3483" s="4" t="inlineStr">
        <x:is>
          <x:t xml:space="preserve">煤炭采选</x:t>
        </x:is>
      </x:c>
      <x:c r="I3483" s="4" t="inlineStr">
        <x:is>
          <x:t xml:space="preserve">1999-09-09</x:t>
        </x:is>
      </x:c>
      <x:c r="J3483" s="5" t="inlineStr">
        <x:is>
          <x:t xml:space="preserve">河北省邢台市中兴西大街191号</x:t>
        </x:is>
      </x:c>
      <x:c r="K3483" s="12" t="str">
        <x:f>LEFT("911300007183116254",18)</x:f>
        <x:v>911300007183116300</x:v>
      </x:c>
    </x:row>
    <x:row r="3484">
      <x:c r="A3484" s="2" t="n">
        <x:v>3483</x:v>
      </x:c>
      <x:c r="B3484" s="2" t="inlineStr">
        <x:is>
          <x:t xml:space="preserve">000958</x:t>
        </x:is>
      </x:c>
      <x:c r="C3484" s="3" t="inlineStr">
        <x:is>
          <x:t xml:space="preserve">电投产融</x:t>
        </x:is>
      </x:c>
      <x:c r="D3484" s="3" t="inlineStr">
        <x:is>
          <x:t xml:space="preserve">国家电投集团产融控股股份有限公司</x:t>
        </x:is>
      </x:c>
      <x:c r="E3484" s="2" t="inlineStr">
        <x:is>
          <x:t xml:space="preserve">河北省</x:t>
        </x:is>
      </x:c>
      <x:c r="F3484" s="2" t="inlineStr">
        <x:is>
          <x:t xml:space="preserve">石家庄市</x:t>
        </x:is>
      </x:c>
      <x:c r="G3484" s="3" t="inlineStr">
        <x:is>
          <x:t xml:space="preserve">河北省-石家庄市</x:t>
        </x:is>
      </x:c>
      <x:c r="H3484" s="2" t="inlineStr">
        <x:is>
          <x:t xml:space="preserve">电力行业</x:t>
        </x:is>
      </x:c>
      <x:c r="I3484" s="2" t="inlineStr">
        <x:is>
          <x:t xml:space="preserve">1999-12-23</x:t>
        </x:is>
      </x:c>
      <x:c r="J3484" s="3" t="inlineStr">
        <x:is>
          <x:t xml:space="preserve">河北省石家庄市建华南大街161号</x:t>
        </x:is>
      </x:c>
      <x:c r="K3484" s="12" t="str">
        <x:f>LEFT("91130100700714215X",18)</x:f>
        <x:v>91130100700714215X</x:v>
      </x:c>
    </x:row>
    <x:row r="3485">
      <x:c r="A3485" s="4" t="n">
        <x:v>3484</x:v>
      </x:c>
      <x:c r="B3485" s="4" t="inlineStr">
        <x:is>
          <x:t xml:space="preserve">001301</x:t>
        </x:is>
      </x:c>
      <x:c r="C3485" s="5" t="inlineStr">
        <x:is>
          <x:t xml:space="preserve">尚太科技</x:t>
        </x:is>
      </x:c>
      <x:c r="D3485" s="5" t="inlineStr">
        <x:is>
          <x:t xml:space="preserve">石家庄尚太科技股份有限公司</x:t>
        </x:is>
      </x:c>
      <x:c r="E3485" s="4" t="inlineStr">
        <x:is>
          <x:t xml:space="preserve">河北省</x:t>
        </x:is>
      </x:c>
      <x:c r="F3485" s="4" t="inlineStr">
        <x:is>
          <x:t xml:space="preserve">石家庄市</x:t>
        </x:is>
      </x:c>
      <x:c r="G3485" s="5" t="inlineStr">
        <x:is>
          <x:t xml:space="preserve">河北省-石家庄市</x:t>
        </x:is>
      </x:c>
      <x:c r="H3485" s="4" t="inlineStr">
        <x:is>
          <x:t xml:space="preserve">非金属材料</x:t>
        </x:is>
      </x:c>
      <x:c r="I3485" s="4" t="inlineStr">
        <x:is>
          <x:t xml:space="preserve">2022-12-28</x:t>
        </x:is>
      </x:c>
      <x:c r="J3485" s="5" t="inlineStr">
        <x:is>
          <x:t xml:space="preserve">无极县里城道乡南沙公路西侧</x:t>
        </x:is>
      </x:c>
      <x:c r="K3485" s="12" t="str">
        <x:f>LEFT("91130130679932938G",18)</x:f>
        <x:v>91130130679932938G</x:v>
      </x:c>
    </x:row>
    <x:row r="3486">
      <x:c r="A3486" s="2" t="n">
        <x:v>3485</x:v>
      </x:c>
      <x:c r="B3486" s="2" t="inlineStr">
        <x:is>
          <x:t xml:space="preserve">002049</x:t>
        </x:is>
      </x:c>
      <x:c r="C3486" s="3" t="inlineStr">
        <x:is>
          <x:t xml:space="preserve">紫光国微</x:t>
        </x:is>
      </x:c>
      <x:c r="D3486" s="3" t="inlineStr">
        <x:is>
          <x:t xml:space="preserve">紫光国芯微电子股份有限公司</x:t>
        </x:is>
      </x:c>
      <x:c r="E3486" s="2" t="inlineStr">
        <x:is>
          <x:t xml:space="preserve">河北省</x:t>
        </x:is>
      </x:c>
      <x:c r="F3486" s="2" t="inlineStr">
        <x:is>
          <x:t xml:space="preserve">唐山市</x:t>
        </x:is>
      </x:c>
      <x:c r="G3486" s="3" t="inlineStr">
        <x:is>
          <x:t xml:space="preserve">河北省-唐山市</x:t>
        </x:is>
      </x:c>
      <x:c r="H3486" s="2" t="inlineStr">
        <x:is>
          <x:t xml:space="preserve">半导体</x:t>
        </x:is>
      </x:c>
      <x:c r="I3486" s="2" t="inlineStr">
        <x:is>
          <x:t xml:space="preserve">2005-06-06</x:t>
        </x:is>
      </x:c>
      <x:c r="J3486" s="3" t="inlineStr">
        <x:is>
          <x:t xml:space="preserve">河北省唐山市玉田县玉田镇玉月路1008号</x:t>
        </x:is>
      </x:c>
      <x:c r="K3486" s="12" t="str">
        <x:f>LEFT("911302006010646915",18)</x:f>
        <x:v>911302006010646900</x:v>
      </x:c>
    </x:row>
    <x:row r="3487">
      <x:c r="A3487" s="4" t="n">
        <x:v>3486</x:v>
      </x:c>
      <x:c r="B3487" s="4" t="inlineStr">
        <x:is>
          <x:t xml:space="preserve">002108</x:t>
        </x:is>
      </x:c>
      <x:c r="C3487" s="5" t="inlineStr">
        <x:is>
          <x:t xml:space="preserve">沧州明珠</x:t>
        </x:is>
      </x:c>
      <x:c r="D3487" s="5" t="inlineStr">
        <x:is>
          <x:t xml:space="preserve">沧州明珠塑料股份有限公司</x:t>
        </x:is>
      </x:c>
      <x:c r="E3487" s="4" t="inlineStr">
        <x:is>
          <x:t xml:space="preserve">河北省</x:t>
        </x:is>
      </x:c>
      <x:c r="F3487" s="4" t="inlineStr">
        <x:is>
          <x:t xml:space="preserve">沧州市</x:t>
        </x:is>
      </x:c>
      <x:c r="G3487" s="5" t="inlineStr">
        <x:is>
          <x:t xml:space="preserve">河北省-沧州市</x:t>
        </x:is>
      </x:c>
      <x:c r="H3487" s="4" t="inlineStr">
        <x:is>
          <x:t xml:space="preserve">塑胶制品</x:t>
        </x:is>
      </x:c>
      <x:c r="I3487" s="4" t="inlineStr">
        <x:is>
          <x:t xml:space="preserve">2007-01-24</x:t>
        </x:is>
      </x:c>
      <x:c r="J3487" s="5" t="inlineStr">
        <x:is>
          <x:t xml:space="preserve">河北省沧州高新区永济西路77号</x:t>
        </x:is>
      </x:c>
      <x:c r="K3487" s="12" t="str">
        <x:f>LEFT("911309006013103039",18)</x:f>
        <x:v>911309006013103000</x:v>
      </x:c>
    </x:row>
    <x:row r="3488">
      <x:c r="A3488" s="2" t="n">
        <x:v>3487</x:v>
      </x:c>
      <x:c r="B3488" s="2" t="inlineStr">
        <x:is>
          <x:t xml:space="preserve">002146</x:t>
        </x:is>
      </x:c>
      <x:c r="C3488" s="3" t="inlineStr">
        <x:is>
          <x:t xml:space="preserve">荣盛发展</x:t>
        </x:is>
      </x:c>
      <x:c r="D3488" s="3" t="inlineStr">
        <x:is>
          <x:t xml:space="preserve">荣盛房地产发展股份有限公司</x:t>
        </x:is>
      </x:c>
      <x:c r="E3488" s="2" t="inlineStr">
        <x:is>
          <x:t xml:space="preserve">河北省</x:t>
        </x:is>
      </x:c>
      <x:c r="F3488" s="2" t="inlineStr">
        <x:is>
          <x:t xml:space="preserve">廊坊市</x:t>
        </x:is>
      </x:c>
      <x:c r="G3488" s="3" t="inlineStr">
        <x:is>
          <x:t xml:space="preserve">河北省-廊坊市</x:t>
        </x:is>
      </x:c>
      <x:c r="H3488" s="2" t="inlineStr">
        <x:is>
          <x:t xml:space="preserve">房地产服务</x:t>
        </x:is>
      </x:c>
      <x:c r="I3488" s="2" t="inlineStr">
        <x:is>
          <x:t xml:space="preserve">2007-08-08</x:t>
        </x:is>
      </x:c>
      <x:c r="J3488" s="3" t="inlineStr">
        <x:is>
          <x:t xml:space="preserve">河北省廊坊市经济技术开发区祥云道81号</x:t>
        </x:is>
      </x:c>
      <x:c r="K3488" s="12" t="str">
        <x:f>LEFT("911310002360777257",18)</x:f>
        <x:v>911310002360777200</x:v>
      </x:c>
    </x:row>
    <x:row r="3489">
      <x:c r="A3489" s="4" t="n">
        <x:v>3488</x:v>
      </x:c>
      <x:c r="B3489" s="4" t="inlineStr">
        <x:is>
          <x:t xml:space="preserve">002282</x:t>
        </x:is>
      </x:c>
      <x:c r="C3489" s="5" t="inlineStr">
        <x:is>
          <x:t xml:space="preserve">博深股份</x:t>
        </x:is>
      </x:c>
      <x:c r="D3489" s="5" t="inlineStr">
        <x:is>
          <x:t xml:space="preserve">博深股份有限公司</x:t>
        </x:is>
      </x:c>
      <x:c r="E3489" s="4" t="inlineStr">
        <x:is>
          <x:t xml:space="preserve">河北省</x:t>
        </x:is>
      </x:c>
      <x:c r="F3489" s="4" t="inlineStr">
        <x:is>
          <x:t xml:space="preserve">石家庄市</x:t>
        </x:is>
      </x:c>
      <x:c r="G3489" s="5" t="inlineStr">
        <x:is>
          <x:t xml:space="preserve">河北省-石家庄市</x:t>
        </x:is>
      </x:c>
      <x:c r="H3489" s="4" t="inlineStr">
        <x:is>
          <x:t xml:space="preserve">机械行业</x:t>
        </x:is>
      </x:c>
      <x:c r="I3489" s="4" t="inlineStr">
        <x:is>
          <x:t xml:space="preserve">2009-08-21</x:t>
        </x:is>
      </x:c>
      <x:c r="J3489" s="5" t="inlineStr">
        <x:is>
          <x:t xml:space="preserve">石家庄高新区裕华东路403号</x:t>
        </x:is>
      </x:c>
      <x:c r="K3489" s="12" t="str">
        <x:f>LEFT("9113010070096429XC",18)</x:f>
        <x:v>9113010070096429XC</x:v>
      </x:c>
    </x:row>
    <x:row r="3490">
      <x:c r="A3490" s="2" t="n">
        <x:v>3489</x:v>
      </x:c>
      <x:c r="B3490" s="2" t="inlineStr">
        <x:is>
          <x:t xml:space="preserve">002342</x:t>
        </x:is>
      </x:c>
      <x:c r="C3490" s="3" t="inlineStr">
        <x:is>
          <x:t xml:space="preserve">巨力索具</x:t>
        </x:is>
      </x:c>
      <x:c r="D3490" s="3" t="inlineStr">
        <x:is>
          <x:t xml:space="preserve">巨力索具股份有限公司</x:t>
        </x:is>
      </x:c>
      <x:c r="E3490" s="2" t="inlineStr">
        <x:is>
          <x:t xml:space="preserve">河北省</x:t>
        </x:is>
      </x:c>
      <x:c r="F3490" s="2" t="inlineStr">
        <x:is>
          <x:t xml:space="preserve">保定市</x:t>
        </x:is>
      </x:c>
      <x:c r="G3490" s="3" t="inlineStr">
        <x:is>
          <x:t xml:space="preserve">河北省-保定市</x:t>
        </x:is>
      </x:c>
      <x:c r="H3490" s="2" t="inlineStr">
        <x:is>
          <x:t xml:space="preserve">通用设备</x:t>
        </x:is>
      </x:c>
      <x:c r="I3490" s="2" t="inlineStr">
        <x:is>
          <x:t xml:space="preserve">2010-01-26</x:t>
        </x:is>
      </x:c>
      <x:c r="J3490" s="3" t="inlineStr">
        <x:is>
          <x:t xml:space="preserve">河北省保定市徐水区巨力路</x:t>
        </x:is>
      </x:c>
      <x:c r="K3490" s="12" t="str">
        <x:f>LEFT("91130600769808009K",18)</x:f>
        <x:v>91130600769808009K</x:v>
      </x:c>
    </x:row>
    <x:row r="3491">
      <x:c r="A3491" s="4" t="n">
        <x:v>3490</x:v>
      </x:c>
      <x:c r="B3491" s="4" t="inlineStr">
        <x:is>
          <x:t xml:space="preserve">002442</x:t>
        </x:is>
      </x:c>
      <x:c r="C3491" s="5" t="inlineStr">
        <x:is>
          <x:t xml:space="preserve">龙星科技</x:t>
        </x:is>
      </x:c>
      <x:c r="D3491" s="5" t="inlineStr">
        <x:is>
          <x:t xml:space="preserve">龙星科技集团股份有限公司</x:t>
        </x:is>
      </x:c>
      <x:c r="E3491" s="4" t="inlineStr">
        <x:is>
          <x:t xml:space="preserve">河北省</x:t>
        </x:is>
      </x:c>
      <x:c r="F3491" s="4" t="inlineStr">
        <x:is>
          <x:t xml:space="preserve">北省沙河市</x:t>
        </x:is>
      </x:c>
      <x:c r="G3491" s="5" t="inlineStr">
        <x:is>
          <x:t xml:space="preserve">河北省-北省沙河市</x:t>
        </x:is>
      </x:c>
      <x:c r="H3491" s="4" t="inlineStr">
        <x:is>
          <x:t xml:space="preserve">橡胶制品</x:t>
        </x:is>
      </x:c>
      <x:c r="I3491" s="4" t="inlineStr">
        <x:is>
          <x:t xml:space="preserve">2010-07-06</x:t>
        </x:is>
      </x:c>
      <x:c r="J3491" s="5" t="inlineStr">
        <x:is>
          <x:t xml:space="preserve">河北省沙河市东环路龙星街1号</x:t>
        </x:is>
      </x:c>
      <x:c r="K3491" s="12" t="str">
        <x:f>LEFT("91130500769806003D",18)</x:f>
        <x:v>91130500769806003D</x:v>
      </x:c>
    </x:row>
    <x:row r="3492">
      <x:c r="A3492" s="2" t="n">
        <x:v>3491</x:v>
      </x:c>
      <x:c r="B3492" s="2" t="inlineStr">
        <x:is>
          <x:t xml:space="preserve">002459</x:t>
        </x:is>
      </x:c>
      <x:c r="C3492" s="3" t="inlineStr">
        <x:is>
          <x:t xml:space="preserve">晶澳科技</x:t>
        </x:is>
      </x:c>
      <x:c r="D3492" s="3" t="inlineStr">
        <x:is>
          <x:t xml:space="preserve">晶澳太阳能科技股份有限公司</x:t>
        </x:is>
      </x:c>
      <x:c r="E3492" s="2" t="inlineStr">
        <x:is>
          <x:t xml:space="preserve">河北省</x:t>
        </x:is>
      </x:c>
      <x:c r="F3492" s="2" t="inlineStr">
        <x:is>
          <x:t xml:space="preserve">邢台市</x:t>
        </x:is>
      </x:c>
      <x:c r="G3492" s="3" t="inlineStr">
        <x:is>
          <x:t xml:space="preserve">河北省-邢台市</x:t>
        </x:is>
      </x:c>
      <x:c r="H3492" s="2" t="inlineStr">
        <x:is>
          <x:t xml:space="preserve">光伏设备</x:t>
        </x:is>
      </x:c>
      <x:c r="I3492" s="2" t="inlineStr">
        <x:is>
          <x:t xml:space="preserve">2010-08-10</x:t>
        </x:is>
      </x:c>
      <x:c r="J3492" s="3" t="inlineStr">
        <x:is>
          <x:t xml:space="preserve">河北省宁晋县新兴路123号</x:t>
        </x:is>
      </x:c>
      <x:c r="K3492" s="12" t="str">
        <x:f>LEFT("91130300601142274F",18)</x:f>
        <x:v>91130300601142274F</x:v>
      </x:c>
    </x:row>
    <x:row r="3493">
      <x:c r="A3493" s="4" t="n">
        <x:v>3492</x:v>
      </x:c>
      <x:c r="B3493" s="4" t="inlineStr">
        <x:is>
          <x:t xml:space="preserve">002494</x:t>
        </x:is>
      </x:c>
      <x:c r="C3493" s="5" t="inlineStr">
        <x:is>
          <x:t xml:space="preserve">华斯股份</x:t>
        </x:is>
      </x:c>
      <x:c r="D3493" s="5" t="inlineStr">
        <x:is>
          <x:t xml:space="preserve">华斯控股股份有限公司</x:t>
        </x:is>
      </x:c>
      <x:c r="E3493" s="4" t="inlineStr">
        <x:is>
          <x:t xml:space="preserve">河北省</x:t>
        </x:is>
      </x:c>
      <x:c r="F3493" s="4" t="inlineStr">
        <x:is>
          <x:t xml:space="preserve">沧州市</x:t>
        </x:is>
      </x:c>
      <x:c r="G3493" s="5" t="inlineStr">
        <x:is>
          <x:t xml:space="preserve">河北省-沧州市</x:t>
        </x:is>
      </x:c>
      <x:c r="H3493" s="4" t="inlineStr">
        <x:is>
          <x:t xml:space="preserve">纺织服装</x:t>
        </x:is>
      </x:c>
      <x:c r="I3493" s="4" t="inlineStr">
        <x:is>
          <x:t xml:space="preserve">2010-11-02</x:t>
        </x:is>
      </x:c>
      <x:c r="J3493" s="5" t="inlineStr">
        <x:is>
          <x:t xml:space="preserve">河北省沧州市肃宁县尚村镇</x:t>
        </x:is>
      </x:c>
      <x:c r="K3493" s="12" t="str">
        <x:f>LEFT("91130000752446136W",18)</x:f>
        <x:v>91130000752446136W</x:v>
      </x:c>
    </x:row>
    <x:row r="3494">
      <x:c r="A3494" s="2" t="n">
        <x:v>3493</x:v>
      </x:c>
      <x:c r="B3494" s="2" t="inlineStr">
        <x:is>
          <x:t xml:space="preserve">002603</x:t>
        </x:is>
      </x:c>
      <x:c r="C3494" s="3" t="inlineStr">
        <x:is>
          <x:t xml:space="preserve">以岭药业</x:t>
        </x:is>
      </x:c>
      <x:c r="D3494" s="3" t="inlineStr">
        <x:is>
          <x:t xml:space="preserve">石家庄以岭药业股份有限公司</x:t>
        </x:is>
      </x:c>
      <x:c r="E3494" s="2" t="inlineStr">
        <x:is>
          <x:t xml:space="preserve">河北省</x:t>
        </x:is>
      </x:c>
      <x:c r="F3494" s="2" t="inlineStr">
        <x:is>
          <x:t xml:space="preserve">石家庄市</x:t>
        </x:is>
      </x:c>
      <x:c r="G3494" s="3" t="inlineStr">
        <x:is>
          <x:t xml:space="preserve">河北省-石家庄市</x:t>
        </x:is>
      </x:c>
      <x:c r="H3494" s="2" t="inlineStr">
        <x:is>
          <x:t xml:space="preserve">中药</x:t>
        </x:is>
      </x:c>
      <x:c r="I3494" s="2" t="inlineStr">
        <x:is>
          <x:t xml:space="preserve">2011-07-28</x:t>
        </x:is>
      </x:c>
      <x:c r="J3494" s="3" t="inlineStr">
        <x:is>
          <x:t xml:space="preserve">河北省石家庄市高新技术产业开发区天山大街238号</x:t>
        </x:is>
      </x:c>
      <x:c r="K3494" s="12" t="str">
        <x:f>LEFT("9113000023565800XC",18)</x:f>
        <x:v>9113000023565800XC</x:v>
      </x:c>
    </x:row>
    <x:row r="3495">
      <x:c r="A3495" s="4" t="n">
        <x:v>3494</x:v>
      </x:c>
      <x:c r="B3495" s="4" t="inlineStr">
        <x:is>
          <x:t xml:space="preserve">002691</x:t>
        </x:is>
      </x:c>
      <x:c r="C3495" s="5" t="inlineStr">
        <x:is>
          <x:t xml:space="preserve">冀凯股份</x:t>
        </x:is>
      </x:c>
      <x:c r="D3495" s="5" t="inlineStr">
        <x:is>
          <x:t xml:space="preserve">冀凯装备制造股份有限公司</x:t>
        </x:is>
      </x:c>
      <x:c r="E3495" s="4" t="inlineStr">
        <x:is>
          <x:t xml:space="preserve">河北省</x:t>
        </x:is>
      </x:c>
      <x:c r="F3495" s="4" t="inlineStr">
        <x:is>
          <x:t xml:space="preserve">石家庄市</x:t>
        </x:is>
      </x:c>
      <x:c r="G3495" s="5" t="inlineStr">
        <x:is>
          <x:t xml:space="preserve">河北省-石家庄市</x:t>
        </x:is>
      </x:c>
      <x:c r="H3495" s="4" t="inlineStr">
        <x:is>
          <x:t xml:space="preserve">专用设备</x:t>
        </x:is>
      </x:c>
      <x:c r="I3495" s="4" t="inlineStr">
        <x:is>
          <x:t xml:space="preserve">2012-07-31</x:t>
        </x:is>
      </x:c>
      <x:c r="J3495" s="5" t="inlineStr">
        <x:is>
          <x:t xml:space="preserve">石家庄高新区湘江道418号</x:t>
        </x:is>
      </x:c>
      <x:c r="K3495" s="12" t="str">
        <x:f>LEFT("91130100750262704U",18)</x:f>
        <x:v>91130100750262704U</x:v>
      </x:c>
    </x:row>
    <x:row r="3496">
      <x:c r="A3496" s="2" t="n">
        <x:v>3495</x:v>
      </x:c>
      <x:c r="B3496" s="2" t="inlineStr">
        <x:is>
          <x:t xml:space="preserve">002960</x:t>
        </x:is>
      </x:c>
      <x:c r="C3496" s="3" t="inlineStr">
        <x:is>
          <x:t xml:space="preserve">青鸟消防</x:t>
        </x:is>
      </x:c>
      <x:c r="D3496" s="3" t="inlineStr">
        <x:is>
          <x:t xml:space="preserve">青鸟消防股份有限公司</x:t>
        </x:is>
      </x:c>
      <x:c r="E3496" s="2" t="inlineStr">
        <x:is>
          <x:t xml:space="preserve">河北省</x:t>
        </x:is>
      </x:c>
      <x:c r="F3496" s="2" t="inlineStr">
        <x:is>
          <x:t xml:space="preserve">张家口市</x:t>
        </x:is>
      </x:c>
      <x:c r="G3496" s="3" t="inlineStr">
        <x:is>
          <x:t xml:space="preserve">河北省-张家口市</x:t>
        </x:is>
      </x:c>
      <x:c r="H3496" s="2" t="inlineStr">
        <x:is>
          <x:t xml:space="preserve">专用设备</x:t>
        </x:is>
      </x:c>
      <x:c r="I3496" s="2" t="inlineStr">
        <x:is>
          <x:t xml:space="preserve">2019-08-09</x:t>
        </x:is>
      </x:c>
      <x:c r="J3496" s="3" t="inlineStr">
        <x:is>
          <x:t xml:space="preserve">河北涿鹿涿下路工业园</x:t>
        </x:is>
      </x:c>
      <x:c r="K3496" s="12" t="str">
        <x:f>LEFT("91130700730245739F",18)</x:f>
        <x:v>91130700730245739F</x:v>
      </x:c>
    </x:row>
    <x:row r="3497">
      <x:c r="A3497" s="4" t="n">
        <x:v>3496</x:v>
      </x:c>
      <x:c r="B3497" s="4" t="inlineStr">
        <x:is>
          <x:t xml:space="preserve">003031</x:t>
        </x:is>
      </x:c>
      <x:c r="C3497" s="5" t="inlineStr">
        <x:is>
          <x:t xml:space="preserve">中瓷电子</x:t>
        </x:is>
      </x:c>
      <x:c r="D3497" s="5" t="inlineStr">
        <x:is>
          <x:t xml:space="preserve">河北中瓷电子科技股份有限公司</x:t>
        </x:is>
      </x:c>
      <x:c r="E3497" s="4" t="inlineStr">
        <x:is>
          <x:t xml:space="preserve">河北省</x:t>
        </x:is>
      </x:c>
      <x:c r="F3497" s="4" t="inlineStr">
        <x:is>
          <x:t xml:space="preserve">石家庄市</x:t>
        </x:is>
      </x:c>
      <x:c r="G3497" s="5" t="inlineStr">
        <x:is>
          <x:t xml:space="preserve">河北省-石家庄市</x:t>
        </x:is>
      </x:c>
      <x:c r="H3497" s="4" t="inlineStr">
        <x:is>
          <x:t xml:space="preserve">通信设备</x:t>
        </x:is>
      </x:c>
      <x:c r="I3497" s="4" t="inlineStr">
        <x:is>
          <x:t xml:space="preserve">2021-01-04</x:t>
        </x:is>
      </x:c>
      <x:c r="J3497" s="5" t="inlineStr">
        <x:is>
          <x:t xml:space="preserve">石家庄市鹿泉经济开发区昌盛大街21号</x:t>
        </x:is>
      </x:c>
      <x:c r="K3497" s="12" t="str">
        <x:f>LEFT("91130185693456472R",18)</x:f>
        <x:v>91130185693456472R</x:v>
      </x:c>
    </x:row>
    <x:row r="3498">
      <x:c r="A3498" s="2" t="n">
        <x:v>3497</x:v>
      </x:c>
      <x:c r="B3498" s="2" t="inlineStr">
        <x:is>
          <x:t xml:space="preserve">300107</x:t>
        </x:is>
      </x:c>
      <x:c r="C3498" s="3" t="inlineStr">
        <x:is>
          <x:t xml:space="preserve">建新股份</x:t>
        </x:is>
      </x:c>
      <x:c r="D3498" s="3" t="inlineStr">
        <x:is>
          <x:t xml:space="preserve">河北建新化工股份有限公司</x:t>
        </x:is>
      </x:c>
      <x:c r="E3498" s="2" t="inlineStr">
        <x:is>
          <x:t xml:space="preserve">河北省</x:t>
        </x:is>
      </x:c>
      <x:c r="F3498" s="2" t="inlineStr">
        <x:is>
          <x:t xml:space="preserve">沧州市</x:t>
        </x:is>
      </x:c>
      <x:c r="G3498" s="3" t="inlineStr">
        <x:is>
          <x:t xml:space="preserve">河北省-沧州市</x:t>
        </x:is>
      </x:c>
      <x:c r="H3498" s="2" t="inlineStr">
        <x:is>
          <x:t xml:space="preserve">化工行业</x:t>
        </x:is>
      </x:c>
      <x:c r="I3498" s="2" t="inlineStr">
        <x:is>
          <x:t xml:space="preserve">2010-08-20</x:t>
        </x:is>
      </x:c>
      <x:c r="J3498" s="3" t="inlineStr">
        <x:is>
          <x:t xml:space="preserve">沧州临港化工园区(中捷农场)</x:t>
        </x:is>
      </x:c>
      <x:c r="K3498" s="12" t="str">
        <x:f>LEFT("911309007502944073",18)</x:f>
        <x:v>911309007502944100</x:v>
      </x:c>
    </x:row>
    <x:row r="3499">
      <x:c r="A3499" s="4" t="n">
        <x:v>3498</x:v>
      </x:c>
      <x:c r="B3499" s="4" t="inlineStr">
        <x:is>
          <x:t xml:space="preserve">300137</x:t>
        </x:is>
      </x:c>
      <x:c r="C3499" s="5" t="inlineStr">
        <x:is>
          <x:t xml:space="preserve">先河环保</x:t>
        </x:is>
      </x:c>
      <x:c r="D3499" s="5" t="inlineStr">
        <x:is>
          <x:t xml:space="preserve">河北先河环保科技股份有限公司</x:t>
        </x:is>
      </x:c>
      <x:c r="E3499" s="4" t="inlineStr">
        <x:is>
          <x:t xml:space="preserve">河北省</x:t>
        </x:is>
      </x:c>
      <x:c r="F3499" s="4" t="inlineStr">
        <x:is>
          <x:t xml:space="preserve">石家庄市</x:t>
        </x:is>
      </x:c>
      <x:c r="G3499" s="5" t="inlineStr">
        <x:is>
          <x:t xml:space="preserve">河北省-石家庄市</x:t>
        </x:is>
      </x:c>
      <x:c r="H3499" s="4" t="inlineStr">
        <x:is>
          <x:t xml:space="preserve">环保工程</x:t>
        </x:is>
      </x:c>
      <x:c r="I3499" s="4" t="inlineStr">
        <x:is>
          <x:t xml:space="preserve">2010-11-05</x:t>
        </x:is>
      </x:c>
      <x:c r="J3499" s="5" t="inlineStr">
        <x:is>
          <x:t xml:space="preserve">河北省石家庄市湘江道251号</x:t>
        </x:is>
      </x:c>
      <x:c r="K3499" s="12" t="str">
        <x:f>LEFT("91130100104363113U",18)</x:f>
        <x:v>91130100104363113U</x:v>
      </x:c>
    </x:row>
    <x:row r="3500">
      <x:c r="A3500" s="2" t="n">
        <x:v>3499</x:v>
      </x:c>
      <x:c r="B3500" s="2" t="inlineStr">
        <x:is>
          <x:t xml:space="preserve">300138</x:t>
        </x:is>
      </x:c>
      <x:c r="C3500" s="3" t="inlineStr">
        <x:is>
          <x:t xml:space="preserve">晨光生物</x:t>
        </x:is>
      </x:c>
      <x:c r="D3500" s="3" t="inlineStr">
        <x:is>
          <x:t xml:space="preserve">晨光生物科技集团股份有限公司</x:t>
        </x:is>
      </x:c>
      <x:c r="E3500" s="2" t="inlineStr">
        <x:is>
          <x:t xml:space="preserve">河北省</x:t>
        </x:is>
      </x:c>
      <x:c r="F3500" s="2" t="inlineStr">
        <x:is>
          <x:t xml:space="preserve">邯郸市</x:t>
        </x:is>
      </x:c>
      <x:c r="G3500" s="3" t="inlineStr">
        <x:is>
          <x:t xml:space="preserve">河北省-邯郸市</x:t>
        </x:is>
      </x:c>
      <x:c r="H3500" s="2" t="inlineStr">
        <x:is>
          <x:t xml:space="preserve">农牧饲渔</x:t>
        </x:is>
      </x:c>
      <x:c r="I3500" s="2" t="inlineStr">
        <x:is>
          <x:t xml:space="preserve">2010-11-05</x:t>
        </x:is>
      </x:c>
      <x:c r="J3500" s="3" t="inlineStr">
        <x:is>
          <x:t xml:space="preserve">河北省邯郸市曲周县城晨光路1号</x:t>
        </x:is>
      </x:c>
      <x:c r="K3500" s="12" t="str">
        <x:f>LEFT("91130400106900891W",18)</x:f>
        <x:v>91130400106900891W</x:v>
      </x:c>
    </x:row>
    <x:row r="3501">
      <x:c r="A3501" s="4" t="n">
        <x:v>3500</x:v>
      </x:c>
      <x:c r="B3501" s="4" t="inlineStr">
        <x:is>
          <x:t xml:space="preserve">300152</x:t>
        </x:is>
      </x:c>
      <x:c r="C3501" s="5" t="inlineStr">
        <x:is>
          <x:t xml:space="preserve">新动力</x:t>
        </x:is>
      </x:c>
      <x:c r="D3501" s="5" t="inlineStr">
        <x:is>
          <x:t xml:space="preserve">雄安新动力科技股份有限公司</x:t>
        </x:is>
      </x:c>
      <x:c r="E3501" s="4" t="inlineStr">
        <x:is>
          <x:t xml:space="preserve">河北省</x:t>
        </x:is>
      </x:c>
      <x:c r="F3501" s="4" t="inlineStr">
        <x:is>
          <x:t xml:space="preserve">保定市</x:t>
        </x:is>
      </x:c>
      <x:c r="G3501" s="5" t="inlineStr">
        <x:is>
          <x:t xml:space="preserve">河北省-保定市</x:t>
        </x:is>
      </x:c>
      <x:c r="H3501" s="4" t="inlineStr">
        <x:is>
          <x:t xml:space="preserve">环保工程</x:t>
        </x:is>
      </x:c>
      <x:c r="I3501" s="4" t="inlineStr">
        <x:is>
          <x:t xml:space="preserve">2010-12-29</x:t>
        </x:is>
      </x:c>
      <x:c r="J3501" s="5" t="inlineStr">
        <x:is>
          <x:t xml:space="preserve">中国(河北)自由贸易试验区雄安片区保定市雄安市民服务中心企业办公区A栋西区</x:t>
        </x:is>
      </x:c>
      <x:c r="K3501" s="12" t="str">
        <x:f>LEFT("91320300750041506E",18)</x:f>
        <x:v>91320300750041506E</x:v>
      </x:c>
    </x:row>
    <x:row r="3502">
      <x:c r="A3502" s="2" t="n">
        <x:v>3501</x:v>
      </x:c>
      <x:c r="B3502" s="2" t="inlineStr">
        <x:is>
          <x:t xml:space="preserve">300255</x:t>
        </x:is>
      </x:c>
      <x:c r="C3502" s="3" t="inlineStr">
        <x:is>
          <x:t xml:space="preserve">常山药业</x:t>
        </x:is>
      </x:c>
      <x:c r="D3502" s="3" t="inlineStr">
        <x:is>
          <x:t xml:space="preserve">河北常山生化药业股份有限公司</x:t>
        </x:is>
      </x:c>
      <x:c r="E3502" s="2" t="inlineStr">
        <x:is>
          <x:t xml:space="preserve">河北省</x:t>
        </x:is>
      </x:c>
      <x:c r="F3502" s="2" t="inlineStr">
        <x:is>
          <x:t xml:space="preserve">石家庄市</x:t>
        </x:is>
      </x:c>
      <x:c r="G3502" s="3" t="inlineStr">
        <x:is>
          <x:t xml:space="preserve">河北省-石家庄市</x:t>
        </x:is>
      </x:c>
      <x:c r="H3502" s="2" t="inlineStr">
        <x:is>
          <x:t xml:space="preserve">医药制造</x:t>
        </x:is>
      </x:c>
      <x:c r="I3502" s="2" t="inlineStr">
        <x:is>
          <x:t xml:space="preserve">2011-08-19</x:t>
        </x:is>
      </x:c>
      <x:c r="J3502" s="3" t="inlineStr">
        <x:is>
          <x:t xml:space="preserve">中国(河北)自由贸易试验区正定片区正定县高新技术产业开发区南区梦龙街71号</x:t>
        </x:is>
      </x:c>
      <x:c r="K3502" s="12" t="str">
        <x:f>LEFT("91130100732914772Y",18)</x:f>
        <x:v>91130100732914772Y</x:v>
      </x:c>
    </x:row>
    <x:row r="3503">
      <x:c r="A3503" s="4" t="n">
        <x:v>3502</x:v>
      </x:c>
      <x:c r="B3503" s="4" t="inlineStr">
        <x:is>
          <x:t xml:space="preserve">300368</x:t>
        </x:is>
      </x:c>
      <x:c r="C3503" s="5" t="inlineStr">
        <x:is>
          <x:t xml:space="preserve">汇金股份</x:t>
        </x:is>
      </x:c>
      <x:c r="D3503" s="5" t="inlineStr">
        <x:is>
          <x:t xml:space="preserve">河北汇金集团股份有限公司</x:t>
        </x:is>
      </x:c>
      <x:c r="E3503" s="4" t="inlineStr">
        <x:is>
          <x:t xml:space="preserve">河北省</x:t>
        </x:is>
      </x:c>
      <x:c r="F3503" s="4" t="inlineStr">
        <x:is>
          <x:t xml:space="preserve">石家庄市</x:t>
        </x:is>
      </x:c>
      <x:c r="G3503" s="5" t="inlineStr">
        <x:is>
          <x:t xml:space="preserve">河北省-石家庄市</x:t>
        </x:is>
      </x:c>
      <x:c r="H3503" s="4" t="inlineStr">
        <x:is>
          <x:t xml:space="preserve">计算机设备</x:t>
        </x:is>
      </x:c>
      <x:c r="I3503" s="4" t="inlineStr">
        <x:is>
          <x:t xml:space="preserve">2014-01-23</x:t>
        </x:is>
      </x:c>
      <x:c r="J3503" s="5" t="inlineStr">
        <x:is>
          <x:t xml:space="preserve">石家庄市高新区湘江道209号</x:t>
        </x:is>
      </x:c>
      <x:c r="K3503" s="12" t="str">
        <x:f>LEFT("911301007727529744",18)</x:f>
        <x:v>911301007727529700</x:v>
      </x:c>
    </x:row>
    <x:row r="3504">
      <x:c r="A3504" s="2" t="n">
        <x:v>3503</x:v>
      </x:c>
      <x:c r="B3504" s="2" t="inlineStr">
        <x:is>
          <x:t xml:space="preserve">300371</x:t>
        </x:is>
      </x:c>
      <x:c r="C3504" s="3" t="inlineStr">
        <x:is>
          <x:t xml:space="preserve">汇中股份</x:t>
        </x:is>
      </x:c>
      <x:c r="D3504" s="3" t="inlineStr">
        <x:is>
          <x:t xml:space="preserve">汇中仪表股份有限公司</x:t>
        </x:is>
      </x:c>
      <x:c r="E3504" s="2" t="inlineStr">
        <x:is>
          <x:t xml:space="preserve">河北省</x:t>
        </x:is>
      </x:c>
      <x:c r="F3504" s="2" t="inlineStr">
        <x:is>
          <x:t xml:space="preserve">唐山市</x:t>
        </x:is>
      </x:c>
      <x:c r="G3504" s="3" t="inlineStr">
        <x:is>
          <x:t xml:space="preserve">河北省-唐山市</x:t>
        </x:is>
      </x:c>
      <x:c r="H3504" s="2" t="inlineStr">
        <x:is>
          <x:t xml:space="preserve">仪器仪表</x:t>
        </x:is>
      </x:c>
      <x:c r="I3504" s="2" t="inlineStr">
        <x:is>
          <x:t xml:space="preserve">2014-01-23</x:t>
        </x:is>
      </x:c>
      <x:c r="J3504" s="3" t="inlineStr">
        <x:is>
          <x:t xml:space="preserve">唐山高新技术产业开发区高新西道126号</x:t>
        </x:is>
      </x:c>
      <x:c r="K3504" s="12" t="str">
        <x:f>LEFT("91130200700722805D",18)</x:f>
        <x:v>91130200700722805D</x:v>
      </x:c>
    </x:row>
    <x:row r="3505">
      <x:c r="A3505" s="4" t="n">
        <x:v>3504</x:v>
      </x:c>
      <x:c r="B3505" s="4" t="inlineStr">
        <x:is>
          <x:t xml:space="preserve">300428</x:t>
        </x:is>
      </x:c>
      <x:c r="C3505" s="5" t="inlineStr">
        <x:is>
          <x:t xml:space="preserve">立中集团</x:t>
        </x:is>
      </x:c>
      <x:c r="D3505" s="5" t="inlineStr">
        <x:is>
          <x:t xml:space="preserve">立中四通轻合金集团股份有限公司</x:t>
        </x:is>
      </x:c>
      <x:c r="E3505" s="4" t="inlineStr">
        <x:is>
          <x:t xml:space="preserve">河北省</x:t>
        </x:is>
      </x:c>
      <x:c r="F3505" s="4" t="inlineStr">
        <x:is>
          <x:t xml:space="preserve">保定市</x:t>
        </x:is>
      </x:c>
      <x:c r="G3505" s="5" t="inlineStr">
        <x:is>
          <x:t xml:space="preserve">河北省-保定市</x:t>
        </x:is>
      </x:c>
      <x:c r="H3505" s="4" t="inlineStr">
        <x:is>
          <x:t xml:space="preserve">汽车零部件</x:t>
        </x:is>
      </x:c>
      <x:c r="I3505" s="4" t="inlineStr">
        <x:is>
          <x:t xml:space="preserve">2015-03-19</x:t>
        </x:is>
      </x:c>
      <x:c r="J3505" s="5" t="inlineStr">
        <x:is>
          <x:t xml:space="preserve">保定市清苑区发展西街359号</x:t>
        </x:is>
      </x:c>
      <x:c r="K3505" s="12" t="str">
        <x:f>LEFT("911306007183686135",18)</x:f>
        <x:v>911306007183686100</x:v>
      </x:c>
    </x:row>
    <x:row r="3506">
      <x:c r="A3506" s="2" t="n">
        <x:v>3505</x:v>
      </x:c>
      <x:c r="B3506" s="2" t="inlineStr">
        <x:is>
          <x:t xml:space="preserve">300442</x:t>
        </x:is>
      </x:c>
      <x:c r="C3506" s="3" t="inlineStr">
        <x:is>
          <x:t xml:space="preserve">润泽科技</x:t>
        </x:is>
      </x:c>
      <x:c r="D3506" s="3" t="inlineStr">
        <x:is>
          <x:t xml:space="preserve">润泽智算科技集团股份有限公司</x:t>
        </x:is>
      </x:c>
      <x:c r="E3506" s="2" t="inlineStr">
        <x:is>
          <x:t xml:space="preserve">河北省</x:t>
        </x:is>
      </x:c>
      <x:c r="F3506" s="2" t="inlineStr">
        <x:is>
          <x:t xml:space="preserve">廊坊市</x:t>
        </x:is>
      </x:c>
      <x:c r="G3506" s="3" t="inlineStr">
        <x:is>
          <x:t xml:space="preserve">河北省-廊坊市</x:t>
        </x:is>
      </x:c>
      <x:c r="H3506" s="2" t="inlineStr">
        <x:is>
          <x:t xml:space="preserve">互联网服务</x:t>
        </x:is>
      </x:c>
      <x:c r="I3506" s="2" t="inlineStr">
        <x:is>
          <x:t xml:space="preserve">2015-04-24</x:t>
        </x:is>
      </x:c>
      <x:c r="J3506" s="3" t="inlineStr">
        <x:is>
          <x:t xml:space="preserve">廊坊开发区楼庄路9号1幢九层</x:t>
        </x:is>
      </x:c>
      <x:c r="K3506" s="12" t="str">
        <x:f>LEFT("91310000662495305D",18)</x:f>
        <x:v>91310000662495305D</x:v>
      </x:c>
    </x:row>
    <x:row r="3507">
      <x:c r="A3507" s="4" t="n">
        <x:v>3506</x:v>
      </x:c>
      <x:c r="B3507" s="4" t="inlineStr">
        <x:is>
          <x:t xml:space="preserve">300446</x:t>
        </x:is>
      </x:c>
      <x:c r="C3507" s="5" t="inlineStr">
        <x:is>
          <x:t xml:space="preserve">航天智造</x:t>
        </x:is>
      </x:c>
      <x:c r="D3507" s="5" t="inlineStr">
        <x:is>
          <x:t xml:space="preserve">航天智造科技股份有限公司</x:t>
        </x:is>
      </x:c>
      <x:c r="E3507" s="4" t="inlineStr">
        <x:is>
          <x:t xml:space="preserve">河北省</x:t>
        </x:is>
      </x:c>
      <x:c r="F3507" s="4" t="inlineStr">
        <x:is>
          <x:t xml:space="preserve">保定市</x:t>
        </x:is>
      </x:c>
      <x:c r="G3507" s="5" t="inlineStr">
        <x:is>
          <x:t xml:space="preserve">河北省-保定市</x:t>
        </x:is>
      </x:c>
      <x:c r="H3507" s="4" t="inlineStr">
        <x:is>
          <x:t xml:space="preserve">汽车零部件</x:t>
        </x:is>
      </x:c>
      <x:c r="I3507" s="4" t="inlineStr">
        <x:is>
          <x:t xml:space="preserve">2015-04-23</x:t>
        </x:is>
      </x:c>
      <x:c r="J3507" s="5" t="inlineStr">
        <x:is>
          <x:t xml:space="preserve">保定市和润路569号</x:t>
        </x:is>
      </x:c>
      <x:c r="K3507" s="12" t="str">
        <x:f>LEFT("911306057713196269",18)</x:f>
        <x:v>911306057713196300</x:v>
      </x:c>
    </x:row>
    <x:row r="3508">
      <x:c r="A3508" s="2" t="n">
        <x:v>3507</x:v>
      </x:c>
      <x:c r="B3508" s="2" t="inlineStr">
        <x:is>
          <x:t xml:space="preserve">300491</x:t>
        </x:is>
      </x:c>
      <x:c r="C3508" s="3" t="inlineStr">
        <x:is>
          <x:t xml:space="preserve">通合科技</x:t>
        </x:is>
      </x:c>
      <x:c r="D3508" s="3" t="inlineStr">
        <x:is>
          <x:t xml:space="preserve">石家庄通合电子科技股份有限公司</x:t>
        </x:is>
      </x:c>
      <x:c r="E3508" s="2" t="inlineStr">
        <x:is>
          <x:t xml:space="preserve">河北省</x:t>
        </x:is>
      </x:c>
      <x:c r="F3508" s="2" t="inlineStr">
        <x:is>
          <x:t xml:space="preserve">石家庄市</x:t>
        </x:is>
      </x:c>
      <x:c r="G3508" s="3" t="inlineStr">
        <x:is>
          <x:t xml:space="preserve">河北省-石家庄市</x:t>
        </x:is>
      </x:c>
      <x:c r="H3508" s="2" t="inlineStr">
        <x:is>
          <x:t xml:space="preserve">电源设备</x:t>
        </x:is>
      </x:c>
      <x:c r="I3508" s="2" t="inlineStr">
        <x:is>
          <x:t xml:space="preserve">2015-12-31</x:t>
        </x:is>
      </x:c>
      <x:c r="J3508" s="3" t="inlineStr">
        <x:is>
          <x:t xml:space="preserve">石家庄高新区漓江道350号</x:t>
        </x:is>
      </x:c>
      <x:c r="K3508" s="12" t="str">
        <x:f>LEFT("91130100700964396T",18)</x:f>
        <x:v>91130100700964396T</x:v>
      </x:c>
    </x:row>
    <x:row r="3509">
      <x:c r="A3509" s="4" t="n">
        <x:v>3508</x:v>
      </x:c>
      <x:c r="B3509" s="4" t="inlineStr">
        <x:is>
          <x:t xml:space="preserve">300765</x:t>
        </x:is>
      </x:c>
      <x:c r="C3509" s="5" t="inlineStr">
        <x:is>
          <x:t xml:space="preserve">新诺威</x:t>
        </x:is>
      </x:c>
      <x:c r="D3509" s="5" t="inlineStr">
        <x:is>
          <x:t xml:space="preserve">石药创新制药股份有限公司</x:t>
        </x:is>
      </x:c>
      <x:c r="E3509" s="4" t="inlineStr">
        <x:is>
          <x:t xml:space="preserve">河北省</x:t>
        </x:is>
      </x:c>
      <x:c r="F3509" s="4" t="inlineStr">
        <x:is>
          <x:t xml:space="preserve">石家庄市</x:t>
        </x:is>
      </x:c>
      <x:c r="G3509" s="5" t="inlineStr">
        <x:is>
          <x:t xml:space="preserve">河北省-石家庄市</x:t>
        </x:is>
      </x:c>
      <x:c r="H3509" s="4" t="inlineStr">
        <x:is>
          <x:t xml:space="preserve">食品饮料</x:t>
        </x:is>
      </x:c>
      <x:c r="I3509" s="4" t="inlineStr">
        <x:is>
          <x:t xml:space="preserve">2019-03-22</x:t>
        </x:is>
      </x:c>
      <x:c r="J3509" s="5" t="inlineStr">
        <x:is>
          <x:t xml:space="preserve">河北省石家庄市栾城区张举路62号</x:t>
        </x:is>
      </x:c>
      <x:c r="K3509" s="12" t="str">
        <x:f>LEFT("91130100787019708G",18)</x:f>
        <x:v>91130100787019708G</x:v>
      </x:c>
    </x:row>
    <x:row r="3510">
      <x:c r="A3510" s="2" t="n">
        <x:v>3509</x:v>
      </x:c>
      <x:c r="B3510" s="2" t="inlineStr">
        <x:is>
          <x:t xml:space="preserve">300847</x:t>
        </x:is>
      </x:c>
      <x:c r="C3510" s="3" t="inlineStr">
        <x:is>
          <x:t xml:space="preserve">中船汉光</x:t>
        </x:is>
      </x:c>
      <x:c r="D3510" s="3" t="inlineStr">
        <x:is>
          <x:t xml:space="preserve">中船汉光科技股份有限公司</x:t>
        </x:is>
      </x:c>
      <x:c r="E3510" s="2" t="inlineStr">
        <x:is>
          <x:t xml:space="preserve">河北省</x:t>
        </x:is>
      </x:c>
      <x:c r="F3510" s="2" t="inlineStr">
        <x:is>
          <x:t xml:space="preserve">邯郸市</x:t>
        </x:is>
      </x:c>
      <x:c r="G3510" s="3" t="inlineStr">
        <x:is>
          <x:t xml:space="preserve">河北省-邯郸市</x:t>
        </x:is>
      </x:c>
      <x:c r="H3510" s="2" t="inlineStr">
        <x:is>
          <x:t xml:space="preserve">消费电子</x:t>
        </x:is>
      </x:c>
      <x:c r="I3510" s="2" t="inlineStr">
        <x:is>
          <x:t xml:space="preserve">2020-07-09</x:t>
        </x:is>
      </x:c>
      <x:c r="J3510" s="3" t="inlineStr">
        <x:is>
          <x:t xml:space="preserve">河北省邯郸市经济开发区世纪大街12号、和谐大街8号、尚壁东街8号</x:t>
        </x:is>
      </x:c>
      <x:c r="K3510" s="12" t="str">
        <x:f>LEFT("9113040072339877XH",18)</x:f>
        <x:v>9113040072339877XH</x:v>
      </x:c>
    </x:row>
    <x:row r="3511">
      <x:c r="A3511" s="4" t="n">
        <x:v>3510</x:v>
      </x:c>
      <x:c r="B3511" s="4" t="inlineStr">
        <x:is>
          <x:t xml:space="preserve">300869</x:t>
        </x:is>
      </x:c>
      <x:c r="C3511" s="5" t="inlineStr">
        <x:is>
          <x:t xml:space="preserve">康泰医学</x:t>
        </x:is>
      </x:c>
      <x:c r="D3511" s="5" t="inlineStr">
        <x:is>
          <x:t xml:space="preserve">康泰医学系统(秦皇岛)股份有限公司</x:t>
        </x:is>
      </x:c>
      <x:c r="E3511" s="4" t="inlineStr">
        <x:is>
          <x:t xml:space="preserve">河北省</x:t>
        </x:is>
      </x:c>
      <x:c r="F3511" s="4" t="inlineStr">
        <x:is>
          <x:t xml:space="preserve">秦皇岛市</x:t>
        </x:is>
      </x:c>
      <x:c r="G3511" s="5" t="inlineStr">
        <x:is>
          <x:t xml:space="preserve">河北省-秦皇岛市</x:t>
        </x:is>
      </x:c>
      <x:c r="H3511" s="4" t="inlineStr">
        <x:is>
          <x:t xml:space="preserve">医疗器械</x:t>
        </x:is>
      </x:c>
      <x:c r="I3511" s="4" t="inlineStr">
        <x:is>
          <x:t xml:space="preserve">2020-08-24</x:t>
        </x:is>
      </x:c>
      <x:c r="J3511" s="5" t="inlineStr">
        <x:is>
          <x:t xml:space="preserve">秦皇岛市经济技术开发区秦皇西大街112号</x:t>
        </x:is>
      </x:c>
      <x:c r="K3511" s="12" t="str">
        <x:f>LEFT("91130300601108025E",18)</x:f>
        <x:v>91130300601108025E</x:v>
      </x:c>
    </x:row>
    <x:row r="3512">
      <x:c r="A3512" s="2" t="n">
        <x:v>3511</x:v>
      </x:c>
      <x:c r="B3512" s="2" t="inlineStr">
        <x:is>
          <x:t xml:space="preserve">300922</x:t>
        </x:is>
      </x:c>
      <x:c r="C3512" s="3" t="inlineStr">
        <x:is>
          <x:t xml:space="preserve">天秦装备</x:t>
        </x:is>
      </x:c>
      <x:c r="D3512" s="3" t="inlineStr">
        <x:is>
          <x:t xml:space="preserve">秦皇岛天秦装备制造股份有限公司</x:t>
        </x:is>
      </x:c>
      <x:c r="E3512" s="2" t="inlineStr">
        <x:is>
          <x:t xml:space="preserve">河北省</x:t>
        </x:is>
      </x:c>
      <x:c r="F3512" s="2" t="inlineStr">
        <x:is>
          <x:t xml:space="preserve">秦皇岛市</x:t>
        </x:is>
      </x:c>
      <x:c r="G3512" s="3" t="inlineStr">
        <x:is>
          <x:t xml:space="preserve">河北省-秦皇岛市</x:t>
        </x:is>
      </x:c>
      <x:c r="H3512" s="2" t="inlineStr">
        <x:is>
          <x:t xml:space="preserve">塑胶制品</x:t>
        </x:is>
      </x:c>
      <x:c r="I3512" s="2" t="inlineStr">
        <x:is>
          <x:t xml:space="preserve">2020-12-25</x:t>
        </x:is>
      </x:c>
      <x:c r="J3512" s="3" t="inlineStr">
        <x:is>
          <x:t xml:space="preserve">秦皇岛市经济技术开发区雪山路5号</x:t>
        </x:is>
      </x:c>
      <x:c r="K3512" s="12" t="str">
        <x:f>LEFT("91130300105390439K",18)</x:f>
        <x:v>91130300105390439K</x:v>
      </x:c>
    </x:row>
    <x:row r="3513">
      <x:c r="A3513" s="4" t="n">
        <x:v>3512</x:v>
      </x:c>
      <x:c r="B3513" s="4" t="inlineStr">
        <x:is>
          <x:t xml:space="preserve">300981</x:t>
        </x:is>
      </x:c>
      <x:c r="C3513" s="5" t="inlineStr">
        <x:is>
          <x:t xml:space="preserve">中红医疗</x:t>
        </x:is>
      </x:c>
      <x:c r="D3513" s="5" t="inlineStr">
        <x:is>
          <x:t xml:space="preserve">中红普林医疗用品股份有限公司</x:t>
        </x:is>
      </x:c>
      <x:c r="E3513" s="4" t="inlineStr">
        <x:is>
          <x:t xml:space="preserve">河北省</x:t>
        </x:is>
      </x:c>
      <x:c r="F3513" s="4" t="inlineStr">
        <x:is>
          <x:t xml:space="preserve">唐山市</x:t>
        </x:is>
      </x:c>
      <x:c r="G3513" s="5" t="inlineStr">
        <x:is>
          <x:t xml:space="preserve">河北省-唐山市</x:t>
        </x:is>
      </x:c>
      <x:c r="H3513" s="4" t="inlineStr">
        <x:is>
          <x:t xml:space="preserve">医疗器械</x:t>
        </x:is>
      </x:c>
      <x:c r="I3513" s="4" t="inlineStr">
        <x:is>
          <x:t xml:space="preserve">2021-04-27</x:t>
        </x:is>
      </x:c>
      <x:c r="J3513" s="5" t="inlineStr">
        <x:is>
          <x:t xml:space="preserve">河北省唐山市滦南经济开发区城西园区</x:t>
        </x:is>
      </x:c>
      <x:c r="K3513" s="12" t="str">
        <x:f>LEFT("911302005661986189",18)</x:f>
        <x:v>911302005661986200</x:v>
      </x:c>
    </x:row>
    <x:row r="3514">
      <x:c r="A3514" s="2" t="n">
        <x:v>3513</x:v>
      </x:c>
      <x:c r="B3514" s="2" t="inlineStr">
        <x:is>
          <x:t xml:space="preserve">300990</x:t>
        </x:is>
      </x:c>
      <x:c r="C3514" s="3" t="inlineStr">
        <x:is>
          <x:t xml:space="preserve">同飞股份</x:t>
        </x:is>
      </x:c>
      <x:c r="D3514" s="3" t="inlineStr">
        <x:is>
          <x:t xml:space="preserve">三河同飞制冷股份有限公司</x:t>
        </x:is>
      </x:c>
      <x:c r="E3514" s="2" t="inlineStr">
        <x:is>
          <x:t xml:space="preserve">河北省</x:t>
        </x:is>
      </x:c>
      <x:c r="F3514" s="2" t="inlineStr">
        <x:is>
          <x:t xml:space="preserve">廊坊市</x:t>
        </x:is>
      </x:c>
      <x:c r="G3514" s="3" t="inlineStr">
        <x:is>
          <x:t xml:space="preserve">河北省-廊坊市</x:t>
        </x:is>
      </x:c>
      <x:c r="H3514" s="2" t="inlineStr">
        <x:is>
          <x:t xml:space="preserve">通用设备</x:t>
        </x:is>
      </x:c>
      <x:c r="I3514" s="2" t="inlineStr">
        <x:is>
          <x:t xml:space="preserve">2021-05-12</x:t>
        </x:is>
      </x:c>
      <x:c r="J3514" s="3" t="inlineStr">
        <x:is>
          <x:t xml:space="preserve">河北三河经济开发区崇义路30号</x:t>
        </x:is>
      </x:c>
      <x:c r="K3514" s="12" t="str">
        <x:f>LEFT("91131082601219411Y",18)</x:f>
        <x:v>91131082601219411Y</x:v>
      </x:c>
    </x:row>
    <x:row r="3515">
      <x:c r="A3515" s="4" t="n">
        <x:v>3514</x:v>
      </x:c>
      <x:c r="B3515" s="4" t="inlineStr">
        <x:is>
          <x:t xml:space="preserve">301197</x:t>
        </x:is>
      </x:c>
      <x:c r="C3515" s="5" t="inlineStr">
        <x:is>
          <x:t xml:space="preserve">工大科雅</x:t>
        </x:is>
      </x:c>
      <x:c r="D3515" s="5" t="inlineStr">
        <x:is>
          <x:t xml:space="preserve">河北工大科雅科技集团股份有限公司</x:t>
        </x:is>
      </x:c>
      <x:c r="E3515" s="4" t="inlineStr">
        <x:is>
          <x:t xml:space="preserve">河北省</x:t>
        </x:is>
      </x:c>
      <x:c r="F3515" s="4" t="inlineStr">
        <x:is>
          <x:t xml:space="preserve">石家庄市</x:t>
        </x:is>
      </x:c>
      <x:c r="G3515" s="5" t="inlineStr">
        <x:is>
          <x:t xml:space="preserve">河北省-石家庄市</x:t>
        </x:is>
      </x:c>
      <x:c r="H3515" s="4" t="inlineStr">
        <x:is>
          <x:t xml:space="preserve">软件开发</x:t>
        </x:is>
      </x:c>
      <x:c r="I3515" s="4" t="inlineStr">
        <x:is>
          <x:t xml:space="preserve">2022-08-08</x:t>
        </x:is>
      </x:c>
      <x:c r="J3515" s="5" t="inlineStr">
        <x:is>
          <x:t xml:space="preserve">石家庄高新区裕华东路455号润江总部国际9号楼</x:t>
        </x:is>
      </x:c>
      <x:c r="K3515" s="12" t="str">
        <x:f>LEFT("91130100745411306F",18)</x:f>
        <x:v>91130100745411306F</x:v>
      </x:c>
    </x:row>
    <x:row r="3516">
      <x:c r="A3516" s="2" t="n">
        <x:v>3515</x:v>
      </x:c>
      <x:c r="B3516" s="2" t="inlineStr">
        <x:is>
          <x:t xml:space="preserve">301261</x:t>
        </x:is>
      </x:c>
      <x:c r="C3516" s="3" t="inlineStr">
        <x:is>
          <x:t xml:space="preserve">恒工精密</x:t>
        </x:is>
      </x:c>
      <x:c r="D3516" s="3" t="inlineStr">
        <x:is>
          <x:t xml:space="preserve">河北恒工精密装备股份有限公司</x:t>
        </x:is>
      </x:c>
      <x:c r="E3516" s="2" t="inlineStr">
        <x:is>
          <x:t xml:space="preserve">河北省</x:t>
        </x:is>
      </x:c>
      <x:c r="F3516" s="2" t="inlineStr">
        <x:is>
          <x:t xml:space="preserve">邯郸市</x:t>
        </x:is>
      </x:c>
      <x:c r="G3516" s="3" t="inlineStr">
        <x:is>
          <x:t xml:space="preserve">河北省-邯郸市</x:t>
        </x:is>
      </x:c>
      <x:c r="H3516" s="2" t="inlineStr">
        <x:is>
          <x:t xml:space="preserve">通用设备</x:t>
        </x:is>
      </x:c>
      <x:c r="I3516" s="2" t="inlineStr">
        <x:is>
          <x:t xml:space="preserve">2023-07-10</x:t>
        </x:is>
      </x:c>
      <x:c r="J3516" s="3" t="inlineStr">
        <x:is>
          <x:t xml:space="preserve">成安县商城镇工业园区</x:t>
        </x:is>
      </x:c>
      <x:c r="K3516" s="12" t="str">
        <x:f>LEFT("91130424596814186E",18)</x:f>
        <x:v>91130424596814186E</x:v>
      </x:c>
    </x:row>
    <x:row r="3517">
      <x:c r="A3517" s="4" t="n">
        <x:v>3516</x:v>
      </x:c>
      <x:c r="B3517" s="4" t="inlineStr">
        <x:is>
          <x:t xml:space="preserve">301298</x:t>
        </x:is>
      </x:c>
      <x:c r="C3517" s="5" t="inlineStr">
        <x:is>
          <x:t xml:space="preserve">东利机械</x:t>
        </x:is>
      </x:c>
      <x:c r="D3517" s="5" t="inlineStr">
        <x:is>
          <x:t xml:space="preserve">保定市东利机械制造股份有限公司</x:t>
        </x:is>
      </x:c>
      <x:c r="E3517" s="4" t="inlineStr">
        <x:is>
          <x:t xml:space="preserve">河北省</x:t>
        </x:is>
      </x:c>
      <x:c r="F3517" s="4" t="inlineStr">
        <x:is>
          <x:t xml:space="preserve">保定市</x:t>
        </x:is>
      </x:c>
      <x:c r="G3517" s="5" t="inlineStr">
        <x:is>
          <x:t xml:space="preserve">河北省-保定市</x:t>
        </x:is>
      </x:c>
      <x:c r="H3517" s="4" t="inlineStr">
        <x:is>
          <x:t xml:space="preserve">汽车零部件</x:t>
        </x:is>
      </x:c>
      <x:c r="I3517" s="4" t="inlineStr">
        <x:is>
          <x:t xml:space="preserve">2022-06-06</x:t>
        </x:is>
      </x:c>
      <x:c r="J3517" s="5" t="inlineStr">
        <x:is>
          <x:t xml:space="preserve">保定市清苑区前进东路29号</x:t>
        </x:is>
      </x:c>
      <x:c r="K3517" s="12" t="str">
        <x:f>LEFT("91130600700921230H",18)</x:f>
        <x:v>91130600700921230H</x:v>
      </x:c>
    </x:row>
    <x:row r="3518">
      <x:c r="A3518" s="2" t="n">
        <x:v>3517</x:v>
      </x:c>
      <x:c r="B3518" s="2" t="inlineStr">
        <x:is>
          <x:t xml:space="preserve">301522</x:t>
        </x:is>
      </x:c>
      <x:c r="C3518" s="3" t="inlineStr">
        <x:is>
          <x:t xml:space="preserve">上大股份</x:t>
        </x:is>
      </x:c>
      <x:c r="D3518" s="3" t="inlineStr">
        <x:is>
          <x:t xml:space="preserve">中航上大高温合金材料股份有限公司</x:t>
        </x:is>
      </x:c>
      <x:c r="E3518" s="2" t="inlineStr">
        <x:is>
          <x:t xml:space="preserve">河北省</x:t>
        </x:is>
      </x:c>
      <x:c r="F3518" s="2" t="inlineStr">
        <x:is>
          <x:t xml:space="preserve">邢台市</x:t>
        </x:is>
      </x:c>
      <x:c r="G3518" s="3" t="inlineStr">
        <x:is>
          <x:t xml:space="preserve">河北省-邢台市</x:t>
        </x:is>
      </x:c>
      <x:c r="H3518" s="2" t="inlineStr">
        <x:is>
          <x:t xml:space="preserve">有色金属</x:t>
        </x:is>
      </x:c>
      <x:c r="I3518" s="2" t="inlineStr">
        <x:is>
          <x:t xml:space="preserve">2024-10-16</x:t>
        </x:is>
      </x:c>
      <x:c r="J3518" s="3" t="inlineStr">
        <x:is>
          <x:t xml:space="preserve">河北省清河县挥公大道16号</x:t>
        </x:is>
      </x:c>
      <x:c r="K3518" s="12" t="str">
        <x:f>LEFT("911305346652950774",18)</x:f>
        <x:v>911305346652950800</x:v>
      </x:c>
    </x:row>
    <x:row r="3519">
      <x:c r="A3519" s="4" t="n">
        <x:v>3518</x:v>
      </x:c>
      <x:c r="B3519" s="4" t="inlineStr">
        <x:is>
          <x:t xml:space="preserve">301551</x:t>
        </x:is>
      </x:c>
      <x:c r="C3519" s="5" t="inlineStr">
        <x:is>
          <x:t xml:space="preserve">无线传媒</x:t>
        </x:is>
      </x:c>
      <x:c r="D3519" s="5" t="inlineStr">
        <x:is>
          <x:t xml:space="preserve">河北广电无线传媒股份有限公司</x:t>
        </x:is>
      </x:c>
      <x:c r="E3519" s="4" t="inlineStr">
        <x:is>
          <x:t xml:space="preserve">河北省</x:t>
        </x:is>
      </x:c>
      <x:c r="F3519" s="4" t="inlineStr">
        <x:is>
          <x:t xml:space="preserve">石家庄市</x:t>
        </x:is>
      </x:c>
      <x:c r="G3519" s="5" t="inlineStr">
        <x:is>
          <x:t xml:space="preserve">河北省-石家庄市</x:t>
        </x:is>
      </x:c>
      <x:c r="H3519" s="4" t="inlineStr">
        <x:is>
          <x:t xml:space="preserve">文化传媒</x:t>
        </x:is>
      </x:c>
      <x:c r="I3519" s="4" t="inlineStr">
        <x:is>
          <x:t xml:space="preserve">2024-09-26</x:t>
        </x:is>
      </x:c>
      <x:c r="J3519" s="5" t="inlineStr">
        <x:is>
          <x:t xml:space="preserve">石家庄市新石北路368号</x:t>
        </x:is>
      </x:c>
      <x:c r="K3519" s="12" t="str">
        <x:f>LEFT("91130000688231463N",18)</x:f>
        <x:v>91130000688231463N</x:v>
      </x:c>
    </x:row>
    <x:row r="3520">
      <x:c r="A3520" s="2" t="n">
        <x:v>3519</x:v>
      </x:c>
      <x:c r="B3520" s="2" t="inlineStr">
        <x:is>
          <x:t xml:space="preserve">301552</x:t>
        </x:is>
      </x:c>
      <x:c r="C3520" s="3" t="inlineStr">
        <x:is>
          <x:t xml:space="preserve">科力装备</x:t>
        </x:is>
      </x:c>
      <x:c r="D3520" s="3" t="inlineStr">
        <x:is>
          <x:t xml:space="preserve">河北科力汽车装备股份有限公司</x:t>
        </x:is>
      </x:c>
      <x:c r="E3520" s="2" t="inlineStr">
        <x:is>
          <x:t xml:space="preserve">河北省</x:t>
        </x:is>
      </x:c>
      <x:c r="F3520" s="2" t="inlineStr">
        <x:is>
          <x:t xml:space="preserve">秦皇岛市</x:t>
        </x:is>
      </x:c>
      <x:c r="G3520" s="3" t="inlineStr">
        <x:is>
          <x:t xml:space="preserve">河北省-秦皇岛市</x:t>
        </x:is>
      </x:c>
      <x:c r="H3520" s="2" t="inlineStr">
        <x:is>
          <x:t xml:space="preserve">汽车零部件</x:t>
        </x:is>
      </x:c>
      <x:c r="I3520" s="2" t="inlineStr">
        <x:is>
          <x:t xml:space="preserve">2024-07-22</x:t>
        </x:is>
      </x:c>
      <x:c r="J3520" s="3" t="inlineStr">
        <x:is>
          <x:t xml:space="preserve">秦皇岛市经济技术开发区天马湖路12号</x:t>
        </x:is>
      </x:c>
      <x:c r="K3520" s="12" t="str">
        <x:f>LEFT("9113030107598338X0",18)</x:f>
        <x:v>9113030107598338X0</x:v>
      </x:c>
    </x:row>
    <x:row r="3521">
      <x:c r="A3521" s="4" t="n">
        <x:v>3520</x:v>
      </x:c>
      <x:c r="B3521" s="4" t="inlineStr">
        <x:is>
          <x:t xml:space="preserve">301580</x:t>
        </x:is>
      </x:c>
      <x:c r="C3521" s="5" t="inlineStr">
        <x:is>
          <x:t xml:space="preserve">爱迪特</x:t>
        </x:is>
      </x:c>
      <x:c r="D3521" s="5" t="inlineStr">
        <x:is>
          <x:t xml:space="preserve">爱迪特(秦皇岛)科技股份有限公司</x:t>
        </x:is>
      </x:c>
      <x:c r="E3521" s="4" t="inlineStr">
        <x:is>
          <x:t xml:space="preserve">河北省</x:t>
        </x:is>
      </x:c>
      <x:c r="F3521" s="4" t="inlineStr">
        <x:is>
          <x:t xml:space="preserve">秦皇岛市</x:t>
        </x:is>
      </x:c>
      <x:c r="G3521" s="5" t="inlineStr">
        <x:is>
          <x:t xml:space="preserve">河北省-秦皇岛市</x:t>
        </x:is>
      </x:c>
      <x:c r="H3521" s="4" t="inlineStr">
        <x:is>
          <x:t xml:space="preserve">医疗器械</x:t>
        </x:is>
      </x:c>
      <x:c r="I3521" s="4" t="inlineStr">
        <x:is>
          <x:t xml:space="preserve">2024-06-26</x:t>
        </x:is>
      </x:c>
      <x:c r="J3521" s="5" t="inlineStr">
        <x:is>
          <x:t xml:space="preserve">秦皇岛市经济技术开发区都山路9号,秦皇岛市经济技术开发区天池路56号</x:t>
        </x:is>
      </x:c>
      <x:c r="K3521" s="12" t="str">
        <x:f>LEFT("91130300799573001U",18)</x:f>
        <x:v>91130300799573001U</x:v>
      </x:c>
    </x:row>
    <x:row r="3522">
      <x:c r="A3522" s="2" t="n">
        <x:v>3521</x:v>
      </x:c>
      <x:c r="B3522" s="2" t="inlineStr">
        <x:is>
          <x:t xml:space="preserve">600011</x:t>
        </x:is>
      </x:c>
      <x:c r="C3522" s="3" t="inlineStr">
        <x:is>
          <x:t xml:space="preserve">华能国际</x:t>
        </x:is>
      </x:c>
      <x:c r="D3522" s="3" t="inlineStr">
        <x:is>
          <x:t xml:space="preserve">华能国际电力股份有限公司</x:t>
        </x:is>
      </x:c>
      <x:c r="E3522" s="2" t="inlineStr">
        <x:is>
          <x:t xml:space="preserve">河北省</x:t>
        </x:is>
      </x:c>
      <x:c r="F3522" s="2" t="inlineStr">
        <x:is>
          <x:t xml:space="preserve">雄安市</x:t>
        </x:is>
      </x:c>
      <x:c r="G3522" s="3" t="inlineStr">
        <x:is>
          <x:t xml:space="preserve">河北省-雄安市</x:t>
        </x:is>
      </x:c>
      <x:c r="H3522" s="2" t="inlineStr">
        <x:is>
          <x:t xml:space="preserve">电力行业</x:t>
        </x:is>
      </x:c>
      <x:c r="I3522" s="2" t="inlineStr">
        <x:is>
          <x:t xml:space="preserve">2001-12-06</x:t>
        </x:is>
      </x:c>
      <x:c r="J3522" s="3" t="inlineStr">
        <x:is>
          <x:t xml:space="preserve">河北省雄安新区启动区华能总部</x:t>
        </x:is>
      </x:c>
      <x:c r="K3522" s="12" t="str">
        <x:f>LEFT("91110000625905205U",18)</x:f>
        <x:v>91110000625905205U</x:v>
      </x:c>
    </x:row>
    <x:row r="3523">
      <x:c r="A3523" s="4" t="n">
        <x:v>3522</x:v>
      </x:c>
      <x:c r="B3523" s="4" t="inlineStr">
        <x:is>
          <x:t xml:space="preserve">600135</x:t>
        </x:is>
      </x:c>
      <x:c r="C3523" s="5" t="inlineStr">
        <x:is>
          <x:t xml:space="preserve">乐凯胶片</x:t>
        </x:is>
      </x:c>
      <x:c r="D3523" s="5" t="inlineStr">
        <x:is>
          <x:t xml:space="preserve">乐凯胶片股份有限公司</x:t>
        </x:is>
      </x:c>
      <x:c r="E3523" s="4" t="inlineStr">
        <x:is>
          <x:t xml:space="preserve">河北省</x:t>
        </x:is>
      </x:c>
      <x:c r="F3523" s="4" t="inlineStr">
        <x:is>
          <x:t xml:space="preserve">保定市</x:t>
        </x:is>
      </x:c>
      <x:c r="G3523" s="5" t="inlineStr">
        <x:is>
          <x:t xml:space="preserve">河北省-保定市</x:t>
        </x:is>
      </x:c>
      <x:c r="H3523" s="4" t="inlineStr">
        <x:is>
          <x:t xml:space="preserve">塑料制品</x:t>
        </x:is>
      </x:c>
      <x:c r="I3523" s="4" t="inlineStr">
        <x:is>
          <x:t xml:space="preserve">1998-01-22</x:t>
        </x:is>
      </x:c>
      <x:c r="J3523" s="5" t="inlineStr">
        <x:is>
          <x:t xml:space="preserve">河北省保定市满城区满城经济开发区建业路6号</x:t>
        </x:is>
      </x:c>
      <x:c r="K3523" s="12" t="str">
        <x:f>LEFT("911300007007101420",18)</x:f>
        <x:v>911300007007101400</x:v>
      </x:c>
    </x:row>
    <x:row r="3524">
      <x:c r="A3524" s="2" t="n">
        <x:v>3523</x:v>
      </x:c>
      <x:c r="B3524" s="2" t="inlineStr">
        <x:is>
          <x:t xml:space="preserve">600149</x:t>
        </x:is>
      </x:c>
      <x:c r="C3524" s="3" t="inlineStr">
        <x:is>
          <x:t xml:space="preserve">廊坊发展</x:t>
        </x:is>
      </x:c>
      <x:c r="D3524" s="3" t="inlineStr">
        <x:is>
          <x:t xml:space="preserve">廊坊发展股份有限公司</x:t>
        </x:is>
      </x:c>
      <x:c r="E3524" s="2" t="inlineStr">
        <x:is>
          <x:t xml:space="preserve">河北省</x:t>
        </x:is>
      </x:c>
      <x:c r="F3524" s="2" t="inlineStr">
        <x:is>
          <x:t xml:space="preserve">廊坊市</x:t>
        </x:is>
      </x:c>
      <x:c r="G3524" s="3" t="inlineStr">
        <x:is>
          <x:t xml:space="preserve">河北省-廊坊市</x:t>
        </x:is>
      </x:c>
      <x:c r="H3524" s="2" t="inlineStr">
        <x:is>
          <x:t xml:space="preserve">电力行业</x:t>
        </x:is>
      </x:c>
      <x:c r="I3524" s="2" t="inlineStr">
        <x:is>
          <x:t xml:space="preserve">1999-10-14</x:t>
        </x:is>
      </x:c>
      <x:c r="J3524" s="3" t="inlineStr">
        <x:is>
          <x:t xml:space="preserve">廊坊市广阳区凯创大厦第1幢2单元22层2-2208</x:t>
        </x:is>
      </x:c>
      <x:c r="K3524" s="12" t="str">
        <x:f>LEFT("911310001057748114",18)</x:f>
        <x:v>911310001057748100</x:v>
      </x:c>
    </x:row>
    <x:row r="3525">
      <x:c r="A3525" s="4" t="n">
        <x:v>3524</x:v>
      </x:c>
      <x:c r="B3525" s="4" t="inlineStr">
        <x:is>
          <x:t xml:space="preserve">600230</x:t>
        </x:is>
      </x:c>
      <x:c r="C3525" s="5" t="inlineStr">
        <x:is>
          <x:t xml:space="preserve">沧州大化</x:t>
        </x:is>
      </x:c>
      <x:c r="D3525" s="5" t="inlineStr">
        <x:is>
          <x:t xml:space="preserve">沧州大化股份有限公司</x:t>
        </x:is>
      </x:c>
      <x:c r="E3525" s="4" t="inlineStr">
        <x:is>
          <x:t xml:space="preserve">河北省</x:t>
        </x:is>
      </x:c>
      <x:c r="F3525" s="4" t="inlineStr">
        <x:is>
          <x:t xml:space="preserve">沧州市</x:t>
        </x:is>
      </x:c>
      <x:c r="G3525" s="5" t="inlineStr">
        <x:is>
          <x:t xml:space="preserve">河北省-沧州市</x:t>
        </x:is>
      </x:c>
      <x:c r="H3525" s="4" t="inlineStr">
        <x:is>
          <x:t xml:space="preserve">化工行业</x:t>
        </x:is>
      </x:c>
      <x:c r="I3525" s="4" t="inlineStr">
        <x:is>
          <x:t xml:space="preserve">2000-04-06</x:t>
        </x:is>
      </x:c>
      <x:c r="J3525" s="5" t="inlineStr">
        <x:is>
          <x:t xml:space="preserve">河北省沧州市运河区永济东路19号</x:t>
        </x:is>
      </x:c>
      <x:c r="K3525" s="12" t="str">
        <x:f>LEFT("911309007007142232",18)</x:f>
        <x:v>911309007007142300</x:v>
      </x:c>
    </x:row>
    <x:row r="3526">
      <x:c r="A3526" s="2" t="n">
        <x:v>3525</x:v>
      </x:c>
      <x:c r="B3526" s="2" t="inlineStr">
        <x:is>
          <x:t xml:space="preserve">600340</x:t>
        </x:is>
      </x:c>
      <x:c r="C3526" s="3" t="inlineStr">
        <x:is>
          <x:t xml:space="preserve">华夏幸福</x:t>
        </x:is>
      </x:c>
      <x:c r="D3526" s="3" t="inlineStr">
        <x:is>
          <x:t xml:space="preserve">华夏幸福基业股份有限公司</x:t>
        </x:is>
      </x:c>
      <x:c r="E3526" s="2" t="inlineStr">
        <x:is>
          <x:t xml:space="preserve">河北省</x:t>
        </x:is>
      </x:c>
      <x:c r="F3526" s="2" t="inlineStr">
        <x:is>
          <x:t xml:space="preserve">廊坊市</x:t>
        </x:is>
      </x:c>
      <x:c r="G3526" s="3" t="inlineStr">
        <x:is>
          <x:t xml:space="preserve">河北省-廊坊市</x:t>
        </x:is>
      </x:c>
      <x:c r="H3526" s="2" t="inlineStr">
        <x:is>
          <x:t xml:space="preserve">房地产</x:t>
        </x:is>
      </x:c>
      <x:c r="I3526" s="2" t="inlineStr">
        <x:is>
          <x:t xml:space="preserve">2003-12-30</x:t>
        </x:is>
      </x:c>
      <x:c r="J3526" s="3" t="inlineStr">
        <x:is>
          <x:t xml:space="preserve">河北省固安县京开路西侧三号路北侧一号</x:t>
        </x:is>
      </x:c>
      <x:c r="K3526" s="12" t="str">
        <x:f>LEFT("911310006096709523",18)</x:f>
        <x:v>911310006096709500</x:v>
      </x:c>
    </x:row>
    <x:row r="3527">
      <x:c r="A3527" s="4" t="n">
        <x:v>3526</x:v>
      </x:c>
      <x:c r="B3527" s="4" t="inlineStr">
        <x:is>
          <x:t xml:space="preserve">600409</x:t>
        </x:is>
      </x:c>
      <x:c r="C3527" s="5" t="inlineStr">
        <x:is>
          <x:t xml:space="preserve">三友化工</x:t>
        </x:is>
      </x:c>
      <x:c r="D3527" s="5" t="inlineStr">
        <x:is>
          <x:t xml:space="preserve">唐山三友化工股份有限公司</x:t>
        </x:is>
      </x:c>
      <x:c r="E3527" s="4" t="inlineStr">
        <x:is>
          <x:t xml:space="preserve">河北省</x:t>
        </x:is>
      </x:c>
      <x:c r="F3527" s="4" t="inlineStr">
        <x:is>
          <x:t xml:space="preserve">唐山市</x:t>
        </x:is>
      </x:c>
      <x:c r="G3527" s="5" t="inlineStr">
        <x:is>
          <x:t xml:space="preserve">河北省-唐山市</x:t>
        </x:is>
      </x:c>
      <x:c r="H3527" s="4" t="inlineStr">
        <x:is>
          <x:t xml:space="preserve">化学原料</x:t>
        </x:is>
      </x:c>
      <x:c r="I3527" s="4" t="inlineStr">
        <x:is>
          <x:t xml:space="preserve">2003-06-18</x:t>
        </x:is>
      </x:c>
      <x:c r="J3527" s="5" t="inlineStr">
        <x:is>
          <x:t xml:space="preserve">河北省唐山市南堡开发区</x:t>
        </x:is>
      </x:c>
      <x:c r="K3527" s="12" t="str">
        <x:f>LEFT("91130200721620963C",18)</x:f>
        <x:v>91130200721620963C</x:v>
      </x:c>
    </x:row>
    <x:row r="3528">
      <x:c r="A3528" s="2" t="n">
        <x:v>3527</x:v>
      </x:c>
      <x:c r="B3528" s="2" t="inlineStr">
        <x:is>
          <x:t xml:space="preserve">600480</x:t>
        </x:is>
      </x:c>
      <x:c r="C3528" s="3" t="inlineStr">
        <x:is>
          <x:t xml:space="preserve">凌云股份</x:t>
        </x:is>
      </x:c>
      <x:c r="D3528" s="3" t="inlineStr">
        <x:is>
          <x:t xml:space="preserve">凌云工业股份有限公司</x:t>
        </x:is>
      </x:c>
      <x:c r="E3528" s="2" t="inlineStr">
        <x:is>
          <x:t xml:space="preserve">河北省</x:t>
        </x:is>
      </x:c>
      <x:c r="F3528" s="2" t="inlineStr">
        <x:is>
          <x:t xml:space="preserve">北省涿州市</x:t>
        </x:is>
      </x:c>
      <x:c r="G3528" s="3" t="inlineStr">
        <x:is>
          <x:t xml:space="preserve">河北省-北省涿州市</x:t>
        </x:is>
      </x:c>
      <x:c r="H3528" s="2" t="inlineStr">
        <x:is>
          <x:t xml:space="preserve">汽车零部件</x:t>
        </x:is>
      </x:c>
      <x:c r="I3528" s="2" t="inlineStr">
        <x:is>
          <x:t xml:space="preserve">2003-08-15</x:t>
        </x:is>
      </x:c>
      <x:c r="J3528" s="3" t="inlineStr">
        <x:is>
          <x:t xml:space="preserve">河北省涿州市松林店镇</x:t>
        </x:is>
      </x:c>
      <x:c r="K3528" s="12" t="str">
        <x:f>LEFT("911306006014942964",18)</x:f>
        <x:v>911306006014943000</x:v>
      </x:c>
    </x:row>
    <x:row r="3529">
      <x:c r="A3529" s="4" t="n">
        <x:v>3528</x:v>
      </x:c>
      <x:c r="B3529" s="4" t="inlineStr">
        <x:is>
          <x:t xml:space="preserve">600482</x:t>
        </x:is>
      </x:c>
      <x:c r="C3529" s="5" t="inlineStr">
        <x:is>
          <x:t xml:space="preserve">中国动力</x:t>
        </x:is>
      </x:c>
      <x:c r="D3529" s="5" t="inlineStr">
        <x:is>
          <x:t xml:space="preserve">中国船舶重工集团动力股份有限公司</x:t>
        </x:is>
      </x:c>
      <x:c r="E3529" s="4" t="inlineStr">
        <x:is>
          <x:t xml:space="preserve">河北省</x:t>
        </x:is>
      </x:c>
      <x:c r="F3529" s="4" t="inlineStr">
        <x:is>
          <x:t xml:space="preserve">北省涿州市</x:t>
        </x:is>
      </x:c>
      <x:c r="G3529" s="5" t="inlineStr">
        <x:is>
          <x:t xml:space="preserve">河北省-北省涿州市</x:t>
        </x:is>
      </x:c>
      <x:c r="H3529" s="4" t="inlineStr">
        <x:is>
          <x:t xml:space="preserve">船舶制造</x:t>
        </x:is>
      </x:c>
      <x:c r="I3529" s="4" t="inlineStr">
        <x:is>
          <x:t xml:space="preserve">2004-07-14</x:t>
        </x:is>
      </x:c>
      <x:c r="J3529" s="5" t="inlineStr">
        <x:is>
          <x:t xml:space="preserve">河北省涿州市范阳东路3号开发区管委会5楼520室</x:t>
        </x:is>
      </x:c>
      <x:c r="K3529" s="12" t="str">
        <x:f>LEFT("911306007109266097",18)</x:f>
        <x:v>911306007109266000</x:v>
      </x:c>
    </x:row>
    <x:row r="3530">
      <x:c r="A3530" s="2" t="n">
        <x:v>3529</x:v>
      </x:c>
      <x:c r="B3530" s="2" t="inlineStr">
        <x:is>
          <x:t xml:space="preserve">600550</x:t>
        </x:is>
      </x:c>
      <x:c r="C3530" s="3" t="inlineStr">
        <x:is>
          <x:t xml:space="preserve">保变电气</x:t>
        </x:is>
      </x:c>
      <x:c r="D3530" s="3" t="inlineStr">
        <x:is>
          <x:t xml:space="preserve">保定天威保变电气股份有限公司</x:t>
        </x:is>
      </x:c>
      <x:c r="E3530" s="2" t="inlineStr">
        <x:is>
          <x:t xml:space="preserve">河北省</x:t>
        </x:is>
      </x:c>
      <x:c r="F3530" s="2" t="inlineStr">
        <x:is>
          <x:t xml:space="preserve">保定市</x:t>
        </x:is>
      </x:c>
      <x:c r="G3530" s="3" t="inlineStr">
        <x:is>
          <x:t xml:space="preserve">河北省-保定市</x:t>
        </x:is>
      </x:c>
      <x:c r="H3530" s="2" t="inlineStr">
        <x:is>
          <x:t xml:space="preserve">输配电气</x:t>
        </x:is>
      </x:c>
      <x:c r="I3530" s="2" t="inlineStr">
        <x:is>
          <x:t xml:space="preserve">2001-02-28</x:t>
        </x:is>
      </x:c>
      <x:c r="J3530" s="3" t="inlineStr">
        <x:is>
          <x:t xml:space="preserve">河北省保定市天威西路2222号</x:t>
        </x:is>
      </x:c>
      <x:c r="K3530" s="12" t="str">
        <x:f>LEFT("91130600718358175D",18)</x:f>
        <x:v>91130600718358175D</x:v>
      </x:c>
    </x:row>
    <x:row r="3531">
      <x:c r="A3531" s="4" t="n">
        <x:v>3530</x:v>
      </x:c>
      <x:c r="B3531" s="4" t="inlineStr">
        <x:is>
          <x:t xml:space="preserve">600559</x:t>
        </x:is>
      </x:c>
      <x:c r="C3531" s="5" t="inlineStr">
        <x:is>
          <x:t xml:space="preserve">老白干酒</x:t>
        </x:is>
      </x:c>
      <x:c r="D3531" s="5" t="inlineStr">
        <x:is>
          <x:t xml:space="preserve">河北衡水老白干酒业股份有限公司</x:t>
        </x:is>
      </x:c>
      <x:c r="E3531" s="4" t="inlineStr">
        <x:is>
          <x:t xml:space="preserve">河北省</x:t>
        </x:is>
      </x:c>
      <x:c r="F3531" s="4" t="inlineStr">
        <x:is>
          <x:t xml:space="preserve">衡水市</x:t>
        </x:is>
      </x:c>
      <x:c r="G3531" s="5" t="inlineStr">
        <x:is>
          <x:t xml:space="preserve">河北省-衡水市</x:t>
        </x:is>
      </x:c>
      <x:c r="H3531" s="4" t="inlineStr">
        <x:is>
          <x:t xml:space="preserve">酿酒行业</x:t>
        </x:is>
      </x:c>
      <x:c r="I3531" s="4" t="inlineStr">
        <x:is>
          <x:t xml:space="preserve">2002-10-29</x:t>
        </x:is>
      </x:c>
      <x:c r="J3531" s="5" t="inlineStr">
        <x:is>
          <x:t xml:space="preserve">河北省衡水市高新区振华大街999号</x:t>
        </x:is>
      </x:c>
      <x:c r="K3531" s="12" t="str">
        <x:f>LEFT("911311007216760190",18)</x:f>
        <x:v>911311007216760200</x:v>
      </x:c>
    </x:row>
    <x:row r="3532">
      <x:c r="A3532" s="2" t="n">
        <x:v>3531</x:v>
      </x:c>
      <x:c r="B3532" s="2" t="inlineStr">
        <x:is>
          <x:t xml:space="preserve">600722</x:t>
        </x:is>
      </x:c>
      <x:c r="C3532" s="3" t="inlineStr">
        <x:is>
          <x:t xml:space="preserve">金牛化工</x:t>
        </x:is>
      </x:c>
      <x:c r="D3532" s="3" t="inlineStr">
        <x:is>
          <x:t xml:space="preserve">河北金牛化工股份有限公司</x:t>
        </x:is>
      </x:c>
      <x:c r="E3532" s="2" t="inlineStr">
        <x:is>
          <x:t xml:space="preserve">河北省</x:t>
        </x:is>
      </x:c>
      <x:c r="F3532" s="2" t="inlineStr">
        <x:is>
          <x:t xml:space="preserve">沧州市</x:t>
        </x:is>
      </x:c>
      <x:c r="G3532" s="3" t="inlineStr">
        <x:is>
          <x:t xml:space="preserve">河北省-沧州市</x:t>
        </x:is>
      </x:c>
      <x:c r="H3532" s="2" t="inlineStr">
        <x:is>
          <x:t xml:space="preserve">化学原料</x:t>
        </x:is>
      </x:c>
      <x:c r="I3532" s="2" t="inlineStr">
        <x:is>
          <x:t xml:space="preserve">1996-06-26</x:t>
        </x:is>
      </x:c>
      <x:c r="J3532" s="3" t="inlineStr">
        <x:is>
          <x:t xml:space="preserve">沧州临港化工园区化工大道</x:t>
        </x:is>
      </x:c>
      <x:c r="K3532" s="12" t="str">
        <x:f>LEFT("91130900104363017U",18)</x:f>
        <x:v>91130900104363017U</x:v>
      </x:c>
    </x:row>
    <x:row r="3533">
      <x:c r="A3533" s="4" t="n">
        <x:v>3532</x:v>
      </x:c>
      <x:c r="B3533" s="4" t="inlineStr">
        <x:is>
          <x:t xml:space="preserve">600803</x:t>
        </x:is>
      </x:c>
      <x:c r="C3533" s="5" t="inlineStr">
        <x:is>
          <x:t xml:space="preserve">新奥股份</x:t>
        </x:is>
      </x:c>
      <x:c r="D3533" s="5" t="inlineStr">
        <x:is>
          <x:t xml:space="preserve">新奥天然气股份有限公司</x:t>
        </x:is>
      </x:c>
      <x:c r="E3533" s="4" t="inlineStr">
        <x:is>
          <x:t xml:space="preserve">河北省</x:t>
        </x:is>
      </x:c>
      <x:c r="F3533" s="4" t="inlineStr">
        <x:is>
          <x:t xml:space="preserve">石家庄市</x:t>
        </x:is>
      </x:c>
      <x:c r="G3533" s="5" t="inlineStr">
        <x:is>
          <x:t xml:space="preserve">河北省-石家庄市</x:t>
        </x:is>
      </x:c>
      <x:c r="H3533" s="4" t="inlineStr">
        <x:is>
          <x:t xml:space="preserve">燃气</x:t>
        </x:is>
      </x:c>
      <x:c r="I3533" s="4" t="inlineStr">
        <x:is>
          <x:t xml:space="preserve">1994-01-03</x:t>
        </x:is>
      </x:c>
      <x:c r="J3533" s="5" t="inlineStr">
        <x:is>
          <x:t xml:space="preserve">中国河北省石家庄市和平东路383号</x:t>
        </x:is>
      </x:c>
      <x:c r="K3533" s="12" t="str">
        <x:f>LEFT("91130100107744755W",18)</x:f>
        <x:v>91130100107744755W</x:v>
      </x:c>
    </x:row>
    <x:row r="3534">
      <x:c r="A3534" s="2" t="n">
        <x:v>3533</x:v>
      </x:c>
      <x:c r="B3534" s="2" t="inlineStr">
        <x:is>
          <x:t xml:space="preserve">600812</x:t>
        </x:is>
      </x:c>
      <x:c r="C3534" s="3" t="inlineStr">
        <x:is>
          <x:t xml:space="preserve">华北制药</x:t>
        </x:is>
      </x:c>
      <x:c r="D3534" s="3" t="inlineStr">
        <x:is>
          <x:t xml:space="preserve">华北制药股份有限公司</x:t>
        </x:is>
      </x:c>
      <x:c r="E3534" s="2" t="inlineStr">
        <x:is>
          <x:t xml:space="preserve">河北省</x:t>
        </x:is>
      </x:c>
      <x:c r="F3534" s="2" t="inlineStr">
        <x:is>
          <x:t xml:space="preserve">石家庄市</x:t>
        </x:is>
      </x:c>
      <x:c r="G3534" s="3" t="inlineStr">
        <x:is>
          <x:t xml:space="preserve">河北省-石家庄市</x:t>
        </x:is>
      </x:c>
      <x:c r="H3534" s="2" t="inlineStr">
        <x:is>
          <x:t xml:space="preserve">医药制造</x:t>
        </x:is>
      </x:c>
      <x:c r="I3534" s="2" t="inlineStr">
        <x:is>
          <x:t xml:space="preserve">1994-01-14</x:t>
        </x:is>
      </x:c>
      <x:c r="J3534" s="3" t="inlineStr">
        <x:is>
          <x:t xml:space="preserve">河北省石家庄市和平东路388号</x:t>
        </x:is>
      </x:c>
      <x:c r="K3534" s="12" t="str">
        <x:f>LEFT("91130100104397700P",18)</x:f>
        <x:v>91130100104397700P</x:v>
      </x:c>
    </x:row>
    <x:row r="3535">
      <x:c r="A3535" s="4" t="n">
        <x:v>3534</x:v>
      </x:c>
      <x:c r="B3535" s="4" t="inlineStr">
        <x:is>
          <x:t xml:space="preserve">600906</x:t>
        </x:is>
      </x:c>
      <x:c r="C3535" s="5" t="inlineStr">
        <x:is>
          <x:t xml:space="preserve">财达证券</x:t>
        </x:is>
      </x:c>
      <x:c r="D3535" s="5" t="inlineStr">
        <x:is>
          <x:t xml:space="preserve">财达证券股份有限公司</x:t>
        </x:is>
      </x:c>
      <x:c r="E3535" s="4" t="inlineStr">
        <x:is>
          <x:t xml:space="preserve">河北省</x:t>
        </x:is>
      </x:c>
      <x:c r="F3535" s="4" t="inlineStr">
        <x:is>
          <x:t xml:space="preserve">石家庄市</x:t>
        </x:is>
      </x:c>
      <x:c r="G3535" s="5" t="inlineStr">
        <x:is>
          <x:t xml:space="preserve">河北省-石家庄市</x:t>
        </x:is>
      </x:c>
      <x:c r="H3535" s="4" t="inlineStr">
        <x:is>
          <x:t xml:space="preserve">券商信托</x:t>
        </x:is>
      </x:c>
      <x:c r="I3535" s="4" t="inlineStr">
        <x:is>
          <x:t xml:space="preserve">2021-05-07</x:t>
        </x:is>
      </x:c>
      <x:c r="J3535" s="5" t="inlineStr">
        <x:is>
          <x:t xml:space="preserve">石家庄市胜利南大街87号兴石广场1号楼20层、22层至32层</x:t>
        </x:is>
      </x:c>
      <x:c r="K3535" s="12" t="str">
        <x:f>LEFT("91130000738711917Q",18)</x:f>
        <x:v>91130000738711917Q</x:v>
      </x:c>
    </x:row>
    <x:row r="3536">
      <x:c r="A3536" s="2" t="n">
        <x:v>3535</x:v>
      </x:c>
      <x:c r="B3536" s="2" t="inlineStr">
        <x:is>
          <x:t xml:space="preserve">600956</x:t>
        </x:is>
      </x:c>
      <x:c r="C3536" s="3" t="inlineStr">
        <x:is>
          <x:t xml:space="preserve">新天绿能</x:t>
        </x:is>
      </x:c>
      <x:c r="D3536" s="3" t="inlineStr">
        <x:is>
          <x:t xml:space="preserve">新天绿色能源股份有限公司</x:t>
        </x:is>
      </x:c>
      <x:c r="E3536" s="2" t="inlineStr">
        <x:is>
          <x:t xml:space="preserve">河北省</x:t>
        </x:is>
      </x:c>
      <x:c r="F3536" s="2" t="inlineStr">
        <x:is>
          <x:t xml:space="preserve">石家庄市</x:t>
        </x:is>
      </x:c>
      <x:c r="G3536" s="3" t="inlineStr">
        <x:is>
          <x:t xml:space="preserve">河北省-石家庄市</x:t>
        </x:is>
      </x:c>
      <x:c r="H3536" s="2" t="inlineStr">
        <x:is>
          <x:t xml:space="preserve">燃气</x:t>
        </x:is>
      </x:c>
      <x:c r="I3536" s="2" t="inlineStr">
        <x:is>
          <x:t xml:space="preserve">2020-06-29</x:t>
        </x:is>
      </x:c>
      <x:c r="J3536" s="3" t="inlineStr">
        <x:is>
          <x:t xml:space="preserve">石家庄市裕华西路9号</x:t>
        </x:is>
      </x:c>
      <x:c r="K3536" s="12" t="str">
        <x:f>LEFT("91130000550443412N",18)</x:f>
        <x:v>91130000550443412N</x:v>
      </x:c>
    </x:row>
    <x:row r="3537">
      <x:c r="A3537" s="4" t="n">
        <x:v>3536</x:v>
      </x:c>
      <x:c r="B3537" s="4" t="inlineStr">
        <x:is>
          <x:t xml:space="preserve">600965</x:t>
        </x:is>
      </x:c>
      <x:c r="C3537" s="5" t="inlineStr">
        <x:is>
          <x:t xml:space="preserve">福成股份</x:t>
        </x:is>
      </x:c>
      <x:c r="D3537" s="5" t="inlineStr">
        <x:is>
          <x:t xml:space="preserve">河北福成五丰食品股份有限公司</x:t>
        </x:is>
      </x:c>
      <x:c r="E3537" s="4" t="inlineStr">
        <x:is>
          <x:t xml:space="preserve">河北省</x:t>
        </x:is>
      </x:c>
      <x:c r="F3537" s="4" t="inlineStr">
        <x:is>
          <x:t xml:space="preserve">北省三河市</x:t>
        </x:is>
      </x:c>
      <x:c r="G3537" s="5" t="inlineStr">
        <x:is>
          <x:t xml:space="preserve">河北省-北省三河市</x:t>
        </x:is>
      </x:c>
      <x:c r="H3537" s="4" t="inlineStr">
        <x:is>
          <x:t xml:space="preserve">农牧饲渔</x:t>
        </x:is>
      </x:c>
      <x:c r="I3537" s="4" t="inlineStr">
        <x:is>
          <x:t xml:space="preserve">2004-07-13</x:t>
        </x:is>
      </x:c>
      <x:c r="J3537" s="5" t="inlineStr">
        <x:is>
          <x:t xml:space="preserve">河北省三河市高楼镇高庙村东侧、庄户村北侧</x:t>
        </x:is>
      </x:c>
      <x:c r="K3537" s="12" t="str">
        <x:f>LEFT("911310007216883860",18)</x:f>
        <x:v>911310007216883800</x:v>
      </x:c>
    </x:row>
    <x:row r="3538">
      <x:c r="A3538" s="2" t="n">
        <x:v>3537</x:v>
      </x:c>
      <x:c r="B3538" s="2" t="inlineStr">
        <x:is>
          <x:t xml:space="preserve">600997</x:t>
        </x:is>
      </x:c>
      <x:c r="C3538" s="3" t="inlineStr">
        <x:is>
          <x:t xml:space="preserve">开滦股份</x:t>
        </x:is>
      </x:c>
      <x:c r="D3538" s="3" t="inlineStr">
        <x:is>
          <x:t xml:space="preserve">开滦能源化工股份有限公司</x:t>
        </x:is>
      </x:c>
      <x:c r="E3538" s="2" t="inlineStr">
        <x:is>
          <x:t xml:space="preserve">河北省</x:t>
        </x:is>
      </x:c>
      <x:c r="F3538" s="2" t="inlineStr">
        <x:is>
          <x:t xml:space="preserve">唐山市</x:t>
        </x:is>
      </x:c>
      <x:c r="G3538" s="3" t="inlineStr">
        <x:is>
          <x:t xml:space="preserve">河北省-唐山市</x:t>
        </x:is>
      </x:c>
      <x:c r="H3538" s="2" t="inlineStr">
        <x:is>
          <x:t xml:space="preserve">煤炭采选</x:t>
        </x:is>
      </x:c>
      <x:c r="I3538" s="2" t="inlineStr">
        <x:is>
          <x:t xml:space="preserve">2004-06-02</x:t>
        </x:is>
      </x:c>
      <x:c r="J3538" s="3" t="inlineStr">
        <x:is>
          <x:t xml:space="preserve">河北省唐山市新华东道70号东楼</x:t>
        </x:is>
      </x:c>
      <x:c r="K3538" s="12" t="str">
        <x:f>LEFT("91130200730266302W",18)</x:f>
        <x:v>91130200730266302W</x:v>
      </x:c>
    </x:row>
    <x:row r="3539">
      <x:c r="A3539" s="4" t="n">
        <x:v>3538</x:v>
      </x:c>
      <x:c r="B3539" s="4" t="inlineStr">
        <x:is>
          <x:t xml:space="preserve">601000</x:t>
        </x:is>
      </x:c>
      <x:c r="C3539" s="5" t="inlineStr">
        <x:is>
          <x:t xml:space="preserve">唐山港</x:t>
        </x:is>
      </x:c>
      <x:c r="D3539" s="5" t="inlineStr">
        <x:is>
          <x:t xml:space="preserve">唐山港集团股份有限公司</x:t>
        </x:is>
      </x:c>
      <x:c r="E3539" s="4" t="inlineStr">
        <x:is>
          <x:t xml:space="preserve">河北省</x:t>
        </x:is>
      </x:c>
      <x:c r="F3539" s="4" t="inlineStr">
        <x:is>
          <x:t xml:space="preserve">唐山市</x:t>
        </x:is>
      </x:c>
      <x:c r="G3539" s="5" t="inlineStr">
        <x:is>
          <x:t xml:space="preserve">河北省-唐山市</x:t>
        </x:is>
      </x:c>
      <x:c r="H3539" s="4" t="inlineStr">
        <x:is>
          <x:t xml:space="preserve">港口水运</x:t>
        </x:is>
      </x:c>
      <x:c r="I3539" s="4" t="inlineStr">
        <x:is>
          <x:t xml:space="preserve">2010-07-05</x:t>
        </x:is>
      </x:c>
      <x:c r="J3539" s="5" t="inlineStr">
        <x:is>
          <x:t xml:space="preserve">河北省唐山市海港开发区</x:t>
        </x:is>
      </x:c>
      <x:c r="K3539" s="12" t="str">
        <x:f>LEFT("911300007468680177",18)</x:f>
        <x:v>911300007468680200</x:v>
      </x:c>
    </x:row>
    <x:row r="3540">
      <x:c r="A3540" s="2" t="n">
        <x:v>3539</x:v>
      </x:c>
      <x:c r="B3540" s="2" t="inlineStr">
        <x:is>
          <x:t xml:space="preserve">601326</x:t>
        </x:is>
      </x:c>
      <x:c r="C3540" s="3" t="inlineStr">
        <x:is>
          <x:t xml:space="preserve">秦港股份</x:t>
        </x:is>
      </x:c>
      <x:c r="D3540" s="3" t="inlineStr">
        <x:is>
          <x:t xml:space="preserve">秦皇岛港股份有限公司</x:t>
        </x:is>
      </x:c>
      <x:c r="E3540" s="2" t="inlineStr">
        <x:is>
          <x:t xml:space="preserve">河北省</x:t>
        </x:is>
      </x:c>
      <x:c r="F3540" s="2" t="inlineStr">
        <x:is>
          <x:t xml:space="preserve">秦皇岛市</x:t>
        </x:is>
      </x:c>
      <x:c r="G3540" s="3" t="inlineStr">
        <x:is>
          <x:t xml:space="preserve">河北省-秦皇岛市</x:t>
        </x:is>
      </x:c>
      <x:c r="H3540" s="2" t="inlineStr">
        <x:is>
          <x:t xml:space="preserve">港口水运</x:t>
        </x:is>
      </x:c>
      <x:c r="I3540" s="2" t="inlineStr">
        <x:is>
          <x:t xml:space="preserve">2017-08-16</x:t>
        </x:is>
      </x:c>
      <x:c r="J3540" s="3" t="inlineStr">
        <x:is>
          <x:t xml:space="preserve">河北省秦皇岛市海港区海滨路35号</x:t>
        </x:is>
      </x:c>
      <x:c r="K3540" s="12" t="str">
        <x:f>LEFT("91130000673224391T",18)</x:f>
        <x:v>91130000673224391T</x:v>
      </x:c>
    </x:row>
    <x:row r="3541">
      <x:c r="A3541" s="4" t="n">
        <x:v>3540</x:v>
      </x:c>
      <x:c r="B3541" s="4" t="inlineStr">
        <x:is>
          <x:t xml:space="preserve">601633</x:t>
        </x:is>
      </x:c>
      <x:c r="C3541" s="5" t="inlineStr">
        <x:is>
          <x:t xml:space="preserve">长城汽车</x:t>
        </x:is>
      </x:c>
      <x:c r="D3541" s="5" t="inlineStr">
        <x:is>
          <x:t xml:space="preserve">长城汽车股份有限公司</x:t>
        </x:is>
      </x:c>
      <x:c r="E3541" s="4" t="inlineStr">
        <x:is>
          <x:t xml:space="preserve">河北省</x:t>
        </x:is>
      </x:c>
      <x:c r="F3541" s="4" t="inlineStr">
        <x:is>
          <x:t xml:space="preserve">保定市</x:t>
        </x:is>
      </x:c>
      <x:c r="G3541" s="5" t="inlineStr">
        <x:is>
          <x:t xml:space="preserve">河北省-保定市</x:t>
        </x:is>
      </x:c>
      <x:c r="H3541" s="4" t="inlineStr">
        <x:is>
          <x:t xml:space="preserve">汽车整车</x:t>
        </x:is>
      </x:c>
      <x:c r="I3541" s="4" t="inlineStr">
        <x:is>
          <x:t xml:space="preserve">2011-09-28</x:t>
        </x:is>
      </x:c>
      <x:c r="J3541" s="5" t="inlineStr">
        <x:is>
          <x:t xml:space="preserve">中国河北省保定市朝阳南大街2266号、2299号</x:t>
        </x:is>
      </x:c>
      <x:c r="K3541" s="12" t="str">
        <x:f>LEFT("91130000105941835E",18)</x:f>
        <x:v>91130000105941835E</x:v>
      </x:c>
    </x:row>
    <x:row r="3542">
      <x:c r="A3542" s="2" t="n">
        <x:v>3541</x:v>
      </x:c>
      <x:c r="B3542" s="2" t="inlineStr">
        <x:is>
          <x:t xml:space="preserve">603050</x:t>
        </x:is>
      </x:c>
      <x:c r="C3542" s="3" t="inlineStr">
        <x:is>
          <x:t xml:space="preserve">科林电气</x:t>
        </x:is>
      </x:c>
      <x:c r="D3542" s="3" t="inlineStr">
        <x:is>
          <x:t xml:space="preserve">石家庄科林电气股份有限公司</x:t>
        </x:is>
      </x:c>
      <x:c r="E3542" s="2" t="inlineStr">
        <x:is>
          <x:t xml:space="preserve">河北省</x:t>
        </x:is>
      </x:c>
      <x:c r="F3542" s="2" t="inlineStr">
        <x:is>
          <x:t xml:space="preserve">石家庄市</x:t>
        </x:is>
      </x:c>
      <x:c r="G3542" s="3" t="inlineStr">
        <x:is>
          <x:t xml:space="preserve">河北省-石家庄市</x:t>
        </x:is>
      </x:c>
      <x:c r="H3542" s="2" t="inlineStr">
        <x:is>
          <x:t xml:space="preserve">输配电气</x:t>
        </x:is>
      </x:c>
      <x:c r="I3542" s="2" t="inlineStr">
        <x:is>
          <x:t xml:space="preserve">2017-04-14</x:t>
        </x:is>
      </x:c>
      <x:c r="J3542" s="3" t="inlineStr">
        <x:is>
          <x:t xml:space="preserve">河北省石家庄市鹿泉区红旗大街南降壁路段</x:t>
        </x:is>
      </x:c>
      <x:c r="K3542" s="12" t="str">
        <x:f>LEFT("91130100104438867L",18)</x:f>
        <x:v>91130100104438867L</x:v>
      </x:c>
    </x:row>
    <x:row r="3543">
      <x:c r="A3543" s="4" t="n">
        <x:v>3542</x:v>
      </x:c>
      <x:c r="B3543" s="4" t="inlineStr">
        <x:is>
          <x:t xml:space="preserve">603156</x:t>
        </x:is>
      </x:c>
      <x:c r="C3543" s="5" t="inlineStr">
        <x:is>
          <x:t xml:space="preserve">养元饮品</x:t>
        </x:is>
      </x:c>
      <x:c r="D3543" s="5" t="inlineStr">
        <x:is>
          <x:t xml:space="preserve">河北养元智汇饮品股份有限公司</x:t>
        </x:is>
      </x:c>
      <x:c r="E3543" s="4" t="inlineStr">
        <x:is>
          <x:t xml:space="preserve">河北省</x:t>
        </x:is>
      </x:c>
      <x:c r="F3543" s="4" t="inlineStr">
        <x:is>
          <x:t xml:space="preserve">衡水市</x:t>
        </x:is>
      </x:c>
      <x:c r="G3543" s="5" t="inlineStr">
        <x:is>
          <x:t xml:space="preserve">河北省-衡水市</x:t>
        </x:is>
      </x:c>
      <x:c r="H3543" s="4" t="inlineStr">
        <x:is>
          <x:t xml:space="preserve">食品饮料</x:t>
        </x:is>
      </x:c>
      <x:c r="I3543" s="4" t="inlineStr">
        <x:is>
          <x:t xml:space="preserve">2018-02-12</x:t>
        </x:is>
      </x:c>
      <x:c r="J3543" s="5" t="inlineStr">
        <x:is>
          <x:t xml:space="preserve">衡水经济开发区北区新区六路南、滏阳四路以西</x:t>
        </x:is>
      </x:c>
      <x:c r="K3543" s="12" t="str">
        <x:f>LEFT("91131100601682537K",18)</x:f>
        <x:v>91131100601682537K</x:v>
      </x:c>
    </x:row>
    <x:row r="3544">
      <x:c r="A3544" s="2" t="n">
        <x:v>3543</x:v>
      </x:c>
      <x:c r="B3544" s="2" t="inlineStr">
        <x:is>
          <x:t xml:space="preserve">603176</x:t>
        </x:is>
      </x:c>
      <x:c r="C3544" s="3" t="inlineStr">
        <x:is>
          <x:t xml:space="preserve">汇通集团</x:t>
        </x:is>
      </x:c>
      <x:c r="D3544" s="3" t="inlineStr">
        <x:is>
          <x:t xml:space="preserve">汇通建设集团股份有限公司</x:t>
        </x:is>
      </x:c>
      <x:c r="E3544" s="2" t="inlineStr">
        <x:is>
          <x:t xml:space="preserve">河北省</x:t>
        </x:is>
      </x:c>
      <x:c r="F3544" s="2" t="inlineStr">
        <x:is>
          <x:t xml:space="preserve">高碑店市</x:t>
        </x:is>
      </x:c>
      <x:c r="G3544" s="3" t="inlineStr">
        <x:is>
          <x:t xml:space="preserve">河北省-高碑店市</x:t>
        </x:is>
      </x:c>
      <x:c r="H3544" s="2" t="inlineStr">
        <x:is>
          <x:t xml:space="preserve">工程建设</x:t>
        </x:is>
      </x:c>
      <x:c r="I3544" s="2" t="inlineStr">
        <x:is>
          <x:t xml:space="preserve">2021-12-31</x:t>
        </x:is>
      </x:c>
      <x:c r="J3544" s="3" t="inlineStr">
        <x:is>
          <x:t xml:space="preserve">高碑店市世纪东路69号</x:t>
        </x:is>
      </x:c>
      <x:c r="K3544" s="12" t="str">
        <x:f>LEFT("91130684776180774A",18)</x:f>
        <x:v>91130684776180774A</x:v>
      </x:c>
    </x:row>
    <x:row r="3545">
      <x:c r="A3545" s="4" t="n">
        <x:v>3544</x:v>
      </x:c>
      <x:c r="B3545" s="4" t="inlineStr">
        <x:is>
          <x:t xml:space="preserve">603385</x:t>
        </x:is>
      </x:c>
      <x:c r="C3545" s="5" t="inlineStr">
        <x:is>
          <x:t xml:space="preserve">惠达卫浴</x:t>
        </x:is>
      </x:c>
      <x:c r="D3545" s="5" t="inlineStr">
        <x:is>
          <x:t xml:space="preserve">惠达卫浴股份有限公司</x:t>
        </x:is>
      </x:c>
      <x:c r="E3545" s="4" t="inlineStr">
        <x:is>
          <x:t xml:space="preserve">河北省</x:t>
        </x:is>
      </x:c>
      <x:c r="F3545" s="4" t="inlineStr">
        <x:is>
          <x:t xml:space="preserve">唐山市</x:t>
        </x:is>
      </x:c>
      <x:c r="G3545" s="5" t="inlineStr">
        <x:is>
          <x:t xml:space="preserve">河北省-唐山市</x:t>
        </x:is>
      </x:c>
      <x:c r="H3545" s="4" t="inlineStr">
        <x:is>
          <x:t xml:space="preserve">装修装饰</x:t>
        </x:is>
      </x:c>
      <x:c r="I3545" s="4" t="inlineStr">
        <x:is>
          <x:t xml:space="preserve">2017-04-05</x:t>
        </x:is>
      </x:c>
      <x:c r="J3545" s="5" t="inlineStr">
        <x:is>
          <x:t xml:space="preserve">河北省唐山市丰南区黄各庄镇惠达路7号</x:t>
        </x:is>
      </x:c>
      <x:c r="K3545" s="12" t="str">
        <x:f>LEFT("91130200713109049Q",18)</x:f>
        <x:v>91130200713109049Q</x:v>
      </x:c>
    </x:row>
    <x:row r="3546">
      <x:c r="A3546" s="2" t="n">
        <x:v>3545</x:v>
      </x:c>
      <x:c r="B3546" s="2" t="inlineStr">
        <x:is>
          <x:t xml:space="preserve">603938</x:t>
        </x:is>
      </x:c>
      <x:c r="C3546" s="3" t="inlineStr">
        <x:is>
          <x:t xml:space="preserve">三孚股份</x:t>
        </x:is>
      </x:c>
      <x:c r="D3546" s="3" t="inlineStr">
        <x:is>
          <x:t xml:space="preserve">唐山三孚硅业股份有限公司</x:t>
        </x:is>
      </x:c>
      <x:c r="E3546" s="2" t="inlineStr">
        <x:is>
          <x:t xml:space="preserve">河北省</x:t>
        </x:is>
      </x:c>
      <x:c r="F3546" s="2" t="inlineStr">
        <x:is>
          <x:t xml:space="preserve">唐山市</x:t>
        </x:is>
      </x:c>
      <x:c r="G3546" s="3" t="inlineStr">
        <x:is>
          <x:t xml:space="preserve">河北省-唐山市</x:t>
        </x:is>
      </x:c>
      <x:c r="H3546" s="2" t="inlineStr">
        <x:is>
          <x:t xml:space="preserve">化学制品</x:t>
        </x:is>
      </x:c>
      <x:c r="I3546" s="2" t="inlineStr">
        <x:is>
          <x:t xml:space="preserve">2017-06-28</x:t>
        </x:is>
      </x:c>
      <x:c r="J3546" s="3" t="inlineStr">
        <x:is>
          <x:t xml:space="preserve">唐山市南堡开发区希望路512号</x:t>
        </x:is>
      </x:c>
      <x:c r="K3546" s="12" t="str">
        <x:f>LEFT("9113020079419263XH",18)</x:f>
        <x:v>9113020079419263XH</x:v>
      </x:c>
    </x:row>
    <x:row r="3547">
      <x:c r="A3547" s="4" t="n">
        <x:v>3546</x:v>
      </x:c>
      <x:c r="B3547" s="4" t="inlineStr">
        <x:is>
          <x:t xml:space="preserve">605196</x:t>
        </x:is>
      </x:c>
      <x:c r="C3547" s="5" t="inlineStr">
        <x:is>
          <x:t xml:space="preserve">华通线缆</x:t>
        </x:is>
      </x:c>
      <x:c r="D3547" s="5" t="inlineStr">
        <x:is>
          <x:t xml:space="preserve">河北华通线缆集团股份有限公司</x:t>
        </x:is>
      </x:c>
      <x:c r="E3547" s="4" t="inlineStr">
        <x:is>
          <x:t xml:space="preserve">河北省</x:t>
        </x:is>
      </x:c>
      <x:c r="F3547" s="4" t="inlineStr">
        <x:is>
          <x:t xml:space="preserve">唐山市</x:t>
        </x:is>
      </x:c>
      <x:c r="G3547" s="5" t="inlineStr">
        <x:is>
          <x:t xml:space="preserve">河北省-唐山市</x:t>
        </x:is>
      </x:c>
      <x:c r="H3547" s="4" t="inlineStr">
        <x:is>
          <x:t xml:space="preserve">输配电气</x:t>
        </x:is>
      </x:c>
      <x:c r="I3547" s="4" t="inlineStr">
        <x:is>
          <x:t xml:space="preserve">2021-05-11</x:t>
        </x:is>
      </x:c>
      <x:c r="J3547" s="5" t="inlineStr">
        <x:is>
          <x:t xml:space="preserve">丰南经济开发区华通街111号</x:t>
        </x:is>
      </x:c>
      <x:c r="K3547" s="12" t="str">
        <x:f>LEFT("9113020074017492XD",18)</x:f>
        <x:v>9113020074017492XD</x:v>
      </x:c>
    </x:row>
    <x:row r="3548">
      <x:c r="A3548" s="2" t="n">
        <x:v>3547</x:v>
      </x:c>
      <x:c r="B3548" s="2" t="inlineStr">
        <x:is>
          <x:t xml:space="preserve">688146</x:t>
        </x:is>
      </x:c>
      <x:c r="C3548" s="3" t="inlineStr">
        <x:is>
          <x:t xml:space="preserve">中船特气</x:t>
        </x:is>
      </x:c>
      <x:c r="D3548" s="3" t="inlineStr">
        <x:is>
          <x:t xml:space="preserve">中船(邯郸)派瑞特种气体股份有限公司</x:t>
        </x:is>
      </x:c>
      <x:c r="E3548" s="2" t="inlineStr">
        <x:is>
          <x:t xml:space="preserve">河北省</x:t>
        </x:is>
      </x:c>
      <x:c r="F3548" s="2" t="inlineStr">
        <x:is>
          <x:t xml:space="preserve">邯郸市</x:t>
        </x:is>
      </x:c>
      <x:c r="G3548" s="3" t="inlineStr">
        <x:is>
          <x:t xml:space="preserve">河北省-邯郸市</x:t>
        </x:is>
      </x:c>
      <x:c r="H3548" s="2" t="inlineStr">
        <x:is>
          <x:t xml:space="preserve">电子化学品</x:t>
        </x:is>
      </x:c>
      <x:c r="I3548" s="2" t="inlineStr">
        <x:is>
          <x:t xml:space="preserve">2023-04-21</x:t>
        </x:is>
      </x:c>
      <x:c r="J3548" s="3" t="inlineStr">
        <x:is>
          <x:t xml:space="preserve">河北省邯郸市肥乡区化工工业聚集区纬五路1号</x:t>
        </x:is>
      </x:c>
      <x:c r="K3548" s="12" t="str">
        <x:f>LEFT("91130407MA0832ML8J",18)</x:f>
        <x:v>91130407MA0832ML8J</x:v>
      </x:c>
    </x:row>
    <x:row r="3549">
      <x:c r="A3549" s="4" t="n">
        <x:v>3548</x:v>
      </x:c>
      <x:c r="B3549" s="4" t="inlineStr">
        <x:is>
          <x:t xml:space="preserve">000400</x:t>
        </x:is>
      </x:c>
      <x:c r="C3549" s="5" t="inlineStr">
        <x:is>
          <x:t xml:space="preserve">许继电气</x:t>
        </x:is>
      </x:c>
      <x:c r="D3549" s="5" t="inlineStr">
        <x:is>
          <x:t xml:space="preserve">许继电气股份有限公司</x:t>
        </x:is>
      </x:c>
      <x:c r="E3549" s="4" t="inlineStr">
        <x:is>
          <x:t xml:space="preserve">河南省</x:t>
        </x:is>
      </x:c>
      <x:c r="F3549" s="4" t="inlineStr">
        <x:is>
          <x:t xml:space="preserve">许昌市</x:t>
        </x:is>
      </x:c>
      <x:c r="G3549" s="5" t="inlineStr">
        <x:is>
          <x:t xml:space="preserve">河南省-许昌市</x:t>
        </x:is>
      </x:c>
      <x:c r="H3549" s="4" t="inlineStr">
        <x:is>
          <x:t xml:space="preserve">输配电气</x:t>
        </x:is>
      </x:c>
      <x:c r="I3549" s="4" t="inlineStr">
        <x:is>
          <x:t xml:space="preserve">1997-04-18</x:t>
        </x:is>
      </x:c>
      <x:c r="J3549" s="5" t="inlineStr">
        <x:is>
          <x:t xml:space="preserve">河南省许昌市许继大道1298号</x:t>
        </x:is>
      </x:c>
      <x:c r="K3549" s="12" t="str">
        <x:f>LEFT("91410000174273201L",18)</x:f>
        <x:v>91410000174273201L</x:v>
      </x:c>
    </x:row>
    <x:row r="3550">
      <x:c r="A3550" s="2" t="n">
        <x:v>3549</x:v>
      </x:c>
      <x:c r="B3550" s="2" t="inlineStr">
        <x:is>
          <x:t xml:space="preserve">000519</x:t>
        </x:is>
      </x:c>
      <x:c r="C3550" s="3" t="inlineStr">
        <x:is>
          <x:t xml:space="preserve">中兵红箭</x:t>
        </x:is>
      </x:c>
      <x:c r="D3550" s="3" t="inlineStr">
        <x:is>
          <x:t xml:space="preserve">中兵红箭股份有限公司</x:t>
        </x:is>
      </x:c>
      <x:c r="E3550" s="2" t="inlineStr">
        <x:is>
          <x:t xml:space="preserve">河南省</x:t>
        </x:is>
      </x:c>
      <x:c r="F3550" s="2" t="inlineStr">
        <x:is>
          <x:t xml:space="preserve">南阳市</x:t>
        </x:is>
      </x:c>
      <x:c r="G3550" s="3" t="inlineStr">
        <x:is>
          <x:t xml:space="preserve">河南省-南阳市</x:t>
        </x:is>
      </x:c>
      <x:c r="H3550" s="2" t="inlineStr">
        <x:is>
          <x:t xml:space="preserve">专用设备</x:t>
        </x:is>
      </x:c>
      <x:c r="I3550" s="2" t="inlineStr">
        <x:is>
          <x:t xml:space="preserve">1993-10-08</x:t>
        </x:is>
      </x:c>
      <x:c r="J3550" s="3" t="inlineStr">
        <x:is>
          <x:t xml:space="preserve">河南省南阳市两相路569号</x:t>
        </x:is>
      </x:c>
      <x:c r="K3550" s="12" t="str">
        <x:f>LEFT("914303002019225625",18)</x:f>
        <x:v>914303002019225600</x:v>
      </x:c>
    </x:row>
    <x:row r="3551">
      <x:c r="A3551" s="4" t="n">
        <x:v>3550</x:v>
      </x:c>
      <x:c r="B3551" s="4" t="inlineStr">
        <x:is>
          <x:t xml:space="preserve">000544</x:t>
        </x:is>
      </x:c>
      <x:c r="C3551" s="5" t="inlineStr">
        <x:is>
          <x:t xml:space="preserve">中原环保</x:t>
        </x:is>
      </x:c>
      <x:c r="D3551" s="5" t="inlineStr">
        <x:is>
          <x:t xml:space="preserve">中原环保股份有限公司</x:t>
        </x:is>
      </x:c>
      <x:c r="E3551" s="4" t="inlineStr">
        <x:is>
          <x:t xml:space="preserve">河南省</x:t>
        </x:is>
      </x:c>
      <x:c r="F3551" s="4" t="inlineStr">
        <x:is>
          <x:t xml:space="preserve">郑州市</x:t>
        </x:is>
      </x:c>
      <x:c r="G3551" s="5" t="inlineStr">
        <x:is>
          <x:t xml:space="preserve">河南省-郑州市</x:t>
        </x:is>
      </x:c>
      <x:c r="H3551" s="4" t="inlineStr">
        <x:is>
          <x:t xml:space="preserve">公用事业</x:t>
        </x:is>
      </x:c>
      <x:c r="I3551" s="4" t="inlineStr">
        <x:is>
          <x:t xml:space="preserve">1993-12-08</x:t>
        </x:is>
      </x:c>
      <x:c r="J3551" s="5" t="inlineStr">
        <x:is>
          <x:t xml:space="preserve">郑州市中原区中原中路167号1号楼16层</x:t>
        </x:is>
      </x:c>
      <x:c r="K3551" s="12" t="str">
        <x:f>LEFT("9141000016996944XD",18)</x:f>
        <x:v>9141000016996944XD</x:v>
      </x:c>
    </x:row>
    <x:row r="3552">
      <x:c r="A3552" s="2" t="n">
        <x:v>3551</x:v>
      </x:c>
      <x:c r="B3552" s="2" t="inlineStr">
        <x:is>
          <x:t xml:space="preserve">000612</x:t>
        </x:is>
      </x:c>
      <x:c r="C3552" s="3" t="inlineStr">
        <x:is>
          <x:t xml:space="preserve">焦作万方</x:t>
        </x:is>
      </x:c>
      <x:c r="D3552" s="3" t="inlineStr">
        <x:is>
          <x:t xml:space="preserve">焦作万方铝业股份有限公司</x:t>
        </x:is>
      </x:c>
      <x:c r="E3552" s="2" t="inlineStr">
        <x:is>
          <x:t xml:space="preserve">河南省</x:t>
        </x:is>
      </x:c>
      <x:c r="F3552" s="2" t="inlineStr">
        <x:is>
          <x:t xml:space="preserve">焦作市</x:t>
        </x:is>
      </x:c>
      <x:c r="G3552" s="3" t="inlineStr">
        <x:is>
          <x:t xml:space="preserve">河南省-焦作市</x:t>
        </x:is>
      </x:c>
      <x:c r="H3552" s="2" t="inlineStr">
        <x:is>
          <x:t xml:space="preserve">有色金属</x:t>
        </x:is>
      </x:c>
      <x:c r="I3552" s="2" t="inlineStr">
        <x:is>
          <x:t xml:space="preserve">1996-09-26</x:t>
        </x:is>
      </x:c>
      <x:c r="J3552" s="3" t="inlineStr">
        <x:is>
          <x:t xml:space="preserve">河南省焦作市马村区待王镇焦新路南侧</x:t>
        </x:is>
      </x:c>
      <x:c r="K3552" s="12" t="str">
        <x:f>LEFT("91410000173525171F",18)</x:f>
        <x:v>91410000173525171F</x:v>
      </x:c>
    </x:row>
    <x:row r="3553">
      <x:c r="A3553" s="4" t="n">
        <x:v>3552</x:v>
      </x:c>
      <x:c r="B3553" s="4" t="inlineStr">
        <x:is>
          <x:t xml:space="preserve">000719</x:t>
        </x:is>
      </x:c>
      <x:c r="C3553" s="5" t="inlineStr">
        <x:is>
          <x:t xml:space="preserve">中原传媒</x:t>
        </x:is>
      </x:c>
      <x:c r="D3553" s="5" t="inlineStr">
        <x:is>
          <x:t xml:space="preserve">中原大地传媒股份有限公司</x:t>
        </x:is>
      </x:c>
      <x:c r="E3553" s="4" t="inlineStr">
        <x:is>
          <x:t xml:space="preserve">河南省</x:t>
        </x:is>
      </x:c>
      <x:c r="F3553" s="4" t="inlineStr">
        <x:is>
          <x:t xml:space="preserve">焦作市</x:t>
        </x:is>
      </x:c>
      <x:c r="G3553" s="5" t="inlineStr">
        <x:is>
          <x:t xml:space="preserve">河南省-焦作市</x:t>
        </x:is>
      </x:c>
      <x:c r="H3553" s="4" t="inlineStr">
        <x:is>
          <x:t xml:space="preserve">文化传媒</x:t>
        </x:is>
      </x:c>
      <x:c r="I3553" s="4" t="inlineStr">
        <x:is>
          <x:t xml:space="preserve">1997-03-31</x:t>
        </x:is>
      </x:c>
      <x:c r="J3553" s="5" t="inlineStr">
        <x:is>
          <x:t xml:space="preserve">焦作市塔南路45号</x:t>
        </x:is>
      </x:c>
      <x:c r="K3553" s="12" t="str">
        <x:f>LEFT("91410000170000417R",18)</x:f>
        <x:v>91410000170000417R</x:v>
      </x:c>
    </x:row>
    <x:row r="3554">
      <x:c r="A3554" s="2" t="n">
        <x:v>3553</x:v>
      </x:c>
      <x:c r="B3554" s="2" t="inlineStr">
        <x:is>
          <x:t xml:space="preserve">000885</x:t>
        </x:is>
      </x:c>
      <x:c r="C3554" s="3" t="inlineStr">
        <x:is>
          <x:t xml:space="preserve">城发环境</x:t>
        </x:is>
      </x:c>
      <x:c r="D3554" s="3" t="inlineStr">
        <x:is>
          <x:t xml:space="preserve">城发环境股份有限公司</x:t>
        </x:is>
      </x:c>
      <x:c r="E3554" s="2" t="inlineStr">
        <x:is>
          <x:t xml:space="preserve">河南省</x:t>
        </x:is>
      </x:c>
      <x:c r="F3554" s="2" t="inlineStr">
        <x:is>
          <x:t xml:space="preserve">郑州市</x:t>
        </x:is>
      </x:c>
      <x:c r="G3554" s="3" t="inlineStr">
        <x:is>
          <x:t xml:space="preserve">河南省-郑州市</x:t>
        </x:is>
      </x:c>
      <x:c r="H3554" s="2" t="inlineStr">
        <x:is>
          <x:t xml:space="preserve">环保行业</x:t>
        </x:is>
      </x:c>
      <x:c r="I3554" s="2" t="inlineStr">
        <x:is>
          <x:t xml:space="preserve">1999-03-19</x:t>
        </x:is>
      </x:c>
      <x:c r="J3554" s="3" t="inlineStr">
        <x:is>
          <x:t xml:space="preserve">河南省郑州市郑东新区嘉苑路38号城发环境研发中心10层</x:t>
        </x:is>
      </x:c>
      <x:c r="K3554" s="12" t="str">
        <x:f>LEFT("91410000711291895J",18)</x:f>
        <x:v>91410000711291895J</x:v>
      </x:c>
    </x:row>
    <x:row r="3555">
      <x:c r="A3555" s="4" t="n">
        <x:v>3554</x:v>
      </x:c>
      <x:c r="B3555" s="4" t="inlineStr">
        <x:is>
          <x:t xml:space="preserve">000895</x:t>
        </x:is>
      </x:c>
      <x:c r="C3555" s="5" t="inlineStr">
        <x:is>
          <x:t xml:space="preserve">双汇发展</x:t>
        </x:is>
      </x:c>
      <x:c r="D3555" s="5" t="inlineStr">
        <x:is>
          <x:t xml:space="preserve">河南双汇投资发展股份有限公司</x:t>
        </x:is>
      </x:c>
      <x:c r="E3555" s="4" t="inlineStr">
        <x:is>
          <x:t xml:space="preserve">河南省</x:t>
        </x:is>
      </x:c>
      <x:c r="F3555" s="4" t="inlineStr">
        <x:is>
          <x:t xml:space="preserve">漯河市</x:t>
        </x:is>
      </x:c>
      <x:c r="G3555" s="5" t="inlineStr">
        <x:is>
          <x:t xml:space="preserve">河南省-漯河市</x:t>
        </x:is>
      </x:c>
      <x:c r="H3555" s="4" t="inlineStr">
        <x:is>
          <x:t xml:space="preserve">食品饮料</x:t>
        </x:is>
      </x:c>
      <x:c r="I3555" s="4" t="inlineStr">
        <x:is>
          <x:t xml:space="preserve">1998-12-10</x:t>
        </x:is>
      </x:c>
      <x:c r="J3555" s="5" t="inlineStr">
        <x:is>
          <x:t xml:space="preserve">河南省漯河市牡丹江路288号</x:t>
        </x:is>
      </x:c>
      <x:c r="K3555" s="12" t="str">
        <x:f>LEFT("9141000070678701XL",18)</x:f>
        <x:v>9141000070678701XL</x:v>
      </x:c>
    </x:row>
    <x:row r="3556">
      <x:c r="A3556" s="2" t="n">
        <x:v>3555</x:v>
      </x:c>
      <x:c r="B3556" s="2" t="inlineStr">
        <x:is>
          <x:t xml:space="preserve">000933</x:t>
        </x:is>
      </x:c>
      <x:c r="C3556" s="3" t="inlineStr">
        <x:is>
          <x:t xml:space="preserve">神火股份</x:t>
        </x:is>
      </x:c>
      <x:c r="D3556" s="3" t="inlineStr">
        <x:is>
          <x:t xml:space="preserve">河南神火煤电股份有限公司</x:t>
        </x:is>
      </x:c>
      <x:c r="E3556" s="2" t="inlineStr">
        <x:is>
          <x:t xml:space="preserve">河南省</x:t>
        </x:is>
      </x:c>
      <x:c r="F3556" s="2" t="inlineStr">
        <x:is>
          <x:t xml:space="preserve">南省永城市</x:t>
        </x:is>
      </x:c>
      <x:c r="G3556" s="3" t="inlineStr">
        <x:is>
          <x:t xml:space="preserve">河南省-南省永城市</x:t>
        </x:is>
      </x:c>
      <x:c r="H3556" s="2" t="inlineStr">
        <x:is>
          <x:t xml:space="preserve">有色金属</x:t>
        </x:is>
      </x:c>
      <x:c r="I3556" s="2" t="inlineStr">
        <x:is>
          <x:t xml:space="preserve">1999-08-31</x:t>
        </x:is>
      </x:c>
      <x:c r="J3556" s="3" t="inlineStr">
        <x:is>
          <x:t xml:space="preserve">河南省永城市东城区东环路北段369号</x:t>
        </x:is>
      </x:c>
      <x:c r="K3556" s="12" t="str">
        <x:f>LEFT("91410000706784652H",18)</x:f>
        <x:v>91410000706784652H</x:v>
      </x:c>
    </x:row>
    <x:row r="3557">
      <x:c r="A3557" s="4" t="n">
        <x:v>3556</x:v>
      </x:c>
      <x:c r="B3557" s="4" t="inlineStr">
        <x:is>
          <x:t xml:space="preserve">000949</x:t>
        </x:is>
      </x:c>
      <x:c r="C3557" s="5" t="inlineStr">
        <x:is>
          <x:t xml:space="preserve">新乡化纤</x:t>
        </x:is>
      </x:c>
      <x:c r="D3557" s="5" t="inlineStr">
        <x:is>
          <x:t xml:space="preserve">新乡化纤股份有限公司</x:t>
        </x:is>
      </x:c>
      <x:c r="E3557" s="4" t="inlineStr">
        <x:is>
          <x:t xml:space="preserve">河南省</x:t>
        </x:is>
      </x:c>
      <x:c r="F3557" s="4" t="inlineStr">
        <x:is>
          <x:t xml:space="preserve">新乡市</x:t>
        </x:is>
      </x:c>
      <x:c r="G3557" s="5" t="inlineStr">
        <x:is>
          <x:t xml:space="preserve">河南省-新乡市</x:t>
        </x:is>
      </x:c>
      <x:c r="H3557" s="4" t="inlineStr">
        <x:is>
          <x:t xml:space="preserve">化纤行业</x:t>
        </x:is>
      </x:c>
      <x:c r="I3557" s="4" t="inlineStr">
        <x:is>
          <x:t xml:space="preserve">1999-10-21</x:t>
        </x:is>
      </x:c>
      <x:c r="J3557" s="5" t="inlineStr">
        <x:is>
          <x:t xml:space="preserve">新乡经济技术开发区新长路南侧</x:t>
        </x:is>
      </x:c>
      <x:c r="K3557" s="12" t="str">
        <x:f>LEFT("914100001700014285",18)</x:f>
        <x:v>914100001700014300</x:v>
      </x:c>
    </x:row>
    <x:row r="3558">
      <x:c r="A3558" s="2" t="n">
        <x:v>3557</x:v>
      </x:c>
      <x:c r="B3558" s="2" t="inlineStr">
        <x:is>
          <x:t xml:space="preserve">001215</x:t>
        </x:is>
      </x:c>
      <x:c r="C3558" s="3" t="inlineStr">
        <x:is>
          <x:t xml:space="preserve">千味央厨</x:t>
        </x:is>
      </x:c>
      <x:c r="D3558" s="3" t="inlineStr">
        <x:is>
          <x:t xml:space="preserve">郑州千味央厨食品股份有限公司</x:t>
        </x:is>
      </x:c>
      <x:c r="E3558" s="2" t="inlineStr">
        <x:is>
          <x:t xml:space="preserve">河南省</x:t>
        </x:is>
      </x:c>
      <x:c r="F3558" s="2" t="inlineStr">
        <x:is>
          <x:t xml:space="preserve">郑州市</x:t>
        </x:is>
      </x:c>
      <x:c r="G3558" s="3" t="inlineStr">
        <x:is>
          <x:t xml:space="preserve">河南省-郑州市</x:t>
        </x:is>
      </x:c>
      <x:c r="H3558" s="2" t="inlineStr">
        <x:is>
          <x:t xml:space="preserve">食品饮料</x:t>
        </x:is>
      </x:c>
      <x:c r="I3558" s="2" t="inlineStr">
        <x:is>
          <x:t xml:space="preserve">2021-09-06</x:t>
        </x:is>
      </x:c>
      <x:c r="J3558" s="3" t="inlineStr">
        <x:is>
          <x:t xml:space="preserve">郑州高新区红枫里68号</x:t>
        </x:is>
      </x:c>
      <x:c r="K3558" s="12" t="str">
        <x:f>LEFT("91410100594879787D",18)</x:f>
        <x:v>91410100594879787D</x:v>
      </x:c>
    </x:row>
    <x:row r="3559">
      <x:c r="A3559" s="4" t="n">
        <x:v>3558</x:v>
      </x:c>
      <x:c r="B3559" s="4" t="inlineStr">
        <x:is>
          <x:t xml:space="preserve">001277</x:t>
        </x:is>
      </x:c>
      <x:c r="C3559" s="5" t="inlineStr">
        <x:is>
          <x:t xml:space="preserve">速达股份</x:t>
        </x:is>
      </x:c>
      <x:c r="D3559" s="5" t="inlineStr">
        <x:is>
          <x:t xml:space="preserve">郑州速达工业机械服务股份有限公司</x:t>
        </x:is>
      </x:c>
      <x:c r="E3559" s="4" t="inlineStr">
        <x:is>
          <x:t xml:space="preserve">河南省</x:t>
        </x:is>
      </x:c>
      <x:c r="F3559" s="4" t="inlineStr">
        <x:is>
          <x:t xml:space="preserve">郑州市</x:t>
        </x:is>
      </x:c>
      <x:c r="G3559" s="5" t="inlineStr">
        <x:is>
          <x:t xml:space="preserve">河南省-郑州市</x:t>
        </x:is>
      </x:c>
      <x:c r="H3559" s="4" t="inlineStr">
        <x:is>
          <x:t xml:space="preserve">专用设备</x:t>
        </x:is>
      </x:c>
      <x:c r="I3559" s="4" t="inlineStr">
        <x:is>
          <x:t xml:space="preserve">2024-09-03</x:t>
        </x:is>
      </x:c>
      <x:c r="J3559" s="5" t="inlineStr">
        <x:is>
          <x:t xml:space="preserve">河南省郑州市航空港经济综合实验区黄海路与规划工业五街交汇处路西</x:t>
        </x:is>
      </x:c>
      <x:c r="K3559" s="12" t="str">
        <x:f>LEFT("91410100692197704R",18)</x:f>
        <x:v>91410100692197704R</x:v>
      </x:c>
    </x:row>
    <x:row r="3560">
      <x:c r="A3560" s="2" t="n">
        <x:v>3559</x:v>
      </x:c>
      <x:c r="B3560" s="2" t="inlineStr">
        <x:is>
          <x:t xml:space="preserve">001896</x:t>
        </x:is>
      </x:c>
      <x:c r="C3560" s="3" t="inlineStr">
        <x:is>
          <x:t xml:space="preserve">豫能控股</x:t>
        </x:is>
      </x:c>
      <x:c r="D3560" s="3" t="inlineStr">
        <x:is>
          <x:t xml:space="preserve">河南豫能控股股份有限公司</x:t>
        </x:is>
      </x:c>
      <x:c r="E3560" s="2" t="inlineStr">
        <x:is>
          <x:t xml:space="preserve">河南省</x:t>
        </x:is>
      </x:c>
      <x:c r="F3560" s="2" t="inlineStr">
        <x:is>
          <x:t xml:space="preserve">郑州市</x:t>
        </x:is>
      </x:c>
      <x:c r="G3560" s="3" t="inlineStr">
        <x:is>
          <x:t xml:space="preserve">河南省-郑州市</x:t>
        </x:is>
      </x:c>
      <x:c r="H3560" s="2" t="inlineStr">
        <x:is>
          <x:t xml:space="preserve">电力行业</x:t>
        </x:is>
      </x:c>
      <x:c r="I3560" s="2" t="inlineStr">
        <x:is>
          <x:t xml:space="preserve">1998-01-22</x:t>
        </x:is>
      </x:c>
      <x:c r="J3560" s="3" t="inlineStr">
        <x:is>
          <x:t xml:space="preserve">河南省郑州市金水区农业路东41号A座24-26层</x:t>
        </x:is>
      </x:c>
      <x:c r="K3560" s="12" t="str">
        <x:f>LEFT("91410000170011642P",18)</x:f>
        <x:v>91410000170011642P</x:v>
      </x:c>
    </x:row>
    <x:row r="3561">
      <x:c r="A3561" s="4" t="n">
        <x:v>3560</x:v>
      </x:c>
      <x:c r="B3561" s="4" t="inlineStr">
        <x:is>
          <x:t xml:space="preserve">002007</x:t>
        </x:is>
      </x:c>
      <x:c r="C3561" s="5" t="inlineStr">
        <x:is>
          <x:t xml:space="preserve">华兰生物</x:t>
        </x:is>
      </x:c>
      <x:c r="D3561" s="5" t="inlineStr">
        <x:is>
          <x:t xml:space="preserve">华兰生物工程股份有限公司</x:t>
        </x:is>
      </x:c>
      <x:c r="E3561" s="4" t="inlineStr">
        <x:is>
          <x:t xml:space="preserve">河南省</x:t>
        </x:is>
      </x:c>
      <x:c r="F3561" s="4" t="inlineStr">
        <x:is>
          <x:t xml:space="preserve">新乡市</x:t>
        </x:is>
      </x:c>
      <x:c r="G3561" s="5" t="inlineStr">
        <x:is>
          <x:t xml:space="preserve">河南省-新乡市</x:t>
        </x:is>
      </x:c>
      <x:c r="H3561" s="4" t="inlineStr">
        <x:is>
          <x:t xml:space="preserve">生物制品</x:t>
        </x:is>
      </x:c>
      <x:c r="I3561" s="4" t="inlineStr">
        <x:is>
          <x:t xml:space="preserve">2004-06-25</x:t>
        </x:is>
      </x:c>
      <x:c r="J3561" s="5" t="inlineStr">
        <x:is>
          <x:t xml:space="preserve">河南省新乡市华兰大道甲1号</x:t>
        </x:is>
      </x:c>
      <x:c r="K3561" s="12" t="str">
        <x:f>LEFT("91410000614914114G",18)</x:f>
        <x:v>91410000614914114G</x:v>
      </x:c>
    </x:row>
    <x:row r="3562">
      <x:c r="A3562" s="2" t="n">
        <x:v>3561</x:v>
      </x:c>
      <x:c r="B3562" s="2" t="inlineStr">
        <x:is>
          <x:t xml:space="preserve">002046</x:t>
        </x:is>
      </x:c>
      <x:c r="C3562" s="3" t="inlineStr">
        <x:is>
          <x:t xml:space="preserve">国机精工</x:t>
        </x:is>
      </x:c>
      <x:c r="D3562" s="3" t="inlineStr">
        <x:is>
          <x:t xml:space="preserve">国机精工集团股份有限公司</x:t>
        </x:is>
      </x:c>
      <x:c r="E3562" s="2" t="inlineStr">
        <x:is>
          <x:t xml:space="preserve">河南省</x:t>
        </x:is>
      </x:c>
      <x:c r="F3562" s="2" t="inlineStr">
        <x:is>
          <x:t xml:space="preserve">洛阳市</x:t>
        </x:is>
      </x:c>
      <x:c r="G3562" s="3" t="inlineStr">
        <x:is>
          <x:t xml:space="preserve">河南省-洛阳市</x:t>
        </x:is>
      </x:c>
      <x:c r="H3562" s="2" t="inlineStr">
        <x:is>
          <x:t xml:space="preserve">机械行业</x:t>
        </x:is>
      </x:c>
      <x:c r="I3562" s="2" t="inlineStr">
        <x:is>
          <x:t xml:space="preserve">2005-05-26</x:t>
        </x:is>
      </x:c>
      <x:c r="J3562" s="3" t="inlineStr">
        <x:is>
          <x:t xml:space="preserve">河南省洛阳高新技术开发区丰华路6号</x:t>
        </x:is>
      </x:c>
      <x:c r="K3562" s="12" t="str">
        <x:f>LEFT("91410000733861107G",18)</x:f>
        <x:v>91410000733861107G</x:v>
      </x:c>
    </x:row>
    <x:row r="3563">
      <x:c r="A3563" s="4" t="n">
        <x:v>3562</x:v>
      </x:c>
      <x:c r="B3563" s="4" t="inlineStr">
        <x:is>
          <x:t xml:space="preserve">002132</x:t>
        </x:is>
      </x:c>
      <x:c r="C3563" s="5" t="inlineStr">
        <x:is>
          <x:t xml:space="preserve">恒星科技</x:t>
        </x:is>
      </x:c>
      <x:c r="D3563" s="5" t="inlineStr">
        <x:is>
          <x:t xml:space="preserve">河南恒星科技股份有限公司</x:t>
        </x:is>
      </x:c>
      <x:c r="E3563" s="4" t="inlineStr">
        <x:is>
          <x:t xml:space="preserve">河南省</x:t>
        </x:is>
      </x:c>
      <x:c r="F3563" s="4" t="inlineStr">
        <x:is>
          <x:t xml:space="preserve">巩义市</x:t>
        </x:is>
      </x:c>
      <x:c r="G3563" s="5" t="inlineStr">
        <x:is>
          <x:t xml:space="preserve">河南省-巩义市</x:t>
        </x:is>
      </x:c>
      <x:c r="H3563" s="4" t="inlineStr">
        <x:is>
          <x:t xml:space="preserve">通用设备</x:t>
        </x:is>
      </x:c>
      <x:c r="I3563" s="4" t="inlineStr">
        <x:is>
          <x:t xml:space="preserve">2007-04-27</x:t>
        </x:is>
      </x:c>
      <x:c r="J3563" s="5" t="inlineStr">
        <x:is>
          <x:t xml:space="preserve">巩义市康店镇焦湾村</x:t>
        </x:is>
      </x:c>
      <x:c r="K3563" s="12" t="str">
        <x:f>LEFT("91410000757149560W",18)</x:f>
        <x:v>91410000757149560W</x:v>
      </x:c>
    </x:row>
    <x:row r="3564">
      <x:c r="A3564" s="2" t="n">
        <x:v>3563</x:v>
      </x:c>
      <x:c r="B3564" s="2" t="inlineStr">
        <x:is>
          <x:t xml:space="preserve">002179</x:t>
        </x:is>
      </x:c>
      <x:c r="C3564" s="3" t="inlineStr">
        <x:is>
          <x:t xml:space="preserve">中航光电</x:t>
        </x:is>
      </x:c>
      <x:c r="D3564" s="3" t="inlineStr">
        <x:is>
          <x:t xml:space="preserve">中航光电科技股份有限公司</x:t>
        </x:is>
      </x:c>
      <x:c r="E3564" s="2" t="inlineStr">
        <x:is>
          <x:t xml:space="preserve">河南省</x:t>
        </x:is>
      </x:c>
      <x:c r="F3564" s="2" t="inlineStr">
        <x:is>
          <x:t xml:space="preserve">洛阳市</x:t>
        </x:is>
      </x:c>
      <x:c r="G3564" s="3" t="inlineStr">
        <x:is>
          <x:t xml:space="preserve">河南省-洛阳市</x:t>
        </x:is>
      </x:c>
      <x:c r="H3564" s="2" t="inlineStr">
        <x:is>
          <x:t xml:space="preserve">电子元件</x:t>
        </x:is>
      </x:c>
      <x:c r="I3564" s="2" t="inlineStr">
        <x:is>
          <x:t xml:space="preserve">2007-11-01</x:t>
        </x:is>
      </x:c>
      <x:c r="J3564" s="3" t="inlineStr">
        <x:is>
          <x:t xml:space="preserve">中国(河南)自由贸易试验区洛阳片区浅井南路6号</x:t>
        </x:is>
      </x:c>
      <x:c r="K3564" s="12" t="str">
        <x:f>LEFT("914100007457748527",18)</x:f>
        <x:v>914100007457748500</x:v>
      </x:c>
    </x:row>
    <x:row r="3565">
      <x:c r="A3565" s="4" t="n">
        <x:v>3564</x:v>
      </x:c>
      <x:c r="B3565" s="4" t="inlineStr">
        <x:is>
          <x:t xml:space="preserve">002189</x:t>
        </x:is>
      </x:c>
      <x:c r="C3565" s="5" t="inlineStr">
        <x:is>
          <x:t xml:space="preserve">中光学</x:t>
        </x:is>
      </x:c>
      <x:c r="D3565" s="5" t="inlineStr">
        <x:is>
          <x:t xml:space="preserve">中光学集团股份有限公司</x:t>
        </x:is>
      </x:c>
      <x:c r="E3565" s="4" t="inlineStr">
        <x:is>
          <x:t xml:space="preserve">河南省</x:t>
        </x:is>
      </x:c>
      <x:c r="F3565" s="4" t="inlineStr">
        <x:is>
          <x:t xml:space="preserve">南阳市</x:t>
        </x:is>
      </x:c>
      <x:c r="G3565" s="5" t="inlineStr">
        <x:is>
          <x:t xml:space="preserve">河南省-南阳市</x:t>
        </x:is>
      </x:c>
      <x:c r="H3565" s="4" t="inlineStr">
        <x:is>
          <x:t xml:space="preserve">光学光电子</x:t>
        </x:is>
      </x:c>
      <x:c r="I3565" s="4" t="inlineStr">
        <x:is>
          <x:t xml:space="preserve">2007-12-03</x:t>
        </x:is>
      </x:c>
      <x:c r="J3565" s="5" t="inlineStr">
        <x:is>
          <x:t xml:space="preserve">河南省南阳市工业南路508号</x:t>
        </x:is>
      </x:c>
      <x:c r="K3565" s="12" t="str">
        <x:f>LEFT("91410000615301803D",18)</x:f>
        <x:v>91410000615301803D</x:v>
      </x:c>
    </x:row>
    <x:row r="3566">
      <x:c r="A3566" s="2" t="n">
        <x:v>3565</x:v>
      </x:c>
      <x:c r="B3566" s="2" t="inlineStr">
        <x:is>
          <x:t xml:space="preserve">002216</x:t>
        </x:is>
      </x:c>
      <x:c r="C3566" s="3" t="inlineStr">
        <x:is>
          <x:t xml:space="preserve">三全食品</x:t>
        </x:is>
      </x:c>
      <x:c r="D3566" s="3" t="inlineStr">
        <x:is>
          <x:t xml:space="preserve">三全食品股份有限公司</x:t>
        </x:is>
      </x:c>
      <x:c r="E3566" s="2" t="inlineStr">
        <x:is>
          <x:t xml:space="preserve">河南省</x:t>
        </x:is>
      </x:c>
      <x:c r="F3566" s="2" t="inlineStr">
        <x:is>
          <x:t xml:space="preserve">郑州市</x:t>
        </x:is>
      </x:c>
      <x:c r="G3566" s="3" t="inlineStr">
        <x:is>
          <x:t xml:space="preserve">河南省-郑州市</x:t>
        </x:is>
      </x:c>
      <x:c r="H3566" s="2" t="inlineStr">
        <x:is>
          <x:t xml:space="preserve">食品饮料</x:t>
        </x:is>
      </x:c>
      <x:c r="I3566" s="2" t="inlineStr">
        <x:is>
          <x:t xml:space="preserve">2008-02-20</x:t>
        </x:is>
      </x:c>
      <x:c r="J3566" s="3" t="inlineStr">
        <x:is>
          <x:t xml:space="preserve">郑州市综合投资区长兴路中段</x:t>
        </x:is>
      </x:c>
      <x:c r="K3566" s="12" t="str">
        <x:f>LEFT("91410000514683187W",18)</x:f>
        <x:v>91410000514683187W</x:v>
      </x:c>
    </x:row>
    <x:row r="3567">
      <x:c r="A3567" s="4" t="n">
        <x:v>3566</x:v>
      </x:c>
      <x:c r="B3567" s="4" t="inlineStr">
        <x:is>
          <x:t xml:space="preserve">002225</x:t>
        </x:is>
      </x:c>
      <x:c r="C3567" s="5" t="inlineStr">
        <x:is>
          <x:t xml:space="preserve">濮耐股份</x:t>
        </x:is>
      </x:c>
      <x:c r="D3567" s="5" t="inlineStr">
        <x:is>
          <x:t xml:space="preserve">濮阳濮耐高温材料(集团)股份有限公司</x:t>
        </x:is>
      </x:c>
      <x:c r="E3567" s="4" t="inlineStr">
        <x:is>
          <x:t xml:space="preserve">河南省</x:t>
        </x:is>
      </x:c>
      <x:c r="F3567" s="4" t="inlineStr">
        <x:is>
          <x:t xml:space="preserve">濮阳市</x:t>
        </x:is>
      </x:c>
      <x:c r="G3567" s="5" t="inlineStr">
        <x:is>
          <x:t xml:space="preserve">河南省-濮阳市</x:t>
        </x:is>
      </x:c>
      <x:c r="H3567" s="4" t="inlineStr">
        <x:is>
          <x:t xml:space="preserve">装修建材</x:t>
        </x:is>
      </x:c>
      <x:c r="I3567" s="4" t="inlineStr">
        <x:is>
          <x:t xml:space="preserve">2008-04-25</x:t>
        </x:is>
      </x:c>
      <x:c r="J3567" s="5" t="inlineStr">
        <x:is>
          <x:t xml:space="preserve">河南省濮阳县西环路中段</x:t>
        </x:is>
      </x:c>
      <x:c r="K3567" s="12" t="str">
        <x:f>LEFT("914109007355321200",18)</x:f>
        <x:v>914109007355321200</x:v>
      </x:c>
    </x:row>
    <x:row r="3568">
      <x:c r="A3568" s="2" t="n">
        <x:v>3567</x:v>
      </x:c>
      <x:c r="B3568" s="2" t="inlineStr">
        <x:is>
          <x:t xml:space="preserve">002296</x:t>
        </x:is>
      </x:c>
      <x:c r="C3568" s="3" t="inlineStr">
        <x:is>
          <x:t xml:space="preserve">辉煌科技</x:t>
        </x:is>
      </x:c>
      <x:c r="D3568" s="3" t="inlineStr">
        <x:is>
          <x:t xml:space="preserve">河南辉煌科技股份有限公司</x:t>
        </x:is>
      </x:c>
      <x:c r="E3568" s="2" t="inlineStr">
        <x:is>
          <x:t xml:space="preserve">河南省</x:t>
        </x:is>
      </x:c>
      <x:c r="F3568" s="2" t="inlineStr">
        <x:is>
          <x:t xml:space="preserve">郑州市</x:t>
        </x:is>
      </x:c>
      <x:c r="G3568" s="3" t="inlineStr">
        <x:is>
          <x:t xml:space="preserve">河南省-郑州市</x:t>
        </x:is>
      </x:c>
      <x:c r="H3568" s="2" t="inlineStr">
        <x:is>
          <x:t xml:space="preserve">通讯行业</x:t>
        </x:is>
      </x:c>
      <x:c r="I3568" s="2" t="inlineStr">
        <x:is>
          <x:t xml:space="preserve">2009-09-29</x:t>
        </x:is>
      </x:c>
      <x:c r="J3568" s="3" t="inlineStr">
        <x:is>
          <x:t xml:space="preserve">郑州高新技术产业开发区科学大道188号</x:t>
        </x:is>
      </x:c>
      <x:c r="K3568" s="12" t="str">
        <x:f>LEFT("914101007324826746",18)</x:f>
        <x:v>914101007324826800</x:v>
      </x:c>
    </x:row>
    <x:row r="3569">
      <x:c r="A3569" s="4" t="n">
        <x:v>3568</x:v>
      </x:c>
      <x:c r="B3569" s="4" t="inlineStr">
        <x:is>
          <x:t xml:space="preserve">002321</x:t>
        </x:is>
      </x:c>
      <x:c r="C3569" s="5" t="inlineStr">
        <x:is>
          <x:t xml:space="preserve">华英农业</x:t>
        </x:is>
      </x:c>
      <x:c r="D3569" s="5" t="inlineStr">
        <x:is>
          <x:t xml:space="preserve">河南华英农业发展股份有限公司</x:t>
        </x:is>
      </x:c>
      <x:c r="E3569" s="4" t="inlineStr">
        <x:is>
          <x:t xml:space="preserve">河南省</x:t>
        </x:is>
      </x:c>
      <x:c r="F3569" s="4" t="inlineStr">
        <x:is>
          <x:t xml:space="preserve">信阳市</x:t>
        </x:is>
      </x:c>
      <x:c r="G3569" s="5" t="inlineStr">
        <x:is>
          <x:t xml:space="preserve">河南省-信阳市</x:t>
        </x:is>
      </x:c>
      <x:c r="H3569" s="4" t="inlineStr">
        <x:is>
          <x:t xml:space="preserve">农牧饲渔</x:t>
        </x:is>
      </x:c>
      <x:c r="I3569" s="4" t="inlineStr">
        <x:is>
          <x:t xml:space="preserve">2009-12-16</x:t>
        </x:is>
      </x:c>
      <x:c r="J3569" s="5" t="inlineStr">
        <x:is>
          <x:t xml:space="preserve">河南省潢川县产业集聚区工业大道1号</x:t>
        </x:is>
      </x:c>
      <x:c r="K3569" s="12" t="str">
        <x:f>LEFT("91410000735505325T",18)</x:f>
        <x:v>91410000735505325T</x:v>
      </x:c>
    </x:row>
    <x:row r="3570">
      <x:c r="A3570" s="2" t="n">
        <x:v>3569</x:v>
      </x:c>
      <x:c r="B3570" s="2" t="inlineStr">
        <x:is>
          <x:t xml:space="preserve">002358</x:t>
        </x:is>
      </x:c>
      <x:c r="C3570" s="3" t="inlineStr">
        <x:is>
          <x:t xml:space="preserve">森源电气</x:t>
        </x:is>
      </x:c>
      <x:c r="D3570" s="3" t="inlineStr">
        <x:is>
          <x:t xml:space="preserve">河南森源电气股份有限公司</x:t>
        </x:is>
      </x:c>
      <x:c r="E3570" s="2" t="inlineStr">
        <x:is>
          <x:t xml:space="preserve">河南省</x:t>
        </x:is>
      </x:c>
      <x:c r="F3570" s="2" t="inlineStr">
        <x:is>
          <x:t xml:space="preserve">南省长葛市</x:t>
        </x:is>
      </x:c>
      <x:c r="G3570" s="3" t="inlineStr">
        <x:is>
          <x:t xml:space="preserve">河南省-南省长葛市</x:t>
        </x:is>
      </x:c>
      <x:c r="H3570" s="2" t="inlineStr">
        <x:is>
          <x:t xml:space="preserve">输配电气</x:t>
        </x:is>
      </x:c>
      <x:c r="I3570" s="2" t="inlineStr">
        <x:is>
          <x:t xml:space="preserve">2010-02-10</x:t>
        </x:is>
      </x:c>
      <x:c r="J3570" s="3" t="inlineStr">
        <x:is>
          <x:t xml:space="preserve">河南省长葛市魏武路南段西侧</x:t>
        </x:is>
      </x:c>
      <x:c r="K3570" s="12" t="str">
        <x:f>LEFT("914110007270019876",18)</x:f>
        <x:v>914110007270019800</x:v>
      </x:c>
    </x:row>
    <x:row r="3571">
      <x:c r="A3571" s="4" t="n">
        <x:v>3570</x:v>
      </x:c>
      <x:c r="B3571" s="4" t="inlineStr">
        <x:is>
          <x:t xml:space="preserve">002406</x:t>
        </x:is>
      </x:c>
      <x:c r="C3571" s="5" t="inlineStr">
        <x:is>
          <x:t xml:space="preserve">远东传动</x:t>
        </x:is>
      </x:c>
      <x:c r="D3571" s="5" t="inlineStr">
        <x:is>
          <x:t xml:space="preserve">许昌远东传动轴股份有限公司</x:t>
        </x:is>
      </x:c>
      <x:c r="E3571" s="4" t="inlineStr">
        <x:is>
          <x:t xml:space="preserve">河南省</x:t>
        </x:is>
      </x:c>
      <x:c r="F3571" s="4" t="inlineStr">
        <x:is>
          <x:t xml:space="preserve">许昌市</x:t>
        </x:is>
      </x:c>
      <x:c r="G3571" s="5" t="inlineStr">
        <x:is>
          <x:t xml:space="preserve">河南省-许昌市</x:t>
        </x:is>
      </x:c>
      <x:c r="H3571" s="4" t="inlineStr">
        <x:is>
          <x:t xml:space="preserve">汽车零部件</x:t>
        </x:is>
      </x:c>
      <x:c r="I3571" s="4" t="inlineStr">
        <x:is>
          <x:t xml:space="preserve">2010-05-18</x:t>
        </x:is>
      </x:c>
      <x:c r="J3571" s="5" t="inlineStr">
        <x:is>
          <x:t xml:space="preserve">河南省许昌市建安区魏武大道北段1699号</x:t>
        </x:is>
      </x:c>
      <x:c r="K3571" s="12" t="str">
        <x:f>LEFT("91411000719145489Q",18)</x:f>
        <x:v>91411000719145489Q</x:v>
      </x:c>
    </x:row>
    <x:row r="3572">
      <x:c r="A3572" s="2" t="n">
        <x:v>3571</x:v>
      </x:c>
      <x:c r="B3572" s="2" t="inlineStr">
        <x:is>
          <x:t xml:space="preserve">002407</x:t>
        </x:is>
      </x:c>
      <x:c r="C3572" s="3" t="inlineStr">
        <x:is>
          <x:t xml:space="preserve">多氟多</x:t>
        </x:is>
      </x:c>
      <x:c r="D3572" s="3" t="inlineStr">
        <x:is>
          <x:t xml:space="preserve">多氟多新材料股份有限公司</x:t>
        </x:is>
      </x:c>
      <x:c r="E3572" s="2" t="inlineStr">
        <x:is>
          <x:t xml:space="preserve">河南省</x:t>
        </x:is>
      </x:c>
      <x:c r="F3572" s="2" t="inlineStr">
        <x:is>
          <x:t xml:space="preserve">焦作市</x:t>
        </x:is>
      </x:c>
      <x:c r="G3572" s="3" t="inlineStr">
        <x:is>
          <x:t xml:space="preserve">河南省-焦作市</x:t>
        </x:is>
      </x:c>
      <x:c r="H3572" s="2" t="inlineStr">
        <x:is>
          <x:t xml:space="preserve">化工行业</x:t>
        </x:is>
      </x:c>
      <x:c r="I3572" s="2" t="inlineStr">
        <x:is>
          <x:t xml:space="preserve">2010-05-18</x:t>
        </x:is>
      </x:c>
      <x:c r="J3572" s="3" t="inlineStr">
        <x:is>
          <x:t xml:space="preserve">河南省焦作市中站区焦克路</x:t>
        </x:is>
      </x:c>
      <x:c r="K3572" s="12" t="str">
        <x:f>LEFT("91410800719115730E",18)</x:f>
        <x:v>91410800719115730E</x:v>
      </x:c>
    </x:row>
    <x:row r="3573">
      <x:c r="A3573" s="4" t="n">
        <x:v>3572</x:v>
      </x:c>
      <x:c r="B3573" s="4" t="inlineStr">
        <x:is>
          <x:t xml:space="preserve">002423</x:t>
        </x:is>
      </x:c>
      <x:c r="C3573" s="5" t="inlineStr">
        <x:is>
          <x:t xml:space="preserve">中粮资本</x:t>
        </x:is>
      </x:c>
      <x:c r="D3573" s="5" t="inlineStr">
        <x:is>
          <x:t xml:space="preserve">中粮资本控股股份有限公司</x:t>
        </x:is>
      </x:c>
      <x:c r="E3573" s="4" t="inlineStr">
        <x:is>
          <x:t xml:space="preserve">河南省</x:t>
        </x:is>
      </x:c>
      <x:c r="F3573" s="4" t="inlineStr">
        <x:is>
          <x:t xml:space="preserve">南省济源市</x:t>
        </x:is>
      </x:c>
      <x:c r="G3573" s="5" t="inlineStr">
        <x:is>
          <x:t xml:space="preserve">河南省-南省济源市</x:t>
        </x:is>
      </x:c>
      <x:c r="H3573" s="4" t="inlineStr">
        <x:is>
          <x:t xml:space="preserve">多元金融</x:t>
        </x:is>
      </x:c>
      <x:c r="I3573" s="4" t="inlineStr">
        <x:is>
          <x:t xml:space="preserve">2010-06-03</x:t>
        </x:is>
      </x:c>
      <x:c r="J3573" s="5" t="inlineStr">
        <x:is>
          <x:t xml:space="preserve">河南省济源市承留镇小寨村</x:t>
        </x:is>
      </x:c>
      <x:c r="K3573" s="12" t="str">
        <x:f>LEFT("91410000169967858M",18)</x:f>
        <x:v>91410000169967858M</x:v>
      </x:c>
    </x:row>
    <x:row r="3574">
      <x:c r="A3574" s="2" t="n">
        <x:v>3573</x:v>
      </x:c>
      <x:c r="B3574" s="2" t="inlineStr">
        <x:is>
          <x:t xml:space="preserve">002431</x:t>
        </x:is>
      </x:c>
      <x:c r="C3574" s="3" t="inlineStr">
        <x:is>
          <x:t xml:space="preserve">棕榈股份</x:t>
        </x:is>
      </x:c>
      <x:c r="D3574" s="3" t="inlineStr">
        <x:is>
          <x:t xml:space="preserve">棕榈生态城镇发展股份有限公司</x:t>
        </x:is>
      </x:c>
      <x:c r="E3574" s="2" t="inlineStr">
        <x:is>
          <x:t xml:space="preserve">河南省</x:t>
        </x:is>
      </x:c>
      <x:c r="F3574" s="2" t="inlineStr">
        <x:is>
          <x:t xml:space="preserve">郑州市</x:t>
        </x:is>
      </x:c>
      <x:c r="G3574" s="3" t="inlineStr">
        <x:is>
          <x:t xml:space="preserve">河南省-郑州市</x:t>
        </x:is>
      </x:c>
      <x:c r="H3574" s="2" t="inlineStr">
        <x:is>
          <x:t xml:space="preserve">工程建设</x:t>
        </x:is>
      </x:c>
      <x:c r="I3574" s="2" t="inlineStr">
        <x:is>
          <x:t xml:space="preserve">2010-06-10</x:t>
        </x:is>
      </x:c>
      <x:c r="J3574" s="3" t="inlineStr">
        <x:is>
          <x:t xml:space="preserve">郑州市郑东新区俊贤路38号森大郑东1号项目一期3号楼5层11号铺</x:t>
        </x:is>
      </x:c>
      <x:c r="K3574" s="12" t="str">
        <x:f>LEFT("9144200061808674XE",18)</x:f>
        <x:v>9144200061808674XE</x:v>
      </x:c>
    </x:row>
    <x:row r="3575">
      <x:c r="A3575" s="4" t="n">
        <x:v>3574</x:v>
      </x:c>
      <x:c r="B3575" s="4" t="inlineStr">
        <x:is>
          <x:t xml:space="preserve">002448</x:t>
        </x:is>
      </x:c>
      <x:c r="C3575" s="5" t="inlineStr">
        <x:is>
          <x:t xml:space="preserve">中原内配</x:t>
        </x:is>
      </x:c>
      <x:c r="D3575" s="5" t="inlineStr">
        <x:is>
          <x:t xml:space="preserve">中原内配集团股份有限公司</x:t>
        </x:is>
      </x:c>
      <x:c r="E3575" s="4" t="inlineStr">
        <x:is>
          <x:t xml:space="preserve">河南省</x:t>
        </x:is>
      </x:c>
      <x:c r="F3575" s="4" t="inlineStr">
        <x:is>
          <x:t xml:space="preserve">南省孟州市</x:t>
        </x:is>
      </x:c>
      <x:c r="G3575" s="5" t="inlineStr">
        <x:is>
          <x:t xml:space="preserve">河南省-南省孟州市</x:t>
        </x:is>
      </x:c>
      <x:c r="H3575" s="4" t="inlineStr">
        <x:is>
          <x:t xml:space="preserve">汽车行业</x:t>
        </x:is>
      </x:c>
      <x:c r="I3575" s="4" t="inlineStr">
        <x:is>
          <x:t xml:space="preserve">2010-07-16</x:t>
        </x:is>
      </x:c>
      <x:c r="J3575" s="5" t="inlineStr">
        <x:is>
          <x:t xml:space="preserve">河南省孟州市产业集聚区淮河大道69号</x:t>
        </x:is>
      </x:c>
      <x:c r="K3575" s="12" t="str">
        <x:f>LEFT("91410800719183135K",18)</x:f>
        <x:v>91410800719183135K</x:v>
      </x:c>
    </x:row>
    <x:row r="3576">
      <x:c r="A3576" s="2" t="n">
        <x:v>3575</x:v>
      </x:c>
      <x:c r="B3576" s="2" t="inlineStr">
        <x:is>
          <x:t xml:space="preserve">002535</x:t>
        </x:is>
      </x:c>
      <x:c r="C3576" s="3" t="inlineStr">
        <x:is>
          <x:t xml:space="preserve">林州重机</x:t>
        </x:is>
      </x:c>
      <x:c r="D3576" s="3" t="inlineStr">
        <x:is>
          <x:t xml:space="preserve">林州重机集团股份有限公司</x:t>
        </x:is>
      </x:c>
      <x:c r="E3576" s="2" t="inlineStr">
        <x:is>
          <x:t xml:space="preserve">河南省</x:t>
        </x:is>
      </x:c>
      <x:c r="F3576" s="2" t="inlineStr">
        <x:is>
          <x:t xml:space="preserve">南省林州市</x:t>
        </x:is>
      </x:c>
      <x:c r="G3576" s="3" t="inlineStr">
        <x:is>
          <x:t xml:space="preserve">河南省-南省林州市</x:t>
        </x:is>
      </x:c>
      <x:c r="H3576" s="2" t="inlineStr">
        <x:is>
          <x:t xml:space="preserve">专用设备</x:t>
        </x:is>
      </x:c>
      <x:c r="I3576" s="2" t="inlineStr">
        <x:is>
          <x:t xml:space="preserve">2011-01-11</x:t>
        </x:is>
      </x:c>
      <x:c r="J3576" s="3" t="inlineStr">
        <x:is>
          <x:t xml:space="preserve">河南省林州市产业集聚区凤宝大道与陵阳大道交叉口</x:t>
        </x:is>
      </x:c>
      <x:c r="K3576" s="12" t="str">
        <x:f>LEFT("91410500795735560D",18)</x:f>
        <x:v>91410500795735560D</x:v>
      </x:c>
    </x:row>
    <x:row r="3577">
      <x:c r="A3577" s="4" t="n">
        <x:v>3576</x:v>
      </x:c>
      <x:c r="B3577" s="4" t="inlineStr">
        <x:is>
          <x:t xml:space="preserve">002536</x:t>
        </x:is>
      </x:c>
      <x:c r="C3577" s="5" t="inlineStr">
        <x:is>
          <x:t xml:space="preserve">飞龙股份</x:t>
        </x:is>
      </x:c>
      <x:c r="D3577" s="5" t="inlineStr">
        <x:is>
          <x:t xml:space="preserve">飞龙汽车部件股份有限公司</x:t>
        </x:is>
      </x:c>
      <x:c r="E3577" s="4" t="inlineStr">
        <x:is>
          <x:t xml:space="preserve">河南省</x:t>
        </x:is>
      </x:c>
      <x:c r="F3577" s="4" t="inlineStr">
        <x:is>
          <x:t xml:space="preserve">南阳市</x:t>
        </x:is>
      </x:c>
      <x:c r="G3577" s="5" t="inlineStr">
        <x:is>
          <x:t xml:space="preserve">河南省-南阳市</x:t>
        </x:is>
      </x:c>
      <x:c r="H3577" s="4" t="inlineStr">
        <x:is>
          <x:t xml:space="preserve">汽车行业</x:t>
        </x:is>
      </x:c>
      <x:c r="I3577" s="4" t="inlineStr">
        <x:is>
          <x:t xml:space="preserve">2011-01-11</x:t>
        </x:is>
      </x:c>
      <x:c r="J3577" s="5" t="inlineStr">
        <x:is>
          <x:t xml:space="preserve">河南省西峡县工业大道</x:t>
        </x:is>
      </x:c>
      <x:c r="K3577" s="12" t="str">
        <x:f>LEFT("914113001764803359",18)</x:f>
        <x:v>914113001764803300</x:v>
      </x:c>
    </x:row>
    <x:row r="3578">
      <x:c r="A3578" s="2" t="n">
        <x:v>3577</x:v>
      </x:c>
      <x:c r="B3578" s="2" t="inlineStr">
        <x:is>
          <x:t xml:space="preserve">002560</x:t>
        </x:is>
      </x:c>
      <x:c r="C3578" s="3" t="inlineStr">
        <x:is>
          <x:t xml:space="preserve">通达股份</x:t>
        </x:is>
      </x:c>
      <x:c r="D3578" s="3" t="inlineStr">
        <x:is>
          <x:t xml:space="preserve">河南通达电缆股份有限公司</x:t>
        </x:is>
      </x:c>
      <x:c r="E3578" s="2" t="inlineStr">
        <x:is>
          <x:t xml:space="preserve">河南省</x:t>
        </x:is>
      </x:c>
      <x:c r="F3578" s="2" t="inlineStr">
        <x:is>
          <x:t xml:space="preserve">洛阳市</x:t>
        </x:is>
      </x:c>
      <x:c r="G3578" s="3" t="inlineStr">
        <x:is>
          <x:t xml:space="preserve">河南省-洛阳市</x:t>
        </x:is>
      </x:c>
      <x:c r="H3578" s="2" t="inlineStr">
        <x:is>
          <x:t xml:space="preserve">输配电气</x:t>
        </x:is>
      </x:c>
      <x:c r="I3578" s="2" t="inlineStr">
        <x:is>
          <x:t xml:space="preserve">2011-03-03</x:t>
        </x:is>
      </x:c>
      <x:c r="J3578" s="3" t="inlineStr">
        <x:is>
          <x:t xml:space="preserve">河南省洛阳市偃师区史家湾工业区</x:t>
        </x:is>
      </x:c>
      <x:c r="K3578" s="12" t="str">
        <x:f>LEFT("91410300X148288455",18)</x:f>
        <x:v>91410300X148288455</x:v>
      </x:c>
    </x:row>
    <x:row r="3579">
      <x:c r="A3579" s="4" t="n">
        <x:v>3578</x:v>
      </x:c>
      <x:c r="B3579" s="4" t="inlineStr">
        <x:is>
          <x:t xml:space="preserve">002582</x:t>
        </x:is>
      </x:c>
      <x:c r="C3579" s="5" t="inlineStr">
        <x:is>
          <x:t xml:space="preserve">好想你</x:t>
        </x:is>
      </x:c>
      <x:c r="D3579" s="5" t="inlineStr">
        <x:is>
          <x:t xml:space="preserve">好想你健康食品股份有限公司</x:t>
        </x:is>
      </x:c>
      <x:c r="E3579" s="4" t="inlineStr">
        <x:is>
          <x:t xml:space="preserve">河南省</x:t>
        </x:is>
      </x:c>
      <x:c r="F3579" s="4" t="inlineStr">
        <x:is>
          <x:t xml:space="preserve">新郑市</x:t>
        </x:is>
      </x:c>
      <x:c r="G3579" s="5" t="inlineStr">
        <x:is>
          <x:t xml:space="preserve">河南省-新郑市</x:t>
        </x:is>
      </x:c>
      <x:c r="H3579" s="4" t="inlineStr">
        <x:is>
          <x:t xml:space="preserve">食品饮料</x:t>
        </x:is>
      </x:c>
      <x:c r="I3579" s="4" t="inlineStr">
        <x:is>
          <x:t xml:space="preserve">2011-05-20</x:t>
        </x:is>
      </x:c>
      <x:c r="J3579" s="5" t="inlineStr">
        <x:is>
          <x:t xml:space="preserve">新郑市中华北路199号</x:t>
        </x:is>
      </x:c>
      <x:c r="K3579" s="12" t="str">
        <x:f>LEFT("9141010017044574XL",18)</x:f>
        <x:v>9141010017044574XL</x:v>
      </x:c>
    </x:row>
    <x:row r="3580">
      <x:c r="A3580" s="2" t="n">
        <x:v>3579</x:v>
      </x:c>
      <x:c r="B3580" s="2" t="inlineStr">
        <x:is>
          <x:t xml:space="preserve">002601</x:t>
        </x:is>
      </x:c>
      <x:c r="C3580" s="3" t="inlineStr">
        <x:is>
          <x:t xml:space="preserve">龙佰集团</x:t>
        </x:is>
      </x:c>
      <x:c r="D3580" s="3" t="inlineStr">
        <x:is>
          <x:t xml:space="preserve">龙佰集团股份有限公司</x:t>
        </x:is>
      </x:c>
      <x:c r="E3580" s="2" t="inlineStr">
        <x:is>
          <x:t xml:space="preserve">河南省</x:t>
        </x:is>
      </x:c>
      <x:c r="F3580" s="2" t="inlineStr">
        <x:is>
          <x:t xml:space="preserve">焦作市</x:t>
        </x:is>
      </x:c>
      <x:c r="G3580" s="3" t="inlineStr">
        <x:is>
          <x:t xml:space="preserve">河南省-焦作市</x:t>
        </x:is>
      </x:c>
      <x:c r="H3580" s="2" t="inlineStr">
        <x:is>
          <x:t xml:space="preserve">化学原料</x:t>
        </x:is>
      </x:c>
      <x:c r="I3580" s="2" t="inlineStr">
        <x:is>
          <x:t xml:space="preserve">2011-07-15</x:t>
        </x:is>
      </x:c>
      <x:c r="J3580" s="3" t="inlineStr">
        <x:is>
          <x:t xml:space="preserve">河南省焦作市中站区冯封办事处</x:t>
        </x:is>
      </x:c>
      <x:c r="K3580" s="12" t="str">
        <x:f>LEFT("91410800173472241R",18)</x:f>
        <x:v>91410800173472241R</x:v>
      </x:c>
    </x:row>
    <x:row r="3581">
      <x:c r="A3581" s="4" t="n">
        <x:v>3580</x:v>
      </x:c>
      <x:c r="B3581" s="4" t="inlineStr">
        <x:is>
          <x:t xml:space="preserve">002613</x:t>
        </x:is>
      </x:c>
      <x:c r="C3581" s="5" t="inlineStr">
        <x:is>
          <x:t xml:space="preserve">北玻股份</x:t>
        </x:is>
      </x:c>
      <x:c r="D3581" s="5" t="inlineStr">
        <x:is>
          <x:t xml:space="preserve">洛阳北方玻璃技术股份有限公司</x:t>
        </x:is>
      </x:c>
      <x:c r="E3581" s="4" t="inlineStr">
        <x:is>
          <x:t xml:space="preserve">河南省</x:t>
        </x:is>
      </x:c>
      <x:c r="F3581" s="4" t="inlineStr">
        <x:is>
          <x:t xml:space="preserve">洛阳市</x:t>
        </x:is>
      </x:c>
      <x:c r="G3581" s="5" t="inlineStr">
        <x:is>
          <x:t xml:space="preserve">河南省-洛阳市</x:t>
        </x:is>
      </x:c>
      <x:c r="H3581" s="4" t="inlineStr">
        <x:is>
          <x:t xml:space="preserve">玻璃玻纤</x:t>
        </x:is>
      </x:c>
      <x:c r="I3581" s="4" t="inlineStr">
        <x:is>
          <x:t xml:space="preserve">2011-08-30</x:t>
        </x:is>
      </x:c>
      <x:c r="J3581" s="5" t="inlineStr">
        <x:is>
          <x:t xml:space="preserve">河南省洛阳市高新区滨河路20号</x:t>
        </x:is>
      </x:c>
      <x:c r="K3581" s="12" t="str">
        <x:f>LEFT("91410300171125094X",18)</x:f>
        <x:v>91410300171125094X</x:v>
      </x:c>
    </x:row>
    <x:row r="3582">
      <x:c r="A3582" s="2" t="n">
        <x:v>3581</x:v>
      </x:c>
      <x:c r="B3582" s="2" t="inlineStr">
        <x:is>
          <x:t xml:space="preserve">002714</x:t>
        </x:is>
      </x:c>
      <x:c r="C3582" s="3" t="inlineStr">
        <x:is>
          <x:t xml:space="preserve">牧原股份</x:t>
        </x:is>
      </x:c>
      <x:c r="D3582" s="3" t="inlineStr">
        <x:is>
          <x:t xml:space="preserve">牧原食品股份有限公司</x:t>
        </x:is>
      </x:c>
      <x:c r="E3582" s="2" t="inlineStr">
        <x:is>
          <x:t xml:space="preserve">河南省</x:t>
        </x:is>
      </x:c>
      <x:c r="F3582" s="2" t="inlineStr">
        <x:is>
          <x:t xml:space="preserve">南阳市</x:t>
        </x:is>
      </x:c>
      <x:c r="G3582" s="3" t="inlineStr">
        <x:is>
          <x:t xml:space="preserve">河南省-南阳市</x:t>
        </x:is>
      </x:c>
      <x:c r="H3582" s="2" t="inlineStr">
        <x:is>
          <x:t xml:space="preserve">农牧饲渔</x:t>
        </x:is>
      </x:c>
      <x:c r="I3582" s="2" t="inlineStr">
        <x:is>
          <x:t xml:space="preserve">2014-01-28</x:t>
        </x:is>
      </x:c>
      <x:c r="J3582" s="3" t="inlineStr">
        <x:is>
          <x:t xml:space="preserve">南阳市内乡灌涨水田村</x:t>
        </x:is>
      </x:c>
      <x:c r="K3582" s="12" t="str">
        <x:f>LEFT("91410000706676846C",18)</x:f>
        <x:v>91410000706676846C</x:v>
      </x:c>
    </x:row>
    <x:row r="3583">
      <x:c r="A3583" s="4" t="n">
        <x:v>3582</x:v>
      </x:c>
      <x:c r="B3583" s="4" t="inlineStr">
        <x:is>
          <x:t xml:space="preserve">002857</x:t>
        </x:is>
      </x:c>
      <x:c r="C3583" s="5" t="inlineStr">
        <x:is>
          <x:t xml:space="preserve">三晖电气</x:t>
        </x:is>
      </x:c>
      <x:c r="D3583" s="5" t="inlineStr">
        <x:is>
          <x:t xml:space="preserve">郑州三晖电气股份有限公司</x:t>
        </x:is>
      </x:c>
      <x:c r="E3583" s="4" t="inlineStr">
        <x:is>
          <x:t xml:space="preserve">河南省</x:t>
        </x:is>
      </x:c>
      <x:c r="F3583" s="4" t="inlineStr">
        <x:is>
          <x:t xml:space="preserve">郑州市</x:t>
        </x:is>
      </x:c>
      <x:c r="G3583" s="5" t="inlineStr">
        <x:is>
          <x:t xml:space="preserve">河南省-郑州市</x:t>
        </x:is>
      </x:c>
      <x:c r="H3583" s="4" t="inlineStr">
        <x:is>
          <x:t xml:space="preserve">电网设备</x:t>
        </x:is>
      </x:c>
      <x:c r="I3583" s="4" t="inlineStr">
        <x:is>
          <x:t xml:space="preserve">2017-03-23</x:t>
        </x:is>
      </x:c>
      <x:c r="J3583" s="5" t="inlineStr">
        <x:is>
          <x:t xml:space="preserve">河南自贸试验区郑州片区(经开)崇光路102号</x:t>
        </x:is>
      </x:c>
      <x:c r="K3583" s="12" t="str">
        <x:f>LEFT("914101002680819647",18)</x:f>
        <x:v>914101002680819600</x:v>
      </x:c>
    </x:row>
    <x:row r="3584">
      <x:c r="A3584" s="2" t="n">
        <x:v>3583</x:v>
      </x:c>
      <x:c r="B3584" s="2" t="inlineStr">
        <x:is>
          <x:t xml:space="preserve">002936</x:t>
        </x:is>
      </x:c>
      <x:c r="C3584" s="3" t="inlineStr">
        <x:is>
          <x:t xml:space="preserve">郑州银行</x:t>
        </x:is>
      </x:c>
      <x:c r="D3584" s="3" t="inlineStr">
        <x:is>
          <x:t xml:space="preserve">郑州银行股份有限公司</x:t>
        </x:is>
      </x:c>
      <x:c r="E3584" s="2" t="inlineStr">
        <x:is>
          <x:t xml:space="preserve">河南省</x:t>
        </x:is>
      </x:c>
      <x:c r="F3584" s="2" t="inlineStr">
        <x:is>
          <x:t xml:space="preserve">郑州市</x:t>
        </x:is>
      </x:c>
      <x:c r="G3584" s="3" t="inlineStr">
        <x:is>
          <x:t xml:space="preserve">河南省-郑州市</x:t>
        </x:is>
      </x:c>
      <x:c r="H3584" s="2" t="inlineStr">
        <x:is>
          <x:t xml:space="preserve">银行</x:t>
        </x:is>
      </x:c>
      <x:c r="I3584" s="2" t="inlineStr">
        <x:is>
          <x:t xml:space="preserve">2018-09-19</x:t>
        </x:is>
      </x:c>
      <x:c r="J3584" s="3" t="inlineStr">
        <x:is>
          <x:t xml:space="preserve">河南省郑州郑东新区商务外环22号</x:t>
        </x:is>
      </x:c>
      <x:c r="K3584" s="12" t="str">
        <x:f>LEFT("914100001699995779",18)</x:f>
        <x:v>914100001699995800</x:v>
      </x:c>
    </x:row>
    <x:row r="3585">
      <x:c r="A3585" s="4" t="n">
        <x:v>3584</x:v>
      </x:c>
      <x:c r="B3585" s="4" t="inlineStr">
        <x:is>
          <x:t xml:space="preserve">003008</x:t>
        </x:is>
      </x:c>
      <x:c r="C3585" s="5" t="inlineStr">
        <x:is>
          <x:t xml:space="preserve">开普检测</x:t>
        </x:is>
      </x:c>
      <x:c r="D3585" s="5" t="inlineStr">
        <x:is>
          <x:t xml:space="preserve">许昌开普检测研究院股份有限公司</x:t>
        </x:is>
      </x:c>
      <x:c r="E3585" s="4" t="inlineStr">
        <x:is>
          <x:t xml:space="preserve">河南省</x:t>
        </x:is>
      </x:c>
      <x:c r="F3585" s="4" t="inlineStr">
        <x:is>
          <x:t xml:space="preserve">许昌市</x:t>
        </x:is>
      </x:c>
      <x:c r="G3585" s="5" t="inlineStr">
        <x:is>
          <x:t xml:space="preserve">河南省-许昌市</x:t>
        </x:is>
      </x:c>
      <x:c r="H3585" s="4" t="inlineStr">
        <x:is>
          <x:t xml:space="preserve">专业服务</x:t>
        </x:is>
      </x:c>
      <x:c r="I3585" s="4" t="inlineStr">
        <x:is>
          <x:t xml:space="preserve">2020-09-23</x:t>
        </x:is>
      </x:c>
      <x:c r="J3585" s="5" t="inlineStr">
        <x:is>
          <x:t xml:space="preserve">许昌市尚德路17号</x:t>
        </x:is>
      </x:c>
      <x:c r="K3585" s="12" t="str">
        <x:f>LEFT("91411000772168241N",18)</x:f>
        <x:v>91411000772168241N</x:v>
      </x:c>
    </x:row>
    <x:row r="3586">
      <x:c r="A3586" s="2" t="n">
        <x:v>3585</x:v>
      </x:c>
      <x:c r="B3586" s="2" t="inlineStr">
        <x:is>
          <x:t xml:space="preserve">300007</x:t>
        </x:is>
      </x:c>
      <x:c r="C3586" s="3" t="inlineStr">
        <x:is>
          <x:t xml:space="preserve">汉威科技</x:t>
        </x:is>
      </x:c>
      <x:c r="D3586" s="3" t="inlineStr">
        <x:is>
          <x:t xml:space="preserve">汉威科技集团股份有限公司</x:t>
        </x:is>
      </x:c>
      <x:c r="E3586" s="2" t="inlineStr">
        <x:is>
          <x:t xml:space="preserve">河南省</x:t>
        </x:is>
      </x:c>
      <x:c r="F3586" s="2" t="inlineStr">
        <x:is>
          <x:t xml:space="preserve">郑州市</x:t>
        </x:is>
      </x:c>
      <x:c r="G3586" s="3" t="inlineStr">
        <x:is>
          <x:t xml:space="preserve">河南省-郑州市</x:t>
        </x:is>
      </x:c>
      <x:c r="H3586" s="2" t="inlineStr">
        <x:is>
          <x:t xml:space="preserve">仪器仪表</x:t>
        </x:is>
      </x:c>
      <x:c r="I3586" s="2" t="inlineStr">
        <x:is>
          <x:t xml:space="preserve">2009-10-30</x:t>
        </x:is>
      </x:c>
      <x:c r="J3586" s="3" t="inlineStr">
        <x:is>
          <x:t xml:space="preserve">郑州国家高新技术产业开发区雪松路169号</x:t>
        </x:is>
      </x:c>
      <x:c r="K3586" s="12" t="str">
        <x:f>LEFT("914101007067858314",18)</x:f>
        <x:v>914101007067858300</x:v>
      </x:c>
    </x:row>
    <x:row r="3587">
      <x:c r="A3587" s="4" t="n">
        <x:v>3586</x:v>
      </x:c>
      <x:c r="B3587" s="4" t="inlineStr">
        <x:is>
          <x:t xml:space="preserve">300013</x:t>
        </x:is>
      </x:c>
      <x:c r="C3587" s="5" t="inlineStr">
        <x:is>
          <x:t xml:space="preserve">*ST新宁</x:t>
        </x:is>
      </x:c>
      <x:c r="D3587" s="5" t="inlineStr">
        <x:is>
          <x:t xml:space="preserve">河南新宁现代物流股份有限公司</x:t>
        </x:is>
      </x:c>
      <x:c r="E3587" s="4" t="inlineStr">
        <x:is>
          <x:t xml:space="preserve">河南省</x:t>
        </x:is>
      </x:c>
      <x:c r="F3587" s="4" t="inlineStr">
        <x:is>
          <x:t xml:space="preserve">郑州市</x:t>
        </x:is>
      </x:c>
      <x:c r="G3587" s="5" t="inlineStr">
        <x:is>
          <x:t xml:space="preserve">河南省-郑州市</x:t>
        </x:is>
      </x:c>
      <x:c r="H3587" s="4" t="inlineStr">
        <x:is>
          <x:t xml:space="preserve">交运物流</x:t>
        </x:is>
      </x:c>
      <x:c r="I3587" s="4" t="inlineStr">
        <x:is>
          <x:t xml:space="preserve">2009-10-30</x:t>
        </x:is>
      </x:c>
      <x:c r="J3587" s="5" t="inlineStr">
        <x:is>
          <x:t xml:space="preserve">河南自贸试验区郑州片区(经开)第八大街160号附60号728室</x:t>
        </x:is>
      </x:c>
      <x:c r="K3587" s="12" t="str">
        <x:f>LEFT("91320500628384839J",18)</x:f>
        <x:v>91320500628384839J</x:v>
      </x:c>
    </x:row>
    <x:row r="3588">
      <x:c r="A3588" s="2" t="n">
        <x:v>3587</x:v>
      </x:c>
      <x:c r="B3588" s="2" t="inlineStr">
        <x:is>
          <x:t xml:space="preserve">300080</x:t>
        </x:is>
      </x:c>
      <x:c r="C3588" s="3" t="inlineStr">
        <x:is>
          <x:t xml:space="preserve">易成新能</x:t>
        </x:is>
      </x:c>
      <x:c r="D3588" s="3" t="inlineStr">
        <x:is>
          <x:t xml:space="preserve">河南易成新能源股份有限公司</x:t>
        </x:is>
      </x:c>
      <x:c r="E3588" s="2" t="inlineStr">
        <x:is>
          <x:t xml:space="preserve">河南省</x:t>
        </x:is>
      </x:c>
      <x:c r="F3588" s="2" t="inlineStr">
        <x:is>
          <x:t xml:space="preserve">开封市</x:t>
        </x:is>
      </x:c>
      <x:c r="G3588" s="3" t="inlineStr">
        <x:is>
          <x:t xml:space="preserve">河南省-开封市</x:t>
        </x:is>
      </x:c>
      <x:c r="H3588" s="2" t="inlineStr">
        <x:is>
          <x:t xml:space="preserve">通用设备</x:t>
        </x:is>
      </x:c>
      <x:c r="I3588" s="2" t="inlineStr">
        <x:is>
          <x:t xml:space="preserve">2010-06-25</x:t>
        </x:is>
      </x:c>
      <x:c r="J3588" s="3" t="inlineStr">
        <x:is>
          <x:t xml:space="preserve">开封市精细化工产业园区</x:t>
        </x:is>
      </x:c>
      <x:c r="K3588" s="12" t="str">
        <x:f>LEFT("914102002681294387",18)</x:f>
        <x:v>914102002681294300</x:v>
      </x:c>
    </x:row>
    <x:row r="3589">
      <x:c r="A3589" s="4" t="n">
        <x:v>3588</x:v>
      </x:c>
      <x:c r="B3589" s="4" t="inlineStr">
        <x:is>
          <x:t xml:space="preserve">300109</x:t>
        </x:is>
      </x:c>
      <x:c r="C3589" s="5" t="inlineStr">
        <x:is>
          <x:t xml:space="preserve">新开源</x:t>
        </x:is>
      </x:c>
      <x:c r="D3589" s="5" t="inlineStr">
        <x:is>
          <x:t xml:space="preserve">博爱新开源医疗科技集团股份有限公司</x:t>
        </x:is>
      </x:c>
      <x:c r="E3589" s="4" t="inlineStr">
        <x:is>
          <x:t xml:space="preserve">河南省</x:t>
        </x:is>
      </x:c>
      <x:c r="F3589" s="4" t="inlineStr">
        <x:is>
          <x:t xml:space="preserve">焦作市</x:t>
        </x:is>
      </x:c>
      <x:c r="G3589" s="5" t="inlineStr">
        <x:is>
          <x:t xml:space="preserve">河南省-焦作市</x:t>
        </x:is>
      </x:c>
      <x:c r="H3589" s="4" t="inlineStr">
        <x:is>
          <x:t xml:space="preserve">化工行业</x:t>
        </x:is>
      </x:c>
      <x:c r="I3589" s="4" t="inlineStr">
        <x:is>
          <x:t xml:space="preserve">2010-08-25</x:t>
        </x:is>
      </x:c>
      <x:c r="J3589" s="5" t="inlineStr">
        <x:is>
          <x:t xml:space="preserve">中国河南省焦作市博爱县文化路(东段)1888号</x:t>
        </x:is>
      </x:c>
      <x:c r="K3589" s="12" t="str">
        <x:f>LEFT("9141080074921334XW",18)</x:f>
        <x:v>9141080074921334XW</x:v>
      </x:c>
    </x:row>
    <x:row r="3590">
      <x:c r="A3590" s="2" t="n">
        <x:v>3589</x:v>
      </x:c>
      <x:c r="B3590" s="2" t="inlineStr">
        <x:is>
          <x:t xml:space="preserve">300179</x:t>
        </x:is>
      </x:c>
      <x:c r="C3590" s="3" t="inlineStr">
        <x:is>
          <x:t xml:space="preserve">四方达</x:t>
        </x:is>
      </x:c>
      <x:c r="D3590" s="3" t="inlineStr">
        <x:is>
          <x:t xml:space="preserve">河南四方达超硬材料股份有限公司</x:t>
        </x:is>
      </x:c>
      <x:c r="E3590" s="2" t="inlineStr">
        <x:is>
          <x:t xml:space="preserve">河南省</x:t>
        </x:is>
      </x:c>
      <x:c r="F3590" s="2" t="inlineStr">
        <x:is>
          <x:t xml:space="preserve">郑州市</x:t>
        </x:is>
      </x:c>
      <x:c r="G3590" s="3" t="inlineStr">
        <x:is>
          <x:t xml:space="preserve">河南省-郑州市</x:t>
        </x:is>
      </x:c>
      <x:c r="H3590" s="2" t="inlineStr">
        <x:is>
          <x:t xml:space="preserve">通用设备</x:t>
        </x:is>
      </x:c>
      <x:c r="I3590" s="2" t="inlineStr">
        <x:is>
          <x:t xml:space="preserve">2011-02-15</x:t>
        </x:is>
      </x:c>
      <x:c r="J3590" s="3" t="inlineStr">
        <x:is>
          <x:t xml:space="preserve">河南自贸试验区郑州片区(经开)第十大街109号</x:t>
        </x:is>
      </x:c>
      <x:c r="K3590" s="12" t="str">
        <x:f>LEFT("91410100271733521K",18)</x:f>
        <x:v>91410100271733521K</x:v>
      </x:c>
    </x:row>
    <x:row r="3591">
      <x:c r="A3591" s="4" t="n">
        <x:v>3590</x:v>
      </x:c>
      <x:c r="B3591" s="4" t="inlineStr">
        <x:is>
          <x:t xml:space="preserve">300248</x:t>
        </x:is>
      </x:c>
      <x:c r="C3591" s="5" t="inlineStr">
        <x:is>
          <x:t xml:space="preserve">新开普</x:t>
        </x:is>
      </x:c>
      <x:c r="D3591" s="5" t="inlineStr">
        <x:is>
          <x:t xml:space="preserve">新开普电子股份有限公司</x:t>
        </x:is>
      </x:c>
      <x:c r="E3591" s="4" t="inlineStr">
        <x:is>
          <x:t xml:space="preserve">河南省</x:t>
        </x:is>
      </x:c>
      <x:c r="F3591" s="4" t="inlineStr">
        <x:is>
          <x:t xml:space="preserve">郑州市</x:t>
        </x:is>
      </x:c>
      <x:c r="G3591" s="5" t="inlineStr">
        <x:is>
          <x:t xml:space="preserve">河南省-郑州市</x:t>
        </x:is>
      </x:c>
      <x:c r="H3591" s="4" t="inlineStr">
        <x:is>
          <x:t xml:space="preserve">互联网服务</x:t>
        </x:is>
      </x:c>
      <x:c r="I3591" s="4" t="inlineStr">
        <x:is>
          <x:t xml:space="preserve">2011-07-29</x:t>
        </x:is>
      </x:c>
      <x:c r="J3591" s="5" t="inlineStr">
        <x:is>
          <x:t xml:space="preserve">郑州高新技术产业开发区迎春街18号</x:t>
        </x:is>
      </x:c>
      <x:c r="K3591" s="12" t="str">
        <x:f>LEFT("91410100721832659Y",18)</x:f>
        <x:v>91410100721832659Y</x:v>
      </x:c>
    </x:row>
    <x:row r="3592">
      <x:c r="A3592" s="2" t="n">
        <x:v>3591</x:v>
      </x:c>
      <x:c r="B3592" s="2" t="inlineStr">
        <x:is>
          <x:t xml:space="preserve">300259</x:t>
        </x:is>
      </x:c>
      <x:c r="C3592" s="3" t="inlineStr">
        <x:is>
          <x:t xml:space="preserve">新天科技</x:t>
        </x:is>
      </x:c>
      <x:c r="D3592" s="3" t="inlineStr">
        <x:is>
          <x:t xml:space="preserve">新天科技股份有限公司</x:t>
        </x:is>
      </x:c>
      <x:c r="E3592" s="2" t="inlineStr">
        <x:is>
          <x:t xml:space="preserve">河南省</x:t>
        </x:is>
      </x:c>
      <x:c r="F3592" s="2" t="inlineStr">
        <x:is>
          <x:t xml:space="preserve">郑州市</x:t>
        </x:is>
      </x:c>
      <x:c r="G3592" s="3" t="inlineStr">
        <x:is>
          <x:t xml:space="preserve">河南省-郑州市</x:t>
        </x:is>
      </x:c>
      <x:c r="H3592" s="2" t="inlineStr">
        <x:is>
          <x:t xml:space="preserve">仪器仪表</x:t>
        </x:is>
      </x:c>
      <x:c r="I3592" s="2" t="inlineStr">
        <x:is>
          <x:t xml:space="preserve">2011-08-31</x:t>
        </x:is>
      </x:c>
      <x:c r="J3592" s="3" t="inlineStr">
        <x:is>
          <x:t xml:space="preserve">郑州高新技术产业开发区红松路252号</x:t>
        </x:is>
      </x:c>
      <x:c r="K3592" s="12" t="str">
        <x:f>LEFT("914101007241256186",18)</x:f>
        <x:v>914101007241256200</x:v>
      </x:c>
    </x:row>
    <x:row r="3593">
      <x:c r="A3593" s="4" t="n">
        <x:v>3592</x:v>
      </x:c>
      <x:c r="B3593" s="4" t="inlineStr">
        <x:is>
          <x:t xml:space="preserve">300263</x:t>
        </x:is>
      </x:c>
      <x:c r="C3593" s="5" t="inlineStr">
        <x:is>
          <x:t xml:space="preserve">隆华科技</x:t>
        </x:is>
      </x:c>
      <x:c r="D3593" s="5" t="inlineStr">
        <x:is>
          <x:t xml:space="preserve">隆华科技集团(洛阳)股份有限公司</x:t>
        </x:is>
      </x:c>
      <x:c r="E3593" s="4" t="inlineStr">
        <x:is>
          <x:t xml:space="preserve">河南省</x:t>
        </x:is>
      </x:c>
      <x:c r="F3593" s="4" t="inlineStr">
        <x:is>
          <x:t xml:space="preserve">洛阳市</x:t>
        </x:is>
      </x:c>
      <x:c r="G3593" s="5" t="inlineStr">
        <x:is>
          <x:t xml:space="preserve">河南省-洛阳市</x:t>
        </x:is>
      </x:c>
      <x:c r="H3593" s="4" t="inlineStr">
        <x:is>
          <x:t xml:space="preserve">通用设备</x:t>
        </x:is>
      </x:c>
      <x:c r="I3593" s="4" t="inlineStr">
        <x:is>
          <x:t xml:space="preserve">2011-09-16</x:t>
        </x:is>
      </x:c>
      <x:c r="J3593" s="5" t="inlineStr">
        <x:is>
          <x:t xml:space="preserve">洛阳空港产业集聚区</x:t>
        </x:is>
      </x:c>
      <x:c r="K3593" s="12" t="str">
        <x:f>LEFT("91410300171444298M",18)</x:f>
        <x:v>91410300171444298M</x:v>
      </x:c>
    </x:row>
    <x:row r="3594">
      <x:c r="A3594" s="2" t="n">
        <x:v>3593</x:v>
      </x:c>
      <x:c r="B3594" s="2" t="inlineStr">
        <x:is>
          <x:t xml:space="preserve">300437</x:t>
        </x:is>
      </x:c>
      <x:c r="C3594" s="3" t="inlineStr">
        <x:is>
          <x:t xml:space="preserve">清水源</x:t>
        </x:is>
      </x:c>
      <x:c r="D3594" s="3" t="inlineStr">
        <x:is>
          <x:t xml:space="preserve">河南清水源科技股份有限公司</x:t>
        </x:is>
      </x:c>
      <x:c r="E3594" s="2" t="inlineStr">
        <x:is>
          <x:t xml:space="preserve">河南省</x:t>
        </x:is>
      </x:c>
      <x:c r="F3594" s="2" t="inlineStr">
        <x:is>
          <x:t xml:space="preserve">南省济源市</x:t>
        </x:is>
      </x:c>
      <x:c r="G3594" s="3" t="inlineStr">
        <x:is>
          <x:t xml:space="preserve">河南省-南省济源市</x:t>
        </x:is>
      </x:c>
      <x:c r="H3594" s="2" t="inlineStr">
        <x:is>
          <x:t xml:space="preserve">化工行业</x:t>
        </x:is>
      </x:c>
      <x:c r="I3594" s="2" t="inlineStr">
        <x:is>
          <x:t xml:space="preserve">2015-04-23</x:t>
        </x:is>
      </x:c>
      <x:c r="J3594" s="3" t="inlineStr">
        <x:is>
          <x:t xml:space="preserve">河南省济源市虎岭高新区科工路与文博路交叉口西100米</x:t>
        </x:is>
      </x:c>
      <x:c r="K3594" s="12" t="str">
        <x:f>LEFT("914100001774787121",18)</x:f>
        <x:v>914100001774787100</x:v>
      </x:c>
    </x:row>
    <x:row r="3595">
      <x:c r="A3595" s="4" t="n">
        <x:v>3594</x:v>
      </x:c>
      <x:c r="B3595" s="4" t="inlineStr">
        <x:is>
          <x:t xml:space="preserve">300480</x:t>
        </x:is>
      </x:c>
      <x:c r="C3595" s="5" t="inlineStr">
        <x:is>
          <x:t xml:space="preserve">光力科技</x:t>
        </x:is>
      </x:c>
      <x:c r="D3595" s="5" t="inlineStr">
        <x:is>
          <x:t xml:space="preserve">光力科技股份有限公司</x:t>
        </x:is>
      </x:c>
      <x:c r="E3595" s="4" t="inlineStr">
        <x:is>
          <x:t xml:space="preserve">河南省</x:t>
        </x:is>
      </x:c>
      <x:c r="F3595" s="4" t="inlineStr">
        <x:is>
          <x:t xml:space="preserve">郑州市</x:t>
        </x:is>
      </x:c>
      <x:c r="G3595" s="5" t="inlineStr">
        <x:is>
          <x:t xml:space="preserve">河南省-郑州市</x:t>
        </x:is>
      </x:c>
      <x:c r="H3595" s="4" t="inlineStr">
        <x:is>
          <x:t xml:space="preserve">专用设备</x:t>
        </x:is>
      </x:c>
      <x:c r="I3595" s="4" t="inlineStr">
        <x:is>
          <x:t xml:space="preserve">2015-07-02</x:t>
        </x:is>
      </x:c>
      <x:c r="J3595" s="5" t="inlineStr">
        <x:is>
          <x:t xml:space="preserve">郑州高新开发区长椿路10号</x:t>
        </x:is>
      </x:c>
      <x:c r="K3595" s="12" t="str">
        <x:f>LEFT("91410100170167831Q",18)</x:f>
        <x:v>91410100170167831Q</x:v>
      </x:c>
    </x:row>
    <x:row r="3596">
      <x:c r="A3596" s="2" t="n">
        <x:v>3595</x:v>
      </x:c>
      <x:c r="B3596" s="2" t="inlineStr">
        <x:is>
          <x:t xml:space="preserve">300481</x:t>
        </x:is>
      </x:c>
      <x:c r="C3596" s="3" t="inlineStr">
        <x:is>
          <x:t xml:space="preserve">濮阳惠成</x:t>
        </x:is>
      </x:c>
      <x:c r="D3596" s="3" t="inlineStr">
        <x:is>
          <x:t xml:space="preserve">濮阳惠成电子材料股份有限公司</x:t>
        </x:is>
      </x:c>
      <x:c r="E3596" s="2" t="inlineStr">
        <x:is>
          <x:t xml:space="preserve">河南省</x:t>
        </x:is>
      </x:c>
      <x:c r="F3596" s="2" t="inlineStr">
        <x:is>
          <x:t xml:space="preserve">濮阳市</x:t>
        </x:is>
      </x:c>
      <x:c r="G3596" s="3" t="inlineStr">
        <x:is>
          <x:t xml:space="preserve">河南省-濮阳市</x:t>
        </x:is>
      </x:c>
      <x:c r="H3596" s="2" t="inlineStr">
        <x:is>
          <x:t xml:space="preserve">电子化学品</x:t>
        </x:is>
      </x:c>
      <x:c r="I3596" s="2" t="inlineStr">
        <x:is>
          <x:t xml:space="preserve">2015-06-30</x:t>
        </x:is>
      </x:c>
      <x:c r="J3596" s="3" t="inlineStr">
        <x:is>
          <x:t xml:space="preserve">河南省濮阳市胜利路西段</x:t>
        </x:is>
      </x:c>
      <x:c r="K3596" s="12" t="str">
        <x:f>LEFT("91410900744099904P",18)</x:f>
        <x:v>91410900744099904P</x:v>
      </x:c>
    </x:row>
    <x:row r="3597">
      <x:c r="A3597" s="4" t="n">
        <x:v>3596</x:v>
      </x:c>
      <x:c r="B3597" s="4" t="inlineStr">
        <x:is>
          <x:t xml:space="preserve">300614</x:t>
        </x:is>
      </x:c>
      <x:c r="C3597" s="5" t="inlineStr">
        <x:is>
          <x:t xml:space="preserve">百川畅银</x:t>
        </x:is>
      </x:c>
      <x:c r="D3597" s="5" t="inlineStr">
        <x:is>
          <x:t xml:space="preserve">河南百川畅银环保能源股份有限公司</x:t>
        </x:is>
      </x:c>
      <x:c r="E3597" s="4" t="inlineStr">
        <x:is>
          <x:t xml:space="preserve">河南省</x:t>
        </x:is>
      </x:c>
      <x:c r="F3597" s="4" t="inlineStr">
        <x:is>
          <x:t xml:space="preserve">郑州市</x:t>
        </x:is>
      </x:c>
      <x:c r="G3597" s="5" t="inlineStr">
        <x:is>
          <x:t xml:space="preserve">河南省-郑州市</x:t>
        </x:is>
      </x:c>
      <x:c r="H3597" s="4" t="inlineStr">
        <x:is>
          <x:t xml:space="preserve">环保工程</x:t>
        </x:is>
      </x:c>
      <x:c r="I3597" s="4" t="inlineStr">
        <x:is>
          <x:t xml:space="preserve">2021-05-25</x:t>
        </x:is>
      </x:c>
      <x:c r="J3597" s="5" t="inlineStr">
        <x:is>
          <x:t xml:space="preserve">河南省郑州市高新技术产业开发区冬青街26号4号楼1单元3层22号</x:t>
        </x:is>
      </x:c>
      <x:c r="K3597" s="12" t="str">
        <x:f>LEFT("91410100687129467D",18)</x:f>
        <x:v>91410100687129467D</x:v>
      </x:c>
    </x:row>
    <x:row r="3598">
      <x:c r="A3598" s="2" t="n">
        <x:v>3597</x:v>
      </x:c>
      <x:c r="B3598" s="2" t="inlineStr">
        <x:is>
          <x:t xml:space="preserve">300701</x:t>
        </x:is>
      </x:c>
      <x:c r="C3598" s="3" t="inlineStr">
        <x:is>
          <x:t xml:space="preserve">森霸传感</x:t>
        </x:is>
      </x:c>
      <x:c r="D3598" s="3" t="inlineStr">
        <x:is>
          <x:t xml:space="preserve">森霸传感科技股份有限公司</x:t>
        </x:is>
      </x:c>
      <x:c r="E3598" s="2" t="inlineStr">
        <x:is>
          <x:t xml:space="preserve">河南省</x:t>
        </x:is>
      </x:c>
      <x:c r="F3598" s="2" t="inlineStr">
        <x:is>
          <x:t xml:space="preserve">南阳市</x:t>
        </x:is>
      </x:c>
      <x:c r="G3598" s="3" t="inlineStr">
        <x:is>
          <x:t xml:space="preserve">河南省-南阳市</x:t>
        </x:is>
      </x:c>
      <x:c r="H3598" s="2" t="inlineStr">
        <x:is>
          <x:t xml:space="preserve">光学光电子</x:t>
        </x:is>
      </x:c>
      <x:c r="I3598" s="2" t="inlineStr">
        <x:is>
          <x:t xml:space="preserve">2017-09-15</x:t>
        </x:is>
      </x:c>
      <x:c r="J3598" s="3" t="inlineStr">
        <x:is>
          <x:t xml:space="preserve">河南省南阳市社旗县城关镇</x:t>
        </x:is>
      </x:c>
      <x:c r="K3598" s="12" t="str">
        <x:f>LEFT("91410000776548858N",18)</x:f>
        <x:v>91410000776548858N</x:v>
      </x:c>
    </x:row>
    <x:row r="3599">
      <x:c r="A3599" s="4" t="n">
        <x:v>3598</x:v>
      </x:c>
      <x:c r="B3599" s="4" t="inlineStr">
        <x:is>
          <x:t xml:space="preserve">300732</x:t>
        </x:is>
      </x:c>
      <x:c r="C3599" s="5" t="inlineStr">
        <x:is>
          <x:t xml:space="preserve">设研院</x:t>
        </x:is>
      </x:c>
      <x:c r="D3599" s="5" t="inlineStr">
        <x:is>
          <x:t xml:space="preserve">河南省中工设计研究院集团股份有限公司</x:t>
        </x:is>
      </x:c>
      <x:c r="E3599" s="4" t="inlineStr">
        <x:is>
          <x:t xml:space="preserve">河南省</x:t>
        </x:is>
      </x:c>
      <x:c r="F3599" s="4" t="inlineStr">
        <x:is>
          <x:t xml:space="preserve">郑州市</x:t>
        </x:is>
      </x:c>
      <x:c r="G3599" s="5" t="inlineStr">
        <x:is>
          <x:t xml:space="preserve">河南省-郑州市</x:t>
        </x:is>
      </x:c>
      <x:c r="H3599" s="4" t="inlineStr">
        <x:is>
          <x:t xml:space="preserve">工程咨询服务</x:t>
        </x:is>
      </x:c>
      <x:c r="I3599" s="4" t="inlineStr">
        <x:is>
          <x:t xml:space="preserve">2017-12-12</x:t>
        </x:is>
      </x:c>
      <x:c r="J3599" s="5" t="inlineStr">
        <x:is>
          <x:t xml:space="preserve">河南省郑州市郑东新区泽雨街9号</x:t>
        </x:is>
      </x:c>
      <x:c r="K3599" s="12" t="str">
        <x:f>LEFT("91410100706774868X",18)</x:f>
        <x:v>91410100706774868X</x:v>
      </x:c>
    </x:row>
    <x:row r="3600">
      <x:c r="A3600" s="2" t="n">
        <x:v>3599</x:v>
      </x:c>
      <x:c r="B3600" s="2" t="inlineStr">
        <x:is>
          <x:t xml:space="preserve">300807</x:t>
        </x:is>
      </x:c>
      <x:c r="C3600" s="3" t="inlineStr">
        <x:is>
          <x:t xml:space="preserve">天迈科技</x:t>
        </x:is>
      </x:c>
      <x:c r="D3600" s="3" t="inlineStr">
        <x:is>
          <x:t xml:space="preserve">郑州天迈科技股份有限公司</x:t>
        </x:is>
      </x:c>
      <x:c r="E3600" s="2" t="inlineStr">
        <x:is>
          <x:t xml:space="preserve">河南省</x:t>
        </x:is>
      </x:c>
      <x:c r="F3600" s="2" t="inlineStr">
        <x:is>
          <x:t xml:space="preserve">郑州市</x:t>
        </x:is>
      </x:c>
      <x:c r="G3600" s="3" t="inlineStr">
        <x:is>
          <x:t xml:space="preserve">河南省-郑州市</x:t>
        </x:is>
      </x:c>
      <x:c r="H3600" s="2" t="inlineStr">
        <x:is>
          <x:t xml:space="preserve">计算机设备</x:t>
        </x:is>
      </x:c>
      <x:c r="I3600" s="2" t="inlineStr">
        <x:is>
          <x:t xml:space="preserve">2019-12-19</x:t>
        </x:is>
      </x:c>
      <x:c r="J3600" s="3" t="inlineStr">
        <x:is>
          <x:t xml:space="preserve">郑州市高新区莲花街316号10号楼106-606号房、108-608号房</x:t>
        </x:is>
      </x:c>
      <x:c r="K3600" s="12" t="str">
        <x:f>LEFT("91410100760248041Q",18)</x:f>
        <x:v>91410100760248041Q</x:v>
      </x:c>
    </x:row>
    <x:row r="3601">
      <x:c r="A3601" s="4" t="n">
        <x:v>3600</x:v>
      </x:c>
      <x:c r="B3601" s="4" t="inlineStr">
        <x:is>
          <x:t xml:space="preserve">300829</x:t>
        </x:is>
      </x:c>
      <x:c r="C3601" s="5" t="inlineStr">
        <x:is>
          <x:t xml:space="preserve">金丹科技</x:t>
        </x:is>
      </x:c>
      <x:c r="D3601" s="5" t="inlineStr">
        <x:is>
          <x:t xml:space="preserve">河南金丹乳酸科技股份有限公司</x:t>
        </x:is>
      </x:c>
      <x:c r="E3601" s="4" t="inlineStr">
        <x:is>
          <x:t xml:space="preserve">河南省</x:t>
        </x:is>
      </x:c>
      <x:c r="F3601" s="4" t="inlineStr">
        <x:is>
          <x:t xml:space="preserve">周口市</x:t>
        </x:is>
      </x:c>
      <x:c r="G3601" s="5" t="inlineStr">
        <x:is>
          <x:t xml:space="preserve">河南省-周口市</x:t>
        </x:is>
      </x:c>
      <x:c r="H3601" s="4" t="inlineStr">
        <x:is>
          <x:t xml:space="preserve">食品饮料</x:t>
        </x:is>
      </x:c>
      <x:c r="I3601" s="4" t="inlineStr">
        <x:is>
          <x:t xml:space="preserve">2020-04-22</x:t>
        </x:is>
      </x:c>
      <x:c r="J3601" s="5" t="inlineStr">
        <x:is>
          <x:t xml:space="preserve">河南省周口市郸城县金丹大道08号</x:t>
        </x:is>
      </x:c>
      <x:c r="K3601" s="12" t="str">
        <x:f>LEFT("91411600791930000L",18)</x:f>
        <x:v>91411600791930000L</x:v>
      </x:c>
    </x:row>
    <x:row r="3602">
      <x:c r="A3602" s="2" t="n">
        <x:v>3601</x:v>
      </x:c>
      <x:c r="B3602" s="2" t="inlineStr">
        <x:is>
          <x:t xml:space="preserve">300845</x:t>
        </x:is>
      </x:c>
      <x:c r="C3602" s="3" t="inlineStr">
        <x:is>
          <x:t xml:space="preserve">捷安高科</x:t>
        </x:is>
      </x:c>
      <x:c r="D3602" s="3" t="inlineStr">
        <x:is>
          <x:t xml:space="preserve">郑州捷安高科股份有限公司</x:t>
        </x:is>
      </x:c>
      <x:c r="E3602" s="2" t="inlineStr">
        <x:is>
          <x:t xml:space="preserve">河南省</x:t>
        </x:is>
      </x:c>
      <x:c r="F3602" s="2" t="inlineStr">
        <x:is>
          <x:t xml:space="preserve">郑州市</x:t>
        </x:is>
      </x:c>
      <x:c r="G3602" s="3" t="inlineStr">
        <x:is>
          <x:t xml:space="preserve">河南省-郑州市</x:t>
        </x:is>
      </x:c>
      <x:c r="H3602" s="2" t="inlineStr">
        <x:is>
          <x:t xml:space="preserve">软件服务</x:t>
        </x:is>
      </x:c>
      <x:c r="I3602" s="2" t="inlineStr">
        <x:is>
          <x:t xml:space="preserve">2020-07-03</x:t>
        </x:is>
      </x:c>
      <x:c r="J3602" s="3" t="inlineStr">
        <x:is>
          <x:t xml:space="preserve">河南省郑州市高新技术产业开发区科学大道133号11层</x:t>
        </x:is>
      </x:c>
      <x:c r="K3602" s="12" t="str">
        <x:f>LEFT("91410100739082104K",18)</x:f>
        <x:v>91410100739082104K</x:v>
      </x:c>
    </x:row>
    <x:row r="3603">
      <x:c r="A3603" s="4" t="n">
        <x:v>3602</x:v>
      </x:c>
      <x:c r="B3603" s="4" t="inlineStr">
        <x:is>
          <x:t xml:space="preserve">300850</x:t>
        </x:is>
      </x:c>
      <x:c r="C3603" s="5" t="inlineStr">
        <x:is>
          <x:t xml:space="preserve">新强联</x:t>
        </x:is>
      </x:c>
      <x:c r="D3603" s="5" t="inlineStr">
        <x:is>
          <x:t xml:space="preserve">洛阳新强联回转支承股份有限公司</x:t>
        </x:is>
      </x:c>
      <x:c r="E3603" s="4" t="inlineStr">
        <x:is>
          <x:t xml:space="preserve">河南省</x:t>
        </x:is>
      </x:c>
      <x:c r="F3603" s="4" t="inlineStr">
        <x:is>
          <x:t xml:space="preserve">洛阳市</x:t>
        </x:is>
      </x:c>
      <x:c r="G3603" s="5" t="inlineStr">
        <x:is>
          <x:t xml:space="preserve">河南省-洛阳市</x:t>
        </x:is>
      </x:c>
      <x:c r="H3603" s="4" t="inlineStr">
        <x:is>
          <x:t xml:space="preserve">风电设备</x:t>
        </x:is>
      </x:c>
      <x:c r="I3603" s="4" t="inlineStr">
        <x:is>
          <x:t xml:space="preserve">2020-07-13</x:t>
        </x:is>
      </x:c>
      <x:c r="J3603" s="5" t="inlineStr">
        <x:is>
          <x:t xml:space="preserve">河南省洛阳市新安县经济技术开发区洛新园区樱云路8号</x:t>
        </x:is>
      </x:c>
      <x:c r="K3603" s="12" t="str">
        <x:f>LEFT("9141030077798968XM",18)</x:f>
        <x:v>9141030077798968XM</x:v>
      </x:c>
    </x:row>
    <x:row r="3604">
      <x:c r="A3604" s="2" t="n">
        <x:v>3603</x:v>
      </x:c>
      <x:c r="B3604" s="2" t="inlineStr">
        <x:is>
          <x:t xml:space="preserve">300908</x:t>
        </x:is>
      </x:c>
      <x:c r="C3604" s="3" t="inlineStr">
        <x:is>
          <x:t xml:space="preserve">仲景食品</x:t>
        </x:is>
      </x:c>
      <x:c r="D3604" s="3" t="inlineStr">
        <x:is>
          <x:t xml:space="preserve">仲景食品股份有限公司</x:t>
        </x:is>
      </x:c>
      <x:c r="E3604" s="2" t="inlineStr">
        <x:is>
          <x:t xml:space="preserve">河南省</x:t>
        </x:is>
      </x:c>
      <x:c r="F3604" s="2" t="inlineStr">
        <x:is>
          <x:t xml:space="preserve">南阳市</x:t>
        </x:is>
      </x:c>
      <x:c r="G3604" s="3" t="inlineStr">
        <x:is>
          <x:t xml:space="preserve">河南省-南阳市</x:t>
        </x:is>
      </x:c>
      <x:c r="H3604" s="2" t="inlineStr">
        <x:is>
          <x:t xml:space="preserve">食品饮料</x:t>
        </x:is>
      </x:c>
      <x:c r="I3604" s="2" t="inlineStr">
        <x:is>
          <x:t xml:space="preserve">2020-11-23</x:t>
        </x:is>
      </x:c>
      <x:c r="J3604" s="3" t="inlineStr">
        <x:is>
          <x:t xml:space="preserve">西峡县工业大道北段211号</x:t>
        </x:is>
      </x:c>
      <x:c r="K3604" s="12" t="str">
        <x:f>LEFT("91411300742548454G",18)</x:f>
        <x:v>91411300742548454G</x:v>
      </x:c>
    </x:row>
    <x:row r="3605">
      <x:c r="A3605" s="4" t="n">
        <x:v>3604</x:v>
      </x:c>
      <x:c r="B3605" s="4" t="inlineStr">
        <x:is>
          <x:t xml:space="preserve">300910</x:t>
        </x:is>
      </x:c>
      <x:c r="C3605" s="5" t="inlineStr">
        <x:is>
          <x:t xml:space="preserve">瑞丰新材</x:t>
        </x:is>
      </x:c>
      <x:c r="D3605" s="5" t="inlineStr">
        <x:is>
          <x:t xml:space="preserve">新乡市瑞丰新材料股份有限公司</x:t>
        </x:is>
      </x:c>
      <x:c r="E3605" s="4" t="inlineStr">
        <x:is>
          <x:t xml:space="preserve">河南省</x:t>
        </x:is>
      </x:c>
      <x:c r="F3605" s="4" t="inlineStr">
        <x:is>
          <x:t xml:space="preserve">新乡市</x:t>
        </x:is>
      </x:c>
      <x:c r="G3605" s="5" t="inlineStr">
        <x:is>
          <x:t xml:space="preserve">河南省-新乡市</x:t>
        </x:is>
      </x:c>
      <x:c r="H3605" s="4" t="inlineStr">
        <x:is>
          <x:t xml:space="preserve">化工行业</x:t>
        </x:is>
      </x:c>
      <x:c r="I3605" s="4" t="inlineStr">
        <x:is>
          <x:t xml:space="preserve">2020-11-27</x:t>
        </x:is>
      </x:c>
      <x:c r="J3605" s="5" t="inlineStr">
        <x:is>
          <x:t xml:space="preserve">新乡县大召营镇(新获路北)</x:t>
        </x:is>
      </x:c>
      <x:c r="K3605" s="12" t="str">
        <x:f>LEFT("914107006149375190",18)</x:f>
        <x:v>914107006149375200</x:v>
      </x:c>
    </x:row>
    <x:row r="3606">
      <x:c r="A3606" s="2" t="n">
        <x:v>3605</x:v>
      </x:c>
      <x:c r="B3606" s="2" t="inlineStr">
        <x:is>
          <x:t xml:space="preserve">301071</x:t>
        </x:is>
      </x:c>
      <x:c r="C3606" s="3" t="inlineStr">
        <x:is>
          <x:t xml:space="preserve">力量钻石</x:t>
        </x:is>
      </x:c>
      <x:c r="D3606" s="3" t="inlineStr">
        <x:is>
          <x:t xml:space="preserve">河南省力量钻石股份有限公司</x:t>
        </x:is>
      </x:c>
      <x:c r="E3606" s="2" t="inlineStr">
        <x:is>
          <x:t xml:space="preserve">河南省</x:t>
        </x:is>
      </x:c>
      <x:c r="F3606" s="2" t="inlineStr">
        <x:is>
          <x:t xml:space="preserve">商丘市</x:t>
        </x:is>
      </x:c>
      <x:c r="G3606" s="3" t="inlineStr">
        <x:is>
          <x:t xml:space="preserve">河南省-商丘市</x:t>
        </x:is>
      </x:c>
      <x:c r="H3606" s="2" t="inlineStr">
        <x:is>
          <x:t xml:space="preserve">非金属材料</x:t>
        </x:is>
      </x:c>
      <x:c r="I3606" s="2" t="inlineStr">
        <x:is>
          <x:t xml:space="preserve">2021-09-24</x:t>
        </x:is>
      </x:c>
      <x:c r="J3606" s="3" t="inlineStr">
        <x:is>
          <x:t xml:space="preserve">柘城县产业集聚区</x:t>
        </x:is>
      </x:c>
      <x:c r="K3606" s="12" t="str">
        <x:f>LEFT("91411400565103402W",18)</x:f>
        <x:v>91411400565103402W</x:v>
      </x:c>
    </x:row>
    <x:row r="3607">
      <x:c r="A3607" s="4" t="n">
        <x:v>3606</x:v>
      </x:c>
      <x:c r="B3607" s="4" t="inlineStr">
        <x:is>
          <x:t xml:space="preserve">301089</x:t>
        </x:is>
      </x:c>
      <x:c r="C3607" s="5" t="inlineStr">
        <x:is>
          <x:t xml:space="preserve">拓新药业</x:t>
        </x:is>
      </x:c>
      <x:c r="D3607" s="5" t="inlineStr">
        <x:is>
          <x:t xml:space="preserve">拓新药业集团股份有限公司</x:t>
        </x:is>
      </x:c>
      <x:c r="E3607" s="4" t="inlineStr">
        <x:is>
          <x:t xml:space="preserve">河南省</x:t>
        </x:is>
      </x:c>
      <x:c r="F3607" s="4" t="inlineStr">
        <x:is>
          <x:t xml:space="preserve">新乡市</x:t>
        </x:is>
      </x:c>
      <x:c r="G3607" s="5" t="inlineStr">
        <x:is>
          <x:t xml:space="preserve">河南省-新乡市</x:t>
        </x:is>
      </x:c>
      <x:c r="H3607" s="4" t="inlineStr">
        <x:is>
          <x:t xml:space="preserve">医药制造</x:t>
        </x:is>
      </x:c>
      <x:c r="I3607" s="4" t="inlineStr">
        <x:is>
          <x:t xml:space="preserve">2021-10-27</x:t>
        </x:is>
      </x:c>
      <x:c r="J3607" s="5" t="inlineStr">
        <x:is>
          <x:t xml:space="preserve">河南省新乡市高新区科隆大道515号</x:t>
        </x:is>
      </x:c>
      <x:c r="K3607" s="12" t="str">
        <x:f>LEFT("91410000731329432N",18)</x:f>
        <x:v>91410000731329432N</x:v>
      </x:c>
    </x:row>
    <x:row r="3608">
      <x:c r="A3608" s="2" t="n">
        <x:v>3607</x:v>
      </x:c>
      <x:c r="B3608" s="2" t="inlineStr">
        <x:is>
          <x:t xml:space="preserve">301152</x:t>
        </x:is>
      </x:c>
      <x:c r="C3608" s="3" t="inlineStr">
        <x:is>
          <x:t xml:space="preserve">天力锂能</x:t>
        </x:is>
      </x:c>
      <x:c r="D3608" s="3" t="inlineStr">
        <x:is>
          <x:t xml:space="preserve">天力锂能集团股份有限公司</x:t>
        </x:is>
      </x:c>
      <x:c r="E3608" s="2" t="inlineStr">
        <x:is>
          <x:t xml:space="preserve">河南省</x:t>
        </x:is>
      </x:c>
      <x:c r="F3608" s="2" t="inlineStr">
        <x:is>
          <x:t xml:space="preserve">新乡市</x:t>
        </x:is>
      </x:c>
      <x:c r="G3608" s="3" t="inlineStr">
        <x:is>
          <x:t xml:space="preserve">河南省-新乡市</x:t>
        </x:is>
      </x:c>
      <x:c r="H3608" s="2" t="inlineStr">
        <x:is>
          <x:t xml:space="preserve">电池</x:t>
        </x:is>
      </x:c>
      <x:c r="I3608" s="2" t="inlineStr">
        <x:is>
          <x:t xml:space="preserve">2022-08-29</x:t>
        </x:is>
      </x:c>
      <x:c r="J3608" s="3" t="inlineStr">
        <x:is>
          <x:t xml:space="preserve">新乡市牧野区新乡化学与物理电源产业园区1618号</x:t>
        </x:is>
      </x:c>
      <x:c r="K3608" s="12" t="str">
        <x:f>LEFT("9141070068568407XM",18)</x:f>
        <x:v>9141070068568407XM</x:v>
      </x:c>
    </x:row>
    <x:row r="3609">
      <x:c r="A3609" s="4" t="n">
        <x:v>3608</x:v>
      </x:c>
      <x:c r="B3609" s="4" t="inlineStr">
        <x:is>
          <x:t xml:space="preserve">301182</x:t>
        </x:is>
      </x:c>
      <x:c r="C3609" s="5" t="inlineStr">
        <x:is>
          <x:t xml:space="preserve">凯旺科技</x:t>
        </x:is>
      </x:c>
      <x:c r="D3609" s="5" t="inlineStr">
        <x:is>
          <x:t xml:space="preserve">河南凯旺电子科技股份有限公司</x:t>
        </x:is>
      </x:c>
      <x:c r="E3609" s="4" t="inlineStr">
        <x:is>
          <x:t xml:space="preserve">河南省</x:t>
        </x:is>
      </x:c>
      <x:c r="F3609" s="4" t="inlineStr">
        <x:is>
          <x:t xml:space="preserve">周口市</x:t>
        </x:is>
      </x:c>
      <x:c r="G3609" s="5" t="inlineStr">
        <x:is>
          <x:t xml:space="preserve">河南省-周口市</x:t>
        </x:is>
      </x:c>
      <x:c r="H3609" s="4" t="inlineStr">
        <x:is>
          <x:t xml:space="preserve">消费电子</x:t>
        </x:is>
      </x:c>
      <x:c r="I3609" s="4" t="inlineStr">
        <x:is>
          <x:t xml:space="preserve">2021-12-23</x:t>
        </x:is>
      </x:c>
      <x:c r="J3609" s="5" t="inlineStr">
        <x:is>
          <x:t xml:space="preserve">河南省周口市沈丘县沙南产业集聚区</x:t>
        </x:is>
      </x:c>
      <x:c r="K3609" s="12" t="str">
        <x:f>LEFT("91411624697320644J",18)</x:f>
        <x:v>91411624697320644J</x:v>
      </x:c>
    </x:row>
    <x:row r="3610">
      <x:c r="A3610" s="2" t="n">
        <x:v>3609</x:v>
      </x:c>
      <x:c r="B3610" s="2" t="inlineStr">
        <x:is>
          <x:t xml:space="preserve">301207</x:t>
        </x:is>
      </x:c>
      <x:c r="C3610" s="3" t="inlineStr">
        <x:is>
          <x:t xml:space="preserve">华兰疫苗</x:t>
        </x:is>
      </x:c>
      <x:c r="D3610" s="3" t="inlineStr">
        <x:is>
          <x:t xml:space="preserve">华兰生物疫苗股份有限公司</x:t>
        </x:is>
      </x:c>
      <x:c r="E3610" s="2" t="inlineStr">
        <x:is>
          <x:t xml:space="preserve">河南省</x:t>
        </x:is>
      </x:c>
      <x:c r="F3610" s="2" t="inlineStr">
        <x:is>
          <x:t xml:space="preserve">新乡市</x:t>
        </x:is>
      </x:c>
      <x:c r="G3610" s="3" t="inlineStr">
        <x:is>
          <x:t xml:space="preserve">河南省-新乡市</x:t>
        </x:is>
      </x:c>
      <x:c r="H3610" s="2" t="inlineStr">
        <x:is>
          <x:t xml:space="preserve">生物制品</x:t>
        </x:is>
      </x:c>
      <x:c r="I3610" s="2" t="inlineStr">
        <x:is>
          <x:t xml:space="preserve">2022-02-18</x:t>
        </x:is>
      </x:c>
      <x:c r="J3610" s="3" t="inlineStr">
        <x:is>
          <x:t xml:space="preserve">河南省新乡市华兰大道甲1号附1号</x:t>
        </x:is>
      </x:c>
      <x:c r="K3610" s="12" t="str">
        <x:f>LEFT("91410700782203354G",18)</x:f>
        <x:v>91410700782203354G</x:v>
      </x:c>
    </x:row>
    <x:row r="3611">
      <x:c r="A3611" s="4" t="n">
        <x:v>3610</x:v>
      </x:c>
      <x:c r="B3611" s="4" t="inlineStr">
        <x:is>
          <x:t xml:space="preserve">301277</x:t>
        </x:is>
      </x:c>
      <x:c r="C3611" s="5" t="inlineStr">
        <x:is>
          <x:t xml:space="preserve">新天地</x:t>
        </x:is>
      </x:c>
      <x:c r="D3611" s="5" t="inlineStr">
        <x:is>
          <x:t xml:space="preserve">新天地药业股份有限公司</x:t>
        </x:is>
      </x:c>
      <x:c r="E3611" s="4" t="inlineStr">
        <x:is>
          <x:t xml:space="preserve">河南省</x:t>
        </x:is>
      </x:c>
      <x:c r="F3611" s="4" t="inlineStr">
        <x:is>
          <x:t xml:space="preserve">长葛市</x:t>
        </x:is>
      </x:c>
      <x:c r="G3611" s="5" t="inlineStr">
        <x:is>
          <x:t xml:space="preserve">河南省-长葛市</x:t>
        </x:is>
      </x:c>
      <x:c r="H3611" s="4" t="inlineStr">
        <x:is>
          <x:t xml:space="preserve">化学制药</x:t>
        </x:is>
      </x:c>
      <x:c r="I3611" s="4" t="inlineStr">
        <x:is>
          <x:t xml:space="preserve">2022-11-16</x:t>
        </x:is>
      </x:c>
      <x:c r="J3611" s="5" t="inlineStr">
        <x:is>
          <x:t xml:space="preserve">长葛市魏武路南段东侧</x:t>
        </x:is>
      </x:c>
      <x:c r="K3611" s="12" t="str">
        <x:f>LEFT("91411000780502633Q",18)</x:f>
        <x:v>91411000780502633Q</x:v>
      </x:c>
    </x:row>
    <x:row r="3612">
      <x:c r="A3612" s="2" t="n">
        <x:v>3611</x:v>
      </x:c>
      <x:c r="B3612" s="2" t="inlineStr">
        <x:is>
          <x:t xml:space="preserve">301361</x:t>
        </x:is>
      </x:c>
      <x:c r="C3612" s="3" t="inlineStr">
        <x:is>
          <x:t xml:space="preserve">众智科技</x:t>
        </x:is>
      </x:c>
      <x:c r="D3612" s="3" t="inlineStr">
        <x:is>
          <x:t xml:space="preserve">郑州众智科技股份有限公司</x:t>
        </x:is>
      </x:c>
      <x:c r="E3612" s="2" t="inlineStr">
        <x:is>
          <x:t xml:space="preserve">河南省</x:t>
        </x:is>
      </x:c>
      <x:c r="F3612" s="2" t="inlineStr">
        <x:is>
          <x:t xml:space="preserve">郑州市</x:t>
        </x:is>
      </x:c>
      <x:c r="G3612" s="3" t="inlineStr">
        <x:is>
          <x:t xml:space="preserve">河南省-郑州市</x:t>
        </x:is>
      </x:c>
      <x:c r="H3612" s="2" t="inlineStr">
        <x:is>
          <x:t xml:space="preserve">电网设备</x:t>
        </x:is>
      </x:c>
      <x:c r="I3612" s="2" t="inlineStr">
        <x:is>
          <x:t xml:space="preserve">2022-11-16</x:t>
        </x:is>
      </x:c>
      <x:c r="J3612" s="3" t="inlineStr">
        <x:is>
          <x:t xml:space="preserve">郑州高新区金梭路28号</x:t>
        </x:is>
      </x:c>
      <x:c r="K3612" s="12" t="str">
        <x:f>LEFT("9141010074923612XG",18)</x:f>
        <x:v>9141010074923612XG</x:v>
      </x:c>
    </x:row>
    <x:row r="3613">
      <x:c r="A3613" s="4" t="n">
        <x:v>3612</x:v>
      </x:c>
      <x:c r="B3613" s="4" t="inlineStr">
        <x:is>
          <x:t xml:space="preserve">301376</x:t>
        </x:is>
      </x:c>
      <x:c r="C3613" s="5" t="inlineStr">
        <x:is>
          <x:t xml:space="preserve">致欧科技</x:t>
        </x:is>
      </x:c>
      <x:c r="D3613" s="5" t="inlineStr">
        <x:is>
          <x:t xml:space="preserve">致欧家居科技股份有限公司</x:t>
        </x:is>
      </x:c>
      <x:c r="E3613" s="4" t="inlineStr">
        <x:is>
          <x:t xml:space="preserve">河南省</x:t>
        </x:is>
      </x:c>
      <x:c r="F3613" s="4" t="inlineStr">
        <x:is>
          <x:t xml:space="preserve">郑州市</x:t>
        </x:is>
      </x:c>
      <x:c r="G3613" s="5" t="inlineStr">
        <x:is>
          <x:t xml:space="preserve">河南省-郑州市</x:t>
        </x:is>
      </x:c>
      <x:c r="H3613" s="4" t="inlineStr">
        <x:is>
          <x:t xml:space="preserve">家用轻工</x:t>
        </x:is>
      </x:c>
      <x:c r="I3613" s="4" t="inlineStr">
        <x:is>
          <x:t xml:space="preserve">2023-06-21</x:t>
        </x:is>
      </x:c>
      <x:c r="J3613" s="5" t="inlineStr">
        <x:is>
          <x:t xml:space="preserve">郑州市二七区嵩山南路198-19号东方大厦6楼601号</x:t>
        </x:is>
      </x:c>
      <x:c r="K3613" s="12" t="str">
        <x:f>LEFT("91410103699968081C",18)</x:f>
        <x:v>91410103699968081C</x:v>
      </x:c>
    </x:row>
    <x:row r="3614">
      <x:c r="A3614" s="2" t="n">
        <x:v>3613</x:v>
      </x:c>
      <x:c r="B3614" s="2" t="inlineStr">
        <x:is>
          <x:t xml:space="preserve">600020</x:t>
        </x:is>
      </x:c>
      <x:c r="C3614" s="3" t="inlineStr">
        <x:is>
          <x:t xml:space="preserve">中原高速</x:t>
        </x:is>
      </x:c>
      <x:c r="D3614" s="3" t="inlineStr">
        <x:is>
          <x:t xml:space="preserve">河南中原高速公路股份有限公司</x:t>
        </x:is>
      </x:c>
      <x:c r="E3614" s="2" t="inlineStr">
        <x:is>
          <x:t xml:space="preserve">河南省</x:t>
        </x:is>
      </x:c>
      <x:c r="F3614" s="2" t="inlineStr">
        <x:is>
          <x:t xml:space="preserve">郑州市</x:t>
        </x:is>
      </x:c>
      <x:c r="G3614" s="3" t="inlineStr">
        <x:is>
          <x:t xml:space="preserve">河南省-郑州市</x:t>
        </x:is>
      </x:c>
      <x:c r="H3614" s="2" t="inlineStr">
        <x:is>
          <x:t xml:space="preserve">高速公路</x:t>
        </x:is>
      </x:c>
      <x:c r="I3614" s="2" t="inlineStr">
        <x:is>
          <x:t xml:space="preserve">2003-08-08</x:t>
        </x:is>
      </x:c>
      <x:c r="J3614" s="3" t="inlineStr">
        <x:is>
          <x:t xml:space="preserve">河南省郑州市金水区徐庄东路97号牛顿国际B座3楼H11</x:t>
        </x:is>
      </x:c>
      <x:c r="K3614" s="12" t="str">
        <x:f>LEFT("91410000725823522K",18)</x:f>
        <x:v>91410000725823522K</x:v>
      </x:c>
    </x:row>
    <x:row r="3615">
      <x:c r="A3615" s="4" t="n">
        <x:v>3614</x:v>
      </x:c>
      <x:c r="B3615" s="4" t="inlineStr">
        <x:is>
          <x:t xml:space="preserve">600066</x:t>
        </x:is>
      </x:c>
      <x:c r="C3615" s="5" t="inlineStr">
        <x:is>
          <x:t xml:space="preserve">宇通客车</x:t>
        </x:is>
      </x:c>
      <x:c r="D3615" s="5" t="inlineStr">
        <x:is>
          <x:t xml:space="preserve">宇通客车股份有限公司</x:t>
        </x:is>
      </x:c>
      <x:c r="E3615" s="4" t="inlineStr">
        <x:is>
          <x:t xml:space="preserve">河南省</x:t>
        </x:is>
      </x:c>
      <x:c r="F3615" s="4" t="inlineStr">
        <x:is>
          <x:t xml:space="preserve">郑州市</x:t>
        </x:is>
      </x:c>
      <x:c r="G3615" s="5" t="inlineStr">
        <x:is>
          <x:t xml:space="preserve">河南省-郑州市</x:t>
        </x:is>
      </x:c>
      <x:c r="H3615" s="4" t="inlineStr">
        <x:is>
          <x:t xml:space="preserve">汽车整车</x:t>
        </x:is>
      </x:c>
      <x:c r="I3615" s="4" t="inlineStr">
        <x:is>
          <x:t xml:space="preserve">1997-05-08</x:t>
        </x:is>
      </x:c>
      <x:c r="J3615" s="5" t="inlineStr">
        <x:is>
          <x:t xml:space="preserve">郑州市管城回族区宇通路6号</x:t>
        </x:is>
      </x:c>
      <x:c r="K3615" s="12" t="str">
        <x:f>LEFT("91410000170001401D",18)</x:f>
        <x:v>91410000170001401D</x:v>
      </x:c>
    </x:row>
    <x:row r="3616">
      <x:c r="A3616" s="2" t="n">
        <x:v>3615</x:v>
      </x:c>
      <x:c r="B3616" s="2" t="inlineStr">
        <x:is>
          <x:t xml:space="preserve">600121</x:t>
        </x:is>
      </x:c>
      <x:c r="C3616" s="3" t="inlineStr">
        <x:is>
          <x:t xml:space="preserve">郑州煤电</x:t>
        </x:is>
      </x:c>
      <x:c r="D3616" s="3" t="inlineStr">
        <x:is>
          <x:t xml:space="preserve">郑州煤电股份有限公司</x:t>
        </x:is>
      </x:c>
      <x:c r="E3616" s="2" t="inlineStr">
        <x:is>
          <x:t xml:space="preserve">河南省</x:t>
        </x:is>
      </x:c>
      <x:c r="F3616" s="2" t="inlineStr">
        <x:is>
          <x:t xml:space="preserve">郑州市</x:t>
        </x:is>
      </x:c>
      <x:c r="G3616" s="3" t="inlineStr">
        <x:is>
          <x:t xml:space="preserve">河南省-郑州市</x:t>
        </x:is>
      </x:c>
      <x:c r="H3616" s="2" t="inlineStr">
        <x:is>
          <x:t xml:space="preserve">煤炭采选</x:t>
        </x:is>
      </x:c>
      <x:c r="I3616" s="2" t="inlineStr">
        <x:is>
          <x:t xml:space="preserve">1998-01-07</x:t>
        </x:is>
      </x:c>
      <x:c r="J3616" s="3" t="inlineStr">
        <x:is>
          <x:t xml:space="preserve">郑州市中原西路66号</x:t>
        </x:is>
      </x:c>
      <x:c r="K3616" s="12" t="str">
        <x:f>LEFT("914100001700113867",18)</x:f>
        <x:v>914100001700113900</x:v>
      </x:c>
    </x:row>
    <x:row r="3617">
      <x:c r="A3617" s="4" t="n">
        <x:v>3616</x:v>
      </x:c>
      <x:c r="B3617" s="4" t="inlineStr">
        <x:is>
          <x:t xml:space="preserve">600172</x:t>
        </x:is>
      </x:c>
      <x:c r="C3617" s="5" t="inlineStr">
        <x:is>
          <x:t xml:space="preserve">黄河旋风</x:t>
        </x:is>
      </x:c>
      <x:c r="D3617" s="5" t="inlineStr">
        <x:is>
          <x:t xml:space="preserve">河南黄河旋风股份有限公司</x:t>
        </x:is>
      </x:c>
      <x:c r="E3617" s="4" t="inlineStr">
        <x:is>
          <x:t xml:space="preserve">河南省</x:t>
        </x:is>
      </x:c>
      <x:c r="F3617" s="4" t="inlineStr">
        <x:is>
          <x:t xml:space="preserve">南省长葛市</x:t>
        </x:is>
      </x:c>
      <x:c r="G3617" s="5" t="inlineStr">
        <x:is>
          <x:t xml:space="preserve">河南省-南省长葛市</x:t>
        </x:is>
      </x:c>
      <x:c r="H3617" s="4" t="inlineStr">
        <x:is>
          <x:t xml:space="preserve">非金属材料</x:t>
        </x:is>
      </x:c>
      <x:c r="I3617" s="4" t="inlineStr">
        <x:is>
          <x:t xml:space="preserve">1998-11-26</x:t>
        </x:is>
      </x:c>
      <x:c r="J3617" s="5" t="inlineStr">
        <x:is>
          <x:t xml:space="preserve">河南省长葛市人民路200号</x:t>
        </x:is>
      </x:c>
      <x:c r="K3617" s="12" t="str">
        <x:f>LEFT("914100007067887335",18)</x:f>
        <x:v>914100007067887400</x:v>
      </x:c>
    </x:row>
    <x:row r="3618">
      <x:c r="A3618" s="2" t="n">
        <x:v>3617</x:v>
      </x:c>
      <x:c r="B3618" s="2" t="inlineStr">
        <x:is>
          <x:t xml:space="preserve">600186</x:t>
        </x:is>
      </x:c>
      <x:c r="C3618" s="3" t="inlineStr">
        <x:is>
          <x:t xml:space="preserve">莲花控股</x:t>
        </x:is>
      </x:c>
      <x:c r="D3618" s="3" t="inlineStr">
        <x:is>
          <x:t xml:space="preserve">莲花控股股份有限公司</x:t>
        </x:is>
      </x:c>
      <x:c r="E3618" s="2" t="inlineStr">
        <x:is>
          <x:t xml:space="preserve">河南省</x:t>
        </x:is>
      </x:c>
      <x:c r="F3618" s="2" t="inlineStr">
        <x:is>
          <x:t xml:space="preserve">南省项城市</x:t>
        </x:is>
      </x:c>
      <x:c r="G3618" s="3" t="inlineStr">
        <x:is>
          <x:t xml:space="preserve">河南省-南省项城市</x:t>
        </x:is>
      </x:c>
      <x:c r="H3618" s="2" t="inlineStr">
        <x:is>
          <x:t xml:space="preserve">食品饮料</x:t>
        </x:is>
      </x:c>
      <x:c r="I3618" s="2" t="inlineStr">
        <x:is>
          <x:t xml:space="preserve">1998-08-25</x:t>
        </x:is>
      </x:c>
      <x:c r="J3618" s="3" t="inlineStr">
        <x:is>
          <x:t xml:space="preserve">河南省项城市颍河路18号</x:t>
        </x:is>
      </x:c>
      <x:c r="K3618" s="12" t="str">
        <x:f>LEFT("914100007067847325",18)</x:f>
        <x:v>914100007067847300</x:v>
      </x:c>
    </x:row>
    <x:row r="3619">
      <x:c r="A3619" s="4" t="n">
        <x:v>3618</x:v>
      </x:c>
      <x:c r="B3619" s="4" t="inlineStr">
        <x:is>
          <x:t xml:space="preserve">600207</x:t>
        </x:is>
      </x:c>
      <x:c r="C3619" s="5" t="inlineStr">
        <x:is>
          <x:t xml:space="preserve">安彩高科</x:t>
        </x:is>
      </x:c>
      <x:c r="D3619" s="5" t="inlineStr">
        <x:is>
          <x:t xml:space="preserve">河南安彩高科股份有限公司</x:t>
        </x:is>
      </x:c>
      <x:c r="E3619" s="4" t="inlineStr">
        <x:is>
          <x:t xml:space="preserve">河南省</x:t>
        </x:is>
      </x:c>
      <x:c r="F3619" s="4" t="inlineStr">
        <x:is>
          <x:t xml:space="preserve">安阳市</x:t>
        </x:is>
      </x:c>
      <x:c r="G3619" s="5" t="inlineStr">
        <x:is>
          <x:t xml:space="preserve">河南省-安阳市</x:t>
        </x:is>
      </x:c>
      <x:c r="H3619" s="4" t="inlineStr">
        <x:is>
          <x:t xml:space="preserve">光伏设备</x:t>
        </x:is>
      </x:c>
      <x:c r="I3619" s="4" t="inlineStr">
        <x:is>
          <x:t xml:space="preserve">1999-07-14</x:t>
        </x:is>
      </x:c>
      <x:c r="J3619" s="5" t="inlineStr">
        <x:is>
          <x:t xml:space="preserve">河南省安阳市中州路南段</x:t>
        </x:is>
      </x:c>
      <x:c r="K3619" s="12" t="str">
        <x:f>LEFT("9141000070678656XY",18)</x:f>
        <x:v>9141000070678656XY</x:v>
      </x:c>
    </x:row>
    <x:row r="3620">
      <x:c r="A3620" s="2" t="n">
        <x:v>3619</x:v>
      </x:c>
      <x:c r="B3620" s="2" t="inlineStr">
        <x:is>
          <x:t xml:space="preserve">600222</x:t>
        </x:is>
      </x:c>
      <x:c r="C3620" s="3" t="inlineStr">
        <x:is>
          <x:t xml:space="preserve">太龙药业</x:t>
        </x:is>
      </x:c>
      <x:c r="D3620" s="3" t="inlineStr">
        <x:is>
          <x:t xml:space="preserve">河南太龙药业股份有限公司</x:t>
        </x:is>
      </x:c>
      <x:c r="E3620" s="2" t="inlineStr">
        <x:is>
          <x:t xml:space="preserve">河南省</x:t>
        </x:is>
      </x:c>
      <x:c r="F3620" s="2" t="inlineStr">
        <x:is>
          <x:t xml:space="preserve">郑州市</x:t>
        </x:is>
      </x:c>
      <x:c r="G3620" s="3" t="inlineStr">
        <x:is>
          <x:t xml:space="preserve">河南省-郑州市</x:t>
        </x:is>
      </x:c>
      <x:c r="H3620" s="2" t="inlineStr">
        <x:is>
          <x:t xml:space="preserve">中药</x:t>
        </x:is>
      </x:c>
      <x:c r="I3620" s="2" t="inlineStr">
        <x:is>
          <x:t xml:space="preserve">1999-11-05</x:t>
        </x:is>
      </x:c>
      <x:c r="J3620" s="3" t="inlineStr">
        <x:is>
          <x:t xml:space="preserve">河南省郑州市高新技术产业开发区金梭路8号</x:t>
        </x:is>
      </x:c>
      <x:c r="K3620" s="12" t="str">
        <x:f>LEFT("91410000706786295N",18)</x:f>
        <x:v>91410000706786295N</x:v>
      </x:c>
    </x:row>
    <x:row r="3621">
      <x:c r="A3621" s="4" t="n">
        <x:v>3620</x:v>
      </x:c>
      <x:c r="B3621" s="4" t="inlineStr">
        <x:is>
          <x:t xml:space="preserve">600285</x:t>
        </x:is>
      </x:c>
      <x:c r="C3621" s="5" t="inlineStr">
        <x:is>
          <x:t xml:space="preserve">羚锐制药</x:t>
        </x:is>
      </x:c>
      <x:c r="D3621" s="5" t="inlineStr">
        <x:is>
          <x:t xml:space="preserve">河南羚锐制药股份有限公司</x:t>
        </x:is>
      </x:c>
      <x:c r="E3621" s="4" t="inlineStr">
        <x:is>
          <x:t xml:space="preserve">河南省</x:t>
        </x:is>
      </x:c>
      <x:c r="F3621" s="4" t="inlineStr">
        <x:is>
          <x:t xml:space="preserve">信阳市</x:t>
        </x:is>
      </x:c>
      <x:c r="G3621" s="5" t="inlineStr">
        <x:is>
          <x:t xml:space="preserve">河南省-信阳市</x:t>
        </x:is>
      </x:c>
      <x:c r="H3621" s="4" t="inlineStr">
        <x:is>
          <x:t xml:space="preserve">中药</x:t>
        </x:is>
      </x:c>
      <x:c r="I3621" s="4" t="inlineStr">
        <x:is>
          <x:t xml:space="preserve">2000-10-18</x:t>
        </x:is>
      </x:c>
      <x:c r="J3621" s="5" t="inlineStr">
        <x:is>
          <x:t xml:space="preserve">河南省新县将军路666号</x:t>
        </x:is>
      </x:c>
      <x:c r="K3621" s="12" t="str">
        <x:f>LEFT("914100006144026968",18)</x:f>
        <x:v>914100006144027000</x:v>
      </x:c>
    </x:row>
    <x:row r="3622">
      <x:c r="A3622" s="2" t="n">
        <x:v>3621</x:v>
      </x:c>
      <x:c r="B3622" s="2" t="inlineStr">
        <x:is>
          <x:t xml:space="preserve">600312</x:t>
        </x:is>
      </x:c>
      <x:c r="C3622" s="3" t="inlineStr">
        <x:is>
          <x:t xml:space="preserve">平高电气</x:t>
        </x:is>
      </x:c>
      <x:c r="D3622" s="3" t="inlineStr">
        <x:is>
          <x:t xml:space="preserve">河南平高电气股份有限公司</x:t>
        </x:is>
      </x:c>
      <x:c r="E3622" s="2" t="inlineStr">
        <x:is>
          <x:t xml:space="preserve">河南省</x:t>
        </x:is>
      </x:c>
      <x:c r="F3622" s="2" t="inlineStr">
        <x:is>
          <x:t xml:space="preserve">平顶山市</x:t>
        </x:is>
      </x:c>
      <x:c r="G3622" s="3" t="inlineStr">
        <x:is>
          <x:t xml:space="preserve">河南省-平顶山市</x:t>
        </x:is>
      </x:c>
      <x:c r="H3622" s="2" t="inlineStr">
        <x:is>
          <x:t xml:space="preserve">输配电气</x:t>
        </x:is>
      </x:c>
      <x:c r="I3622" s="2" t="inlineStr">
        <x:is>
          <x:t xml:space="preserve">2001-02-21</x:t>
        </x:is>
      </x:c>
      <x:c r="J3622" s="3" t="inlineStr">
        <x:is>
          <x:t xml:space="preserve">河南省平顶山市南环东路22号</x:t>
        </x:is>
      </x:c>
      <x:c r="K3622" s="12" t="str">
        <x:f>LEFT("914100007126456409",18)</x:f>
        <x:v>914100007126456400</x:v>
      </x:c>
    </x:row>
    <x:row r="3623">
      <x:c r="A3623" s="4" t="n">
        <x:v>3622</x:v>
      </x:c>
      <x:c r="B3623" s="4" t="inlineStr">
        <x:is>
          <x:t xml:space="preserve">600403</x:t>
        </x:is>
      </x:c>
      <x:c r="C3623" s="5" t="inlineStr">
        <x:is>
          <x:t xml:space="preserve">大有能源</x:t>
        </x:is>
      </x:c>
      <x:c r="D3623" s="5" t="inlineStr">
        <x:is>
          <x:t xml:space="preserve">河南大有能源股份有限公司</x:t>
        </x:is>
      </x:c>
      <x:c r="E3623" s="4" t="inlineStr">
        <x:is>
          <x:t xml:space="preserve">河南省</x:t>
        </x:is>
      </x:c>
      <x:c r="F3623" s="4" t="inlineStr">
        <x:is>
          <x:t xml:space="preserve">南省义马市</x:t>
        </x:is>
      </x:c>
      <x:c r="G3623" s="5" t="inlineStr">
        <x:is>
          <x:t xml:space="preserve">河南省-南省义马市</x:t>
        </x:is>
      </x:c>
      <x:c r="H3623" s="4" t="inlineStr">
        <x:is>
          <x:t xml:space="preserve">煤炭采选</x:t>
        </x:is>
      </x:c>
      <x:c r="I3623" s="4" t="inlineStr">
        <x:is>
          <x:t xml:space="preserve">2003-10-09</x:t>
        </x:is>
      </x:c>
      <x:c r="J3623" s="5" t="inlineStr">
        <x:is>
          <x:t xml:space="preserve">河南省义马市千秋路6号</x:t>
        </x:is>
      </x:c>
      <x:c r="K3623" s="12" t="str">
        <x:f>LEFT("91410000249770406T",18)</x:f>
        <x:v>91410000249770406T</x:v>
      </x:c>
    </x:row>
    <x:row r="3624">
      <x:c r="A3624" s="2" t="n">
        <x:v>3623</x:v>
      </x:c>
      <x:c r="B3624" s="2" t="inlineStr">
        <x:is>
          <x:t xml:space="preserve">600439</x:t>
        </x:is>
      </x:c>
      <x:c r="C3624" s="3" t="inlineStr">
        <x:is>
          <x:t xml:space="preserve">瑞贝卡</x:t>
        </x:is>
      </x:c>
      <x:c r="D3624" s="3" t="inlineStr">
        <x:is>
          <x:t xml:space="preserve">河南瑞贝卡发制品股份有限公司</x:t>
        </x:is>
      </x:c>
      <x:c r="E3624" s="2" t="inlineStr">
        <x:is>
          <x:t xml:space="preserve">河南省</x:t>
        </x:is>
      </x:c>
      <x:c r="F3624" s="2" t="inlineStr">
        <x:is>
          <x:t xml:space="preserve">许昌市</x:t>
        </x:is>
      </x:c>
      <x:c r="G3624" s="3" t="inlineStr">
        <x:is>
          <x:t xml:space="preserve">河南省-许昌市</x:t>
        </x:is>
      </x:c>
      <x:c r="H3624" s="2" t="inlineStr">
        <x:is>
          <x:t xml:space="preserve">工艺商品</x:t>
        </x:is>
      </x:c>
      <x:c r="I3624" s="2" t="inlineStr">
        <x:is>
          <x:t xml:space="preserve">2003-07-10</x:t>
        </x:is>
      </x:c>
      <x:c r="J3624" s="3" t="inlineStr">
        <x:is>
          <x:t xml:space="preserve">河南省许昌市建安区尚集产业集聚区昌盛路666号</x:t>
        </x:is>
      </x:c>
      <x:c r="K3624" s="12" t="str">
        <x:f>LEFT("914100007126502129",18)</x:f>
        <x:v>914100007126502100</x:v>
      </x:c>
    </x:row>
    <x:row r="3625">
      <x:c r="A3625" s="4" t="n">
        <x:v>3624</x:v>
      </x:c>
      <x:c r="B3625" s="4" t="inlineStr">
        <x:is>
          <x:t xml:space="preserve">600469</x:t>
        </x:is>
      </x:c>
      <x:c r="C3625" s="5" t="inlineStr">
        <x:is>
          <x:t xml:space="preserve">风神股份</x:t>
        </x:is>
      </x:c>
      <x:c r="D3625" s="5" t="inlineStr">
        <x:is>
          <x:t xml:space="preserve">风神轮胎股份有限公司</x:t>
        </x:is>
      </x:c>
      <x:c r="E3625" s="4" t="inlineStr">
        <x:is>
          <x:t xml:space="preserve">河南省</x:t>
        </x:is>
      </x:c>
      <x:c r="F3625" s="4" t="inlineStr">
        <x:is>
          <x:t xml:space="preserve">焦作市</x:t>
        </x:is>
      </x:c>
      <x:c r="G3625" s="5" t="inlineStr">
        <x:is>
          <x:t xml:space="preserve">河南省-焦作市</x:t>
        </x:is>
      </x:c>
      <x:c r="H3625" s="4" t="inlineStr">
        <x:is>
          <x:t xml:space="preserve">橡胶制品</x:t>
        </x:is>
      </x:c>
      <x:c r="I3625" s="4" t="inlineStr">
        <x:is>
          <x:t xml:space="preserve">2003-10-21</x:t>
        </x:is>
      </x:c>
      <x:c r="J3625" s="5" t="inlineStr">
        <x:is>
          <x:t xml:space="preserve">河南省焦作市焦东南路48号</x:t>
        </x:is>
      </x:c>
      <x:c r="K3625" s="12" t="str">
        <x:f>LEFT("914100007126348530",18)</x:f>
        <x:v>914100007126348500</x:v>
      </x:c>
    </x:row>
    <x:row r="3626">
      <x:c r="A3626" s="2" t="n">
        <x:v>3625</x:v>
      </x:c>
      <x:c r="B3626" s="2" t="inlineStr">
        <x:is>
          <x:t xml:space="preserve">600531</x:t>
        </x:is>
      </x:c>
      <x:c r="C3626" s="3" t="inlineStr">
        <x:is>
          <x:t xml:space="preserve">豫光金铅</x:t>
        </x:is>
      </x:c>
      <x:c r="D3626" s="3" t="inlineStr">
        <x:is>
          <x:t xml:space="preserve">河南豫光金铅股份有限公司</x:t>
        </x:is>
      </x:c>
      <x:c r="E3626" s="2" t="inlineStr">
        <x:is>
          <x:t xml:space="preserve">河南省</x:t>
        </x:is>
      </x:c>
      <x:c r="F3626" s="2" t="inlineStr">
        <x:is>
          <x:t xml:space="preserve">南省济源市</x:t>
        </x:is>
      </x:c>
      <x:c r="G3626" s="3" t="inlineStr">
        <x:is>
          <x:t xml:space="preserve">河南省-南省济源市</x:t>
        </x:is>
      </x:c>
      <x:c r="H3626" s="2" t="inlineStr">
        <x:is>
          <x:t xml:space="preserve">有色金属</x:t>
        </x:is>
      </x:c>
      <x:c r="I3626" s="2" t="inlineStr">
        <x:is>
          <x:t xml:space="preserve">2002-07-30</x:t>
        </x:is>
      </x:c>
      <x:c r="J3626" s="3" t="inlineStr">
        <x:is>
          <x:t xml:space="preserve">河南省济源市荆梁南街1号</x:t>
        </x:is>
      </x:c>
      <x:c r="K3626" s="12" t="str">
        <x:f>LEFT("9141000071917196XY",18)</x:f>
        <x:v>9141000071917196XY</x:v>
      </x:c>
    </x:row>
    <x:row r="3627">
      <x:c r="A3627" s="4" t="n">
        <x:v>3626</x:v>
      </x:c>
      <x:c r="B3627" s="4" t="inlineStr">
        <x:is>
          <x:t xml:space="preserve">600569</x:t>
        </x:is>
      </x:c>
      <x:c r="C3627" s="5" t="inlineStr">
        <x:is>
          <x:t xml:space="preserve">安阳钢铁</x:t>
        </x:is>
      </x:c>
      <x:c r="D3627" s="5" t="inlineStr">
        <x:is>
          <x:t xml:space="preserve">安阳钢铁股份有限公司</x:t>
        </x:is>
      </x:c>
      <x:c r="E3627" s="4" t="inlineStr">
        <x:is>
          <x:t xml:space="preserve">河南省</x:t>
        </x:is>
      </x:c>
      <x:c r="F3627" s="4" t="inlineStr">
        <x:is>
          <x:t xml:space="preserve">安阳市</x:t>
        </x:is>
      </x:c>
      <x:c r="G3627" s="5" t="inlineStr">
        <x:is>
          <x:t xml:space="preserve">河南省-安阳市</x:t>
        </x:is>
      </x:c>
      <x:c r="H3627" s="4" t="inlineStr">
        <x:is>
          <x:t xml:space="preserve">钢铁行业</x:t>
        </x:is>
      </x:c>
      <x:c r="I3627" s="4" t="inlineStr">
        <x:is>
          <x:t xml:space="preserve">2001-08-20</x:t>
        </x:is>
      </x:c>
      <x:c r="J3627" s="5" t="inlineStr">
        <x:is>
          <x:t xml:space="preserve">河南省安阳市殷都区梅元庄</x:t>
        </x:is>
      </x:c>
      <x:c r="K3627" s="12" t="str">
        <x:f>LEFT("914100007191734203",18)</x:f>
        <x:v>914100007191734100</x:v>
      </x:c>
    </x:row>
    <x:row r="3628">
      <x:c r="A3628" s="2" t="n">
        <x:v>3627</x:v>
      </x:c>
      <x:c r="B3628" s="2" t="inlineStr">
        <x:is>
          <x:t xml:space="preserve">600595</x:t>
        </x:is>
      </x:c>
      <x:c r="C3628" s="3" t="inlineStr">
        <x:is>
          <x:t xml:space="preserve">中孚实业</x:t>
        </x:is>
      </x:c>
      <x:c r="D3628" s="3" t="inlineStr">
        <x:is>
          <x:t xml:space="preserve">河南中孚实业股份有限公司</x:t>
        </x:is>
      </x:c>
      <x:c r="E3628" s="2" t="inlineStr">
        <x:is>
          <x:t xml:space="preserve">河南省</x:t>
        </x:is>
      </x:c>
      <x:c r="F3628" s="2" t="inlineStr">
        <x:is>
          <x:t xml:space="preserve">南省巩义市</x:t>
        </x:is>
      </x:c>
      <x:c r="G3628" s="3" t="inlineStr">
        <x:is>
          <x:t xml:space="preserve">河南省-南省巩义市</x:t>
        </x:is>
      </x:c>
      <x:c r="H3628" s="2" t="inlineStr">
        <x:is>
          <x:t xml:space="preserve">有色金属</x:t>
        </x:is>
      </x:c>
      <x:c r="I3628" s="2" t="inlineStr">
        <x:is>
          <x:t xml:space="preserve">2002-06-26</x:t>
        </x:is>
      </x:c>
      <x:c r="J3628" s="3" t="inlineStr">
        <x:is>
          <x:t xml:space="preserve">河南省巩义市新华路31号</x:t>
        </x:is>
      </x:c>
      <x:c r="K3628" s="12" t="str">
        <x:f>LEFT("91410000170002324A",18)</x:f>
        <x:v>91410000170002324A</x:v>
      </x:c>
    </x:row>
    <x:row r="3629">
      <x:c r="A3629" s="4" t="n">
        <x:v>3628</x:v>
      </x:c>
      <x:c r="B3629" s="4" t="inlineStr">
        <x:is>
          <x:t xml:space="preserve">600810</x:t>
        </x:is>
      </x:c>
      <x:c r="C3629" s="5" t="inlineStr">
        <x:is>
          <x:t xml:space="preserve">神马股份</x:t>
        </x:is>
      </x:c>
      <x:c r="D3629" s="5" t="inlineStr">
        <x:is>
          <x:t xml:space="preserve">神马实业股份有限公司</x:t>
        </x:is>
      </x:c>
      <x:c r="E3629" s="4" t="inlineStr">
        <x:is>
          <x:t xml:space="preserve">河南省</x:t>
        </x:is>
      </x:c>
      <x:c r="F3629" s="4" t="inlineStr">
        <x:is>
          <x:t xml:space="preserve">平顶山市</x:t>
        </x:is>
      </x:c>
      <x:c r="G3629" s="5" t="inlineStr">
        <x:is>
          <x:t xml:space="preserve">河南省-平顶山市</x:t>
        </x:is>
      </x:c>
      <x:c r="H3629" s="4" t="inlineStr">
        <x:is>
          <x:t xml:space="preserve">化纤行业</x:t>
        </x:is>
      </x:c>
      <x:c r="I3629" s="4" t="inlineStr">
        <x:is>
          <x:t xml:space="preserve">1994-01-06</x:t>
        </x:is>
      </x:c>
      <x:c r="J3629" s="5" t="inlineStr">
        <x:is>
          <x:t xml:space="preserve">河南省平顶山市建设路63号</x:t>
        </x:is>
      </x:c>
      <x:c r="K3629" s="12" t="str">
        <x:f>LEFT("91410000169972489Q",18)</x:f>
        <x:v>91410000169972489Q</x:v>
      </x:c>
    </x:row>
    <x:row r="3630">
      <x:c r="A3630" s="2" t="n">
        <x:v>3629</x:v>
      </x:c>
      <x:c r="B3630" s="2" t="inlineStr">
        <x:is>
          <x:t xml:space="preserve">600817</x:t>
        </x:is>
      </x:c>
      <x:c r="C3630" s="3" t="inlineStr">
        <x:is>
          <x:t xml:space="preserve">宇通重工</x:t>
        </x:is>
      </x:c>
      <x:c r="D3630" s="3" t="inlineStr">
        <x:is>
          <x:t xml:space="preserve">宇通重工股份有限公司</x:t>
        </x:is>
      </x:c>
      <x:c r="E3630" s="2" t="inlineStr">
        <x:is>
          <x:t xml:space="preserve">河南省</x:t>
        </x:is>
      </x:c>
      <x:c r="F3630" s="2" t="inlineStr">
        <x:is>
          <x:t xml:space="preserve">郑州市</x:t>
        </x:is>
      </x:c>
      <x:c r="G3630" s="3" t="inlineStr">
        <x:is>
          <x:t xml:space="preserve">河南省-郑州市</x:t>
        </x:is>
      </x:c>
      <x:c r="H3630" s="2" t="inlineStr">
        <x:is>
          <x:t xml:space="preserve">工程机械</x:t>
        </x:is>
      </x:c>
      <x:c r="I3630" s="2" t="inlineStr">
        <x:is>
          <x:t xml:space="preserve">1994-01-28</x:t>
        </x:is>
      </x:c>
      <x:c r="J3630" s="3" t="inlineStr">
        <x:is>
          <x:t xml:space="preserve">郑州市航空港区鄱阳湖路86号蓝山公馆一楼106</x:t>
        </x:is>
      </x:c>
      <x:c r="K3630" s="12" t="str">
        <x:f>LEFT("91610133132207011Q",18)</x:f>
        <x:v>91610133132207011Q</x:v>
      </x:c>
    </x:row>
    <x:row r="3631">
      <x:c r="A3631" s="4" t="n">
        <x:v>3630</x:v>
      </x:c>
      <x:c r="B3631" s="4" t="inlineStr">
        <x:is>
          <x:t xml:space="preserve">600876</x:t>
        </x:is>
      </x:c>
      <x:c r="C3631" s="5" t="inlineStr">
        <x:is>
          <x:t xml:space="preserve">凯盛新能</x:t>
        </x:is>
      </x:c>
      <x:c r="D3631" s="5" t="inlineStr">
        <x:is>
          <x:t xml:space="preserve">凯盛新能源股份有限公司</x:t>
        </x:is>
      </x:c>
      <x:c r="E3631" s="4" t="inlineStr">
        <x:is>
          <x:t xml:space="preserve">河南省</x:t>
        </x:is>
      </x:c>
      <x:c r="F3631" s="4" t="inlineStr">
        <x:is>
          <x:t xml:space="preserve">洛阳市</x:t>
        </x:is>
      </x:c>
      <x:c r="G3631" s="5" t="inlineStr">
        <x:is>
          <x:t xml:space="preserve">河南省-洛阳市</x:t>
        </x:is>
      </x:c>
      <x:c r="H3631" s="4" t="inlineStr">
        <x:is>
          <x:t xml:space="preserve">光伏设备</x:t>
        </x:is>
      </x:c>
      <x:c r="I3631" s="4" t="inlineStr">
        <x:is>
          <x:t xml:space="preserve">1995-10-31</x:t>
        </x:is>
      </x:c>
      <x:c r="J3631" s="5" t="inlineStr">
        <x:is>
          <x:t xml:space="preserve">中国河南省洛阳市西工区唐宫中路9号</x:t>
        </x:is>
      </x:c>
      <x:c r="K3631" s="12" t="str">
        <x:f>LEFT("914103006148088992",18)</x:f>
        <x:v>914103006148089000</x:v>
      </x:c>
    </x:row>
    <x:row r="3632">
      <x:c r="A3632" s="2" t="n">
        <x:v>3631</x:v>
      </x:c>
      <x:c r="B3632" s="2" t="inlineStr">
        <x:is>
          <x:t xml:space="preserve">601038</x:t>
        </x:is>
      </x:c>
      <x:c r="C3632" s="3" t="inlineStr">
        <x:is>
          <x:t xml:space="preserve">一拖股份</x:t>
        </x:is>
      </x:c>
      <x:c r="D3632" s="3" t="inlineStr">
        <x:is>
          <x:t xml:space="preserve">第一拖拉机股份有限公司</x:t>
        </x:is>
      </x:c>
      <x:c r="E3632" s="2" t="inlineStr">
        <x:is>
          <x:t xml:space="preserve">河南省</x:t>
        </x:is>
      </x:c>
      <x:c r="F3632" s="2" t="inlineStr">
        <x:is>
          <x:t xml:space="preserve">洛阳市</x:t>
        </x:is>
      </x:c>
      <x:c r="G3632" s="3" t="inlineStr">
        <x:is>
          <x:t xml:space="preserve">河南省-洛阳市</x:t>
        </x:is>
      </x:c>
      <x:c r="H3632" s="2" t="inlineStr">
        <x:is>
          <x:t xml:space="preserve">专用设备</x:t>
        </x:is>
      </x:c>
      <x:c r="I3632" s="2" t="inlineStr">
        <x:is>
          <x:t xml:space="preserve">2012-08-08</x:t>
        </x:is>
      </x:c>
      <x:c r="J3632" s="3" t="inlineStr">
        <x:is>
          <x:t xml:space="preserve">河南省洛阳市建设路154号</x:t>
        </x:is>
      </x:c>
      <x:c r="K3632" s="12" t="str">
        <x:f>LEFT("91410000170005381W",18)</x:f>
        <x:v>91410000170005381W</x:v>
      </x:c>
    </x:row>
    <x:row r="3633">
      <x:c r="A3633" s="4" t="n">
        <x:v>3632</x:v>
      </x:c>
      <x:c r="B3633" s="4" t="inlineStr">
        <x:is>
          <x:t xml:space="preserve">601375</x:t>
        </x:is>
      </x:c>
      <x:c r="C3633" s="5" t="inlineStr">
        <x:is>
          <x:t xml:space="preserve">中原证券</x:t>
        </x:is>
      </x:c>
      <x:c r="D3633" s="5" t="inlineStr">
        <x:is>
          <x:t xml:space="preserve">中原证券股份有限公司</x:t>
        </x:is>
      </x:c>
      <x:c r="E3633" s="4" t="inlineStr">
        <x:is>
          <x:t xml:space="preserve">河南省</x:t>
        </x:is>
      </x:c>
      <x:c r="F3633" s="4" t="inlineStr">
        <x:is>
          <x:t xml:space="preserve">郑州市</x:t>
        </x:is>
      </x:c>
      <x:c r="G3633" s="5" t="inlineStr">
        <x:is>
          <x:t xml:space="preserve">河南省-郑州市</x:t>
        </x:is>
      </x:c>
      <x:c r="H3633" s="4" t="inlineStr">
        <x:is>
          <x:t xml:space="preserve">券商信托</x:t>
        </x:is>
      </x:c>
      <x:c r="I3633" s="4" t="inlineStr">
        <x:is>
          <x:t xml:space="preserve">2017-01-03</x:t>
        </x:is>
      </x:c>
      <x:c r="J3633" s="5" t="inlineStr">
        <x:is>
          <x:t xml:space="preserve">河南省郑州市郑东新区商务外环路10号</x:t>
        </x:is>
      </x:c>
      <x:c r="K3633" s="12" t="str">
        <x:f>LEFT("91410000744078476K",18)</x:f>
        <x:v>91410000744078476K</x:v>
      </x:c>
    </x:row>
    <x:row r="3634">
      <x:c r="A3634" s="2" t="n">
        <x:v>3633</x:v>
      </x:c>
      <x:c r="B3634" s="2" t="inlineStr">
        <x:is>
          <x:t xml:space="preserve">601608</x:t>
        </x:is>
      </x:c>
      <x:c r="C3634" s="3" t="inlineStr">
        <x:is>
          <x:t xml:space="preserve">中信重工</x:t>
        </x:is>
      </x:c>
      <x:c r="D3634" s="3" t="inlineStr">
        <x:is>
          <x:t xml:space="preserve">中信重工机械股份有限公司</x:t>
        </x:is>
      </x:c>
      <x:c r="E3634" s="2" t="inlineStr">
        <x:is>
          <x:t xml:space="preserve">河南省</x:t>
        </x:is>
      </x:c>
      <x:c r="F3634" s="2" t="inlineStr">
        <x:is>
          <x:t xml:space="preserve">洛阳市</x:t>
        </x:is>
      </x:c>
      <x:c r="G3634" s="3" t="inlineStr">
        <x:is>
          <x:t xml:space="preserve">河南省-洛阳市</x:t>
        </x:is>
      </x:c>
      <x:c r="H3634" s="2" t="inlineStr">
        <x:is>
          <x:t xml:space="preserve">专用设备</x:t>
        </x:is>
      </x:c>
      <x:c r="I3634" s="2" t="inlineStr">
        <x:is>
          <x:t xml:space="preserve">2012-07-06</x:t>
        </x:is>
      </x:c>
      <x:c r="J3634" s="3" t="inlineStr">
        <x:is>
          <x:t xml:space="preserve">河南省洛阳市涧西区建设路206号</x:t>
        </x:is>
      </x:c>
      <x:c r="K3634" s="12" t="str">
        <x:f>LEFT("9141030067166633X2",18)</x:f>
        <x:v>9141030067166633X2</x:v>
      </x:c>
    </x:row>
    <x:row r="3635">
      <x:c r="A3635" s="4" t="n">
        <x:v>3634</x:v>
      </x:c>
      <x:c r="B3635" s="4" t="inlineStr">
        <x:is>
          <x:t xml:space="preserve">601666</x:t>
        </x:is>
      </x:c>
      <x:c r="C3635" s="5" t="inlineStr">
        <x:is>
          <x:t xml:space="preserve">平煤股份</x:t>
        </x:is>
      </x:c>
      <x:c r="D3635" s="5" t="inlineStr">
        <x:is>
          <x:t xml:space="preserve">平顶山天安煤业股份有限公司</x:t>
        </x:is>
      </x:c>
      <x:c r="E3635" s="4" t="inlineStr">
        <x:is>
          <x:t xml:space="preserve">河南省</x:t>
        </x:is>
      </x:c>
      <x:c r="F3635" s="4" t="inlineStr">
        <x:is>
          <x:t xml:space="preserve">平顶山市</x:t>
        </x:is>
      </x:c>
      <x:c r="G3635" s="5" t="inlineStr">
        <x:is>
          <x:t xml:space="preserve">河南省-平顶山市</x:t>
        </x:is>
      </x:c>
      <x:c r="H3635" s="4" t="inlineStr">
        <x:is>
          <x:t xml:space="preserve">煤炭采选</x:t>
        </x:is>
      </x:c>
      <x:c r="I3635" s="4" t="inlineStr">
        <x:is>
          <x:t xml:space="preserve">2006-11-23</x:t>
        </x:is>
      </x:c>
      <x:c r="J3635" s="5" t="inlineStr">
        <x:is>
          <x:t xml:space="preserve">河南省平顶山市矿工中路21号</x:t>
        </x:is>
      </x:c>
      <x:c r="K3635" s="12" t="str">
        <x:f>LEFT("91410000727034084A",18)</x:f>
        <x:v>91410000727034084A</x:v>
      </x:c>
    </x:row>
    <x:row r="3636">
      <x:c r="A3636" s="2" t="n">
        <x:v>3635</x:v>
      </x:c>
      <x:c r="B3636" s="2" t="inlineStr">
        <x:is>
          <x:t xml:space="preserve">601677</x:t>
        </x:is>
      </x:c>
      <x:c r="C3636" s="3" t="inlineStr">
        <x:is>
          <x:t xml:space="preserve">明泰铝业</x:t>
        </x:is>
      </x:c>
      <x:c r="D3636" s="3" t="inlineStr">
        <x:is>
          <x:t xml:space="preserve">河南明泰铝业股份有限公司</x:t>
        </x:is>
      </x:c>
      <x:c r="E3636" s="2" t="inlineStr">
        <x:is>
          <x:t xml:space="preserve">河南省</x:t>
        </x:is>
      </x:c>
      <x:c r="F3636" s="2" t="inlineStr">
        <x:is>
          <x:t xml:space="preserve">南省巩义市</x:t>
        </x:is>
      </x:c>
      <x:c r="G3636" s="3" t="inlineStr">
        <x:is>
          <x:t xml:space="preserve">河南省-南省巩义市</x:t>
        </x:is>
      </x:c>
      <x:c r="H3636" s="2" t="inlineStr">
        <x:is>
          <x:t xml:space="preserve">有色金属</x:t>
        </x:is>
      </x:c>
      <x:c r="I3636" s="2" t="inlineStr">
        <x:is>
          <x:t xml:space="preserve">2011-09-19</x:t>
        </x:is>
      </x:c>
      <x:c r="J3636" s="3" t="inlineStr">
        <x:is>
          <x:t xml:space="preserve">河南省巩义市回郭镇开发区</x:t>
        </x:is>
      </x:c>
      <x:c r="K3636" s="12" t="str">
        <x:f>LEFT("91410181170508042W",18)</x:f>
        <x:v>91410181170508042W</x:v>
      </x:c>
    </x:row>
    <x:row r="3637">
      <x:c r="A3637" s="4" t="n">
        <x:v>3636</x:v>
      </x:c>
      <x:c r="B3637" s="4" t="inlineStr">
        <x:is>
          <x:t xml:space="preserve">601717</x:t>
        </x:is>
      </x:c>
      <x:c r="C3637" s="5" t="inlineStr">
        <x:is>
          <x:t xml:space="preserve">中创智领</x:t>
        </x:is>
      </x:c>
      <x:c r="D3637" s="5" t="inlineStr">
        <x:is>
          <x:t xml:space="preserve">中创智领(郑州)工业技术集团股份有限公司</x:t>
        </x:is>
      </x:c>
      <x:c r="E3637" s="4" t="inlineStr">
        <x:is>
          <x:t xml:space="preserve">河南省</x:t>
        </x:is>
      </x:c>
      <x:c r="F3637" s="4" t="inlineStr">
        <x:is>
          <x:t xml:space="preserve">郑州市</x:t>
        </x:is>
      </x:c>
      <x:c r="G3637" s="5" t="inlineStr">
        <x:is>
          <x:t xml:space="preserve">河南省-郑州市</x:t>
        </x:is>
      </x:c>
      <x:c r="H3637" s="4" t="inlineStr">
        <x:is>
          <x:t xml:space="preserve">汽车零部件</x:t>
        </x:is>
      </x:c>
      <x:c r="I3637" s="4" t="inlineStr">
        <x:is>
          <x:t xml:space="preserve">2010-08-03</x:t>
        </x:is>
      </x:c>
      <x:c r="J3637" s="5" t="inlineStr">
        <x:is>
          <x:t xml:space="preserve">中国河南自贸试验区郑州片区(经开)第九大街167号</x:t>
        </x:is>
      </x:c>
      <x:c r="K3637" s="12" t="str">
        <x:f>LEFT("91410100170033534A",18)</x:f>
        <x:v>91410100170033534A</x:v>
      </x:c>
    </x:row>
    <x:row r="3638">
      <x:c r="A3638" s="2" t="n">
        <x:v>3637</x:v>
      </x:c>
      <x:c r="B3638" s="2" t="inlineStr">
        <x:is>
          <x:t xml:space="preserve">603508</x:t>
        </x:is>
      </x:c>
      <x:c r="C3638" s="3" t="inlineStr">
        <x:is>
          <x:t xml:space="preserve">思维列控</x:t>
        </x:is>
      </x:c>
      <x:c r="D3638" s="3" t="inlineStr">
        <x:is>
          <x:t xml:space="preserve">河南思维自动化设备股份有限公司</x:t>
        </x:is>
      </x:c>
      <x:c r="E3638" s="2" t="inlineStr">
        <x:is>
          <x:t xml:space="preserve">河南省</x:t>
        </x:is>
      </x:c>
      <x:c r="F3638" s="2" t="inlineStr">
        <x:is>
          <x:t xml:space="preserve">郑州市</x:t>
        </x:is>
      </x:c>
      <x:c r="G3638" s="3" t="inlineStr">
        <x:is>
          <x:t xml:space="preserve">河南省-郑州市</x:t>
        </x:is>
      </x:c>
      <x:c r="H3638" s="2" t="inlineStr">
        <x:is>
          <x:t xml:space="preserve">软件开发</x:t>
        </x:is>
      </x:c>
      <x:c r="I3638" s="2" t="inlineStr">
        <x:is>
          <x:t xml:space="preserve">2015-12-24</x:t>
        </x:is>
      </x:c>
      <x:c r="J3638" s="3" t="inlineStr">
        <x:is>
          <x:t xml:space="preserve">郑州市高新区雪梅街39号</x:t>
        </x:is>
      </x:c>
      <x:c r="K3638" s="12" t="str">
        <x:f>LEFT("9141010070677725XH",18)</x:f>
        <x:v>9141010070677725XH</x:v>
      </x:c>
    </x:row>
    <x:row r="3639">
      <x:c r="A3639" s="4" t="n">
        <x:v>3638</x:v>
      </x:c>
      <x:c r="B3639" s="4" t="inlineStr">
        <x:is>
          <x:t xml:space="preserve">603566</x:t>
        </x:is>
      </x:c>
      <x:c r="C3639" s="5" t="inlineStr">
        <x:is>
          <x:t xml:space="preserve">普莱柯</x:t>
        </x:is>
      </x:c>
      <x:c r="D3639" s="5" t="inlineStr">
        <x:is>
          <x:t xml:space="preserve">普莱柯生物工程股份有限公司</x:t>
        </x:is>
      </x:c>
      <x:c r="E3639" s="4" t="inlineStr">
        <x:is>
          <x:t xml:space="preserve">河南省</x:t>
        </x:is>
      </x:c>
      <x:c r="F3639" s="4" t="inlineStr">
        <x:is>
          <x:t xml:space="preserve">洛阳市</x:t>
        </x:is>
      </x:c>
      <x:c r="G3639" s="5" t="inlineStr">
        <x:is>
          <x:t xml:space="preserve">河南省-洛阳市</x:t>
        </x:is>
      </x:c>
      <x:c r="H3639" s="4" t="inlineStr">
        <x:is>
          <x:t xml:space="preserve">农药兽药</x:t>
        </x:is>
      </x:c>
      <x:c r="I3639" s="4" t="inlineStr">
        <x:is>
          <x:t xml:space="preserve">2015-05-18</x:t>
        </x:is>
      </x:c>
      <x:c r="J3639" s="5" t="inlineStr">
        <x:is>
          <x:t xml:space="preserve">中国(河南)自由贸易试验区洛阳片区高新开发区凌波路</x:t>
        </x:is>
      </x:c>
      <x:c r="K3639" s="12" t="str">
        <x:f>LEFT("9141030074070138X6",18)</x:f>
        <x:v>9141030074070138X6</x:v>
      </x:c>
    </x:row>
    <x:row r="3640">
      <x:c r="A3640" s="2" t="n">
        <x:v>3639</x:v>
      </x:c>
      <x:c r="B3640" s="2" t="inlineStr">
        <x:is>
          <x:t xml:space="preserve">603658</x:t>
        </x:is>
      </x:c>
      <x:c r="C3640" s="3" t="inlineStr">
        <x:is>
          <x:t xml:space="preserve">安图生物</x:t>
        </x:is>
      </x:c>
      <x:c r="D3640" s="3" t="inlineStr">
        <x:is>
          <x:t xml:space="preserve">郑州安图生物工程股份有限公司</x:t>
        </x:is>
      </x:c>
      <x:c r="E3640" s="2" t="inlineStr">
        <x:is>
          <x:t xml:space="preserve">河南省</x:t>
        </x:is>
      </x:c>
      <x:c r="F3640" s="2" t="inlineStr">
        <x:is>
          <x:t xml:space="preserve">郑州市</x:t>
        </x:is>
      </x:c>
      <x:c r="G3640" s="3" t="inlineStr">
        <x:is>
          <x:t xml:space="preserve">河南省-郑州市</x:t>
        </x:is>
      </x:c>
      <x:c r="H3640" s="2" t="inlineStr">
        <x:is>
          <x:t xml:space="preserve">医疗器械</x:t>
        </x:is>
      </x:c>
      <x:c r="I3640" s="2" t="inlineStr">
        <x:is>
          <x:t xml:space="preserve">2016-09-01</x:t>
        </x:is>
      </x:c>
      <x:c r="J3640" s="3" t="inlineStr">
        <x:is>
          <x:t xml:space="preserve">郑州经济技术开发区经北一路87号</x:t>
        </x:is>
      </x:c>
      <x:c r="K3640" s="12" t="str">
        <x:f>LEFT("914100007167932103",18)</x:f>
        <x:v>914100007167932200</x:v>
      </x:c>
    </x:row>
    <x:row r="3641">
      <x:c r="A3641" s="4" t="n">
        <x:v>3640</x:v>
      </x:c>
      <x:c r="B3641" s="4" t="inlineStr">
        <x:is>
          <x:t xml:space="preserve">603993</x:t>
        </x:is>
      </x:c>
      <x:c r="C3641" s="5" t="inlineStr">
        <x:is>
          <x:t xml:space="preserve">洛阳钼业</x:t>
        </x:is>
      </x:c>
      <x:c r="D3641" s="5" t="inlineStr">
        <x:is>
          <x:t xml:space="preserve">洛阳栾川钼业集团股份有限公司</x:t>
        </x:is>
      </x:c>
      <x:c r="E3641" s="4" t="inlineStr">
        <x:is>
          <x:t xml:space="preserve">河南省</x:t>
        </x:is>
      </x:c>
      <x:c r="F3641" s="4" t="inlineStr">
        <x:is>
          <x:t xml:space="preserve">洛阳市</x:t>
        </x:is>
      </x:c>
      <x:c r="G3641" s="5" t="inlineStr">
        <x:is>
          <x:t xml:space="preserve">河南省-洛阳市</x:t>
        </x:is>
      </x:c>
      <x:c r="H3641" s="4" t="inlineStr">
        <x:is>
          <x:t xml:space="preserve">小金属</x:t>
        </x:is>
      </x:c>
      <x:c r="I3641" s="4" t="inlineStr">
        <x:is>
          <x:t xml:space="preserve">2012-10-09</x:t>
        </x:is>
      </x:c>
      <x:c r="J3641" s="5" t="inlineStr">
        <x:is>
          <x:t xml:space="preserve">河南省洛阳市栾川县城东新区画眉山路伊河以北</x:t>
        </x:is>
      </x:c>
      <x:c r="K3641" s="12" t="str">
        <x:f>LEFT("91410000171080594J",18)</x:f>
        <x:v>91410000171080594J</x:v>
      </x:c>
    </x:row>
    <x:row r="3642">
      <x:c r="A3642" s="2" t="n">
        <x:v>3641</x:v>
      </x:c>
      <x:c r="B3642" s="2" t="inlineStr">
        <x:is>
          <x:t xml:space="preserve">605368</x:t>
        </x:is>
      </x:c>
      <x:c r="C3642" s="3" t="inlineStr">
        <x:is>
          <x:t xml:space="preserve">蓝天燃气</x:t>
        </x:is>
      </x:c>
      <x:c r="D3642" s="3" t="inlineStr">
        <x:is>
          <x:t xml:space="preserve">河南蓝天燃气股份有限公司</x:t>
        </x:is>
      </x:c>
      <x:c r="E3642" s="2" t="inlineStr">
        <x:is>
          <x:t xml:space="preserve">河南省</x:t>
        </x:is>
      </x:c>
      <x:c r="F3642" s="2" t="inlineStr">
        <x:is>
          <x:t xml:space="preserve">驻马店市</x:t>
        </x:is>
      </x:c>
      <x:c r="G3642" s="3" t="inlineStr">
        <x:is>
          <x:t xml:space="preserve">河南省-驻马店市</x:t>
        </x:is>
      </x:c>
      <x:c r="H3642" s="2" t="inlineStr">
        <x:is>
          <x:t xml:space="preserve">燃气</x:t>
        </x:is>
      </x:c>
      <x:c r="I3642" s="2" t="inlineStr">
        <x:is>
          <x:t xml:space="preserve">2021-01-29</x:t>
        </x:is>
      </x:c>
      <x:c r="J3642" s="3" t="inlineStr">
        <x:is>
          <x:t xml:space="preserve">河南省驻马店市确山县联播大道15号确山县产业集聚区管理委员会综合办公大楼5楼</x:t>
        </x:is>
      </x:c>
      <x:c r="K3642" s="12" t="str">
        <x:f>LEFT("91411700745773243G",18)</x:f>
        <x:v>91411700745773243G</x:v>
      </x:c>
    </x:row>
    <x:row r="3643">
      <x:c r="A3643" s="4" t="n">
        <x:v>3642</x:v>
      </x:c>
      <x:c r="B3643" s="4" t="inlineStr">
        <x:is>
          <x:t xml:space="preserve">688066</x:t>
        </x:is>
      </x:c>
      <x:c r="C3643" s="5" t="inlineStr">
        <x:is>
          <x:t xml:space="preserve">航天宏图</x:t>
        </x:is>
      </x:c>
      <x:c r="D3643" s="5" t="inlineStr">
        <x:is>
          <x:t xml:space="preserve">航天宏图信息技术股份有限公司</x:t>
        </x:is>
      </x:c>
      <x:c r="E3643" s="4" t="inlineStr">
        <x:is>
          <x:t xml:space="preserve">河南省</x:t>
        </x:is>
      </x:c>
      <x:c r="F3643" s="4" t="inlineStr">
        <x:is>
          <x:t xml:space="preserve">鹤壁市</x:t>
        </x:is>
      </x:c>
      <x:c r="G3643" s="5" t="inlineStr">
        <x:is>
          <x:t xml:space="preserve">河南省-鹤壁市</x:t>
        </x:is>
      </x:c>
      <x:c r="H3643" s="4" t="inlineStr">
        <x:is>
          <x:t xml:space="preserve">航天航空</x:t>
        </x:is>
      </x:c>
      <x:c r="I3643" s="4" t="inlineStr">
        <x:is>
          <x:t xml:space="preserve">2019-07-22</x:t>
        </x:is>
      </x:c>
      <x:c r="J3643" s="5" t="inlineStr">
        <x:is>
          <x:t xml:space="preserve">河南省鹤壁市淇滨区科创新城5G产业园C区A座七层</x:t>
        </x:is>
      </x:c>
      <x:c r="K3643" s="12" t="str">
        <x:f>LEFT("91110108671708384H",18)</x:f>
        <x:v>91110108671708384H</x:v>
      </x:c>
    </x:row>
    <x:row r="3644">
      <x:c r="A3644" s="2" t="n">
        <x:v>3643</x:v>
      </x:c>
      <x:c r="B3644" s="2" t="inlineStr">
        <x:is>
          <x:t xml:space="preserve">688119</x:t>
        </x:is>
      </x:c>
      <x:c r="C3644" s="3" t="inlineStr">
        <x:is>
          <x:t xml:space="preserve">中钢洛耐</x:t>
        </x:is>
      </x:c>
      <x:c r="D3644" s="3" t="inlineStr">
        <x:is>
          <x:t xml:space="preserve">中钢洛耐科技股份有限公司</x:t>
        </x:is>
      </x:c>
      <x:c r="E3644" s="2" t="inlineStr">
        <x:is>
          <x:t xml:space="preserve">河南省</x:t>
        </x:is>
      </x:c>
      <x:c r="F3644" s="2" t="inlineStr">
        <x:is>
          <x:t xml:space="preserve">洛阳市</x:t>
        </x:is>
      </x:c>
      <x:c r="G3644" s="3" t="inlineStr">
        <x:is>
          <x:t xml:space="preserve">河南省-洛阳市</x:t>
        </x:is>
      </x:c>
      <x:c r="H3644" s="2" t="inlineStr">
        <x:is>
          <x:t xml:space="preserve">非金属材料</x:t>
        </x:is>
      </x:c>
      <x:c r="I3644" s="2" t="inlineStr">
        <x:is>
          <x:t xml:space="preserve">2022-06-06</x:t>
        </x:is>
      </x:c>
      <x:c r="J3644" s="3" t="inlineStr">
        <x:is>
          <x:t xml:space="preserve">河南省洛阳市涧西区西苑路1号</x:t>
        </x:is>
      </x:c>
      <x:c r="K3644" s="12" t="str">
        <x:f>LEFT("914103007932036167",18)</x:f>
        <x:v>914103007932036200</x:v>
      </x:c>
    </x:row>
    <x:row r="3645">
      <x:c r="A3645" s="4" t="n">
        <x:v>3644</x:v>
      </x:c>
      <x:c r="B3645" s="4" t="inlineStr">
        <x:is>
          <x:t xml:space="preserve">688313</x:t>
        </x:is>
      </x:c>
      <x:c r="C3645" s="5" t="inlineStr">
        <x:is>
          <x:t xml:space="preserve">仕佳光子</x:t>
        </x:is>
      </x:c>
      <x:c r="D3645" s="5" t="inlineStr">
        <x:is>
          <x:t xml:space="preserve">河南仕佳光子科技股份有限公司</x:t>
        </x:is>
      </x:c>
      <x:c r="E3645" s="4" t="inlineStr">
        <x:is>
          <x:t xml:space="preserve">河南省</x:t>
        </x:is>
      </x:c>
      <x:c r="F3645" s="4" t="inlineStr">
        <x:is>
          <x:t xml:space="preserve">鹤壁市</x:t>
        </x:is>
      </x:c>
      <x:c r="G3645" s="5" t="inlineStr">
        <x:is>
          <x:t xml:space="preserve">河南省-鹤壁市</x:t>
        </x:is>
      </x:c>
      <x:c r="H3645" s="4" t="inlineStr">
        <x:is>
          <x:t xml:space="preserve">通讯行业</x:t>
        </x:is>
      </x:c>
      <x:c r="I3645" s="4" t="inlineStr">
        <x:is>
          <x:t xml:space="preserve">2020-08-12</x:t>
        </x:is>
      </x:c>
      <x:c r="J3645" s="5" t="inlineStr">
        <x:is>
          <x:t xml:space="preserve">河南省鹤壁市淇滨区延河路201号</x:t>
        </x:is>
      </x:c>
      <x:c r="K3645" s="12" t="str">
        <x:f>LEFT("914106005637287753",18)</x:f>
        <x:v>914106005637287800</x:v>
      </x:c>
    </x:row>
    <x:row r="3646">
      <x:c r="A3646" s="2" t="n">
        <x:v>3645</x:v>
      </x:c>
      <x:c r="B3646" s="2" t="inlineStr">
        <x:is>
          <x:t xml:space="preserve">688357</x:t>
        </x:is>
      </x:c>
      <x:c r="C3646" s="3" t="inlineStr">
        <x:is>
          <x:t xml:space="preserve">建龙微纳</x:t>
        </x:is>
      </x:c>
      <x:c r="D3646" s="3" t="inlineStr">
        <x:is>
          <x:t xml:space="preserve">洛阳建龙微纳新材料股份有限公司</x:t>
        </x:is>
      </x:c>
      <x:c r="E3646" s="2" t="inlineStr">
        <x:is>
          <x:t xml:space="preserve">河南省</x:t>
        </x:is>
      </x:c>
      <x:c r="F3646" s="2" t="inlineStr">
        <x:is>
          <x:t xml:space="preserve">洛阳市</x:t>
        </x:is>
      </x:c>
      <x:c r="G3646" s="3" t="inlineStr">
        <x:is>
          <x:t xml:space="preserve">河南省-洛阳市</x:t>
        </x:is>
      </x:c>
      <x:c r="H3646" s="2" t="inlineStr">
        <x:is>
          <x:t xml:space="preserve">非金属材料</x:t>
        </x:is>
      </x:c>
      <x:c r="I3646" s="2" t="inlineStr">
        <x:is>
          <x:t xml:space="preserve">2019-12-04</x:t>
        </x:is>
      </x:c>
      <x:c r="J3646" s="3" t="inlineStr">
        <x:is>
          <x:t xml:space="preserve">河南省洛阳市偃师区产业集聚区工业区军民路7号</x:t>
        </x:is>
      </x:c>
      <x:c r="K3646" s="12" t="str">
        <x:f>LEFT("914103007065418963",18)</x:f>
        <x:v>914103007065419000</x:v>
      </x:c>
    </x:row>
    <x:row r="3647">
      <x:c r="A3647" s="4" t="n">
        <x:v>3646</x:v>
      </x:c>
      <x:c r="B3647" s="4" t="inlineStr">
        <x:is>
          <x:t xml:space="preserve">688517</x:t>
        </x:is>
      </x:c>
      <x:c r="C3647" s="5" t="inlineStr">
        <x:is>
          <x:t xml:space="preserve">金冠电气</x:t>
        </x:is>
      </x:c>
      <x:c r="D3647" s="5" t="inlineStr">
        <x:is>
          <x:t xml:space="preserve">金冠电气股份有限公司</x:t>
        </x:is>
      </x:c>
      <x:c r="E3647" s="4" t="inlineStr">
        <x:is>
          <x:t xml:space="preserve">河南省</x:t>
        </x:is>
      </x:c>
      <x:c r="F3647" s="4" t="inlineStr">
        <x:is>
          <x:t xml:space="preserve">南阳市</x:t>
        </x:is>
      </x:c>
      <x:c r="G3647" s="5" t="inlineStr">
        <x:is>
          <x:t xml:space="preserve">河南省-南阳市</x:t>
        </x:is>
      </x:c>
      <x:c r="H3647" s="4" t="inlineStr">
        <x:is>
          <x:t xml:space="preserve">输配电气</x:t>
        </x:is>
      </x:c>
      <x:c r="I3647" s="4" t="inlineStr">
        <x:is>
          <x:t xml:space="preserve">2021-06-18</x:t>
        </x:is>
      </x:c>
      <x:c r="J3647" s="5" t="inlineStr">
        <x:is>
          <x:t xml:space="preserve">河南省内乡县工业园区</x:t>
        </x:is>
      </x:c>
      <x:c r="K3647" s="12" t="str">
        <x:f>LEFT("91411300772173518D",18)</x:f>
        <x:v>91411300772173518D</x:v>
      </x:c>
    </x:row>
    <x:row r="3648">
      <x:c r="A3648" s="2" t="n">
        <x:v>3647</x:v>
      </x:c>
      <x:c r="B3648" s="2" t="inlineStr">
        <x:is>
          <x:t xml:space="preserve">688626</x:t>
        </x:is>
      </x:c>
      <x:c r="C3648" s="3" t="inlineStr">
        <x:is>
          <x:t xml:space="preserve">翔宇医疗</x:t>
        </x:is>
      </x:c>
      <x:c r="D3648" s="3" t="inlineStr">
        <x:is>
          <x:t xml:space="preserve">河南翔宇医疗设备股份有限公司</x:t>
        </x:is>
      </x:c>
      <x:c r="E3648" s="2" t="inlineStr">
        <x:is>
          <x:t xml:space="preserve">河南省</x:t>
        </x:is>
      </x:c>
      <x:c r="F3648" s="2" t="inlineStr">
        <x:is>
          <x:t xml:space="preserve">安阳市</x:t>
        </x:is>
      </x:c>
      <x:c r="G3648" s="3" t="inlineStr">
        <x:is>
          <x:t xml:space="preserve">河南省-安阳市</x:t>
        </x:is>
      </x:c>
      <x:c r="H3648" s="2" t="inlineStr">
        <x:is>
          <x:t xml:space="preserve">医疗器械</x:t>
        </x:is>
      </x:c>
      <x:c r="I3648" s="2" t="inlineStr">
        <x:is>
          <x:t xml:space="preserve">2021-03-31</x:t>
        </x:is>
      </x:c>
      <x:c r="J3648" s="3" t="inlineStr">
        <x:is>
          <x:t xml:space="preserve">河南省安阳市内黄县帝喾大道中段</x:t>
        </x:is>
      </x:c>
      <x:c r="K3648" s="12" t="str">
        <x:f>LEFT("914105277474012089",18)</x:f>
        <x:v>914105277474012000</x:v>
      </x:c>
    </x:row>
    <x:row r="3649">
      <x:c r="A3649" s="4" t="n">
        <x:v>3648</x:v>
      </x:c>
      <x:c r="B3649" s="4" t="inlineStr">
        <x:is>
          <x:t xml:space="preserve">000156</x:t>
        </x:is>
      </x:c>
      <x:c r="C3649" s="5" t="inlineStr">
        <x:is>
          <x:t xml:space="preserve">华数传媒</x:t>
        </x:is>
      </x:c>
      <x:c r="D3649" s="5" t="inlineStr">
        <x:is>
          <x:t xml:space="preserve">华数传媒控股股份有限公司</x:t>
        </x:is>
      </x:c>
      <x:c r="E3649" s="4" t="inlineStr">
        <x:is>
          <x:t xml:space="preserve">浙江省</x:t>
        </x:is>
      </x:c>
      <x:c r="F3649" s="4" t="inlineStr">
        <x:is>
          <x:t xml:space="preserve">杭州市</x:t>
        </x:is>
      </x:c>
      <x:c r="G3649" s="5" t="inlineStr">
        <x:is>
          <x:t xml:space="preserve">浙江省-杭州市</x:t>
        </x:is>
      </x:c>
      <x:c r="H3649" s="4" t="inlineStr">
        <x:is>
          <x:t xml:space="preserve">文化传媒</x:t>
        </x:is>
      </x:c>
      <x:c r="I3649" s="4" t="inlineStr">
        <x:is>
          <x:t xml:space="preserve">2000-09-06</x:t>
        </x:is>
      </x:c>
      <x:c r="J3649" s="5" t="inlineStr">
        <x:is>
          <x:t xml:space="preserve">浙江省杭州市滨江区长江路179号华数产业园B座9楼</x:t>
        </x:is>
      </x:c>
      <x:c r="K3649" s="12" t="str">
        <x:f>LEFT("91330000189080365C",18)</x:f>
        <x:v>91330000189080365C</x:v>
      </x:c>
    </x:row>
    <x:row r="3650">
      <x:c r="A3650" s="2" t="n">
        <x:v>3649</x:v>
      </x:c>
      <x:c r="B3650" s="2" t="inlineStr">
        <x:is>
          <x:t xml:space="preserve">000411</x:t>
        </x:is>
      </x:c>
      <x:c r="C3650" s="3" t="inlineStr">
        <x:is>
          <x:t xml:space="preserve">英特集团</x:t>
        </x:is>
      </x:c>
      <x:c r="D3650" s="3" t="inlineStr">
        <x:is>
          <x:t xml:space="preserve">浙江英特集团股份有限公司</x:t>
        </x:is>
      </x:c>
      <x:c r="E3650" s="2" t="inlineStr">
        <x:is>
          <x:t xml:space="preserve">浙江省</x:t>
        </x:is>
      </x:c>
      <x:c r="F3650" s="2" t="inlineStr">
        <x:is>
          <x:t xml:space="preserve">杭州市</x:t>
        </x:is>
      </x:c>
      <x:c r="G3650" s="3" t="inlineStr">
        <x:is>
          <x:t xml:space="preserve">浙江省-杭州市</x:t>
        </x:is>
      </x:c>
      <x:c r="H3650" s="2" t="inlineStr">
        <x:is>
          <x:t xml:space="preserve">医药商业</x:t>
        </x:is>
      </x:c>
      <x:c r="I3650" s="2" t="inlineStr">
        <x:is>
          <x:t xml:space="preserve">1996-07-16</x:t>
        </x:is>
      </x:c>
      <x:c r="J3650" s="3" t="inlineStr">
        <x:is>
          <x:t xml:space="preserve">浙江省杭州市拱墅区东新路江南巷2号3幢</x:t>
        </x:is>
      </x:c>
      <x:c r="K3650" s="12" t="str">
        <x:f>LEFT("91330000609120272T",18)</x:f>
        <x:v>91330000609120272T</x:v>
      </x:c>
    </x:row>
    <x:row r="3651">
      <x:c r="A3651" s="4" t="n">
        <x:v>3650</x:v>
      </x:c>
      <x:c r="B3651" s="4" t="inlineStr">
        <x:is>
          <x:t xml:space="preserve">000517</x:t>
        </x:is>
      </x:c>
      <x:c r="C3651" s="5" t="inlineStr">
        <x:is>
          <x:t xml:space="preserve">荣安地产</x:t>
        </x:is>
      </x:c>
      <x:c r="D3651" s="5" t="inlineStr">
        <x:is>
          <x:t xml:space="preserve">荣安地产股份有限公司</x:t>
        </x:is>
      </x:c>
      <x:c r="E3651" s="4" t="inlineStr">
        <x:is>
          <x:t xml:space="preserve">浙江省</x:t>
        </x:is>
      </x:c>
      <x:c r="F3651" s="4" t="inlineStr">
        <x:is>
          <x:t xml:space="preserve">宁波市</x:t>
        </x:is>
      </x:c>
      <x:c r="G3651" s="5" t="inlineStr">
        <x:is>
          <x:t xml:space="preserve">浙江省-宁波市</x:t>
        </x:is>
      </x:c>
      <x:c r="H3651" s="4" t="inlineStr">
        <x:is>
          <x:t xml:space="preserve">房地产</x:t>
        </x:is>
      </x:c>
      <x:c r="I3651" s="4" t="inlineStr">
        <x:is>
          <x:t xml:space="preserve">1993-08-06</x:t>
        </x:is>
      </x:c>
      <x:c r="J3651" s="5" t="inlineStr">
        <x:is>
          <x:t xml:space="preserve">浙江省宁波市海曙区灵桥路513号(14-12)</x:t>
        </x:is>
      </x:c>
      <x:c r="K3651" s="12" t="str">
        <x:f>LEFT("913302001440685655",18)</x:f>
        <x:v>913302001440685700</x:v>
      </x:c>
    </x:row>
    <x:row r="3652">
      <x:c r="A3652" s="2" t="n">
        <x:v>3651</x:v>
      </x:c>
      <x:c r="B3652" s="2" t="inlineStr">
        <x:is>
          <x:t xml:space="preserve">000559</x:t>
        </x:is>
      </x:c>
      <x:c r="C3652" s="3" t="inlineStr">
        <x:is>
          <x:t xml:space="preserve">万向钱潮</x:t>
        </x:is>
      </x:c>
      <x:c r="D3652" s="3" t="inlineStr">
        <x:is>
          <x:t xml:space="preserve">万向钱潮股份公司</x:t>
        </x:is>
      </x:c>
      <x:c r="E3652" s="2" t="inlineStr">
        <x:is>
          <x:t xml:space="preserve">浙江省</x:t>
        </x:is>
      </x:c>
      <x:c r="F3652" s="2" t="inlineStr">
        <x:is>
          <x:t xml:space="preserve">杭州市</x:t>
        </x:is>
      </x:c>
      <x:c r="G3652" s="3" t="inlineStr">
        <x:is>
          <x:t xml:space="preserve">浙江省-杭州市</x:t>
        </x:is>
      </x:c>
      <x:c r="H3652" s="2" t="inlineStr">
        <x:is>
          <x:t xml:space="preserve">汽车行业</x:t>
        </x:is>
      </x:c>
      <x:c r="I3652" s="2" t="inlineStr">
        <x:is>
          <x:t xml:space="preserve">1994-01-10</x:t>
        </x:is>
      </x:c>
      <x:c r="J3652" s="3" t="inlineStr">
        <x:is>
          <x:t xml:space="preserve">浙江省杭州市萧山区万向路</x:t>
        </x:is>
      </x:c>
      <x:c r="K3652" s="12" t="str">
        <x:f>LEFT("91330000142923441E",18)</x:f>
        <x:v>91330000142923441E</x:v>
      </x:c>
    </x:row>
    <x:row r="3653">
      <x:c r="A3653" s="4" t="n">
        <x:v>3652</x:v>
      </x:c>
      <x:c r="B3653" s="4" t="inlineStr">
        <x:is>
          <x:t xml:space="preserve">000607</x:t>
        </x:is>
      </x:c>
      <x:c r="C3653" s="5" t="inlineStr">
        <x:is>
          <x:t xml:space="preserve">华媒控股</x:t>
        </x:is>
      </x:c>
      <x:c r="D3653" s="5" t="inlineStr">
        <x:is>
          <x:t xml:space="preserve">浙江华媒控股股份有限公司</x:t>
        </x:is>
      </x:c>
      <x:c r="E3653" s="4" t="inlineStr">
        <x:is>
          <x:t xml:space="preserve">浙江省</x:t>
        </x:is>
      </x:c>
      <x:c r="F3653" s="4" t="inlineStr">
        <x:is>
          <x:t xml:space="preserve">杭州市</x:t>
        </x:is>
      </x:c>
      <x:c r="G3653" s="5" t="inlineStr">
        <x:is>
          <x:t xml:space="preserve">浙江省-杭州市</x:t>
        </x:is>
      </x:c>
      <x:c r="H3653" s="4" t="inlineStr">
        <x:is>
          <x:t xml:space="preserve">文化传媒</x:t>
        </x:is>
      </x:c>
      <x:c r="I3653" s="4" t="inlineStr">
        <x:is>
          <x:t xml:space="preserve">1996-08-30</x:t>
        </x:is>
      </x:c>
      <x:c r="J3653" s="5" t="inlineStr">
        <x:is>
          <x:t xml:space="preserve">杭州市下城区体育场路218号</x:t>
        </x:is>
      </x:c>
      <x:c r="K3653" s="12" t="str">
        <x:f>LEFT("91330000202823494D",18)</x:f>
        <x:v>91330000202823494D</x:v>
      </x:c>
    </x:row>
    <x:row r="3654">
      <x:c r="A3654" s="2" t="n">
        <x:v>3653</x:v>
      </x:c>
      <x:c r="B3654" s="2" t="inlineStr">
        <x:is>
          <x:t xml:space="preserve">000631</x:t>
        </x:is>
      </x:c>
      <x:c r="C3654" s="3" t="inlineStr">
        <x:is>
          <x:t xml:space="preserve">顺发恒能</x:t>
        </x:is>
      </x:c>
      <x:c r="D3654" s="3" t="inlineStr">
        <x:is>
          <x:t xml:space="preserve">顺发恒能股份公司</x:t>
        </x:is>
      </x:c>
      <x:c r="E3654" s="2" t="inlineStr">
        <x:is>
          <x:t xml:space="preserve">浙江省</x:t>
        </x:is>
      </x:c>
      <x:c r="F3654" s="2" t="inlineStr">
        <x:is>
          <x:t xml:space="preserve">杭州市</x:t>
        </x:is>
      </x:c>
      <x:c r="G3654" s="3" t="inlineStr">
        <x:is>
          <x:t xml:space="preserve">浙江省-杭州市</x:t>
        </x:is>
      </x:c>
      <x:c r="H3654" s="2" t="inlineStr">
        <x:is>
          <x:t xml:space="preserve">房地产</x:t>
        </x:is>
      </x:c>
      <x:c r="I3654" s="2" t="inlineStr">
        <x:is>
          <x:t xml:space="preserve">1996-11-22</x:t>
        </x:is>
      </x:c>
      <x:c r="J3654" s="3" t="inlineStr">
        <x:is>
          <x:t xml:space="preserve">浙江省杭州市萧山经济技术开发区万向创新聚能城奔竞大道2828号3幢201室</x:t>
        </x:is>
      </x:c>
      <x:c r="K3654" s="12" t="str">
        <x:f>LEFT("912201012438438899",18)</x:f>
        <x:v>912201012438438900</x:v>
      </x:c>
    </x:row>
    <x:row r="3655">
      <x:c r="A3655" s="4" t="n">
        <x:v>3654</x:v>
      </x:c>
      <x:c r="B3655" s="4" t="inlineStr">
        <x:is>
          <x:t xml:space="preserve">000705</x:t>
        </x:is>
      </x:c>
      <x:c r="C3655" s="5" t="inlineStr">
        <x:is>
          <x:t xml:space="preserve">浙江震元</x:t>
        </x:is>
      </x:c>
      <x:c r="D3655" s="5" t="inlineStr">
        <x:is>
          <x:t xml:space="preserve">浙江震元股份有限公司</x:t>
        </x:is>
      </x:c>
      <x:c r="E3655" s="4" t="inlineStr">
        <x:is>
          <x:t xml:space="preserve">浙江省</x:t>
        </x:is>
      </x:c>
      <x:c r="F3655" s="4" t="inlineStr">
        <x:is>
          <x:t xml:space="preserve">绍兴市</x:t>
        </x:is>
      </x:c>
      <x:c r="G3655" s="5" t="inlineStr">
        <x:is>
          <x:t xml:space="preserve">浙江省-绍兴市</x:t>
        </x:is>
      </x:c>
      <x:c r="H3655" s="4" t="inlineStr">
        <x:is>
          <x:t xml:space="preserve">医药商业</x:t>
        </x:is>
      </x:c>
      <x:c r="I3655" s="4" t="inlineStr">
        <x:is>
          <x:t xml:space="preserve">1997-04-10</x:t>
        </x:is>
      </x:c>
      <x:c r="J3655" s="5" t="inlineStr">
        <x:is>
          <x:t xml:space="preserve">浙江省绍兴市越城区稽山街道延安东路558号</x:t>
        </x:is>
      </x:c>
      <x:c r="K3655" s="12" t="str">
        <x:f>LEFT("91330000145919552E",18)</x:f>
        <x:v>91330000145919552E</x:v>
      </x:c>
    </x:row>
    <x:row r="3656">
      <x:c r="A3656" s="2" t="n">
        <x:v>3655</x:v>
      </x:c>
      <x:c r="B3656" s="2" t="inlineStr">
        <x:is>
          <x:t xml:space="preserve">000739</x:t>
        </x:is>
      </x:c>
      <x:c r="C3656" s="3" t="inlineStr">
        <x:is>
          <x:t xml:space="preserve">普洛药业</x:t>
        </x:is>
      </x:c>
      <x:c r="D3656" s="3" t="inlineStr">
        <x:is>
          <x:t xml:space="preserve">普洛药业股份有限公司</x:t>
        </x:is>
      </x:c>
      <x:c r="E3656" s="2" t="inlineStr">
        <x:is>
          <x:t xml:space="preserve">浙江省</x:t>
        </x:is>
      </x:c>
      <x:c r="F3656" s="2" t="inlineStr">
        <x:is>
          <x:t xml:space="preserve">江省东阳市</x:t>
        </x:is>
      </x:c>
      <x:c r="G3656" s="3" t="inlineStr">
        <x:is>
          <x:t xml:space="preserve">浙江省-江省东阳市</x:t>
        </x:is>
      </x:c>
      <x:c r="H3656" s="2" t="inlineStr">
        <x:is>
          <x:t xml:space="preserve">医药制造</x:t>
        </x:is>
      </x:c>
      <x:c r="I3656" s="2" t="inlineStr">
        <x:is>
          <x:t xml:space="preserve">1997-05-09</x:t>
        </x:is>
      </x:c>
      <x:c r="J3656" s="3" t="inlineStr">
        <x:is>
          <x:t xml:space="preserve">浙江省东阳市横店江南路399号</x:t>
        </x:is>
      </x:c>
      <x:c r="K3656" s="12" t="str">
        <x:f>LEFT("913300002646284831",18)</x:f>
        <x:v>913300002646284800</x:v>
      </x:c>
    </x:row>
    <x:row r="3657">
      <x:c r="A3657" s="4" t="n">
        <x:v>3656</x:v>
      </x:c>
      <x:c r="B3657" s="4" t="inlineStr">
        <x:is>
          <x:t xml:space="preserve">000795</x:t>
        </x:is>
      </x:c>
      <x:c r="C3657" s="5" t="inlineStr">
        <x:is>
          <x:t xml:space="preserve">英洛华</x:t>
        </x:is>
      </x:c>
      <x:c r="D3657" s="5" t="inlineStr">
        <x:is>
          <x:t xml:space="preserve">英洛华科技股份有限公司</x:t>
        </x:is>
      </x:c>
      <x:c r="E3657" s="4" t="inlineStr">
        <x:is>
          <x:t xml:space="preserve">浙江省</x:t>
        </x:is>
      </x:c>
      <x:c r="F3657" s="4" t="inlineStr">
        <x:is>
          <x:t xml:space="preserve">金华市</x:t>
        </x:is>
      </x:c>
      <x:c r="G3657" s="5" t="inlineStr">
        <x:is>
          <x:t xml:space="preserve">浙江省-金华市</x:t>
        </x:is>
      </x:c>
      <x:c r="H3657" s="4" t="inlineStr">
        <x:is>
          <x:t xml:space="preserve">小金属</x:t>
        </x:is>
      </x:c>
      <x:c r="I3657" s="4" t="inlineStr">
        <x:is>
          <x:t xml:space="preserve">1997-08-08</x:t>
        </x:is>
      </x:c>
      <x:c r="J3657" s="5" t="inlineStr">
        <x:is>
          <x:t xml:space="preserve">浙江省金华市东阳市横店镇科兴路39号1号楼</x:t>
        </x:is>
      </x:c>
      <x:c r="K3657" s="12" t="str">
        <x:f>LEFT("91140000276205461E",18)</x:f>
        <x:v>91140000276205461E</x:v>
      </x:c>
    </x:row>
    <x:row r="3658">
      <x:c r="A3658" s="2" t="n">
        <x:v>3657</x:v>
      </x:c>
      <x:c r="B3658" s="2" t="inlineStr">
        <x:is>
          <x:t xml:space="preserve">000906</x:t>
        </x:is>
      </x:c>
      <x:c r="C3658" s="3" t="inlineStr">
        <x:is>
          <x:t xml:space="preserve">浙商中拓</x:t>
        </x:is>
      </x:c>
      <x:c r="D3658" s="3" t="inlineStr">
        <x:is>
          <x:t xml:space="preserve">浙商中拓集团股份有限公司</x:t>
        </x:is>
      </x:c>
      <x:c r="E3658" s="2" t="inlineStr">
        <x:is>
          <x:t xml:space="preserve">浙江省</x:t>
        </x:is>
      </x:c>
      <x:c r="F3658" s="2" t="inlineStr">
        <x:is>
          <x:t xml:space="preserve">杭州市</x:t>
        </x:is>
      </x:c>
      <x:c r="G3658" s="3" t="inlineStr">
        <x:is>
          <x:t xml:space="preserve">浙江省-杭州市</x:t>
        </x:is>
      </x:c>
      <x:c r="H3658" s="2" t="inlineStr">
        <x:is>
          <x:t xml:space="preserve">物流行业</x:t>
        </x:is>
      </x:c>
      <x:c r="I3658" s="2" t="inlineStr">
        <x:is>
          <x:t xml:space="preserve">1999-07-07</x:t>
        </x:is>
      </x:c>
      <x:c r="J3658" s="3" t="inlineStr">
        <x:is>
          <x:t xml:space="preserve">浙江省杭州市萧山区北干街道博奥路1658号拓中大厦1幢27层-28层</x:t>
        </x:is>
      </x:c>
      <x:c r="K3658" s="12" t="str">
        <x:f>LEFT("91430000712108626U",18)</x:f>
        <x:v>91430000712108626U</x:v>
      </x:c>
    </x:row>
    <x:row r="3659">
      <x:c r="A3659" s="4" t="n">
        <x:v>3658</x:v>
      </x:c>
      <x:c r="B3659" s="4" t="inlineStr">
        <x:is>
          <x:t xml:space="preserve">000909</x:t>
        </x:is>
      </x:c>
      <x:c r="C3659" s="5" t="inlineStr">
        <x:is>
          <x:t xml:space="preserve">ST数源</x:t>
        </x:is>
      </x:c>
      <x:c r="D3659" s="5" t="inlineStr">
        <x:is>
          <x:t xml:space="preserve">数源科技股份有限公司</x:t>
        </x:is>
      </x:c>
      <x:c r="E3659" s="4" t="inlineStr">
        <x:is>
          <x:t xml:space="preserve">浙江省</x:t>
        </x:is>
      </x:c>
      <x:c r="F3659" s="4" t="inlineStr">
        <x:is>
          <x:t xml:space="preserve">杭州市</x:t>
        </x:is>
      </x:c>
      <x:c r="G3659" s="5" t="inlineStr">
        <x:is>
          <x:t xml:space="preserve">浙江省-杭州市</x:t>
        </x:is>
      </x:c>
      <x:c r="H3659" s="4" t="inlineStr">
        <x:is>
          <x:t xml:space="preserve">综合行业</x:t>
        </x:is>
      </x:c>
      <x:c r="I3659" s="4" t="inlineStr">
        <x:is>
          <x:t xml:space="preserve">1999-05-07</x:t>
        </x:is>
      </x:c>
      <x:c r="J3659" s="5" t="inlineStr">
        <x:is>
          <x:t xml:space="preserve">杭州市西湖区教工路一号</x:t>
        </x:is>
      </x:c>
      <x:c r="K3659" s="12" t="str">
        <x:f>LEFT("913300007125597931",18)</x:f>
        <x:v>913300007125598000</x:v>
      </x:c>
    </x:row>
    <x:row r="3660">
      <x:c r="A3660" s="2" t="n">
        <x:v>3659</x:v>
      </x:c>
      <x:c r="B3660" s="2" t="inlineStr">
        <x:is>
          <x:t xml:space="preserve">000913</x:t>
        </x:is>
      </x:c>
      <x:c r="C3660" s="3" t="inlineStr">
        <x:is>
          <x:t xml:space="preserve">钱江摩托</x:t>
        </x:is>
      </x:c>
      <x:c r="D3660" s="3" t="inlineStr">
        <x:is>
          <x:t xml:space="preserve">浙江钱江摩托股份有限公司</x:t>
        </x:is>
      </x:c>
      <x:c r="E3660" s="2" t="inlineStr">
        <x:is>
          <x:t xml:space="preserve">浙江省</x:t>
        </x:is>
      </x:c>
      <x:c r="F3660" s="2" t="inlineStr">
        <x:is>
          <x:t xml:space="preserve">台州市</x:t>
        </x:is>
      </x:c>
      <x:c r="G3660" s="3" t="inlineStr">
        <x:is>
          <x:t xml:space="preserve">浙江省-台州市</x:t>
        </x:is>
      </x:c>
      <x:c r="H3660" s="2" t="inlineStr">
        <x:is>
          <x:t xml:space="preserve">交运设备</x:t>
        </x:is>
      </x:c>
      <x:c r="I3660" s="2" t="inlineStr">
        <x:is>
          <x:t xml:space="preserve">1999-05-14</x:t>
        </x:is>
      </x:c>
      <x:c r="J3660" s="3" t="inlineStr">
        <x:is>
          <x:t xml:space="preserve">浙江省台州市温岭市东部新区湖海路1号(一照多址)</x:t>
        </x:is>
      </x:c>
      <x:c r="K3660" s="12" t="str">
        <x:f>LEFT("91330000712550473W",18)</x:f>
        <x:v>91330000712550473W</x:v>
      </x:c>
    </x:row>
    <x:row r="3661">
      <x:c r="A3661" s="4" t="n">
        <x:v>3660</x:v>
      </x:c>
      <x:c r="B3661" s="4" t="inlineStr">
        <x:is>
          <x:t xml:space="preserve">000925</x:t>
        </x:is>
      </x:c>
      <x:c r="C3661" s="5" t="inlineStr">
        <x:is>
          <x:t xml:space="preserve">众合科技</x:t>
        </x:is>
      </x:c>
      <x:c r="D3661" s="5" t="inlineStr">
        <x:is>
          <x:t xml:space="preserve">浙江众合科技股份有限公司</x:t>
        </x:is>
      </x:c>
      <x:c r="E3661" s="4" t="inlineStr">
        <x:is>
          <x:t xml:space="preserve">浙江省</x:t>
        </x:is>
      </x:c>
      <x:c r="F3661" s="4" t="inlineStr">
        <x:is>
          <x:t xml:space="preserve">杭州市</x:t>
        </x:is>
      </x:c>
      <x:c r="G3661" s="5" t="inlineStr">
        <x:is>
          <x:t xml:space="preserve">浙江省-杭州市</x:t>
        </x:is>
      </x:c>
      <x:c r="H3661" s="4" t="inlineStr">
        <x:is>
          <x:t xml:space="preserve">交运设备</x:t>
        </x:is>
      </x:c>
      <x:c r="I3661" s="4" t="inlineStr">
        <x:is>
          <x:t xml:space="preserve">1999-06-11</x:t>
        </x:is>
      </x:c>
      <x:c r="J3661" s="5" t="inlineStr">
        <x:is>
          <x:t xml:space="preserve">杭州市滨江区江汉路1785号双城国际4号楼17层</x:t>
        </x:is>
      </x:c>
      <x:c r="K3661" s="12" t="str">
        <x:f>LEFT("91330000712562466B",18)</x:f>
        <x:v>91330000712562466B</x:v>
      </x:c>
    </x:row>
    <x:row r="3662">
      <x:c r="A3662" s="2" t="n">
        <x:v>3661</x:v>
      </x:c>
      <x:c r="B3662" s="2" t="inlineStr">
        <x:is>
          <x:t xml:space="preserve">000963</x:t>
        </x:is>
      </x:c>
      <x:c r="C3662" s="3" t="inlineStr">
        <x:is>
          <x:t xml:space="preserve">华东医药</x:t>
        </x:is>
      </x:c>
      <x:c r="D3662" s="3" t="inlineStr">
        <x:is>
          <x:t xml:space="preserve">华东医药股份有限公司</x:t>
        </x:is>
      </x:c>
      <x:c r="E3662" s="2" t="inlineStr">
        <x:is>
          <x:t xml:space="preserve">浙江省</x:t>
        </x:is>
      </x:c>
      <x:c r="F3662" s="2" t="inlineStr">
        <x:is>
          <x:t xml:space="preserve">杭州市</x:t>
        </x:is>
      </x:c>
      <x:c r="G3662" s="3" t="inlineStr">
        <x:is>
          <x:t xml:space="preserve">浙江省-杭州市</x:t>
        </x:is>
      </x:c>
      <x:c r="H3662" s="2" t="inlineStr">
        <x:is>
          <x:t xml:space="preserve">医药制造</x:t>
        </x:is>
      </x:c>
      <x:c r="I3662" s="2" t="inlineStr">
        <x:is>
          <x:t xml:space="preserve">2000-01-27</x:t>
        </x:is>
      </x:c>
      <x:c r="J3662" s="3" t="inlineStr">
        <x:is>
          <x:t xml:space="preserve">浙江省杭州市拱墅区中山北路439号4、7楼</x:t>
        </x:is>
      </x:c>
      <x:c r="K3662" s="12" t="str">
        <x:f>LEFT("91330000143083157E",18)</x:f>
        <x:v>91330000143083157E</x:v>
      </x:c>
    </x:row>
    <x:row r="3663">
      <x:c r="A3663" s="4" t="n">
        <x:v>3662</x:v>
      </x:c>
      <x:c r="B3663" s="4" t="inlineStr">
        <x:is>
          <x:t xml:space="preserve">000967</x:t>
        </x:is>
      </x:c>
      <x:c r="C3663" s="5" t="inlineStr">
        <x:is>
          <x:t xml:space="preserve">盈峰环境</x:t>
        </x:is>
      </x:c>
      <x:c r="D3663" s="5" t="inlineStr">
        <x:is>
          <x:t xml:space="preserve">盈峰环境科技集团股份有限公司</x:t>
        </x:is>
      </x:c>
      <x:c r="E3663" s="4" t="inlineStr">
        <x:is>
          <x:t xml:space="preserve">浙江省</x:t>
        </x:is>
      </x:c>
      <x:c r="F3663" s="4" t="inlineStr">
        <x:is>
          <x:t xml:space="preserve">绍兴市</x:t>
        </x:is>
      </x:c>
      <x:c r="G3663" s="5" t="inlineStr">
        <x:is>
          <x:t xml:space="preserve">浙江省-绍兴市</x:t>
        </x:is>
      </x:c>
      <x:c r="H3663" s="4" t="inlineStr">
        <x:is>
          <x:t xml:space="preserve">环保工程</x:t>
        </x:is>
      </x:c>
      <x:c r="I3663" s="4" t="inlineStr">
        <x:is>
          <x:t xml:space="preserve">2000-03-30</x:t>
        </x:is>
      </x:c>
      <x:c r="J3663" s="5" t="inlineStr">
        <x:is>
          <x:t xml:space="preserve">浙江省绍兴市上虞区东关街道人民西路1818号</x:t>
        </x:is>
      </x:c>
      <x:c r="K3663" s="12" t="str">
        <x:f>LEFT("913300006096799222",18)</x:f>
        <x:v>913300006096799200</x:v>
      </x:c>
    </x:row>
    <x:row r="3664">
      <x:c r="A3664" s="2" t="n">
        <x:v>3663</x:v>
      </x:c>
      <x:c r="B3664" s="2" t="inlineStr">
        <x:is>
          <x:t xml:space="preserve">000980</x:t>
        </x:is>
      </x:c>
      <x:c r="C3664" s="3" t="inlineStr">
        <x:is>
          <x:t xml:space="preserve">众泰汽车</x:t>
        </x:is>
      </x:c>
      <x:c r="D3664" s="3" t="inlineStr">
        <x:is>
          <x:t xml:space="preserve">众泰汽车股份有限公司</x:t>
        </x:is>
      </x:c>
      <x:c r="E3664" s="2" t="inlineStr">
        <x:is>
          <x:t xml:space="preserve">浙江省</x:t>
        </x:is>
      </x:c>
      <x:c r="F3664" s="2" t="inlineStr">
        <x:is>
          <x:t xml:space="preserve">金华市</x:t>
        </x:is>
      </x:c>
      <x:c r="G3664" s="3" t="inlineStr">
        <x:is>
          <x:t xml:space="preserve">浙江省-金华市</x:t>
        </x:is>
      </x:c>
      <x:c r="H3664" s="2" t="inlineStr">
        <x:is>
          <x:t xml:space="preserve">汽车整车</x:t>
        </x:is>
      </x:c>
      <x:c r="I3664" s="2" t="inlineStr">
        <x:is>
          <x:t xml:space="preserve">2000-06-16</x:t>
        </x:is>
      </x:c>
      <x:c r="J3664" s="3" t="inlineStr">
        <x:is>
          <x:t xml:space="preserve">浙江省金华市永康市经济开发区北湖路1号</x:t>
        </x:is>
      </x:c>
      <x:c r="K3664" s="12" t="str">
        <x:f>LEFT("91340000711767072G",18)</x:f>
        <x:v>91340000711767072G</x:v>
      </x:c>
    </x:row>
    <x:row r="3665">
      <x:c r="A3665" s="4" t="n">
        <x:v>3664</x:v>
      </x:c>
      <x:c r="B3665" s="4" t="inlineStr">
        <x:is>
          <x:t xml:space="preserve">001211</x:t>
        </x:is>
      </x:c>
      <x:c r="C3665" s="5" t="inlineStr">
        <x:is>
          <x:t xml:space="preserve">双枪科技</x:t>
        </x:is>
      </x:c>
      <x:c r="D3665" s="5" t="inlineStr">
        <x:is>
          <x:t xml:space="preserve">双枪科技股份有限公司</x:t>
        </x:is>
      </x:c>
      <x:c r="E3665" s="4" t="inlineStr">
        <x:is>
          <x:t xml:space="preserve">浙江省</x:t>
        </x:is>
      </x:c>
      <x:c r="F3665" s="4" t="inlineStr">
        <x:is>
          <x:t xml:space="preserve">杭州市</x:t>
        </x:is>
      </x:c>
      <x:c r="G3665" s="5" t="inlineStr">
        <x:is>
          <x:t xml:space="preserve">浙江省-杭州市</x:t>
        </x:is>
      </x:c>
      <x:c r="H3665" s="4" t="inlineStr">
        <x:is>
          <x:t xml:space="preserve">家用轻工</x:t>
        </x:is>
      </x:c>
      <x:c r="I3665" s="4" t="inlineStr">
        <x:is>
          <x:t xml:space="preserve">2021-08-05</x:t>
        </x:is>
      </x:c>
      <x:c r="J3665" s="5" t="inlineStr">
        <x:is>
          <x:t xml:space="preserve">浙江省杭州市余杭区百丈镇竹城路103号</x:t>
        </x:is>
      </x:c>
      <x:c r="K3665" s="12" t="str">
        <x:f>LEFT("91330110744104574Q",18)</x:f>
        <x:v>91330110744104574Q</x:v>
      </x:c>
    </x:row>
    <x:row r="3666">
      <x:c r="A3666" s="2" t="n">
        <x:v>3665</x:v>
      </x:c>
      <x:c r="B3666" s="2" t="inlineStr">
        <x:is>
          <x:t xml:space="preserve">001222</x:t>
        </x:is>
      </x:c>
      <x:c r="C3666" s="3" t="inlineStr">
        <x:is>
          <x:t xml:space="preserve">源飞宠物</x:t>
        </x:is>
      </x:c>
      <x:c r="D3666" s="3" t="inlineStr">
        <x:is>
          <x:t xml:space="preserve">温州源飞宠物玩具制品股份有限公司</x:t>
        </x:is>
      </x:c>
      <x:c r="E3666" s="2" t="inlineStr">
        <x:is>
          <x:t xml:space="preserve">浙江省</x:t>
        </x:is>
      </x:c>
      <x:c r="F3666" s="2" t="inlineStr">
        <x:is>
          <x:t xml:space="preserve">温州市</x:t>
        </x:is>
      </x:c>
      <x:c r="G3666" s="3" t="inlineStr">
        <x:is>
          <x:t xml:space="preserve">浙江省-温州市</x:t>
        </x:is>
      </x:c>
      <x:c r="H3666" s="2" t="inlineStr">
        <x:is>
          <x:t xml:space="preserve">家用轻工</x:t>
        </x:is>
      </x:c>
      <x:c r="I3666" s="2" t="inlineStr">
        <x:is>
          <x:t xml:space="preserve">2022-08-18</x:t>
        </x:is>
      </x:c>
      <x:c r="J3666" s="3" t="inlineStr">
        <x:is>
          <x:t xml:space="preserve">浙江省平阳县水头镇标准园区宠乐路1号</x:t>
        </x:is>
      </x:c>
      <x:c r="K3666" s="12" t="str">
        <x:f>LEFT("91330326766445257X",18)</x:f>
        <x:v>91330326766445257X</x:v>
      </x:c>
    </x:row>
    <x:row r="3667">
      <x:c r="A3667" s="4" t="n">
        <x:v>3666</x:v>
      </x:c>
      <x:c r="B3667" s="4" t="inlineStr">
        <x:is>
          <x:t xml:space="preserve">001225</x:t>
        </x:is>
      </x:c>
      <x:c r="C3667" s="5" t="inlineStr">
        <x:is>
          <x:t xml:space="preserve">和泰机电</x:t>
        </x:is>
      </x:c>
      <x:c r="D3667" s="5" t="inlineStr">
        <x:is>
          <x:t xml:space="preserve">杭州和泰机电股份有限公司</x:t>
        </x:is>
      </x:c>
      <x:c r="E3667" s="4" t="inlineStr">
        <x:is>
          <x:t xml:space="preserve">浙江省</x:t>
        </x:is>
      </x:c>
      <x:c r="F3667" s="4" t="inlineStr">
        <x:is>
          <x:t xml:space="preserve">杭州市</x:t>
        </x:is>
      </x:c>
      <x:c r="G3667" s="5" t="inlineStr">
        <x:is>
          <x:t xml:space="preserve">浙江省-杭州市</x:t>
        </x:is>
      </x:c>
      <x:c r="H3667" s="4" t="inlineStr">
        <x:is>
          <x:t xml:space="preserve">通用设备</x:t>
        </x:is>
      </x:c>
      <x:c r="I3667" s="4" t="inlineStr">
        <x:is>
          <x:t xml:space="preserve">2023-02-22</x:t>
        </x:is>
      </x:c>
      <x:c r="J3667" s="5" t="inlineStr">
        <x:is>
          <x:t xml:space="preserve">萧山区宁围街道通惠北路1201号</x:t>
        </x:is>
      </x:c>
      <x:c r="K3667" s="12" t="str">
        <x:f>LEFT("913301092556918005",18)</x:f>
        <x:v>913301092556918000</x:v>
      </x:c>
    </x:row>
    <x:row r="3668">
      <x:c r="A3668" s="2" t="n">
        <x:v>3667</x:v>
      </x:c>
      <x:c r="B3668" s="2" t="inlineStr">
        <x:is>
          <x:t xml:space="preserve">001228</x:t>
        </x:is>
      </x:c>
      <x:c r="C3668" s="3" t="inlineStr">
        <x:is>
          <x:t xml:space="preserve">永泰运</x:t>
        </x:is>
      </x:c>
      <x:c r="D3668" s="3" t="inlineStr">
        <x:is>
          <x:t xml:space="preserve">永泰运化工物流股份有限公司</x:t>
        </x:is>
      </x:c>
      <x:c r="E3668" s="2" t="inlineStr">
        <x:is>
          <x:t xml:space="preserve">浙江省</x:t>
        </x:is>
      </x:c>
      <x:c r="F3668" s="2" t="inlineStr">
        <x:is>
          <x:t xml:space="preserve">宁波市</x:t>
        </x:is>
      </x:c>
      <x:c r="G3668" s="3" t="inlineStr">
        <x:is>
          <x:t xml:space="preserve">浙江省-宁波市</x:t>
        </x:is>
      </x:c>
      <x:c r="H3668" s="2" t="inlineStr">
        <x:is>
          <x:t xml:space="preserve">物流行业</x:t>
        </x:is>
      </x:c>
      <x:c r="I3668" s="2" t="inlineStr">
        <x:is>
          <x:t xml:space="preserve">2022-04-29</x:t>
        </x:is>
      </x:c>
      <x:c r="J3668" s="3" t="inlineStr">
        <x:is>
          <x:t xml:space="preserve">浙江省宁波市北仑区海发路17号1幢1号301室</x:t>
        </x:is>
      </x:c>
      <x:c r="K3668" s="12" t="str">
        <x:f>LEFT("91330204746303411D",18)</x:f>
        <x:v>91330204746303411D</x:v>
      </x:c>
    </x:row>
    <x:row r="3669">
      <x:c r="A3669" s="4" t="n">
        <x:v>3668</x:v>
      </x:c>
      <x:c r="B3669" s="4" t="inlineStr">
        <x:is>
          <x:t xml:space="preserve">001238</x:t>
        </x:is>
      </x:c>
      <x:c r="C3669" s="5" t="inlineStr">
        <x:is>
          <x:t xml:space="preserve">浙江正特</x:t>
        </x:is>
      </x:c>
      <x:c r="D3669" s="5" t="inlineStr">
        <x:is>
          <x:t xml:space="preserve">浙江正特股份有限公司</x:t>
        </x:is>
      </x:c>
      <x:c r="E3669" s="4" t="inlineStr">
        <x:is>
          <x:t xml:space="preserve">浙江省</x:t>
        </x:is>
      </x:c>
      <x:c r="F3669" s="4" t="inlineStr">
        <x:is>
          <x:t xml:space="preserve">临海市</x:t>
        </x:is>
      </x:c>
      <x:c r="G3669" s="5" t="inlineStr">
        <x:is>
          <x:t xml:space="preserve">浙江省-临海市</x:t>
        </x:is>
      </x:c>
      <x:c r="H3669" s="4" t="inlineStr">
        <x:is>
          <x:t xml:space="preserve">装修建材</x:t>
        </x:is>
      </x:c>
      <x:c r="I3669" s="4" t="inlineStr">
        <x:is>
          <x:t xml:space="preserve">2022-09-19</x:t>
        </x:is>
      </x:c>
      <x:c r="J3669" s="5" t="inlineStr">
        <x:is>
          <x:t xml:space="preserve">临海市东方大道811号</x:t>
        </x:is>
      </x:c>
      <x:c r="K3669" s="12" t="str">
        <x:f>LEFT("91331082255225797Q",18)</x:f>
        <x:v>91331082255225797Q</x:v>
      </x:c>
    </x:row>
    <x:row r="3670">
      <x:c r="A3670" s="2" t="n">
        <x:v>3669</x:v>
      </x:c>
      <x:c r="B3670" s="2" t="inlineStr">
        <x:is>
          <x:t xml:space="preserve">001255</x:t>
        </x:is>
      </x:c>
      <x:c r="C3670" s="3" t="inlineStr">
        <x:is>
          <x:t xml:space="preserve">博菲电气</x:t>
        </x:is>
      </x:c>
      <x:c r="D3670" s="3" t="inlineStr">
        <x:is>
          <x:t xml:space="preserve">浙江博菲电气股份有限公司</x:t>
        </x:is>
      </x:c>
      <x:c r="E3670" s="2" t="inlineStr">
        <x:is>
          <x:t xml:space="preserve">浙江省</x:t>
        </x:is>
      </x:c>
      <x:c r="F3670" s="2" t="inlineStr">
        <x:is>
          <x:t xml:space="preserve">嘉兴市</x:t>
        </x:is>
      </x:c>
      <x:c r="G3670" s="3" t="inlineStr">
        <x:is>
          <x:t xml:space="preserve">浙江省-嘉兴市</x:t>
        </x:is>
      </x:c>
      <x:c r="H3670" s="2" t="inlineStr">
        <x:is>
          <x:t xml:space="preserve">化学原料</x:t>
        </x:is>
      </x:c>
      <x:c r="I3670" s="2" t="inlineStr">
        <x:is>
          <x:t xml:space="preserve">2022-09-30</x:t>
        </x:is>
      </x:c>
      <x:c r="J3670" s="3" t="inlineStr">
        <x:is>
          <x:t xml:space="preserve">浙江省嘉兴市海宁市海宁经济开发区杭平路16号</x:t>
        </x:is>
      </x:c>
      <x:c r="K3670" s="12" t="str">
        <x:f>LEFT("91330481799606731M",18)</x:f>
        <x:v>91330481799606731M</x:v>
      </x:c>
    </x:row>
    <x:row r="3671">
      <x:c r="A3671" s="4" t="n">
        <x:v>3670</x:v>
      </x:c>
      <x:c r="B3671" s="4" t="inlineStr">
        <x:is>
          <x:t xml:space="preserve">001256</x:t>
        </x:is>
      </x:c>
      <x:c r="C3671" s="5" t="inlineStr">
        <x:is>
          <x:t xml:space="preserve">炜冈科技</x:t>
        </x:is>
      </x:c>
      <x:c r="D3671" s="5" t="inlineStr">
        <x:is>
          <x:t xml:space="preserve">浙江炜冈科技股份有限公司</x:t>
        </x:is>
      </x:c>
      <x:c r="E3671" s="4" t="inlineStr">
        <x:is>
          <x:t xml:space="preserve">浙江省</x:t>
        </x:is>
      </x:c>
      <x:c r="F3671" s="4" t="inlineStr">
        <x:is>
          <x:t xml:space="preserve">温州市</x:t>
        </x:is>
      </x:c>
      <x:c r="G3671" s="5" t="inlineStr">
        <x:is>
          <x:t xml:space="preserve">浙江省-温州市</x:t>
        </x:is>
      </x:c>
      <x:c r="H3671" s="4" t="inlineStr">
        <x:is>
          <x:t xml:space="preserve">专用设备</x:t>
        </x:is>
      </x:c>
      <x:c r="I3671" s="4" t="inlineStr">
        <x:is>
          <x:t xml:space="preserve">2022-12-05</x:t>
        </x:is>
      </x:c>
      <x:c r="J3671" s="5" t="inlineStr">
        <x:is>
          <x:t xml:space="preserve">浙江省平阳县第一农场第四作区</x:t>
        </x:is>
      </x:c>
      <x:c r="K3671" s="12" t="str">
        <x:f>LEFT("91330326661705454E",18)</x:f>
        <x:v>91330326661705454E</x:v>
      </x:c>
    </x:row>
    <x:row r="3672">
      <x:c r="A3672" s="2" t="n">
        <x:v>3671</x:v>
      </x:c>
      <x:c r="B3672" s="2" t="inlineStr">
        <x:is>
          <x:t xml:space="preserve">001270</x:t>
        </x:is>
      </x:c>
      <x:c r="C3672" s="3" t="inlineStr">
        <x:is>
          <x:t xml:space="preserve">*ST铖昌</x:t>
        </x:is>
      </x:c>
      <x:c r="D3672" s="3" t="inlineStr">
        <x:is>
          <x:t xml:space="preserve">浙江铖昌科技股份有限公司</x:t>
        </x:is>
      </x:c>
      <x:c r="E3672" s="2" t="inlineStr">
        <x:is>
          <x:t xml:space="preserve">浙江省</x:t>
        </x:is>
      </x:c>
      <x:c r="F3672" s="2" t="inlineStr">
        <x:is>
          <x:t xml:space="preserve">杭州市</x:t>
        </x:is>
      </x:c>
      <x:c r="G3672" s="3" t="inlineStr">
        <x:is>
          <x:t xml:space="preserve">浙江省-杭州市</x:t>
        </x:is>
      </x:c>
      <x:c r="H3672" s="2" t="inlineStr">
        <x:is>
          <x:t xml:space="preserve">半导体</x:t>
        </x:is>
      </x:c>
      <x:c r="I3672" s="2" t="inlineStr">
        <x:is>
          <x:t xml:space="preserve">2022-06-06</x:t>
        </x:is>
      </x:c>
      <x:c r="J3672" s="3" t="inlineStr">
        <x:is>
          <x:t xml:space="preserve">浙江省杭州市西湖区智强路428号云创镓谷研发中心3号楼</x:t>
        </x:is>
      </x:c>
      <x:c r="K3672" s="12" t="str">
        <x:f>LEFT("91330106563049270A",18)</x:f>
        <x:v>91330106563049270A</x:v>
      </x:c>
    </x:row>
    <x:row r="3673">
      <x:c r="A3673" s="4" t="n">
        <x:v>3672</x:v>
      </x:c>
      <x:c r="B3673" s="4" t="inlineStr">
        <x:is>
          <x:t xml:space="preserve">001278</x:t>
        </x:is>
      </x:c>
      <x:c r="C3673" s="5" t="inlineStr">
        <x:is>
          <x:t xml:space="preserve">一彬科技</x:t>
        </x:is>
      </x:c>
      <x:c r="D3673" s="5" t="inlineStr">
        <x:is>
          <x:t xml:space="preserve">宁波一彬电子科技股份有限公司</x:t>
        </x:is>
      </x:c>
      <x:c r="E3673" s="4" t="inlineStr">
        <x:is>
          <x:t xml:space="preserve">浙江省</x:t>
        </x:is>
      </x:c>
      <x:c r="F3673" s="4" t="inlineStr">
        <x:is>
          <x:t xml:space="preserve">江省慈溪市</x:t>
        </x:is>
      </x:c>
      <x:c r="G3673" s="5" t="inlineStr">
        <x:is>
          <x:t xml:space="preserve">浙江省-江省慈溪市</x:t>
        </x:is>
      </x:c>
      <x:c r="H3673" s="4" t="inlineStr">
        <x:is>
          <x:t xml:space="preserve">汽车零部件</x:t>
        </x:is>
      </x:c>
      <x:c r="I3673" s="4" t="inlineStr">
        <x:is>
          <x:t xml:space="preserve">2023-03-08</x:t>
        </x:is>
      </x:c>
      <x:c r="J3673" s="5" t="inlineStr">
        <x:is>
          <x:t xml:space="preserve">浙江省慈溪市周巷镇兴业北路东侧工业园区</x:t>
        </x:is>
      </x:c>
      <x:c r="K3673" s="12" t="str">
        <x:f>LEFT("91330282793008263G",18)</x:f>
        <x:v>91330282793008263G</x:v>
      </x:c>
    </x:row>
    <x:row r="3674">
      <x:c r="A3674" s="2" t="n">
        <x:v>3673</x:v>
      </x:c>
      <x:c r="B3674" s="2" t="inlineStr">
        <x:is>
          <x:t xml:space="preserve">001306</x:t>
        </x:is>
      </x:c>
      <x:c r="C3674" s="3" t="inlineStr">
        <x:is>
          <x:t xml:space="preserve">夏厦精密</x:t>
        </x:is>
      </x:c>
      <x:c r="D3674" s="3" t="inlineStr">
        <x:is>
          <x:t xml:space="preserve">浙江夏厦精密制造股份有限公司</x:t>
        </x:is>
      </x:c>
      <x:c r="E3674" s="2" t="inlineStr">
        <x:is>
          <x:t xml:space="preserve">浙江省</x:t>
        </x:is>
      </x:c>
      <x:c r="F3674" s="2" t="inlineStr">
        <x:is>
          <x:t xml:space="preserve">宁波市</x:t>
        </x:is>
      </x:c>
      <x:c r="G3674" s="3" t="inlineStr">
        <x:is>
          <x:t xml:space="preserve">浙江省-宁波市</x:t>
        </x:is>
      </x:c>
      <x:c r="H3674" s="2" t="inlineStr">
        <x:is>
          <x:t xml:space="preserve">通用设备</x:t>
        </x:is>
      </x:c>
      <x:c r="I3674" s="2" t="inlineStr">
        <x:is>
          <x:t xml:space="preserve">2023-11-16</x:t>
        </x:is>
      </x:c>
      <x:c r="J3674" s="3" t="inlineStr">
        <x:is>
          <x:t xml:space="preserve">浙江省宁波市镇海区骆驼工业小区荣吉路</x:t>
        </x:is>
      </x:c>
      <x:c r="K3674" s="12" t="str">
        <x:f>LEFT("91330211713347477D",18)</x:f>
        <x:v>91330211713347477D</x:v>
      </x:c>
    </x:row>
    <x:row r="3675">
      <x:c r="A3675" s="4" t="n">
        <x:v>3674</x:v>
      </x:c>
      <x:c r="B3675" s="4" t="inlineStr">
        <x:is>
          <x:t xml:space="preserve">001325</x:t>
        </x:is>
      </x:c>
      <x:c r="C3675" s="5" t="inlineStr">
        <x:is>
          <x:t xml:space="preserve">元创股份</x:t>
        </x:is>
      </x:c>
      <x:c r="D3675" s="5" t="inlineStr">
        <x:is>
          <x:t xml:space="preserve">元创科技股份有限公司</x:t>
        </x:is>
      </x:c>
      <x:c r="E3675" s="4" t="inlineStr">
        <x:is>
          <x:t xml:space="preserve">浙江省</x:t>
        </x:is>
      </x:c>
      <x:c r="F3675" s="4" t="inlineStr">
        <x:is>
          <x:t xml:space="preserve">台州市</x:t>
        </x:is>
      </x:c>
      <x:c r="G3675" s="5" t="inlineStr">
        <x:is>
          <x:t xml:space="preserve">浙江省-台州市</x:t>
        </x:is>
      </x:c>
      <x:c r="H3675" s="4" t="inlineStr">
        <x:is>
          <x:t xml:space="preserve">橡胶制品</x:t>
        </x:is>
      </x:c>
      <x:c r="I3675" s="4" t="inlineStr">
        <x:is>
          <x:t xml:space="preserve">2025-12-18</x:t>
        </x:is>
      </x:c>
      <x:c r="J3675" s="5" t="inlineStr">
        <x:is>
          <x:t xml:space="preserve">浙江省台州市三门县海润街道旗海路55号</x:t>
        </x:is>
      </x:c>
      <x:c r="K3675" s="12" t="str">
        <x:f>LEFT("91331022148101158Y",18)</x:f>
        <x:v>91331022148101158Y</x:v>
      </x:c>
    </x:row>
    <x:row r="3676">
      <x:c r="A3676" s="2" t="n">
        <x:v>3675</x:v>
      </x:c>
      <x:c r="B3676" s="2" t="inlineStr">
        <x:is>
          <x:t xml:space="preserve">001333</x:t>
        </x:is>
      </x:c>
      <x:c r="C3676" s="3" t="inlineStr">
        <x:is>
          <x:t xml:space="preserve">光华股份</x:t>
        </x:is>
      </x:c>
      <x:c r="D3676" s="3" t="inlineStr">
        <x:is>
          <x:t xml:space="preserve">浙江光华科技股份有限公司</x:t>
        </x:is>
      </x:c>
      <x:c r="E3676" s="2" t="inlineStr">
        <x:is>
          <x:t xml:space="preserve">浙江省</x:t>
        </x:is>
      </x:c>
      <x:c r="F3676" s="2" t="inlineStr">
        <x:is>
          <x:t xml:space="preserve">嘉兴市</x:t>
        </x:is>
      </x:c>
      <x:c r="G3676" s="3" t="inlineStr">
        <x:is>
          <x:t xml:space="preserve">浙江省-嘉兴市</x:t>
        </x:is>
      </x:c>
      <x:c r="H3676" s="2" t="inlineStr">
        <x:is>
          <x:t xml:space="preserve">化学制品</x:t>
        </x:is>
      </x:c>
      <x:c r="I3676" s="2" t="inlineStr">
        <x:is>
          <x:t xml:space="preserve">2022-12-08</x:t>
        </x:is>
      </x:c>
      <x:c r="J3676" s="3" t="inlineStr">
        <x:is>
          <x:t xml:space="preserve">浙江省嘉兴市海宁市盐官镇环园东路3-1号</x:t>
        </x:is>
      </x:c>
      <x:c r="K3676" s="12" t="str">
        <x:f>LEFT("91330481307761859N",18)</x:f>
        <x:v>91330481307761859N</x:v>
      </x:c>
    </x:row>
    <x:row r="3677">
      <x:c r="A3677" s="4" t="n">
        <x:v>3676</x:v>
      </x:c>
      <x:c r="B3677" s="4" t="inlineStr">
        <x:is>
          <x:t xml:space="preserve">001335</x:t>
        </x:is>
      </x:c>
      <x:c r="C3677" s="5" t="inlineStr">
        <x:is>
          <x:t xml:space="preserve">信凯科技</x:t>
        </x:is>
      </x:c>
      <x:c r="D3677" s="5" t="inlineStr">
        <x:is>
          <x:t xml:space="preserve">浙江信凯科技集团股份有限公司</x:t>
        </x:is>
      </x:c>
      <x:c r="E3677" s="4" t="inlineStr">
        <x:is>
          <x:t xml:space="preserve">浙江省</x:t>
        </x:is>
      </x:c>
      <x:c r="F3677" s="4" t="inlineStr">
        <x:is>
          <x:t xml:space="preserve">杭州市</x:t>
        </x:is>
      </x:c>
      <x:c r="G3677" s="5" t="inlineStr">
        <x:is>
          <x:t xml:space="preserve">浙江省-杭州市</x:t>
        </x:is>
      </x:c>
      <x:c r="H3677" s="4" t="inlineStr">
        <x:is>
          <x:t xml:space="preserve">化学制品</x:t>
        </x:is>
      </x:c>
      <x:c r="I3677" s="4" t="inlineStr">
        <x:is>
          <x:t xml:space="preserve">2025-04-15</x:t>
        </x:is>
      </x:c>
      <x:c r="J3677" s="5" t="inlineStr">
        <x:is>
          <x:t xml:space="preserve">浙江省杭州市余杭区仓前街道东莲街1069号2幢,3幢1-3层</x:t>
        </x:is>
      </x:c>
      <x:c r="K3677" s="12" t="str">
        <x:f>LEFT("913301061432551905",18)</x:f>
        <x:v>913301061432552000</x:v>
      </x:c>
    </x:row>
    <x:row r="3678">
      <x:c r="A3678" s="2" t="n">
        <x:v>3677</x:v>
      </x:c>
      <x:c r="B3678" s="2" t="inlineStr">
        <x:is>
          <x:t xml:space="preserve">001336</x:t>
        </x:is>
      </x:c>
      <x:c r="C3678" s="3" t="inlineStr">
        <x:is>
          <x:t xml:space="preserve">楚环科技</x:t>
        </x:is>
      </x:c>
      <x:c r="D3678" s="3" t="inlineStr">
        <x:is>
          <x:t xml:space="preserve">杭州楚环科技股份有限公司</x:t>
        </x:is>
      </x:c>
      <x:c r="E3678" s="2" t="inlineStr">
        <x:is>
          <x:t xml:space="preserve">浙江省</x:t>
        </x:is>
      </x:c>
      <x:c r="F3678" s="2" t="inlineStr">
        <x:is>
          <x:t xml:space="preserve">杭州市</x:t>
        </x:is>
      </x:c>
      <x:c r="G3678" s="3" t="inlineStr">
        <x:is>
          <x:t xml:space="preserve">浙江省-杭州市</x:t>
        </x:is>
      </x:c>
      <x:c r="H3678" s="2" t="inlineStr">
        <x:is>
          <x:t xml:space="preserve">专用设备</x:t>
        </x:is>
      </x:c>
      <x:c r="I3678" s="2" t="inlineStr">
        <x:is>
          <x:t xml:space="preserve">2022-07-25</x:t>
        </x:is>
      </x:c>
      <x:c r="J3678" s="3" t="inlineStr">
        <x:is>
          <x:t xml:space="preserve">浙江省杭州市拱墅区星桥街388号A座701室</x:t>
        </x:is>
      </x:c>
      <x:c r="K3678" s="12" t="str">
        <x:f>LEFT("91330105773584319P",18)</x:f>
        <x:v>91330105773584319P</x:v>
      </x:c>
    </x:row>
    <x:row r="3679">
      <x:c r="A3679" s="4" t="n">
        <x:v>3678</x:v>
      </x:c>
      <x:c r="B3679" s="4" t="inlineStr">
        <x:is>
          <x:t xml:space="preserve">001356</x:t>
        </x:is>
      </x:c>
      <x:c r="C3679" s="5" t="inlineStr">
        <x:is>
          <x:t xml:space="preserve">富岭股份</x:t>
        </x:is>
      </x:c>
      <x:c r="D3679" s="5" t="inlineStr">
        <x:is>
          <x:t xml:space="preserve">富岭科技股份有限公司</x:t>
        </x:is>
      </x:c>
      <x:c r="E3679" s="4" t="inlineStr">
        <x:is>
          <x:t xml:space="preserve">浙江省</x:t>
        </x:is>
      </x:c>
      <x:c r="F3679" s="4" t="inlineStr">
        <x:is>
          <x:t xml:space="preserve">台州市</x:t>
        </x:is>
      </x:c>
      <x:c r="G3679" s="5" t="inlineStr">
        <x:is>
          <x:t xml:space="preserve">浙江省-台州市</x:t>
        </x:is>
      </x:c>
      <x:c r="H3679" s="4" t="inlineStr">
        <x:is>
          <x:t xml:space="preserve">塑料制品</x:t>
        </x:is>
      </x:c>
      <x:c r="I3679" s="4" t="inlineStr">
        <x:is>
          <x:t xml:space="preserve">2025-01-23</x:t>
        </x:is>
      </x:c>
      <x:c r="J3679" s="5" t="inlineStr">
        <x:is>
          <x:t xml:space="preserve">浙江省台州市温岭市东部新区金塘南路88号</x:t>
        </x:is>
      </x:c>
      <x:c r="K3679" s="12" t="str">
        <x:f>LEFT("91331081610003022Y",18)</x:f>
        <x:v>91331081610003022Y</x:v>
      </x:c>
    </x:row>
    <x:row r="3680">
      <x:c r="A3680" s="2" t="n">
        <x:v>3679</x:v>
      </x:c>
      <x:c r="B3680" s="2" t="inlineStr">
        <x:is>
          <x:t xml:space="preserve">001358</x:t>
        </x:is>
      </x:c>
      <x:c r="C3680" s="3" t="inlineStr">
        <x:is>
          <x:t xml:space="preserve">兴欣新材</x:t>
        </x:is>
      </x:c>
      <x:c r="D3680" s="3" t="inlineStr">
        <x:is>
          <x:t xml:space="preserve">绍兴兴欣新材料股份有限公司</x:t>
        </x:is>
      </x:c>
      <x:c r="E3680" s="2" t="inlineStr">
        <x:is>
          <x:t xml:space="preserve">浙江省</x:t>
        </x:is>
      </x:c>
      <x:c r="F3680" s="2" t="inlineStr">
        <x:is>
          <x:t xml:space="preserve">杭州市</x:t>
        </x:is>
      </x:c>
      <x:c r="G3680" s="3" t="inlineStr">
        <x:is>
          <x:t xml:space="preserve">浙江省-杭州市</x:t>
        </x:is>
      </x:c>
      <x:c r="H3680" s="2" t="inlineStr">
        <x:is>
          <x:t xml:space="preserve">化学原料</x:t>
        </x:is>
      </x:c>
      <x:c r="I3680" s="2" t="inlineStr">
        <x:is>
          <x:t xml:space="preserve">2023-12-21</x:t>
        </x:is>
      </x:c>
      <x:c r="J3680" s="3" t="inlineStr">
        <x:is>
          <x:t xml:space="preserve">浙江省杭州湾上虞经济技术开发区拓展路2号</x:t>
        </x:is>
      </x:c>
      <x:c r="K3680" s="12" t="str">
        <x:f>LEFT("9133060074050700X4",18)</x:f>
        <x:v>9133060074050700X4</x:v>
      </x:c>
    </x:row>
    <x:row r="3681">
      <x:c r="A3681" s="4" t="n">
        <x:v>3680</x:v>
      </x:c>
      <x:c r="B3681" s="4" t="inlineStr">
        <x:is>
          <x:t xml:space="preserve">001367</x:t>
        </x:is>
      </x:c>
      <x:c r="C3681" s="5" t="inlineStr">
        <x:is>
          <x:t xml:space="preserve">海森药业</x:t>
        </x:is>
      </x:c>
      <x:c r="D3681" s="5" t="inlineStr">
        <x:is>
          <x:t xml:space="preserve">浙江海森药业股份有限公司</x:t>
        </x:is>
      </x:c>
      <x:c r="E3681" s="4" t="inlineStr">
        <x:is>
          <x:t xml:space="preserve">浙江省</x:t>
        </x:is>
      </x:c>
      <x:c r="F3681" s="4" t="inlineStr">
        <x:is>
          <x:t xml:space="preserve">江省东阳市</x:t>
        </x:is>
      </x:c>
      <x:c r="G3681" s="5" t="inlineStr">
        <x:is>
          <x:t xml:space="preserve">浙江省-江省东阳市</x:t>
        </x:is>
      </x:c>
      <x:c r="H3681" s="4" t="inlineStr">
        <x:is>
          <x:t xml:space="preserve">化学制药</x:t>
        </x:is>
      </x:c>
      <x:c r="I3681" s="4" t="inlineStr">
        <x:is>
          <x:t xml:space="preserve">2023-04-10</x:t>
        </x:is>
      </x:c>
      <x:c r="J3681" s="5" t="inlineStr">
        <x:is>
          <x:t xml:space="preserve">浙江省东阳市六石街道香潭村</x:t>
        </x:is>
      </x:c>
      <x:c r="K3681" s="12" t="str">
        <x:f>LEFT("913307837045812886",18)</x:f>
        <x:v>913307837045812900</x:v>
      </x:c>
    </x:row>
    <x:row r="3682">
      <x:c r="A3682" s="2" t="n">
        <x:v>3681</x:v>
      </x:c>
      <x:c r="B3682" s="2" t="inlineStr">
        <x:is>
          <x:t xml:space="preserve">001380</x:t>
        </x:is>
      </x:c>
      <x:c r="C3682" s="3" t="inlineStr">
        <x:is>
          <x:t xml:space="preserve">华纬科技</x:t>
        </x:is>
      </x:c>
      <x:c r="D3682" s="3" t="inlineStr">
        <x:is>
          <x:t xml:space="preserve">华纬科技股份有限公司</x:t>
        </x:is>
      </x:c>
      <x:c r="E3682" s="2" t="inlineStr">
        <x:is>
          <x:t xml:space="preserve">浙江省</x:t>
        </x:is>
      </x:c>
      <x:c r="F3682" s="2" t="inlineStr">
        <x:is>
          <x:t xml:space="preserve">江省诸暨市</x:t>
        </x:is>
      </x:c>
      <x:c r="G3682" s="3" t="inlineStr">
        <x:is>
          <x:t xml:space="preserve">浙江省-江省诸暨市</x:t>
        </x:is>
      </x:c>
      <x:c r="H3682" s="2" t="inlineStr">
        <x:is>
          <x:t xml:space="preserve">通用设备</x:t>
        </x:is>
      </x:c>
      <x:c r="I3682" s="2" t="inlineStr">
        <x:is>
          <x:t xml:space="preserve">2023-05-16</x:t>
        </x:is>
      </x:c>
      <x:c r="J3682" s="3" t="inlineStr">
        <x:is>
          <x:t xml:space="preserve">浙江省诸暨市陶朱街道千禧路26号</x:t>
        </x:is>
      </x:c>
      <x:c r="K3682" s="12" t="str">
        <x:f>LEFT("913306007743605362",18)</x:f>
        <x:v>913306007743605400</x:v>
      </x:c>
    </x:row>
    <x:row r="3683">
      <x:c r="A3683" s="4" t="n">
        <x:v>3682</x:v>
      </x:c>
      <x:c r="B3683" s="4" t="inlineStr">
        <x:is>
          <x:t xml:space="preserve">002001</x:t>
        </x:is>
      </x:c>
      <x:c r="C3683" s="5" t="inlineStr">
        <x:is>
          <x:t xml:space="preserve">新和成</x:t>
        </x:is>
      </x:c>
      <x:c r="D3683" s="5" t="inlineStr">
        <x:is>
          <x:t xml:space="preserve">浙江新和成股份有限公司</x:t>
        </x:is>
      </x:c>
      <x:c r="E3683" s="4" t="inlineStr">
        <x:is>
          <x:t xml:space="preserve">浙江省</x:t>
        </x:is>
      </x:c>
      <x:c r="F3683" s="4" t="inlineStr">
        <x:is>
          <x:t xml:space="preserve">绍兴市</x:t>
        </x:is>
      </x:c>
      <x:c r="G3683" s="5" t="inlineStr">
        <x:is>
          <x:t xml:space="preserve">浙江省-绍兴市</x:t>
        </x:is>
      </x:c>
      <x:c r="H3683" s="4" t="inlineStr">
        <x:is>
          <x:t xml:space="preserve">医药制造</x:t>
        </x:is>
      </x:c>
      <x:c r="I3683" s="4" t="inlineStr">
        <x:is>
          <x:t xml:space="preserve">2004-06-25</x:t>
        </x:is>
      </x:c>
      <x:c r="J3683" s="5" t="inlineStr">
        <x:is>
          <x:t xml:space="preserve">浙江省新昌县七星街道新昌大道西路418号</x:t>
        </x:is>
      </x:c>
      <x:c r="K3683" s="12" t="str">
        <x:f>LEFT("91330000712560575G",18)</x:f>
        <x:v>91330000712560575G</x:v>
      </x:c>
    </x:row>
    <x:row r="3684">
      <x:c r="A3684" s="2" t="n">
        <x:v>3683</x:v>
      </x:c>
      <x:c r="B3684" s="2" t="inlineStr">
        <x:is>
          <x:t xml:space="preserve">002003</x:t>
        </x:is>
      </x:c>
      <x:c r="C3684" s="3" t="inlineStr">
        <x:is>
          <x:t xml:space="preserve">伟星股份</x:t>
        </x:is>
      </x:c>
      <x:c r="D3684" s="3" t="inlineStr">
        <x:is>
          <x:t xml:space="preserve">浙江伟星实业发展股份有限公司</x:t>
        </x:is>
      </x:c>
      <x:c r="E3684" s="2" t="inlineStr">
        <x:is>
          <x:t xml:space="preserve">浙江省</x:t>
        </x:is>
      </x:c>
      <x:c r="F3684" s="2" t="inlineStr">
        <x:is>
          <x:t xml:space="preserve">江省临海市</x:t>
        </x:is>
      </x:c>
      <x:c r="G3684" s="3" t="inlineStr">
        <x:is>
          <x:t xml:space="preserve">浙江省-江省临海市</x:t>
        </x:is>
      </x:c>
      <x:c r="H3684" s="2" t="inlineStr">
        <x:is>
          <x:t xml:space="preserve">纺织服装</x:t>
        </x:is>
      </x:c>
      <x:c r="I3684" s="2" t="inlineStr">
        <x:is>
          <x:t xml:space="preserve">2004-06-25</x:t>
        </x:is>
      </x:c>
      <x:c r="J3684" s="3" t="inlineStr">
        <x:is>
          <x:t xml:space="preserve">浙江省临海市花园工业区</x:t>
        </x:is>
      </x:c>
      <x:c r="K3684" s="12" t="str">
        <x:f>LEFT("91330000722765769J",18)</x:f>
        <x:v>91330000722765769J</x:v>
      </x:c>
    </x:row>
    <x:row r="3685">
      <x:c r="A3685" s="4" t="n">
        <x:v>3684</x:v>
      </x:c>
      <x:c r="B3685" s="4" t="inlineStr">
        <x:is>
          <x:t xml:space="preserve">002006</x:t>
        </x:is>
      </x:c>
      <x:c r="C3685" s="5" t="inlineStr">
        <x:is>
          <x:t xml:space="preserve">精工科技</x:t>
        </x:is>
      </x:c>
      <x:c r="D3685" s="5" t="inlineStr">
        <x:is>
          <x:t xml:space="preserve">浙江精工集成科技股份有限公司</x:t>
        </x:is>
      </x:c>
      <x:c r="E3685" s="4" t="inlineStr">
        <x:is>
          <x:t xml:space="preserve">浙江省</x:t>
        </x:is>
      </x:c>
      <x:c r="F3685" s="4" t="inlineStr">
        <x:is>
          <x:t xml:space="preserve">绍兴市</x:t>
        </x:is>
      </x:c>
      <x:c r="G3685" s="5" t="inlineStr">
        <x:is>
          <x:t xml:space="preserve">浙江省-绍兴市</x:t>
        </x:is>
      </x:c>
      <x:c r="H3685" s="4" t="inlineStr">
        <x:is>
          <x:t xml:space="preserve">专用设备</x:t>
        </x:is>
      </x:c>
      <x:c r="I3685" s="4" t="inlineStr">
        <x:is>
          <x:t xml:space="preserve">2004-06-25</x:t>
        </x:is>
      </x:c>
      <x:c r="J3685" s="5" t="inlineStr">
        <x:is>
          <x:t xml:space="preserve">浙江省绍兴市柯桥区鉴湖路1809号</x:t>
        </x:is>
      </x:c>
      <x:c r="K3685" s="12" t="str">
        <x:f>LEFT("91330000723629566F",18)</x:f>
        <x:v>91330000723629566F</x:v>
      </x:c>
    </x:row>
    <x:row r="3686">
      <x:c r="A3686" s="2" t="n">
        <x:v>3685</x:v>
      </x:c>
      <x:c r="B3686" s="2" t="inlineStr">
        <x:is>
          <x:t xml:space="preserve">002010</x:t>
        </x:is>
      </x:c>
      <x:c r="C3686" s="3" t="inlineStr">
        <x:is>
          <x:t xml:space="preserve">传化智联</x:t>
        </x:is>
      </x:c>
      <x:c r="D3686" s="3" t="inlineStr">
        <x:is>
          <x:t xml:space="preserve">传化智联股份有限公司</x:t>
        </x:is>
      </x:c>
      <x:c r="E3686" s="2" t="inlineStr">
        <x:is>
          <x:t xml:space="preserve">浙江省</x:t>
        </x:is>
      </x:c>
      <x:c r="F3686" s="2" t="inlineStr">
        <x:is>
          <x:t xml:space="preserve">杭州市</x:t>
        </x:is>
      </x:c>
      <x:c r="G3686" s="3" t="inlineStr">
        <x:is>
          <x:t xml:space="preserve">浙江省-杭州市</x:t>
        </x:is>
      </x:c>
      <x:c r="H3686" s="2" t="inlineStr">
        <x:is>
          <x:t xml:space="preserve">交运物流</x:t>
        </x:is>
      </x:c>
      <x:c r="I3686" s="2" t="inlineStr">
        <x:is>
          <x:t xml:space="preserve">2004-06-29</x:t>
        </x:is>
      </x:c>
      <x:c r="J3686" s="3" t="inlineStr">
        <x:is>
          <x:t xml:space="preserve">杭州市萧山经济技术开发区</x:t>
        </x:is>
      </x:c>
      <x:c r="K3686" s="12" t="str">
        <x:f>LEFT("91330000609301348W",18)</x:f>
        <x:v>91330000609301348W</x:v>
      </x:c>
    </x:row>
    <x:row r="3687">
      <x:c r="A3687" s="4" t="n">
        <x:v>3686</x:v>
      </x:c>
      <x:c r="B3687" s="4" t="inlineStr">
        <x:is>
          <x:t xml:space="preserve">002011</x:t>
        </x:is>
      </x:c>
      <x:c r="C3687" s="5" t="inlineStr">
        <x:is>
          <x:t xml:space="preserve">盾安环境</x:t>
        </x:is>
      </x:c>
      <x:c r="D3687" s="5" t="inlineStr">
        <x:is>
          <x:t xml:space="preserve">浙江盾安人工环境股份有限公司</x:t>
        </x:is>
      </x:c>
      <x:c r="E3687" s="4" t="inlineStr">
        <x:is>
          <x:t xml:space="preserve">浙江省</x:t>
        </x:is>
      </x:c>
      <x:c r="F3687" s="4" t="inlineStr">
        <x:is>
          <x:t xml:space="preserve">江省诸暨市</x:t>
        </x:is>
      </x:c>
      <x:c r="G3687" s="5" t="inlineStr">
        <x:is>
          <x:t xml:space="preserve">浙江省-江省诸暨市</x:t>
        </x:is>
      </x:c>
      <x:c r="H3687" s="4" t="inlineStr">
        <x:is>
          <x:t xml:space="preserve">家电行业</x:t>
        </x:is>
      </x:c>
      <x:c r="I3687" s="4" t="inlineStr">
        <x:is>
          <x:t xml:space="preserve">2004-07-05</x:t>
        </x:is>
      </x:c>
      <x:c r="J3687" s="5" t="inlineStr">
        <x:is>
          <x:t xml:space="preserve">浙江省诸暨市店口工业区</x:t>
        </x:is>
      </x:c>
      <x:c r="K3687" s="12" t="str">
        <x:f>LEFT("91330000704512063Y",18)</x:f>
        <x:v>91330000704512063Y</x:v>
      </x:c>
    </x:row>
    <x:row r="3688">
      <x:c r="A3688" s="2" t="n">
        <x:v>3687</x:v>
      </x:c>
      <x:c r="B3688" s="2" t="inlineStr">
        <x:is>
          <x:t xml:space="preserve">002012</x:t>
        </x:is>
      </x:c>
      <x:c r="C3688" s="3" t="inlineStr">
        <x:is>
          <x:t xml:space="preserve">凯恩股份</x:t>
        </x:is>
      </x:c>
      <x:c r="D3688" s="3" t="inlineStr">
        <x:is>
          <x:t xml:space="preserve">浙江凯恩特种材料股份有限公司</x:t>
        </x:is>
      </x:c>
      <x:c r="E3688" s="2" t="inlineStr">
        <x:is>
          <x:t xml:space="preserve">浙江省</x:t>
        </x:is>
      </x:c>
      <x:c r="F3688" s="2" t="inlineStr">
        <x:is>
          <x:t xml:space="preserve">丽水市</x:t>
        </x:is>
      </x:c>
      <x:c r="G3688" s="3" t="inlineStr">
        <x:is>
          <x:t xml:space="preserve">浙江省-丽水市</x:t>
        </x:is>
      </x:c>
      <x:c r="H3688" s="2" t="inlineStr">
        <x:is>
          <x:t xml:space="preserve">造纸印刷</x:t>
        </x:is>
      </x:c>
      <x:c r="I3688" s="2" t="inlineStr">
        <x:is>
          <x:t xml:space="preserve">2004-07-05</x:t>
        </x:is>
      </x:c>
      <x:c r="J3688" s="3" t="inlineStr">
        <x:is>
          <x:t xml:space="preserve">浙江省丽水市遂昌县妙高街道凯恩路1008号</x:t>
        </x:is>
      </x:c>
      <x:c r="K3688" s="12" t="str">
        <x:f>LEFT("913300007047850454",18)</x:f>
        <x:v>913300007047850500</x:v>
      </x:c>
    </x:row>
    <x:row r="3689">
      <x:c r="A3689" s="4" t="n">
        <x:v>3688</x:v>
      </x:c>
      <x:c r="B3689" s="4" t="inlineStr">
        <x:is>
          <x:t xml:space="preserve">002019</x:t>
        </x:is>
      </x:c>
      <x:c r="C3689" s="5" t="inlineStr">
        <x:is>
          <x:t xml:space="preserve">亿帆医药</x:t>
        </x:is>
      </x:c>
      <x:c r="D3689" s="5" t="inlineStr">
        <x:is>
          <x:t xml:space="preserve">亿帆医药股份有限公司</x:t>
        </x:is>
      </x:c>
      <x:c r="E3689" s="4" t="inlineStr">
        <x:is>
          <x:t xml:space="preserve">浙江省</x:t>
        </x:is>
      </x:c>
      <x:c r="F3689" s="4" t="inlineStr">
        <x:is>
          <x:t xml:space="preserve">杭州市</x:t>
        </x:is>
      </x:c>
      <x:c r="G3689" s="5" t="inlineStr">
        <x:is>
          <x:t xml:space="preserve">浙江省-杭州市</x:t>
        </x:is>
      </x:c>
      <x:c r="H3689" s="4" t="inlineStr">
        <x:is>
          <x:t xml:space="preserve">医药制造</x:t>
        </x:is>
      </x:c>
      <x:c r="I3689" s="4" t="inlineStr">
        <x:is>
          <x:t xml:space="preserve">2004-07-13</x:t>
        </x:is>
      </x:c>
      <x:c r="J3689" s="5" t="inlineStr">
        <x:is>
          <x:t xml:space="preserve">浙江省临安经济开发区</x:t>
        </x:is>
      </x:c>
      <x:c r="K3689" s="12" t="str">
        <x:f>LEFT("91330000725254155R",18)</x:f>
        <x:v>91330000725254155R</x:v>
      </x:c>
    </x:row>
    <x:row r="3690">
      <x:c r="A3690" s="2" t="n">
        <x:v>3689</x:v>
      </x:c>
      <x:c r="B3690" s="2" t="inlineStr">
        <x:is>
          <x:t xml:space="preserve">002020</x:t>
        </x:is>
      </x:c>
      <x:c r="C3690" s="3" t="inlineStr">
        <x:is>
          <x:t xml:space="preserve">京新药业</x:t>
        </x:is>
      </x:c>
      <x:c r="D3690" s="3" t="inlineStr">
        <x:is>
          <x:t xml:space="preserve">浙江京新药业股份有限公司</x:t>
        </x:is>
      </x:c>
      <x:c r="E3690" s="2" t="inlineStr">
        <x:is>
          <x:t xml:space="preserve">浙江省</x:t>
        </x:is>
      </x:c>
      <x:c r="F3690" s="2" t="inlineStr">
        <x:is>
          <x:t xml:space="preserve">绍兴市</x:t>
        </x:is>
      </x:c>
      <x:c r="G3690" s="3" t="inlineStr">
        <x:is>
          <x:t xml:space="preserve">浙江省-绍兴市</x:t>
        </x:is>
      </x:c>
      <x:c r="H3690" s="2" t="inlineStr">
        <x:is>
          <x:t xml:space="preserve">医药制造</x:t>
        </x:is>
      </x:c>
      <x:c r="I3690" s="2" t="inlineStr">
        <x:is>
          <x:t xml:space="preserve">2004-07-15</x:t>
        </x:is>
      </x:c>
      <x:c r="J3690" s="3" t="inlineStr">
        <x:is>
          <x:t xml:space="preserve">浙江省新昌县羽林街道新昌大道东路800号</x:t>
        </x:is>
      </x:c>
      <x:c r="K3690" s="12" t="str">
        <x:f>LEFT("91330000704503984N",18)</x:f>
        <x:v>91330000704503984N</x:v>
      </x:c>
    </x:row>
    <x:row r="3691">
      <x:c r="A3691" s="4" t="n">
        <x:v>3690</x:v>
      </x:c>
      <x:c r="B3691" s="4" t="inlineStr">
        <x:is>
          <x:t xml:space="preserve">002021</x:t>
        </x:is>
      </x:c>
      <x:c r="C3691" s="5" t="inlineStr">
        <x:is>
          <x:t xml:space="preserve">中捷资源</x:t>
        </x:is>
      </x:c>
      <x:c r="D3691" s="5" t="inlineStr">
        <x:is>
          <x:t xml:space="preserve">中捷资源投资股份有限公司</x:t>
        </x:is>
      </x:c>
      <x:c r="E3691" s="4" t="inlineStr">
        <x:is>
          <x:t xml:space="preserve">浙江省</x:t>
        </x:is>
      </x:c>
      <x:c r="F3691" s="4" t="inlineStr">
        <x:is>
          <x:t xml:space="preserve">江省玉环市</x:t>
        </x:is>
      </x:c>
      <x:c r="G3691" s="5" t="inlineStr">
        <x:is>
          <x:t xml:space="preserve">浙江省-江省玉环市</x:t>
        </x:is>
      </x:c>
      <x:c r="H3691" s="4" t="inlineStr">
        <x:is>
          <x:t xml:space="preserve">专用设备</x:t>
        </x:is>
      </x:c>
      <x:c r="I3691" s="4" t="inlineStr">
        <x:is>
          <x:t xml:space="preserve">2004-07-15</x:t>
        </x:is>
      </x:c>
      <x:c r="J3691" s="5" t="inlineStr">
        <x:is>
          <x:t xml:space="preserve">浙江省玉环市大麦屿街道兴港东路198号</x:t>
        </x:is>
      </x:c>
      <x:c r="K3691" s="12" t="str">
        <x:f>LEFT("91330000148358471J",18)</x:f>
        <x:v>91330000148358471J</x:v>
      </x:c>
    </x:row>
    <x:row r="3692">
      <x:c r="A3692" s="2" t="n">
        <x:v>3691</x:v>
      </x:c>
      <x:c r="B3692" s="2" t="inlineStr">
        <x:is>
          <x:t xml:space="preserve">002032</x:t>
        </x:is>
      </x:c>
      <x:c r="C3692" s="3" t="inlineStr">
        <x:is>
          <x:t xml:space="preserve">苏泊尔</x:t>
        </x:is>
      </x:c>
      <x:c r="D3692" s="3" t="inlineStr">
        <x:is>
          <x:t xml:space="preserve">浙江苏泊尔股份有限公司</x:t>
        </x:is>
      </x:c>
      <x:c r="E3692" s="2" t="inlineStr">
        <x:is>
          <x:t xml:space="preserve">浙江省</x:t>
        </x:is>
      </x:c>
      <x:c r="F3692" s="2" t="inlineStr">
        <x:is>
          <x:t xml:space="preserve">江省玉环市</x:t>
        </x:is>
      </x:c>
      <x:c r="G3692" s="3" t="inlineStr">
        <x:is>
          <x:t xml:space="preserve">浙江省-江省玉环市</x:t>
        </x:is>
      </x:c>
      <x:c r="H3692" s="2" t="inlineStr">
        <x:is>
          <x:t xml:space="preserve">家电行业</x:t>
        </x:is>
      </x:c>
      <x:c r="I3692" s="2" t="inlineStr">
        <x:is>
          <x:t xml:space="preserve">2004-08-17</x:t>
        </x:is>
      </x:c>
      <x:c r="J3692" s="3" t="inlineStr">
        <x:is>
          <x:t xml:space="preserve">浙江省玉环市大麦屿经济开发区</x:t>
        </x:is>
      </x:c>
      <x:c r="K3692" s="12" t="str">
        <x:f>LEFT("913300007046976861",18)</x:f>
        <x:v>913300007046976900</x:v>
      </x:c>
    </x:row>
    <x:row r="3693">
      <x:c r="A3693" s="4" t="n">
        <x:v>3692</x:v>
      </x:c>
      <x:c r="B3693" s="4" t="inlineStr">
        <x:is>
          <x:t xml:space="preserve">002034</x:t>
        </x:is>
      </x:c>
      <x:c r="C3693" s="5" t="inlineStr">
        <x:is>
          <x:t xml:space="preserve">旺能环境</x:t>
        </x:is>
      </x:c>
      <x:c r="D3693" s="5" t="inlineStr">
        <x:is>
          <x:t xml:space="preserve">旺能环境股份有限公司</x:t>
        </x:is>
      </x:c>
      <x:c r="E3693" s="4" t="inlineStr">
        <x:is>
          <x:t xml:space="preserve">浙江省</x:t>
        </x:is>
      </x:c>
      <x:c r="F3693" s="4" t="inlineStr">
        <x:is>
          <x:t xml:space="preserve">湖州市</x:t>
        </x:is>
      </x:c>
      <x:c r="G3693" s="5" t="inlineStr">
        <x:is>
          <x:t xml:space="preserve">浙江省-湖州市</x:t>
        </x:is>
      </x:c>
      <x:c r="H3693" s="4" t="inlineStr">
        <x:is>
          <x:t xml:space="preserve">环保工程</x:t>
        </x:is>
      </x:c>
      <x:c r="I3693" s="4" t="inlineStr">
        <x:is>
          <x:t xml:space="preserve">2004-08-26</x:t>
        </x:is>
      </x:c>
      <x:c r="J3693" s="5" t="inlineStr">
        <x:is>
          <x:t xml:space="preserve">浙江省湖州市天字圩路288号</x:t>
        </x:is>
      </x:c>
      <x:c r="K3693" s="12" t="str">
        <x:f>LEFT("91330000704206605E",18)</x:f>
        <x:v>91330000704206605E</x:v>
      </x:c>
    </x:row>
    <x:row r="3694">
      <x:c r="A3694" s="2" t="n">
        <x:v>3693</x:v>
      </x:c>
      <x:c r="B3694" s="2" t="inlineStr">
        <x:is>
          <x:t xml:space="preserve">002043</x:t>
        </x:is>
      </x:c>
      <x:c r="C3694" s="3" t="inlineStr">
        <x:is>
          <x:t xml:space="preserve">兔宝宝</x:t>
        </x:is>
      </x:c>
      <x:c r="D3694" s="3" t="inlineStr">
        <x:is>
          <x:t xml:space="preserve">德华兔宝宝装饰新材股份有限公司</x:t>
        </x:is>
      </x:c>
      <x:c r="E3694" s="2" t="inlineStr">
        <x:is>
          <x:t xml:space="preserve">浙江省</x:t>
        </x:is>
      </x:c>
      <x:c r="F3694" s="2" t="inlineStr">
        <x:is>
          <x:t xml:space="preserve">湖州市</x:t>
        </x:is>
      </x:c>
      <x:c r="G3694" s="3" t="inlineStr">
        <x:is>
          <x:t xml:space="preserve">浙江省-湖州市</x:t>
        </x:is>
      </x:c>
      <x:c r="H3694" s="2" t="inlineStr">
        <x:is>
          <x:t xml:space="preserve">木业家具</x:t>
        </x:is>
      </x:c>
      <x:c r="I3694" s="2" t="inlineStr">
        <x:is>
          <x:t xml:space="preserve">2005-05-10</x:t>
        </x:is>
      </x:c>
      <x:c r="J3694" s="3" t="inlineStr">
        <x:is>
          <x:t xml:space="preserve">浙江省德清县洛舍镇工业区</x:t>
        </x:is>
      </x:c>
      <x:c r="K3694" s="12" t="str">
        <x:f>LEFT("913300006095805007",18)</x:f>
        <x:v>913300006095805000</x:v>
      </x:c>
    </x:row>
    <x:row r="3695">
      <x:c r="A3695" s="4" t="n">
        <x:v>3694</x:v>
      </x:c>
      <x:c r="B3695" s="4" t="inlineStr">
        <x:is>
          <x:t xml:space="preserve">002044</x:t>
        </x:is>
      </x:c>
      <x:c r="C3695" s="5" t="inlineStr">
        <x:is>
          <x:t xml:space="preserve">美年健康</x:t>
        </x:is>
      </x:c>
      <x:c r="D3695" s="5" t="inlineStr">
        <x:is>
          <x:t xml:space="preserve">美年大健康产业控股股份有限公司</x:t>
        </x:is>
      </x:c>
      <x:c r="E3695" s="4" t="inlineStr">
        <x:is>
          <x:t xml:space="preserve">浙江省</x:t>
        </x:is>
      </x:c>
      <x:c r="F3695" s="4" t="inlineStr">
        <x:is>
          <x:t xml:space="preserve">绍兴市</x:t>
        </x:is>
      </x:c>
      <x:c r="G3695" s="5" t="inlineStr">
        <x:is>
          <x:t xml:space="preserve">浙江省-绍兴市</x:t>
        </x:is>
      </x:c>
      <x:c r="H3695" s="4" t="inlineStr">
        <x:is>
          <x:t xml:space="preserve">医疗行业</x:t>
        </x:is>
      </x:c>
      <x:c r="I3695" s="4" t="inlineStr">
        <x:is>
          <x:t xml:space="preserve">2005-05-18</x:t>
        </x:is>
      </x:c>
      <x:c r="J3695" s="5" t="inlineStr">
        <x:is>
          <x:t xml:space="preserve">浙江省绍兴市柯桥区华舍街道中纺时代大厦0112室</x:t>
        </x:is>
      </x:c>
      <x:c r="K3695" s="12" t="str">
        <x:f>LEFT("91320600608304061J",18)</x:f>
        <x:v>91320600608304061J</x:v>
      </x:c>
    </x:row>
    <x:row r="3696">
      <x:c r="A3696" s="2" t="n">
        <x:v>3695</x:v>
      </x:c>
      <x:c r="B3696" s="2" t="inlineStr">
        <x:is>
          <x:t xml:space="preserve">002048</x:t>
        </x:is>
      </x:c>
      <x:c r="C3696" s="3" t="inlineStr">
        <x:is>
          <x:t xml:space="preserve">宁波华翔</x:t>
        </x:is>
      </x:c>
      <x:c r="D3696" s="3" t="inlineStr">
        <x:is>
          <x:t xml:space="preserve">宁波华翔电子股份有限公司</x:t>
        </x:is>
      </x:c>
      <x:c r="E3696" s="2" t="inlineStr">
        <x:is>
          <x:t xml:space="preserve">浙江省</x:t>
        </x:is>
      </x:c>
      <x:c r="F3696" s="2" t="inlineStr">
        <x:is>
          <x:t xml:space="preserve">宁波市</x:t>
        </x:is>
      </x:c>
      <x:c r="G3696" s="3" t="inlineStr">
        <x:is>
          <x:t xml:space="preserve">浙江省-宁波市</x:t>
        </x:is>
      </x:c>
      <x:c r="H3696" s="2" t="inlineStr">
        <x:is>
          <x:t xml:space="preserve">汽车行业</x:t>
        </x:is>
      </x:c>
      <x:c r="I3696" s="2" t="inlineStr">
        <x:is>
          <x:t xml:space="preserve">2005-06-03</x:t>
        </x:is>
      </x:c>
      <x:c r="J3696" s="3" t="inlineStr">
        <x:is>
          <x:t xml:space="preserve">浙江省象山县西周镇象西开发区</x:t>
        </x:is>
      </x:c>
      <x:c r="K3696" s="12" t="str">
        <x:f>LEFT("91330200610258383W",18)</x:f>
        <x:v>91330200610258383W</x:v>
      </x:c>
    </x:row>
    <x:row r="3697">
      <x:c r="A3697" s="4" t="n">
        <x:v>3696</x:v>
      </x:c>
      <x:c r="B3697" s="4" t="inlineStr">
        <x:is>
          <x:t xml:space="preserve">002050</x:t>
        </x:is>
      </x:c>
      <x:c r="C3697" s="5" t="inlineStr">
        <x:is>
          <x:t xml:space="preserve">三花智控</x:t>
        </x:is>
      </x:c>
      <x:c r="D3697" s="5" t="inlineStr">
        <x:is>
          <x:t xml:space="preserve">浙江三花智能控制股份有限公司</x:t>
        </x:is>
      </x:c>
      <x:c r="E3697" s="4" t="inlineStr">
        <x:is>
          <x:t xml:space="preserve">浙江省</x:t>
        </x:is>
      </x:c>
      <x:c r="F3697" s="4" t="inlineStr">
        <x:is>
          <x:t xml:space="preserve">绍兴市</x:t>
        </x:is>
      </x:c>
      <x:c r="G3697" s="5" t="inlineStr">
        <x:is>
          <x:t xml:space="preserve">浙江省-绍兴市</x:t>
        </x:is>
      </x:c>
      <x:c r="H3697" s="4" t="inlineStr">
        <x:is>
          <x:t xml:space="preserve">家电行业</x:t>
        </x:is>
      </x:c>
      <x:c r="I3697" s="4" t="inlineStr">
        <x:is>
          <x:t xml:space="preserve">2005-06-07</x:t>
        </x:is>
      </x:c>
      <x:c r="J3697" s="5" t="inlineStr">
        <x:is>
          <x:t xml:space="preserve">浙江省绍兴市新昌县澄潭街道沃西大道219号</x:t>
        </x:is>
      </x:c>
      <x:c r="K3697" s="12" t="str">
        <x:f>LEFT("913300006096907427",18)</x:f>
        <x:v>913300006096907400</x:v>
      </x:c>
    </x:row>
    <x:row r="3698">
      <x:c r="A3698" s="2" t="n">
        <x:v>3697</x:v>
      </x:c>
      <x:c r="B3698" s="2" t="inlineStr">
        <x:is>
          <x:t xml:space="preserve">002056</x:t>
        </x:is>
      </x:c>
      <x:c r="C3698" s="3" t="inlineStr">
        <x:is>
          <x:t xml:space="preserve">横店东磁</x:t>
        </x:is>
      </x:c>
      <x:c r="D3698" s="3" t="inlineStr">
        <x:is>
          <x:t xml:space="preserve">横店集团东磁股份有限公司</x:t>
        </x:is>
      </x:c>
      <x:c r="E3698" s="2" t="inlineStr">
        <x:is>
          <x:t xml:space="preserve">浙江省</x:t>
        </x:is>
      </x:c>
      <x:c r="F3698" s="2" t="inlineStr">
        <x:is>
          <x:t xml:space="preserve">江省东阳市</x:t>
        </x:is>
      </x:c>
      <x:c r="G3698" s="3" t="inlineStr">
        <x:is>
          <x:t xml:space="preserve">浙江省-江省东阳市</x:t>
        </x:is>
      </x:c>
      <x:c r="H3698" s="2" t="inlineStr">
        <x:is>
          <x:t xml:space="preserve">光伏设备</x:t>
        </x:is>
      </x:c>
      <x:c r="I3698" s="2" t="inlineStr">
        <x:is>
          <x:t xml:space="preserve">2006-08-02</x:t>
        </x:is>
      </x:c>
      <x:c r="J3698" s="3" t="inlineStr">
        <x:is>
          <x:t xml:space="preserve">浙江省东阳市横店工业区</x:t>
        </x:is>
      </x:c>
      <x:c r="K3698" s="12" t="str">
        <x:f>LEFT("91330000712560751D",18)</x:f>
        <x:v>91330000712560751D</x:v>
      </x:c>
    </x:row>
    <x:row r="3699">
      <x:c r="A3699" s="4" t="n">
        <x:v>3698</x:v>
      </x:c>
      <x:c r="B3699" s="4" t="inlineStr">
        <x:is>
          <x:t xml:space="preserve">002061</x:t>
        </x:is>
      </x:c>
      <x:c r="C3699" s="5" t="inlineStr">
        <x:is>
          <x:t xml:space="preserve">浙江交科</x:t>
        </x:is>
      </x:c>
      <x:c r="D3699" s="5" t="inlineStr">
        <x:is>
          <x:t xml:space="preserve">浙江交通科技股份有限公司</x:t>
        </x:is>
      </x:c>
      <x:c r="E3699" s="4" t="inlineStr">
        <x:is>
          <x:t xml:space="preserve">浙江省</x:t>
        </x:is>
      </x:c>
      <x:c r="F3699" s="4" t="inlineStr">
        <x:is>
          <x:t xml:space="preserve">江省江山市</x:t>
        </x:is>
      </x:c>
      <x:c r="G3699" s="5" t="inlineStr">
        <x:is>
          <x:t xml:space="preserve">浙江省-江省江山市</x:t>
        </x:is>
      </x:c>
      <x:c r="H3699" s="4" t="inlineStr">
        <x:is>
          <x:t xml:space="preserve">工程建设</x:t>
        </x:is>
      </x:c>
      <x:c r="I3699" s="4" t="inlineStr">
        <x:is>
          <x:t xml:space="preserve">2006-08-16</x:t>
        </x:is>
      </x:c>
      <x:c r="J3699" s="5" t="inlineStr">
        <x:is>
          <x:t xml:space="preserve">浙江省江山市景星东路38号</x:t>
        </x:is>
      </x:c>
      <x:c r="K3699" s="12" t="str">
        <x:f>LEFT("913300007109591285",18)</x:f>
        <x:v>913300007109591300</x:v>
      </x:c>
    </x:row>
    <x:row r="3700">
      <x:c r="A3700" s="2" t="n">
        <x:v>3699</x:v>
      </x:c>
      <x:c r="B3700" s="2" t="inlineStr">
        <x:is>
          <x:t xml:space="preserve">002062</x:t>
        </x:is>
      </x:c>
      <x:c r="C3700" s="3" t="inlineStr">
        <x:is>
          <x:t xml:space="preserve">宏润建设</x:t>
        </x:is>
      </x:c>
      <x:c r="D3700" s="3" t="inlineStr">
        <x:is>
          <x:t xml:space="preserve">宏润建设集团股份有限公司</x:t>
        </x:is>
      </x:c>
      <x:c r="E3700" s="2" t="inlineStr">
        <x:is>
          <x:t xml:space="preserve">浙江省</x:t>
        </x:is>
      </x:c>
      <x:c r="F3700" s="2" t="inlineStr">
        <x:is>
          <x:t xml:space="preserve">宁波市</x:t>
        </x:is>
      </x:c>
      <x:c r="G3700" s="3" t="inlineStr">
        <x:is>
          <x:t xml:space="preserve">浙江省-宁波市</x:t>
        </x:is>
      </x:c>
      <x:c r="H3700" s="2" t="inlineStr">
        <x:is>
          <x:t xml:space="preserve">工程建设</x:t>
        </x:is>
      </x:c>
      <x:c r="I3700" s="2" t="inlineStr">
        <x:is>
          <x:t xml:space="preserve">2006-08-16</x:t>
        </x:is>
      </x:c>
      <x:c r="J3700" s="3" t="inlineStr">
        <x:is>
          <x:t xml:space="preserve">浙江省象山县丹城镇建设东路262号</x:t>
        </x:is>
      </x:c>
      <x:c r="K3700" s="12" t="str">
        <x:f>LEFT("91330200254073437K",18)</x:f>
        <x:v>91330200254073437K</x:v>
      </x:c>
    </x:row>
    <x:row r="3701">
      <x:c r="A3701" s="4" t="n">
        <x:v>3700</x:v>
      </x:c>
      <x:c r="B3701" s="4" t="inlineStr">
        <x:is>
          <x:t xml:space="preserve">002064</x:t>
        </x:is>
      </x:c>
      <x:c r="C3701" s="5" t="inlineStr">
        <x:is>
          <x:t xml:space="preserve">华峰化学</x:t>
        </x:is>
      </x:c>
      <x:c r="D3701" s="5" t="inlineStr">
        <x:is>
          <x:t xml:space="preserve">华峰化学股份有限公司</x:t>
        </x:is>
      </x:c>
      <x:c r="E3701" s="4" t="inlineStr">
        <x:is>
          <x:t xml:space="preserve">浙江省</x:t>
        </x:is>
      </x:c>
      <x:c r="F3701" s="4" t="inlineStr">
        <x:is>
          <x:t xml:space="preserve">温州市</x:t>
        </x:is>
      </x:c>
      <x:c r="G3701" s="5" t="inlineStr">
        <x:is>
          <x:t xml:space="preserve">浙江省-温州市</x:t>
        </x:is>
      </x:c>
      <x:c r="H3701" s="4" t="inlineStr">
        <x:is>
          <x:t xml:space="preserve">化纤行业</x:t>
        </x:is>
      </x:c>
      <x:c r="I3701" s="4" t="inlineStr">
        <x:is>
          <x:t xml:space="preserve">2006-08-23</x:t>
        </x:is>
      </x:c>
      <x:c r="J3701" s="5" t="inlineStr">
        <x:is>
          <x:t xml:space="preserve">浙江省温州市瑞安市瑞安经济开发区开发区大道1788号</x:t>
        </x:is>
      </x:c>
      <x:c r="K3701" s="12" t="str">
        <x:f>LEFT("913300007176139983",18)</x:f>
        <x:v>913300007176140000</x:v>
      </x:c>
    </x:row>
    <x:row r="3702">
      <x:c r="A3702" s="2" t="n">
        <x:v>3701</x:v>
      </x:c>
      <x:c r="B3702" s="2" t="inlineStr">
        <x:is>
          <x:t xml:space="preserve">002067</x:t>
        </x:is>
      </x:c>
      <x:c r="C3702" s="3" t="inlineStr">
        <x:is>
          <x:t xml:space="preserve">景兴纸业</x:t>
        </x:is>
      </x:c>
      <x:c r="D3702" s="3" t="inlineStr">
        <x:is>
          <x:t xml:space="preserve">浙江景兴纸业股份有限公司</x:t>
        </x:is>
      </x:c>
      <x:c r="E3702" s="2" t="inlineStr">
        <x:is>
          <x:t xml:space="preserve">浙江省</x:t>
        </x:is>
      </x:c>
      <x:c r="F3702" s="2" t="inlineStr">
        <x:is>
          <x:t xml:space="preserve">江省平湖市</x:t>
        </x:is>
      </x:c>
      <x:c r="G3702" s="3" t="inlineStr">
        <x:is>
          <x:t xml:space="preserve">浙江省-江省平湖市</x:t>
        </x:is>
      </x:c>
      <x:c r="H3702" s="2" t="inlineStr">
        <x:is>
          <x:t xml:space="preserve">造纸印刷</x:t>
        </x:is>
      </x:c>
      <x:c r="I3702" s="2" t="inlineStr">
        <x:is>
          <x:t xml:space="preserve">2006-09-15</x:t>
        </x:is>
      </x:c>
      <x:c r="J3702" s="3" t="inlineStr">
        <x:is>
          <x:t xml:space="preserve">浙江省平湖市曹桥街道</x:t>
        </x:is>
      </x:c>
      <x:c r="K3702" s="12" t="str">
        <x:f>LEFT("91330000146684900A",18)</x:f>
        <x:v>91330000146684900A</x:v>
      </x:c>
    </x:row>
    <x:row r="3703">
      <x:c r="A3703" s="4" t="n">
        <x:v>3702</x:v>
      </x:c>
      <x:c r="B3703" s="4" t="inlineStr">
        <x:is>
          <x:t xml:space="preserve">002082</x:t>
        </x:is>
      </x:c>
      <x:c r="C3703" s="5" t="inlineStr">
        <x:is>
          <x:t xml:space="preserve">万邦德</x:t>
        </x:is>
      </x:c>
      <x:c r="D3703" s="5" t="inlineStr">
        <x:is>
          <x:t xml:space="preserve">万邦德医药控股集团股份有限公司</x:t>
        </x:is>
      </x:c>
      <x:c r="E3703" s="4" t="inlineStr">
        <x:is>
          <x:t xml:space="preserve">浙江省</x:t>
        </x:is>
      </x:c>
      <x:c r="F3703" s="4" t="inlineStr">
        <x:is>
          <x:t xml:space="preserve">湖州市</x:t>
        </x:is>
      </x:c>
      <x:c r="G3703" s="5" t="inlineStr">
        <x:is>
          <x:t xml:space="preserve">浙江省-湖州市</x:t>
        </x:is>
      </x:c>
      <x:c r="H3703" s="4" t="inlineStr">
        <x:is>
          <x:t xml:space="preserve">化学制药</x:t>
        </x:is>
      </x:c>
      <x:c r="I3703" s="4" t="inlineStr">
        <x:is>
          <x:t xml:space="preserve">2006-11-20</x:t>
        </x:is>
      </x:c>
      <x:c r="J3703" s="5" t="inlineStr">
        <x:is>
          <x:t xml:space="preserve">浙江省湖州市织里镇栋梁路1688号</x:t>
        </x:is>
      </x:c>
      <x:c r="K3703" s="12" t="str">
        <x:f>LEFT("913300001469343082",18)</x:f>
        <x:v>913300001469343100</x:v>
      </x:c>
    </x:row>
    <x:row r="3704">
      <x:c r="A3704" s="2" t="n">
        <x:v>3703</x:v>
      </x:c>
      <x:c r="B3704" s="2" t="inlineStr">
        <x:is>
          <x:t xml:space="preserve">002085</x:t>
        </x:is>
      </x:c>
      <x:c r="C3704" s="3" t="inlineStr">
        <x:is>
          <x:t xml:space="preserve">万丰奥威</x:t>
        </x:is>
      </x:c>
      <x:c r="D3704" s="3" t="inlineStr">
        <x:is>
          <x:t xml:space="preserve">浙江万丰奥威汽轮股份有限公司</x:t>
        </x:is>
      </x:c>
      <x:c r="E3704" s="2" t="inlineStr">
        <x:is>
          <x:t xml:space="preserve">浙江省</x:t>
        </x:is>
      </x:c>
      <x:c r="F3704" s="2" t="inlineStr">
        <x:is>
          <x:t xml:space="preserve">绍兴市</x:t>
        </x:is>
      </x:c>
      <x:c r="G3704" s="3" t="inlineStr">
        <x:is>
          <x:t xml:space="preserve">浙江省-绍兴市</x:t>
        </x:is>
      </x:c>
      <x:c r="H3704" s="2" t="inlineStr">
        <x:is>
          <x:t xml:space="preserve">汽车行业</x:t>
        </x:is>
      </x:c>
      <x:c r="I3704" s="2" t="inlineStr">
        <x:is>
          <x:t xml:space="preserve">2006-11-28</x:t>
        </x:is>
      </x:c>
      <x:c r="J3704" s="3" t="inlineStr">
        <x:is>
          <x:t xml:space="preserve">浙江省新昌县工业区</x:t>
        </x:is>
      </x:c>
      <x:c r="K3704" s="12" t="str">
        <x:f>LEFT("913300007324065674",18)</x:f>
        <x:v>913300007324065700</x:v>
      </x:c>
    </x:row>
    <x:row r="3705">
      <x:c r="A3705" s="4" t="n">
        <x:v>3704</x:v>
      </x:c>
      <x:c r="B3705" s="4" t="inlineStr">
        <x:is>
          <x:t xml:space="preserve">002095</x:t>
        </x:is>
      </x:c>
      <x:c r="C3705" s="5" t="inlineStr">
        <x:is>
          <x:t xml:space="preserve">生意宝</x:t>
        </x:is>
      </x:c>
      <x:c r="D3705" s="5" t="inlineStr">
        <x:is>
          <x:t xml:space="preserve">浙江网盛生意宝股份有限公司</x:t>
        </x:is>
      </x:c>
      <x:c r="E3705" s="4" t="inlineStr">
        <x:is>
          <x:t xml:space="preserve">浙江省</x:t>
        </x:is>
      </x:c>
      <x:c r="F3705" s="4" t="inlineStr">
        <x:is>
          <x:t xml:space="preserve">杭州市</x:t>
        </x:is>
      </x:c>
      <x:c r="G3705" s="5" t="inlineStr">
        <x:is>
          <x:t xml:space="preserve">浙江省-杭州市</x:t>
        </x:is>
      </x:c>
      <x:c r="H3705" s="4" t="inlineStr">
        <x:is>
          <x:t xml:space="preserve">电子信息</x:t>
        </x:is>
      </x:c>
      <x:c r="I3705" s="4" t="inlineStr">
        <x:is>
          <x:t xml:space="preserve">2006-12-15</x:t>
        </x:is>
      </x:c>
      <x:c r="J3705" s="5" t="inlineStr">
        <x:is>
          <x:t xml:space="preserve">浙江省杭州市滨江区长河街道立业路788号网盛大厦3506室</x:t>
        </x:is>
      </x:c>
      <x:c r="K3705" s="12" t="str">
        <x:f>LEFT("91330000724502487G",18)</x:f>
        <x:v>91330000724502487G</x:v>
      </x:c>
    </x:row>
    <x:row r="3706">
      <x:c r="A3706" s="2" t="n">
        <x:v>3705</x:v>
      </x:c>
      <x:c r="B3706" s="2" t="inlineStr">
        <x:is>
          <x:t xml:space="preserve">002099</x:t>
        </x:is>
      </x:c>
      <x:c r="C3706" s="3" t="inlineStr">
        <x:is>
          <x:t xml:space="preserve">海翔药业</x:t>
        </x:is>
      </x:c>
      <x:c r="D3706" s="3" t="inlineStr">
        <x:is>
          <x:t xml:space="preserve">浙江海翔药业股份有限公司</x:t>
        </x:is>
      </x:c>
      <x:c r="E3706" s="2" t="inlineStr">
        <x:is>
          <x:t xml:space="preserve">浙江省</x:t>
        </x:is>
      </x:c>
      <x:c r="F3706" s="2" t="inlineStr">
        <x:is>
          <x:t xml:space="preserve">台州市</x:t>
        </x:is>
      </x:c>
      <x:c r="G3706" s="3" t="inlineStr">
        <x:is>
          <x:t xml:space="preserve">浙江省-台州市</x:t>
        </x:is>
      </x:c>
      <x:c r="H3706" s="2" t="inlineStr">
        <x:is>
          <x:t xml:space="preserve">医药制造</x:t>
        </x:is>
      </x:c>
      <x:c r="I3706" s="2" t="inlineStr">
        <x:is>
          <x:t xml:space="preserve">2006-12-26</x:t>
        </x:is>
      </x:c>
      <x:c r="J3706" s="3" t="inlineStr">
        <x:is>
          <x:t xml:space="preserve">浙江省台州市椒江区外沙支路100号</x:t>
        </x:is>
      </x:c>
      <x:c r="K3706" s="12" t="str">
        <x:f>LEFT("913300001482332737",18)</x:f>
        <x:v>913300001482332800</x:v>
      </x:c>
    </x:row>
    <x:row r="3707">
      <x:c r="A3707" s="4" t="n">
        <x:v>3706</x:v>
      </x:c>
      <x:c r="B3707" s="4" t="inlineStr">
        <x:is>
          <x:t xml:space="preserve">002103</x:t>
        </x:is>
      </x:c>
      <x:c r="C3707" s="5" t="inlineStr">
        <x:is>
          <x:t xml:space="preserve">广博股份</x:t>
        </x:is>
      </x:c>
      <x:c r="D3707" s="5" t="inlineStr">
        <x:is>
          <x:t xml:space="preserve">广博集团股份有限公司</x:t>
        </x:is>
      </x:c>
      <x:c r="E3707" s="4" t="inlineStr">
        <x:is>
          <x:t xml:space="preserve">浙江省</x:t>
        </x:is>
      </x:c>
      <x:c r="F3707" s="4" t="inlineStr">
        <x:is>
          <x:t xml:space="preserve">宁波市</x:t>
        </x:is>
      </x:c>
      <x:c r="G3707" s="5" t="inlineStr">
        <x:is>
          <x:t xml:space="preserve">浙江省-宁波市</x:t>
        </x:is>
      </x:c>
      <x:c r="H3707" s="4" t="inlineStr">
        <x:is>
          <x:t xml:space="preserve">家用轻工</x:t>
        </x:is>
      </x:c>
      <x:c r="I3707" s="4" t="inlineStr">
        <x:is>
          <x:t xml:space="preserve">2007-01-10</x:t>
        </x:is>
      </x:c>
      <x:c r="J3707" s="5" t="inlineStr">
        <x:is>
          <x:t xml:space="preserve">宁波市海曙区石碶街道车何</x:t>
        </x:is>
      </x:c>
      <x:c r="K3707" s="12" t="str">
        <x:f>LEFT("913302001445302461",18)</x:f>
        <x:v>913302001445302400</x:v>
      </x:c>
    </x:row>
    <x:row r="3708">
      <x:c r="A3708" s="2" t="n">
        <x:v>3707</x:v>
      </x:c>
      <x:c r="B3708" s="2" t="inlineStr">
        <x:is>
          <x:t xml:space="preserve">002112</x:t>
        </x:is>
      </x:c>
      <x:c r="C3708" s="3" t="inlineStr">
        <x:is>
          <x:t xml:space="preserve">三变科技</x:t>
        </x:is>
      </x:c>
      <x:c r="D3708" s="3" t="inlineStr">
        <x:is>
          <x:t xml:space="preserve">三变科技股份有限公司</x:t>
        </x:is>
      </x:c>
      <x:c r="E3708" s="2" t="inlineStr">
        <x:is>
          <x:t xml:space="preserve">浙江省</x:t>
        </x:is>
      </x:c>
      <x:c r="F3708" s="2" t="inlineStr">
        <x:is>
          <x:t xml:space="preserve">台州市</x:t>
        </x:is>
      </x:c>
      <x:c r="G3708" s="3" t="inlineStr">
        <x:is>
          <x:t xml:space="preserve">浙江省-台州市</x:t>
        </x:is>
      </x:c>
      <x:c r="H3708" s="2" t="inlineStr">
        <x:is>
          <x:t xml:space="preserve">输配电气</x:t>
        </x:is>
      </x:c>
      <x:c r="I3708" s="2" t="inlineStr">
        <x:is>
          <x:t xml:space="preserve">2007-02-08</x:t>
        </x:is>
      </x:c>
      <x:c r="J3708" s="3" t="inlineStr">
        <x:is>
          <x:t xml:space="preserve">浙江三门西区大道369号</x:t>
        </x:is>
      </x:c>
      <x:c r="K3708" s="12" t="str">
        <x:f>LEFT("91330000734527928F",18)</x:f>
        <x:v>91330000734527928F</x:v>
      </x:c>
    </x:row>
    <x:row r="3709">
      <x:c r="A3709" s="4" t="n">
        <x:v>3708</x:v>
      </x:c>
      <x:c r="B3709" s="4" t="inlineStr">
        <x:is>
          <x:t xml:space="preserve">002115</x:t>
        </x:is>
      </x:c>
      <x:c r="C3709" s="5" t="inlineStr">
        <x:is>
          <x:t xml:space="preserve">三维通信</x:t>
        </x:is>
      </x:c>
      <x:c r="D3709" s="5" t="inlineStr">
        <x:is>
          <x:t xml:space="preserve">三维通信股份有限公司</x:t>
        </x:is>
      </x:c>
      <x:c r="E3709" s="4" t="inlineStr">
        <x:is>
          <x:t xml:space="preserve">浙江省</x:t>
        </x:is>
      </x:c>
      <x:c r="F3709" s="4" t="inlineStr">
        <x:is>
          <x:t xml:space="preserve">杭州市</x:t>
        </x:is>
      </x:c>
      <x:c r="G3709" s="5" t="inlineStr">
        <x:is>
          <x:t xml:space="preserve">浙江省-杭州市</x:t>
        </x:is>
      </x:c>
      <x:c r="H3709" s="4" t="inlineStr">
        <x:is>
          <x:t xml:space="preserve">互联网服务</x:t>
        </x:is>
      </x:c>
      <x:c r="I3709" s="4" t="inlineStr">
        <x:is>
          <x:t xml:space="preserve">2007-02-15</x:t>
        </x:is>
      </x:c>
      <x:c r="J3709" s="5" t="inlineStr">
        <x:is>
          <x:t xml:space="preserve">浙江省杭州市滨江区火炬大道581号</x:t>
        </x:is>
      </x:c>
      <x:c r="K3709" s="12" t="str">
        <x:f>LEFT("91330000142919290Q",18)</x:f>
        <x:v>91330000142919290Q</x:v>
      </x:c>
    </x:row>
    <x:row r="3710">
      <x:c r="A3710" s="2" t="n">
        <x:v>3709</x:v>
      </x:c>
      <x:c r="B3710" s="2" t="inlineStr">
        <x:is>
          <x:t xml:space="preserve">002119</x:t>
        </x:is>
      </x:c>
      <x:c r="C3710" s="3" t="inlineStr">
        <x:is>
          <x:t xml:space="preserve">康强电子</x:t>
        </x:is>
      </x:c>
      <x:c r="D3710" s="3" t="inlineStr">
        <x:is>
          <x:t xml:space="preserve">宁波康强电子股份有限公司</x:t>
        </x:is>
      </x:c>
      <x:c r="E3710" s="2" t="inlineStr">
        <x:is>
          <x:t xml:space="preserve">浙江省</x:t>
        </x:is>
      </x:c>
      <x:c r="F3710" s="2" t="inlineStr">
        <x:is>
          <x:t xml:space="preserve">宁波市</x:t>
        </x:is>
      </x:c>
      <x:c r="G3710" s="3" t="inlineStr">
        <x:is>
          <x:t xml:space="preserve">浙江省-宁波市</x:t>
        </x:is>
      </x:c>
      <x:c r="H3710" s="2" t="inlineStr">
        <x:is>
          <x:t xml:space="preserve">半导体</x:t>
        </x:is>
      </x:c>
      <x:c r="I3710" s="2" t="inlineStr">
        <x:is>
          <x:t xml:space="preserve">2007-03-02</x:t>
        </x:is>
      </x:c>
      <x:c r="J3710" s="3" t="inlineStr">
        <x:is>
          <x:t xml:space="preserve">浙江省宁波市鄞州投资创业中心金源路988号</x:t>
        </x:is>
      </x:c>
      <x:c r="K3710" s="12" t="str">
        <x:f>LEFT("91330200610260897L",18)</x:f>
        <x:v>91330200610260897L</x:v>
      </x:c>
    </x:row>
    <x:row r="3711">
      <x:c r="A3711" s="4" t="n">
        <x:v>3710</x:v>
      </x:c>
      <x:c r="B3711" s="4" t="inlineStr">
        <x:is>
          <x:t xml:space="preserve">002120</x:t>
        </x:is>
      </x:c>
      <x:c r="C3711" s="5" t="inlineStr">
        <x:is>
          <x:t xml:space="preserve">韵达股份</x:t>
        </x:is>
      </x:c>
      <x:c r="D3711" s="5" t="inlineStr">
        <x:is>
          <x:t xml:space="preserve">韵达控股集团股份有限公司</x:t>
        </x:is>
      </x:c>
      <x:c r="E3711" s="4" t="inlineStr">
        <x:is>
          <x:t xml:space="preserve">浙江省</x:t>
        </x:is>
      </x:c>
      <x:c r="F3711" s="4" t="inlineStr">
        <x:is>
          <x:t xml:space="preserve">江省慈溪市</x:t>
        </x:is>
      </x:c>
      <x:c r="G3711" s="5" t="inlineStr">
        <x:is>
          <x:t xml:space="preserve">浙江省-江省慈溪市</x:t>
        </x:is>
      </x:c>
      <x:c r="H3711" s="4" t="inlineStr">
        <x:is>
          <x:t xml:space="preserve">交运物流</x:t>
        </x:is>
      </x:c>
      <x:c r="I3711" s="4" t="inlineStr">
        <x:is>
          <x:t xml:space="preserve">2007-03-06</x:t>
        </x:is>
      </x:c>
      <x:c r="J3711" s="5" t="inlineStr">
        <x:is>
          <x:t xml:space="preserve">浙江省慈溪市崇寿镇永清南路8号</x:t>
        </x:is>
      </x:c>
      <x:c r="K3711" s="12" t="str">
        <x:f>LEFT("91330200144745634H",18)</x:f>
        <x:v>91330200144745634H</x:v>
      </x:c>
    </x:row>
    <x:row r="3712">
      <x:c r="A3712" s="2" t="n">
        <x:v>3711</x:v>
      </x:c>
      <x:c r="B3712" s="2" t="inlineStr">
        <x:is>
          <x:t xml:space="preserve">002122</x:t>
        </x:is>
      </x:c>
      <x:c r="C3712" s="3" t="inlineStr">
        <x:is>
          <x:t xml:space="preserve">ST汇洲</x:t>
        </x:is>
      </x:c>
      <x:c r="D3712" s="3" t="inlineStr">
        <x:is>
          <x:t xml:space="preserve">汇洲智能技术集团股份有限公司</x:t>
        </x:is>
      </x:c>
      <x:c r="E3712" s="2" t="inlineStr">
        <x:is>
          <x:t xml:space="preserve">浙江省</x:t>
        </x:is>
      </x:c>
      <x:c r="F3712" s="2" t="inlineStr">
        <x:is>
          <x:t xml:space="preserve">衢州市</x:t>
        </x:is>
      </x:c>
      <x:c r="G3712" s="3" t="inlineStr">
        <x:is>
          <x:t xml:space="preserve">浙江省-衢州市</x:t>
        </x:is>
      </x:c>
      <x:c r="H3712" s="2" t="inlineStr">
        <x:is>
          <x:t xml:space="preserve">机械行业</x:t>
        </x:is>
      </x:c>
      <x:c r="I3712" s="2" t="inlineStr">
        <x:is>
          <x:t xml:space="preserve">2007-03-28</x:t>
        </x:is>
      </x:c>
      <x:c r="J3712" s="3" t="inlineStr">
        <x:is>
          <x:t xml:space="preserve">浙江省衢州市常山县金川街道同心路135号2幢1单元1121室、1122室、1123室</x:t>
        </x:is>
      </x:c>
      <x:c r="K3712" s="12" t="str">
        <x:f>LEFT("9133000074506480XD",18)</x:f>
        <x:v>9133000074506480XD</x:v>
      </x:c>
    </x:row>
    <x:row r="3713">
      <x:c r="A3713" s="4" t="n">
        <x:v>3712</x:v>
      </x:c>
      <x:c r="B3713" s="4" t="inlineStr">
        <x:is>
          <x:t xml:space="preserve">002124</x:t>
        </x:is>
      </x:c>
      <x:c r="C3713" s="5" t="inlineStr">
        <x:is>
          <x:t xml:space="preserve">ST天邦</x:t>
        </x:is>
      </x:c>
      <x:c r="D3713" s="5" t="inlineStr">
        <x:is>
          <x:t xml:space="preserve">天邦食品股份有限公司</x:t>
        </x:is>
      </x:c>
      <x:c r="E3713" s="4" t="inlineStr">
        <x:is>
          <x:t xml:space="preserve">浙江省</x:t>
        </x:is>
      </x:c>
      <x:c r="F3713" s="4" t="inlineStr">
        <x:is>
          <x:t xml:space="preserve">宁波市</x:t>
        </x:is>
      </x:c>
      <x:c r="G3713" s="5" t="inlineStr">
        <x:is>
          <x:t xml:space="preserve">浙江省-宁波市</x:t>
        </x:is>
      </x:c>
      <x:c r="H3713" s="4" t="inlineStr">
        <x:is>
          <x:t xml:space="preserve">农牧饲渔</x:t>
        </x:is>
      </x:c>
      <x:c r="I3713" s="4" t="inlineStr">
        <x:is>
          <x:t xml:space="preserve">2007-04-03</x:t>
        </x:is>
      </x:c>
      <x:c r="J3713" s="5" t="inlineStr">
        <x:is>
          <x:t xml:space="preserve">浙江省宁波市余姚市城区阳光国际大厦A座1805室</x:t>
        </x:is>
      </x:c>
      <x:c r="K3713" s="12" t="str">
        <x:f>LEFT("91330200256170839R",18)</x:f>
        <x:v>91330200256170839R</x:v>
      </x:c>
    </x:row>
    <x:row r="3714">
      <x:c r="A3714" s="2" t="n">
        <x:v>3713</x:v>
      </x:c>
      <x:c r="B3714" s="2" t="inlineStr">
        <x:is>
          <x:t xml:space="preserve">002126</x:t>
        </x:is>
      </x:c>
      <x:c r="C3714" s="3" t="inlineStr">
        <x:is>
          <x:t xml:space="preserve">银轮股份</x:t>
        </x:is>
      </x:c>
      <x:c r="D3714" s="3" t="inlineStr">
        <x:is>
          <x:t xml:space="preserve">浙江银轮机械股份有限公司</x:t>
        </x:is>
      </x:c>
      <x:c r="E3714" s="2" t="inlineStr">
        <x:is>
          <x:t xml:space="preserve">浙江省</x:t>
        </x:is>
      </x:c>
      <x:c r="F3714" s="2" t="inlineStr">
        <x:is>
          <x:t xml:space="preserve">台州市</x:t>
        </x:is>
      </x:c>
      <x:c r="G3714" s="3" t="inlineStr">
        <x:is>
          <x:t xml:space="preserve">浙江省-台州市</x:t>
        </x:is>
      </x:c>
      <x:c r="H3714" s="2" t="inlineStr">
        <x:is>
          <x:t xml:space="preserve">汽车行业</x:t>
        </x:is>
      </x:c>
      <x:c r="I3714" s="2" t="inlineStr">
        <x:is>
          <x:t xml:space="preserve">2007-04-18</x:t>
        </x:is>
      </x:c>
      <x:c r="J3714" s="3" t="inlineStr">
        <x:is>
          <x:t xml:space="preserve">浙江省天台县福溪街道始丰东路8号</x:t>
        </x:is>
      </x:c>
      <x:c r="K3714" s="12" t="str">
        <x:f>LEFT("9133000070471161XA",18)</x:f>
        <x:v>9133000070471161XA</x:v>
      </x:c>
    </x:row>
    <x:row r="3715">
      <x:c r="A3715" s="4" t="n">
        <x:v>3714</x:v>
      </x:c>
      <x:c r="B3715" s="4" t="inlineStr">
        <x:is>
          <x:t xml:space="preserve">002131</x:t>
        </x:is>
      </x:c>
      <x:c r="C3715" s="5" t="inlineStr">
        <x:is>
          <x:t xml:space="preserve">利欧股份</x:t>
        </x:is>
      </x:c>
      <x:c r="D3715" s="5" t="inlineStr">
        <x:is>
          <x:t xml:space="preserve">利欧集团股份有限公司</x:t>
        </x:is>
      </x:c>
      <x:c r="E3715" s="4" t="inlineStr">
        <x:is>
          <x:t xml:space="preserve">浙江省</x:t>
        </x:is>
      </x:c>
      <x:c r="F3715" s="4" t="inlineStr">
        <x:is>
          <x:t xml:space="preserve">江省温岭市</x:t>
        </x:is>
      </x:c>
      <x:c r="G3715" s="5" t="inlineStr">
        <x:is>
          <x:t xml:space="preserve">浙江省-江省温岭市</x:t>
        </x:is>
      </x:c>
      <x:c r="H3715" s="4" t="inlineStr">
        <x:is>
          <x:t xml:space="preserve">电子信息</x:t>
        </x:is>
      </x:c>
      <x:c r="I3715" s="4" t="inlineStr">
        <x:is>
          <x:t xml:space="preserve">2007-04-27</x:t>
        </x:is>
      </x:c>
      <x:c r="J3715" s="5" t="inlineStr">
        <x:is>
          <x:t xml:space="preserve">浙江省温岭市滨海镇利欧路1号</x:t>
        </x:is>
      </x:c>
      <x:c r="K3715" s="12" t="str">
        <x:f>LEFT("91330000728913048T",18)</x:f>
        <x:v>91330000728913048T</x:v>
      </x:c>
    </x:row>
    <x:row r="3716">
      <x:c r="A3716" s="2" t="n">
        <x:v>3715</x:v>
      </x:c>
      <x:c r="B3716" s="2" t="inlineStr">
        <x:is>
          <x:t xml:space="preserve">002133</x:t>
        </x:is>
      </x:c>
      <x:c r="C3716" s="3" t="inlineStr">
        <x:is>
          <x:t xml:space="preserve">广宇集团</x:t>
        </x:is>
      </x:c>
      <x:c r="D3716" s="3" t="inlineStr">
        <x:is>
          <x:t xml:space="preserve">广宇集团股份有限公司</x:t>
        </x:is>
      </x:c>
      <x:c r="E3716" s="2" t="inlineStr">
        <x:is>
          <x:t xml:space="preserve">浙江省</x:t>
        </x:is>
      </x:c>
      <x:c r="F3716" s="2" t="inlineStr">
        <x:is>
          <x:t xml:space="preserve">杭州市</x:t>
        </x:is>
      </x:c>
      <x:c r="G3716" s="3" t="inlineStr">
        <x:is>
          <x:t xml:space="preserve">浙江省-杭州市</x:t>
        </x:is>
      </x:c>
      <x:c r="H3716" s="2" t="inlineStr">
        <x:is>
          <x:t xml:space="preserve">房地产</x:t>
        </x:is>
      </x:c>
      <x:c r="I3716" s="2" t="inlineStr">
        <x:is>
          <x:t xml:space="preserve">2007-04-27</x:t>
        </x:is>
      </x:c>
      <x:c r="J3716" s="3" t="inlineStr">
        <x:is>
          <x:t xml:space="preserve">浙江省杭州市上城区龙舌路68号鹤鸣广宇大厦1号楼1718室</x:t>
        </x:is>
      </x:c>
      <x:c r="K3716" s="12" t="str">
        <x:f>LEFT("91330000143125150B",18)</x:f>
        <x:v>91330000143125150B</x:v>
      </x:c>
    </x:row>
    <x:row r="3717">
      <x:c r="A3717" s="4" t="n">
        <x:v>3716</x:v>
      </x:c>
      <x:c r="B3717" s="4" t="inlineStr">
        <x:is>
          <x:t xml:space="preserve">002135</x:t>
        </x:is>
      </x:c>
      <x:c r="C3717" s="5" t="inlineStr">
        <x:is>
          <x:t xml:space="preserve">东南网架</x:t>
        </x:is>
      </x:c>
      <x:c r="D3717" s="5" t="inlineStr">
        <x:is>
          <x:t xml:space="preserve">浙江东南网架股份有限公司</x:t>
        </x:is>
      </x:c>
      <x:c r="E3717" s="4" t="inlineStr">
        <x:is>
          <x:t xml:space="preserve">浙江省</x:t>
        </x:is>
      </x:c>
      <x:c r="F3717" s="4" t="inlineStr">
        <x:is>
          <x:t xml:space="preserve">杭州市</x:t>
        </x:is>
      </x:c>
      <x:c r="G3717" s="5" t="inlineStr">
        <x:is>
          <x:t xml:space="preserve">浙江省-杭州市</x:t>
        </x:is>
      </x:c>
      <x:c r="H3717" s="4" t="inlineStr">
        <x:is>
          <x:t xml:space="preserve">工程建设</x:t>
        </x:is>
      </x:c>
      <x:c r="I3717" s="4" t="inlineStr">
        <x:is>
          <x:t xml:space="preserve">2007-05-30</x:t>
        </x:is>
      </x:c>
      <x:c r="J3717" s="5" t="inlineStr">
        <x:is>
          <x:t xml:space="preserve">浙江省杭州市萧山区衙前镇</x:t>
        </x:is>
      </x:c>
      <x:c r="K3717" s="12" t="str">
        <x:f>LEFT("913300007345233459",18)</x:f>
        <x:v>913300007345233400</x:v>
      </x:c>
    </x:row>
    <x:row r="3718">
      <x:c r="A3718" s="2" t="n">
        <x:v>3717</x:v>
      </x:c>
      <x:c r="B3718" s="2" t="inlineStr">
        <x:is>
          <x:t xml:space="preserve">002142</x:t>
        </x:is>
      </x:c>
      <x:c r="C3718" s="3" t="inlineStr">
        <x:is>
          <x:t xml:space="preserve">宁波银行</x:t>
        </x:is>
      </x:c>
      <x:c r="D3718" s="3" t="inlineStr">
        <x:is>
          <x:t xml:space="preserve">宁波银行股份有限公司</x:t>
        </x:is>
      </x:c>
      <x:c r="E3718" s="2" t="inlineStr">
        <x:is>
          <x:t xml:space="preserve">浙江省</x:t>
        </x:is>
      </x:c>
      <x:c r="F3718" s="2" t="inlineStr">
        <x:is>
          <x:t xml:space="preserve">宁波市</x:t>
        </x:is>
      </x:c>
      <x:c r="G3718" s="3" t="inlineStr">
        <x:is>
          <x:t xml:space="preserve">浙江省-宁波市</x:t>
        </x:is>
      </x:c>
      <x:c r="H3718" s="2" t="inlineStr">
        <x:is>
          <x:t xml:space="preserve">银行</x:t>
        </x:is>
      </x:c>
      <x:c r="I3718" s="2" t="inlineStr">
        <x:is>
          <x:t xml:space="preserve">2007-07-19</x:t>
        </x:is>
      </x:c>
      <x:c r="J3718" s="3" t="inlineStr">
        <x:is>
          <x:t xml:space="preserve">中国浙江省宁波市鄞州区宁东路345号</x:t>
        </x:is>
      </x:c>
      <x:c r="K3718" s="12" t="str">
        <x:f>LEFT("91330200711192037M",18)</x:f>
        <x:v>91330200711192037M</x:v>
      </x:c>
    </x:row>
    <x:row r="3719">
      <x:c r="A3719" s="4" t="n">
        <x:v>3718</x:v>
      </x:c>
      <x:c r="B3719" s="4" t="inlineStr">
        <x:is>
          <x:t xml:space="preserve">002144</x:t>
        </x:is>
      </x:c>
      <x:c r="C3719" s="5" t="inlineStr">
        <x:is>
          <x:t xml:space="preserve">宏达高科</x:t>
        </x:is>
      </x:c>
      <x:c r="D3719" s="5" t="inlineStr">
        <x:is>
          <x:t xml:space="preserve">宏达高科控股股份有限公司</x:t>
        </x:is>
      </x:c>
      <x:c r="E3719" s="4" t="inlineStr">
        <x:is>
          <x:t xml:space="preserve">浙江省</x:t>
        </x:is>
      </x:c>
      <x:c r="F3719" s="4" t="inlineStr">
        <x:is>
          <x:t xml:space="preserve">江省海宁市</x:t>
        </x:is>
      </x:c>
      <x:c r="G3719" s="5" t="inlineStr">
        <x:is>
          <x:t xml:space="preserve">浙江省-江省海宁市</x:t>
        </x:is>
      </x:c>
      <x:c r="H3719" s="4" t="inlineStr">
        <x:is>
          <x:t xml:space="preserve">纺织服装</x:t>
        </x:is>
      </x:c>
      <x:c r="I3719" s="4" t="inlineStr">
        <x:is>
          <x:t xml:space="preserve">2007-08-03</x:t>
        </x:is>
      </x:c>
      <x:c r="J3719" s="5" t="inlineStr">
        <x:is>
          <x:t xml:space="preserve">浙江省海宁市许村镇大桥路275号</x:t>
        </x:is>
      </x:c>
      <x:c r="K3719" s="12" t="str">
        <x:f>LEFT("91330000146719376J",18)</x:f>
        <x:v>91330000146719376J</x:v>
      </x:c>
    </x:row>
    <x:row r="3720">
      <x:c r="A3720" s="2" t="n">
        <x:v>3719</x:v>
      </x:c>
      <x:c r="B3720" s="2" t="inlineStr">
        <x:is>
          <x:t xml:space="preserve">002154</x:t>
        </x:is>
      </x:c>
      <x:c r="C3720" s="3" t="inlineStr">
        <x:is>
          <x:t xml:space="preserve">报喜鸟</x:t>
        </x:is>
      </x:c>
      <x:c r="D3720" s="3" t="inlineStr">
        <x:is>
          <x:t xml:space="preserve">报喜鸟控股股份有限公司</x:t>
        </x:is>
      </x:c>
      <x:c r="E3720" s="2" t="inlineStr">
        <x:is>
          <x:t xml:space="preserve">浙江省</x:t>
        </x:is>
      </x:c>
      <x:c r="F3720" s="2" t="inlineStr">
        <x:is>
          <x:t xml:space="preserve">温州市</x:t>
        </x:is>
      </x:c>
      <x:c r="G3720" s="3" t="inlineStr">
        <x:is>
          <x:t xml:space="preserve">浙江省-温州市</x:t>
        </x:is>
      </x:c>
      <x:c r="H3720" s="2" t="inlineStr">
        <x:is>
          <x:t xml:space="preserve">纺织服装</x:t>
        </x:is>
      </x:c>
      <x:c r="I3720" s="2" t="inlineStr">
        <x:is>
          <x:t xml:space="preserve">2007-08-16</x:t>
        </x:is>
      </x:c>
      <x:c r="J3720" s="3" t="inlineStr">
        <x:is>
          <x:t xml:space="preserve">浙江省永嘉县瓯北镇双塔路2299号</x:t>
        </x:is>
      </x:c>
      <x:c r="K3720" s="12" t="str">
        <x:f>LEFT("91330000729133019U",18)</x:f>
        <x:v>91330000729133019U</x:v>
      </x:c>
    </x:row>
    <x:row r="3721">
      <x:c r="A3721" s="4" t="n">
        <x:v>3720</x:v>
      </x:c>
      <x:c r="B3721" s="4" t="inlineStr">
        <x:is>
          <x:t xml:space="preserve">002164</x:t>
        </x:is>
      </x:c>
      <x:c r="C3721" s="5" t="inlineStr">
        <x:is>
          <x:t xml:space="preserve">宁波东力</x:t>
        </x:is>
      </x:c>
      <x:c r="D3721" s="5" t="inlineStr">
        <x:is>
          <x:t xml:space="preserve">宁波东力股份有限公司</x:t>
        </x:is>
      </x:c>
      <x:c r="E3721" s="4" t="inlineStr">
        <x:is>
          <x:t xml:space="preserve">浙江省</x:t>
        </x:is>
      </x:c>
      <x:c r="F3721" s="4" t="inlineStr">
        <x:is>
          <x:t xml:space="preserve">宁波市</x:t>
        </x:is>
      </x:c>
      <x:c r="G3721" s="5" t="inlineStr">
        <x:is>
          <x:t xml:space="preserve">浙江省-宁波市</x:t>
        </x:is>
      </x:c>
      <x:c r="H3721" s="4" t="inlineStr">
        <x:is>
          <x:t xml:space="preserve">通用设备</x:t>
        </x:is>
      </x:c>
      <x:c r="I3721" s="4" t="inlineStr">
        <x:is>
          <x:t xml:space="preserve">2007-08-23</x:t>
        </x:is>
      </x:c>
      <x:c r="J3721" s="5" t="inlineStr">
        <x:is>
          <x:t xml:space="preserve">宁波市江北区银海路1号</x:t>
        </x:is>
      </x:c>
      <x:c r="K3721" s="12" t="str">
        <x:f>LEFT("913302007048664514",18)</x:f>
        <x:v>913302007048664600</x:v>
      </x:c>
    </x:row>
    <x:row r="3722">
      <x:c r="A3722" s="2" t="n">
        <x:v>3721</x:v>
      </x:c>
      <x:c r="B3722" s="2" t="inlineStr">
        <x:is>
          <x:t xml:space="preserve">002173</x:t>
        </x:is>
      </x:c>
      <x:c r="C3722" s="3" t="inlineStr">
        <x:is>
          <x:t xml:space="preserve">创新医疗</x:t>
        </x:is>
      </x:c>
      <x:c r="D3722" s="3" t="inlineStr">
        <x:is>
          <x:t xml:space="preserve">创新医疗管理股份有限公司</x:t>
        </x:is>
      </x:c>
      <x:c r="E3722" s="2" t="inlineStr">
        <x:is>
          <x:t xml:space="preserve">浙江省</x:t>
        </x:is>
      </x:c>
      <x:c r="F3722" s="2" t="inlineStr">
        <x:is>
          <x:t xml:space="preserve">江省诸暨市</x:t>
        </x:is>
      </x:c>
      <x:c r="G3722" s="3" t="inlineStr">
        <x:is>
          <x:t xml:space="preserve">浙江省-江省诸暨市</x:t>
        </x:is>
      </x:c>
      <x:c r="H3722" s="2" t="inlineStr">
        <x:is>
          <x:t xml:space="preserve">医疗行业</x:t>
        </x:is>
      </x:c>
      <x:c r="I3722" s="2" t="inlineStr">
        <x:is>
          <x:t xml:space="preserve">2007-09-25</x:t>
        </x:is>
      </x:c>
      <x:c r="J3722" s="3" t="inlineStr">
        <x:is>
          <x:t xml:space="preserve">浙江省诸暨市山下湖镇郑家湖村</x:t>
        </x:is>
      </x:c>
      <x:c r="K3722" s="12" t="str">
        <x:f>LEFT("91330000754917034P",18)</x:f>
        <x:v>91330000754917034P</x:v>
      </x:c>
    </x:row>
    <x:row r="3723">
      <x:c r="A3723" s="4" t="n">
        <x:v>3722</x:v>
      </x:c>
      <x:c r="B3723" s="4" t="inlineStr">
        <x:is>
          <x:t xml:space="preserve">002188</x:t>
        </x:is>
      </x:c>
      <x:c r="C3723" s="5" t="inlineStr">
        <x:is>
          <x:t xml:space="preserve">中天服务</x:t>
        </x:is>
      </x:c>
      <x:c r="D3723" s="5" t="inlineStr">
        <x:is>
          <x:t xml:space="preserve">中天服务股份有限公司</x:t>
        </x:is>
      </x:c>
      <x:c r="E3723" s="4" t="inlineStr">
        <x:is>
          <x:t xml:space="preserve">浙江省</x:t>
        </x:is>
      </x:c>
      <x:c r="F3723" s="4" t="inlineStr">
        <x:is>
          <x:t xml:space="preserve">嘉兴市</x:t>
        </x:is>
      </x:c>
      <x:c r="G3723" s="5" t="inlineStr">
        <x:is>
          <x:t xml:space="preserve">浙江省-嘉兴市</x:t>
        </x:is>
      </x:c>
      <x:c r="H3723" s="4" t="inlineStr">
        <x:is>
          <x:t xml:space="preserve">房地产服务</x:t>
        </x:is>
      </x:c>
      <x:c r="I3723" s="4" t="inlineStr">
        <x:is>
          <x:t xml:space="preserve">2007-11-22</x:t>
        </x:is>
      </x:c>
      <x:c r="J3723" s="5" t="inlineStr">
        <x:is>
          <x:t xml:space="preserve">浙江省嘉兴市嘉善县惠民街道东升路18号410室</x:t>
        </x:is>
      </x:c>
      <x:c r="K3723" s="12" t="str">
        <x:f>LEFT("91330000721075424D",18)</x:f>
        <x:v>91330000721075424D</x:v>
      </x:c>
    </x:row>
    <x:row r="3724">
      <x:c r="A3724" s="2" t="n">
        <x:v>3723</x:v>
      </x:c>
      <x:c r="B3724" s="2" t="inlineStr">
        <x:is>
          <x:t xml:space="preserve">002196</x:t>
        </x:is>
      </x:c>
      <x:c r="C3724" s="3" t="inlineStr">
        <x:is>
          <x:t xml:space="preserve">方正电机</x:t>
        </x:is>
      </x:c>
      <x:c r="D3724" s="3" t="inlineStr">
        <x:is>
          <x:t xml:space="preserve">浙江方正电机股份有限公司</x:t>
        </x:is>
      </x:c>
      <x:c r="E3724" s="2" t="inlineStr">
        <x:is>
          <x:t xml:space="preserve">浙江省</x:t>
        </x:is>
      </x:c>
      <x:c r="F3724" s="2" t="inlineStr">
        <x:is>
          <x:t xml:space="preserve">丽水市</x:t>
        </x:is>
      </x:c>
      <x:c r="G3724" s="3" t="inlineStr">
        <x:is>
          <x:t xml:space="preserve">浙江省-丽水市</x:t>
        </x:is>
      </x:c>
      <x:c r="H3724" s="2" t="inlineStr">
        <x:is>
          <x:t xml:space="preserve">电机</x:t>
        </x:is>
      </x:c>
      <x:c r="I3724" s="2" t="inlineStr">
        <x:is>
          <x:t xml:space="preserve">2007-12-12</x:t>
        </x:is>
      </x:c>
      <x:c r="J3724" s="3" t="inlineStr">
        <x:is>
          <x:t xml:space="preserve">浙江省丽水市莲都区南明山街道成大街626号</x:t>
        </x:is>
      </x:c>
      <x:c r="K3724" s="12" t="str">
        <x:f>LEFT("91330000148868586D",18)</x:f>
        <x:v>91330000148868586D</x:v>
      </x:c>
    </x:row>
    <x:row r="3725">
      <x:c r="A3725" s="4" t="n">
        <x:v>3724</x:v>
      </x:c>
      <x:c r="B3725" s="4" t="inlineStr">
        <x:is>
          <x:t xml:space="preserve">002199</x:t>
        </x:is>
      </x:c>
      <x:c r="C3725" s="5" t="inlineStr">
        <x:is>
          <x:t xml:space="preserve">*ST东晶</x:t>
        </x:is>
      </x:c>
      <x:c r="D3725" s="5" t="inlineStr">
        <x:is>
          <x:t xml:space="preserve">浙江东晶电子股份有限公司</x:t>
        </x:is>
      </x:c>
      <x:c r="E3725" s="4" t="inlineStr">
        <x:is>
          <x:t xml:space="preserve">浙江省</x:t>
        </x:is>
      </x:c>
      <x:c r="F3725" s="4" t="inlineStr">
        <x:is>
          <x:t xml:space="preserve">金华市</x:t>
        </x:is>
      </x:c>
      <x:c r="G3725" s="5" t="inlineStr">
        <x:is>
          <x:t xml:space="preserve">浙江省-金华市</x:t>
        </x:is>
      </x:c>
      <x:c r="H3725" s="4" t="inlineStr">
        <x:is>
          <x:t xml:space="preserve">电子元件</x:t>
        </x:is>
      </x:c>
      <x:c r="I3725" s="4" t="inlineStr">
        <x:is>
          <x:t xml:space="preserve">2007-12-21</x:t>
        </x:is>
      </x:c>
      <x:c r="J3725" s="5" t="inlineStr">
        <x:is>
          <x:t xml:space="preserve">浙江省金华市宾虹西路555号</x:t>
        </x:is>
      </x:c>
      <x:c r="K3725" s="12" t="str">
        <x:f>LEFT("9133000071257271X6",18)</x:f>
        <x:v>9133000071257271X6</x:v>
      </x:c>
    </x:row>
    <x:row r="3726">
      <x:c r="A3726" s="2" t="n">
        <x:v>3725</x:v>
      </x:c>
      <x:c r="B3726" s="2" t="inlineStr">
        <x:is>
          <x:t xml:space="preserve">002203</x:t>
        </x:is>
      </x:c>
      <x:c r="C3726" s="3" t="inlineStr">
        <x:is>
          <x:t xml:space="preserve">海亮股份</x:t>
        </x:is>
      </x:c>
      <x:c r="D3726" s="3" t="inlineStr">
        <x:is>
          <x:t xml:space="preserve">浙江海亮股份有限公司</x:t>
        </x:is>
      </x:c>
      <x:c r="E3726" s="2" t="inlineStr">
        <x:is>
          <x:t xml:space="preserve">浙江省</x:t>
        </x:is>
      </x:c>
      <x:c r="F3726" s="2" t="inlineStr">
        <x:is>
          <x:t xml:space="preserve">江省诸暨市</x:t>
        </x:is>
      </x:c>
      <x:c r="G3726" s="3" t="inlineStr">
        <x:is>
          <x:t xml:space="preserve">浙江省-江省诸暨市</x:t>
        </x:is>
      </x:c>
      <x:c r="H3726" s="2" t="inlineStr">
        <x:is>
          <x:t xml:space="preserve">有色金属</x:t>
        </x:is>
      </x:c>
      <x:c r="I3726" s="2" t="inlineStr">
        <x:is>
          <x:t xml:space="preserve">2008-01-16</x:t>
        </x:is>
      </x:c>
      <x:c r="J3726" s="3" t="inlineStr">
        <x:is>
          <x:t xml:space="preserve">浙江省诸暨市店口镇工业区</x:t>
        </x:is>
      </x:c>
      <x:c r="K3726" s="12" t="str">
        <x:f>LEFT("91330000724510604K",18)</x:f>
        <x:v>91330000724510604K</x:v>
      </x:c>
    </x:row>
    <x:row r="3727">
      <x:c r="A3727" s="4" t="n">
        <x:v>3726</x:v>
      </x:c>
      <x:c r="B3727" s="4" t="inlineStr">
        <x:is>
          <x:t xml:space="preserve">002206</x:t>
        </x:is>
      </x:c>
      <x:c r="C3727" s="5" t="inlineStr">
        <x:is>
          <x:t xml:space="preserve">海利得</x:t>
        </x:is>
      </x:c>
      <x:c r="D3727" s="5" t="inlineStr">
        <x:is>
          <x:t xml:space="preserve">浙江海利得新材料股份有限公司</x:t>
        </x:is>
      </x:c>
      <x:c r="E3727" s="4" t="inlineStr">
        <x:is>
          <x:t xml:space="preserve">浙江省</x:t>
        </x:is>
      </x:c>
      <x:c r="F3727" s="4" t="inlineStr">
        <x:is>
          <x:t xml:space="preserve">江省海宁市</x:t>
        </x:is>
      </x:c>
      <x:c r="G3727" s="5" t="inlineStr">
        <x:is>
          <x:t xml:space="preserve">浙江省-江省海宁市</x:t>
        </x:is>
      </x:c>
      <x:c r="H3727" s="4" t="inlineStr">
        <x:is>
          <x:t xml:space="preserve">化纤行业</x:t>
        </x:is>
      </x:c>
      <x:c r="I3727" s="4" t="inlineStr">
        <x:is>
          <x:t xml:space="preserve">2008-01-23</x:t>
        </x:is>
      </x:c>
      <x:c r="J3727" s="5" t="inlineStr">
        <x:is>
          <x:t xml:space="preserve">浙江省海宁市马桥镇经编产业园区内</x:t>
        </x:is>
      </x:c>
      <x:c r="K3727" s="12" t="str">
        <x:f>LEFT("91330000710969000C",18)</x:f>
        <x:v>91330000710969000C</x:v>
      </x:c>
    </x:row>
    <x:row r="3728">
      <x:c r="A3728" s="2" t="n">
        <x:v>3727</x:v>
      </x:c>
      <x:c r="B3728" s="2" t="inlineStr">
        <x:is>
          <x:t xml:space="preserve">002214</x:t>
        </x:is>
      </x:c>
      <x:c r="C3728" s="3" t="inlineStr">
        <x:is>
          <x:t xml:space="preserve">*ST大立</x:t>
        </x:is>
      </x:c>
      <x:c r="D3728" s="3" t="inlineStr">
        <x:is>
          <x:t xml:space="preserve">浙江大立科技股份有限公司</x:t>
        </x:is>
      </x:c>
      <x:c r="E3728" s="2" t="inlineStr">
        <x:is>
          <x:t xml:space="preserve">浙江省</x:t>
        </x:is>
      </x:c>
      <x:c r="F3728" s="2" t="inlineStr">
        <x:is>
          <x:t xml:space="preserve">杭州市</x:t>
        </x:is>
      </x:c>
      <x:c r="G3728" s="3" t="inlineStr">
        <x:is>
          <x:t xml:space="preserve">浙江省-杭州市</x:t>
        </x:is>
      </x:c>
      <x:c r="H3728" s="2" t="inlineStr">
        <x:is>
          <x:t xml:space="preserve">电子元件</x:t>
        </x:is>
      </x:c>
      <x:c r="I3728" s="2" t="inlineStr">
        <x:is>
          <x:t xml:space="preserve">2008-02-18</x:t>
        </x:is>
      </x:c>
      <x:c r="J3728" s="3" t="inlineStr">
        <x:is>
          <x:t xml:space="preserve">杭州市滨江区滨康路639号</x:t>
        </x:is>
      </x:c>
      <x:c r="K3728" s="12" t="str">
        <x:f>LEFT("913300007308931541",18)</x:f>
        <x:v>913300007308931600</x:v>
      </x:c>
    </x:row>
    <x:row r="3729">
      <x:c r="A3729" s="4" t="n">
        <x:v>3728</x:v>
      </x:c>
      <x:c r="B3729" s="4" t="inlineStr">
        <x:is>
          <x:t xml:space="preserve">002224</x:t>
        </x:is>
      </x:c>
      <x:c r="C3729" s="5" t="inlineStr">
        <x:is>
          <x:t xml:space="preserve">三力士</x:t>
        </x:is>
      </x:c>
      <x:c r="D3729" s="5" t="inlineStr">
        <x:is>
          <x:t xml:space="preserve">三力士股份有限公司</x:t>
        </x:is>
      </x:c>
      <x:c r="E3729" s="4" t="inlineStr">
        <x:is>
          <x:t xml:space="preserve">浙江省</x:t>
        </x:is>
      </x:c>
      <x:c r="F3729" s="4" t="inlineStr">
        <x:is>
          <x:t xml:space="preserve">绍兴市</x:t>
        </x:is>
      </x:c>
      <x:c r="G3729" s="5" t="inlineStr">
        <x:is>
          <x:t xml:space="preserve">浙江省-绍兴市</x:t>
        </x:is>
      </x:c>
      <x:c r="H3729" s="4" t="inlineStr">
        <x:is>
          <x:t xml:space="preserve">橡胶制品</x:t>
        </x:is>
      </x:c>
      <x:c r="I3729" s="4" t="inlineStr">
        <x:is>
          <x:t xml:space="preserve">2008-04-25</x:t>
        </x:is>
      </x:c>
      <x:c r="J3729" s="5" t="inlineStr">
        <x:is>
          <x:t xml:space="preserve">浙江省绍兴市柯桥区柯岩街道余渚村</x:t>
        </x:is>
      </x:c>
      <x:c r="K3729" s="12" t="str">
        <x:f>LEFT("913300007450506949",18)</x:f>
        <x:v>913300007450507000</x:v>
      </x:c>
    </x:row>
    <x:row r="3730">
      <x:c r="A3730" s="2" t="n">
        <x:v>3729</x:v>
      </x:c>
      <x:c r="B3730" s="2" t="inlineStr">
        <x:is>
          <x:t xml:space="preserve">002236</x:t>
        </x:is>
      </x:c>
      <x:c r="C3730" s="3" t="inlineStr">
        <x:is>
          <x:t xml:space="preserve">大华股份</x:t>
        </x:is>
      </x:c>
      <x:c r="D3730" s="3" t="inlineStr">
        <x:is>
          <x:t xml:space="preserve">浙江大华技术股份有限公司</x:t>
        </x:is>
      </x:c>
      <x:c r="E3730" s="2" t="inlineStr">
        <x:is>
          <x:t xml:space="preserve">浙江省</x:t>
        </x:is>
      </x:c>
      <x:c r="F3730" s="2" t="inlineStr">
        <x:is>
          <x:t xml:space="preserve">杭州市</x:t>
        </x:is>
      </x:c>
      <x:c r="G3730" s="3" t="inlineStr">
        <x:is>
          <x:t xml:space="preserve">浙江省-杭州市</x:t>
        </x:is>
      </x:c>
      <x:c r="H3730" s="2" t="inlineStr">
        <x:is>
          <x:t xml:space="preserve">安防设备</x:t>
        </x:is>
      </x:c>
      <x:c r="I3730" s="2" t="inlineStr">
        <x:is>
          <x:t xml:space="preserve">2008-05-20</x:t>
        </x:is>
      </x:c>
      <x:c r="J3730" s="3" t="inlineStr">
        <x:is>
          <x:t xml:space="preserve">浙江省杭州市滨江区滨安路1187号</x:t>
        </x:is>
      </x:c>
      <x:c r="K3730" s="12" t="str">
        <x:f>LEFT("91330000727215176K",18)</x:f>
        <x:v>91330000727215176K</x:v>
      </x:c>
    </x:row>
    <x:row r="3731">
      <x:c r="A3731" s="4" t="n">
        <x:v>3730</x:v>
      </x:c>
      <x:c r="B3731" s="4" t="inlineStr">
        <x:is>
          <x:t xml:space="preserve">002244</x:t>
        </x:is>
      </x:c>
      <x:c r="C3731" s="5" t="inlineStr">
        <x:is>
          <x:t xml:space="preserve">滨江集团</x:t>
        </x:is>
      </x:c>
      <x:c r="D3731" s="5" t="inlineStr">
        <x:is>
          <x:t xml:space="preserve">杭州滨江房产集团股份有限公司</x:t>
        </x:is>
      </x:c>
      <x:c r="E3731" s="4" t="inlineStr">
        <x:is>
          <x:t xml:space="preserve">浙江省</x:t>
        </x:is>
      </x:c>
      <x:c r="F3731" s="4" t="inlineStr">
        <x:is>
          <x:t xml:space="preserve">杭州市</x:t>
        </x:is>
      </x:c>
      <x:c r="G3731" s="5" t="inlineStr">
        <x:is>
          <x:t xml:space="preserve">浙江省-杭州市</x:t>
        </x:is>
      </x:c>
      <x:c r="H3731" s="4" t="inlineStr">
        <x:is>
          <x:t xml:space="preserve">房地产</x:t>
        </x:is>
      </x:c>
      <x:c r="I3731" s="4" t="inlineStr">
        <x:is>
          <x:t xml:space="preserve">2008-05-29</x:t>
        </x:is>
      </x:c>
      <x:c r="J3731" s="5" t="inlineStr">
        <x:is>
          <x:t xml:space="preserve">浙江省杭州市庆春东路38号</x:t>
        </x:is>
      </x:c>
      <x:c r="K3731" s="12" t="str">
        <x:f>LEFT("91330000719577660B",18)</x:f>
        <x:v>91330000719577660B</x:v>
      </x:c>
    </x:row>
    <x:row r="3732">
      <x:c r="A3732" s="2" t="n">
        <x:v>3731</x:v>
      </x:c>
      <x:c r="B3732" s="2" t="inlineStr">
        <x:is>
          <x:t xml:space="preserve">002247</x:t>
        </x:is>
      </x:c>
      <x:c r="C3732" s="3" t="inlineStr">
        <x:is>
          <x:t xml:space="preserve">聚力文化</x:t>
        </x:is>
      </x:c>
      <x:c r="D3732" s="3" t="inlineStr">
        <x:is>
          <x:t xml:space="preserve">浙江聚力文化发展股份有限公司</x:t>
        </x:is>
      </x:c>
      <x:c r="E3732" s="2" t="inlineStr">
        <x:is>
          <x:t xml:space="preserve">浙江省</x:t>
        </x:is>
      </x:c>
      <x:c r="F3732" s="2" t="inlineStr">
        <x:is>
          <x:t xml:space="preserve">江省临安市</x:t>
        </x:is>
      </x:c>
      <x:c r="G3732" s="3" t="inlineStr">
        <x:is>
          <x:t xml:space="preserve">浙江省-江省临安市</x:t>
        </x:is>
      </x:c>
      <x:c r="H3732" s="2" t="inlineStr">
        <x:is>
          <x:t xml:space="preserve">装修装饰</x:t>
        </x:is>
      </x:c>
      <x:c r="I3732" s="2" t="inlineStr">
        <x:is>
          <x:t xml:space="preserve">2008-06-12</x:t>
        </x:is>
      </x:c>
      <x:c r="J3732" s="3" t="inlineStr">
        <x:is>
          <x:t xml:space="preserve">浙江省临安市玲珑街道玲珑工业区环南路1958号</x:t>
        </x:is>
      </x:c>
      <x:c r="K3732" s="12" t="str">
        <x:f>LEFT("91330000729092173R",18)</x:f>
        <x:v>91330000729092173R</x:v>
      </x:c>
    </x:row>
    <x:row r="3733">
      <x:c r="A3733" s="4" t="n">
        <x:v>3732</x:v>
      </x:c>
      <x:c r="B3733" s="4" t="inlineStr">
        <x:is>
          <x:t xml:space="preserve">002250</x:t>
        </x:is>
      </x:c>
      <x:c r="C3733" s="5" t="inlineStr">
        <x:is>
          <x:t xml:space="preserve">联化科技</x:t>
        </x:is>
      </x:c>
      <x:c r="D3733" s="5" t="inlineStr">
        <x:is>
          <x:t xml:space="preserve">联化科技股份有限公司</x:t>
        </x:is>
      </x:c>
      <x:c r="E3733" s="4" t="inlineStr">
        <x:is>
          <x:t xml:space="preserve">浙江省</x:t>
        </x:is>
      </x:c>
      <x:c r="F3733" s="4" t="inlineStr">
        <x:is>
          <x:t xml:space="preserve">台州市</x:t>
        </x:is>
      </x:c>
      <x:c r="G3733" s="5" t="inlineStr">
        <x:is>
          <x:t xml:space="preserve">浙江省-台州市</x:t>
        </x:is>
      </x:c>
      <x:c r="H3733" s="4" t="inlineStr">
        <x:is>
          <x:t xml:space="preserve">农药兽药</x:t>
        </x:is>
      </x:c>
      <x:c r="I3733" s="4" t="inlineStr">
        <x:is>
          <x:t xml:space="preserve">2008-06-19</x:t>
        </x:is>
      </x:c>
      <x:c r="J3733" s="5" t="inlineStr">
        <x:is>
          <x:t xml:space="preserve">浙江省台州市黄岩区江口经济开发区永椒路8号</x:t>
        </x:is>
      </x:c>
      <x:c r="K3733" s="12" t="str">
        <x:f>LEFT("9133000014813673X3",18)</x:f>
        <x:v>9133000014813673X3</x:v>
      </x:c>
    </x:row>
    <x:row r="3734">
      <x:c r="A3734" s="2" t="n">
        <x:v>3733</x:v>
      </x:c>
      <x:c r="B3734" s="2" t="inlineStr">
        <x:is>
          <x:t xml:space="preserve">002263</x:t>
        </x:is>
      </x:c>
      <x:c r="C3734" s="3" t="inlineStr">
        <x:is>
          <x:t xml:space="preserve">大东南</x:t>
        </x:is>
      </x:c>
      <x:c r="D3734" s="3" t="inlineStr">
        <x:is>
          <x:t xml:space="preserve">浙江大东南股份有限公司</x:t>
        </x:is>
      </x:c>
      <x:c r="E3734" s="2" t="inlineStr">
        <x:is>
          <x:t xml:space="preserve">浙江省</x:t>
        </x:is>
      </x:c>
      <x:c r="F3734" s="2" t="inlineStr">
        <x:is>
          <x:t xml:space="preserve">江省诸暨市</x:t>
        </x:is>
      </x:c>
      <x:c r="G3734" s="3" t="inlineStr">
        <x:is>
          <x:t xml:space="preserve">浙江省-江省诸暨市</x:t>
        </x:is>
      </x:c>
      <x:c r="H3734" s="2" t="inlineStr">
        <x:is>
          <x:t xml:space="preserve">塑料制品</x:t>
        </x:is>
      </x:c>
      <x:c r="I3734" s="2" t="inlineStr">
        <x:is>
          <x:t xml:space="preserve">2008-07-28</x:t>
        </x:is>
      </x:c>
      <x:c r="J3734" s="3" t="inlineStr">
        <x:is>
          <x:t xml:space="preserve">浙江省诸暨市城西工业区</x:t>
        </x:is>
      </x:c>
      <x:c r="K3734" s="12" t="str">
        <x:f>LEFT("91330000720085639T",18)</x:f>
        <x:v>91330000720085639T</x:v>
      </x:c>
    </x:row>
    <x:row r="3735">
      <x:c r="A3735" s="4" t="n">
        <x:v>3734</x:v>
      </x:c>
      <x:c r="B3735" s="4" t="inlineStr">
        <x:is>
          <x:t xml:space="preserve">002266</x:t>
        </x:is>
      </x:c>
      <x:c r="C3735" s="5" t="inlineStr">
        <x:is>
          <x:t xml:space="preserve">浙富控股</x:t>
        </x:is>
      </x:c>
      <x:c r="D3735" s="5" t="inlineStr">
        <x:is>
          <x:t xml:space="preserve">浙富控股集团股份有限公司</x:t>
        </x:is>
      </x:c>
      <x:c r="E3735" s="4" t="inlineStr">
        <x:is>
          <x:t xml:space="preserve">浙江省</x:t>
        </x:is>
      </x:c>
      <x:c r="F3735" s="4" t="inlineStr">
        <x:is>
          <x:t xml:space="preserve">杭州市</x:t>
        </x:is>
      </x:c>
      <x:c r="G3735" s="5" t="inlineStr">
        <x:is>
          <x:t xml:space="preserve">浙江省-杭州市</x:t>
        </x:is>
      </x:c>
      <x:c r="H3735" s="4" t="inlineStr">
        <x:is>
          <x:t xml:space="preserve">环保行业</x:t>
        </x:is>
      </x:c>
      <x:c r="I3735" s="4" t="inlineStr">
        <x:is>
          <x:t xml:space="preserve">2008-08-06</x:t>
        </x:is>
      </x:c>
      <x:c r="J3735" s="5" t="inlineStr">
        <x:is>
          <x:t xml:space="preserve">浙江省杭州市桐庐县富春江镇红旗南路201号5幢</x:t>
        </x:is>
      </x:c>
      <x:c r="K3735" s="12" t="str">
        <x:f>LEFT("91330000759522947D",18)</x:f>
        <x:v>91330000759522947D</x:v>
      </x:c>
    </x:row>
    <x:row r="3736">
      <x:c r="A3736" s="2" t="n">
        <x:v>3735</x:v>
      </x:c>
      <x:c r="B3736" s="2" t="inlineStr">
        <x:is>
          <x:t xml:space="preserve">002273</x:t>
        </x:is>
      </x:c>
      <x:c r="C3736" s="3" t="inlineStr">
        <x:is>
          <x:t xml:space="preserve">水晶光电</x:t>
        </x:is>
      </x:c>
      <x:c r="D3736" s="3" t="inlineStr">
        <x:is>
          <x:t xml:space="preserve">浙江水晶光电科技股份有限公司</x:t>
        </x:is>
      </x:c>
      <x:c r="E3736" s="2" t="inlineStr">
        <x:is>
          <x:t xml:space="preserve">浙江省</x:t>
        </x:is>
      </x:c>
      <x:c r="F3736" s="2" t="inlineStr">
        <x:is>
          <x:t xml:space="preserve">台州市</x:t>
        </x:is>
      </x:c>
      <x:c r="G3736" s="3" t="inlineStr">
        <x:is>
          <x:t xml:space="preserve">浙江省-台州市</x:t>
        </x:is>
      </x:c>
      <x:c r="H3736" s="2" t="inlineStr">
        <x:is>
          <x:t xml:space="preserve">光学光电子</x:t>
        </x:is>
      </x:c>
      <x:c r="I3736" s="2" t="inlineStr">
        <x:is>
          <x:t xml:space="preserve">2008-09-19</x:t>
        </x:is>
      </x:c>
      <x:c r="J3736" s="3" t="inlineStr">
        <x:is>
          <x:t xml:space="preserve">浙江省台州市椒江区星星电子产业园区A5号</x:t>
        </x:is>
      </x:c>
      <x:c r="K3736" s="12" t="str">
        <x:f>LEFT("91330000742004828D",18)</x:f>
        <x:v>91330000742004828D</x:v>
      </x:c>
    </x:row>
    <x:row r="3737">
      <x:c r="A3737" s="4" t="n">
        <x:v>3736</x:v>
      </x:c>
      <x:c r="B3737" s="4" t="inlineStr">
        <x:is>
          <x:t xml:space="preserve">002276</x:t>
        </x:is>
      </x:c>
      <x:c r="C3737" s="5" t="inlineStr">
        <x:is>
          <x:t xml:space="preserve">万马股份</x:t>
        </x:is>
      </x:c>
      <x:c r="D3737" s="5" t="inlineStr">
        <x:is>
          <x:t xml:space="preserve">浙江万马股份有限公司</x:t>
        </x:is>
      </x:c>
      <x:c r="E3737" s="4" t="inlineStr">
        <x:is>
          <x:t xml:space="preserve">浙江省</x:t>
        </x:is>
      </x:c>
      <x:c r="F3737" s="4" t="inlineStr">
        <x:is>
          <x:t xml:space="preserve">杭州市</x:t>
        </x:is>
      </x:c>
      <x:c r="G3737" s="5" t="inlineStr">
        <x:is>
          <x:t xml:space="preserve">浙江省-杭州市</x:t>
        </x:is>
      </x:c>
      <x:c r="H3737" s="4" t="inlineStr">
        <x:is>
          <x:t xml:space="preserve">输配电气</x:t>
        </x:is>
      </x:c>
      <x:c r="I3737" s="4" t="inlineStr">
        <x:is>
          <x:t xml:space="preserve">2009-07-10</x:t>
        </x:is>
      </x:c>
      <x:c r="J3737" s="5" t="inlineStr">
        <x:is>
          <x:t xml:space="preserve">浙江省杭州市临安区青山湖街道鹤亭街896号</x:t>
        </x:is>
      </x:c>
      <x:c r="K3737" s="12" t="str">
        <x:f>LEFT("913300007043088475",18)</x:f>
        <x:v>913300007043088500</x:v>
      </x:c>
    </x:row>
    <x:row r="3738">
      <x:c r="A3738" s="2" t="n">
        <x:v>3737</x:v>
      </x:c>
      <x:c r="B3738" s="2" t="inlineStr">
        <x:is>
          <x:t xml:space="preserve">002284</x:t>
        </x:is>
      </x:c>
      <x:c r="C3738" s="3" t="inlineStr">
        <x:is>
          <x:t xml:space="preserve">亚太股份</x:t>
        </x:is>
      </x:c>
      <x:c r="D3738" s="3" t="inlineStr">
        <x:is>
          <x:t xml:space="preserve">浙江亚太机电股份有限公司</x:t>
        </x:is>
      </x:c>
      <x:c r="E3738" s="2" t="inlineStr">
        <x:is>
          <x:t xml:space="preserve">浙江省</x:t>
        </x:is>
      </x:c>
      <x:c r="F3738" s="2" t="inlineStr">
        <x:is>
          <x:t xml:space="preserve">杭州市</x:t>
        </x:is>
      </x:c>
      <x:c r="G3738" s="3" t="inlineStr">
        <x:is>
          <x:t xml:space="preserve">浙江省-杭州市</x:t>
        </x:is>
      </x:c>
      <x:c r="H3738" s="2" t="inlineStr">
        <x:is>
          <x:t xml:space="preserve">汽车行业</x:t>
        </x:is>
      </x:c>
      <x:c r="I3738" s="2" t="inlineStr">
        <x:is>
          <x:t xml:space="preserve">2009-08-28</x:t>
        </x:is>
      </x:c>
      <x:c r="J3738" s="3" t="inlineStr">
        <x:is>
          <x:t xml:space="preserve">杭州市萧山区蜀山街道亚太路1399号</x:t>
        </x:is>
      </x:c>
      <x:c r="K3738" s="12" t="str">
        <x:f>LEFT("913300001434287925",18)</x:f>
        <x:v>913300001434287900</x:v>
      </x:c>
    </x:row>
    <x:row r="3739">
      <x:c r="A3739" s="4" t="n">
        <x:v>3738</x:v>
      </x:c>
      <x:c r="B3739" s="4" t="inlineStr">
        <x:is>
          <x:t xml:space="preserve">002318</x:t>
        </x:is>
      </x:c>
      <x:c r="C3739" s="5" t="inlineStr">
        <x:is>
          <x:t xml:space="preserve">久立特材</x:t>
        </x:is>
      </x:c>
      <x:c r="D3739" s="5" t="inlineStr">
        <x:is>
          <x:t xml:space="preserve">浙江久立特材科技股份有限公司</x:t>
        </x:is>
      </x:c>
      <x:c r="E3739" s="4" t="inlineStr">
        <x:is>
          <x:t xml:space="preserve">浙江省</x:t>
        </x:is>
      </x:c>
      <x:c r="F3739" s="4" t="inlineStr">
        <x:is>
          <x:t xml:space="preserve">湖州市</x:t>
        </x:is>
      </x:c>
      <x:c r="G3739" s="5" t="inlineStr">
        <x:is>
          <x:t xml:space="preserve">浙江省-湖州市</x:t>
        </x:is>
      </x:c>
      <x:c r="H3739" s="4" t="inlineStr">
        <x:is>
          <x:t xml:space="preserve">钢铁行业</x:t>
        </x:is>
      </x:c>
      <x:c r="I3739" s="4" t="inlineStr">
        <x:is>
          <x:t xml:space="preserve">2009-12-11</x:t>
        </x:is>
      </x:c>
      <x:c r="J3739" s="5" t="inlineStr">
        <x:is>
          <x:t xml:space="preserve">浙江省湖州市双林镇镇西</x:t>
        </x:is>
      </x:c>
      <x:c r="K3739" s="12" t="str">
        <x:f>LEFT("91330000758062811X",18)</x:f>
        <x:v>91330000758062811X</x:v>
      </x:c>
    </x:row>
    <x:row r="3740">
      <x:c r="A3740" s="2" t="n">
        <x:v>3739</x:v>
      </x:c>
      <x:c r="B3740" s="2" t="inlineStr">
        <x:is>
          <x:t xml:space="preserve">002322</x:t>
        </x:is>
      </x:c>
      <x:c r="C3740" s="3" t="inlineStr">
        <x:is>
          <x:t xml:space="preserve">理工能科</x:t>
        </x:is>
      </x:c>
      <x:c r="D3740" s="3" t="inlineStr">
        <x:is>
          <x:t xml:space="preserve">宁波理工环境能源科技股份有限公司</x:t>
        </x:is>
      </x:c>
      <x:c r="E3740" s="2" t="inlineStr">
        <x:is>
          <x:t xml:space="preserve">浙江省</x:t>
        </x:is>
      </x:c>
      <x:c r="F3740" s="2" t="inlineStr">
        <x:is>
          <x:t xml:space="preserve">宁波市</x:t>
        </x:is>
      </x:c>
      <x:c r="G3740" s="3" t="inlineStr">
        <x:is>
          <x:t xml:space="preserve">浙江省-宁波市</x:t>
        </x:is>
      </x:c>
      <x:c r="H3740" s="2" t="inlineStr">
        <x:is>
          <x:t xml:space="preserve">软件服务</x:t>
        </x:is>
      </x:c>
      <x:c r="I3740" s="2" t="inlineStr">
        <x:is>
          <x:t xml:space="preserve">2009-12-18</x:t>
        </x:is>
      </x:c>
      <x:c r="J3740" s="3" t="inlineStr">
        <x:is>
          <x:t xml:space="preserve">浙江省宁波市北仑区大碶街道曹娥江路22号</x:t>
        </x:is>
      </x:c>
      <x:c r="K3740" s="12" t="str">
        <x:f>LEFT("913302007251641924",18)</x:f>
        <x:v>913302007251642000</x:v>
      </x:c>
    </x:row>
    <x:row r="3741">
      <x:c r="A3741" s="4" t="n">
        <x:v>3740</x:v>
      </x:c>
      <x:c r="B3741" s="4" t="inlineStr">
        <x:is>
          <x:t xml:space="preserve">002326</x:t>
        </x:is>
      </x:c>
      <x:c r="C3741" s="5" t="inlineStr">
        <x:is>
          <x:t xml:space="preserve">永太科技</x:t>
        </x:is>
      </x:c>
      <x:c r="D3741" s="5" t="inlineStr">
        <x:is>
          <x:t xml:space="preserve">浙江永太科技股份有限公司</x:t>
        </x:is>
      </x:c>
      <x:c r="E3741" s="4" t="inlineStr">
        <x:is>
          <x:t xml:space="preserve">浙江省</x:t>
        </x:is>
      </x:c>
      <x:c r="F3741" s="4" t="inlineStr">
        <x:is>
          <x:t xml:space="preserve">连云港市</x:t>
        </x:is>
      </x:c>
      <x:c r="G3741" s="5" t="inlineStr">
        <x:is>
          <x:t xml:space="preserve">浙江省-连云港市</x:t>
        </x:is>
      </x:c>
      <x:c r="H3741" s="4" t="inlineStr">
        <x:is>
          <x:t xml:space="preserve">化工行业</x:t>
        </x:is>
      </x:c>
      <x:c r="I3741" s="4" t="inlineStr">
        <x:is>
          <x:t xml:space="preserve">2009-12-22</x:t>
        </x:is>
      </x:c>
      <x:c r="J3741" s="5" t="inlineStr">
        <x:is>
          <x:t xml:space="preserve">浙江省化学原料药基地临海园区东海第五大道一号</x:t>
        </x:is>
      </x:c>
      <x:c r="K3741" s="12" t="str">
        <x:f>LEFT("91330000719525000X",18)</x:f>
        <x:v>91330000719525000X</x:v>
      </x:c>
    </x:row>
    <x:row r="3742">
      <x:c r="A3742" s="2" t="n">
        <x:v>3741</x:v>
      </x:c>
      <x:c r="B3742" s="2" t="inlineStr">
        <x:is>
          <x:t xml:space="preserve">002332</x:t>
        </x:is>
      </x:c>
      <x:c r="C3742" s="3" t="inlineStr">
        <x:is>
          <x:t xml:space="preserve">仙琚制药</x:t>
        </x:is>
      </x:c>
      <x:c r="D3742" s="3" t="inlineStr">
        <x:is>
          <x:t xml:space="preserve">浙江仙琚制药股份有限公司</x:t>
        </x:is>
      </x:c>
      <x:c r="E3742" s="2" t="inlineStr">
        <x:is>
          <x:t xml:space="preserve">浙江省</x:t>
        </x:is>
      </x:c>
      <x:c r="F3742" s="2" t="inlineStr">
        <x:is>
          <x:t xml:space="preserve">台州市</x:t>
        </x:is>
      </x:c>
      <x:c r="G3742" s="3" t="inlineStr">
        <x:is>
          <x:t xml:space="preserve">浙江省-台州市</x:t>
        </x:is>
      </x:c>
      <x:c r="H3742" s="2" t="inlineStr">
        <x:is>
          <x:t xml:space="preserve">化学制药</x:t>
        </x:is>
      </x:c>
      <x:c r="I3742" s="2" t="inlineStr">
        <x:is>
          <x:t xml:space="preserve">2010-01-12</x:t>
        </x:is>
      </x:c>
      <x:c r="J3742" s="3" t="inlineStr">
        <x:is>
          <x:t xml:space="preserve">浙江省台州市仙居县仙药路1号</x:t>
        </x:is>
      </x:c>
      <x:c r="K3742" s="12" t="str">
        <x:f>LEFT("913300007047892221",18)</x:f>
        <x:v>913300007047892200</x:v>
      </x:c>
    </x:row>
    <x:row r="3743">
      <x:c r="A3743" s="4" t="n">
        <x:v>3742</x:v>
      </x:c>
      <x:c r="B3743" s="4" t="inlineStr">
        <x:is>
          <x:t xml:space="preserve">002344</x:t>
        </x:is>
      </x:c>
      <x:c r="C3743" s="5" t="inlineStr">
        <x:is>
          <x:t xml:space="preserve">海宁皮城</x:t>
        </x:is>
      </x:c>
      <x:c r="D3743" s="5" t="inlineStr">
        <x:is>
          <x:t xml:space="preserve">海宁中国皮革城股份有限公司</x:t>
        </x:is>
      </x:c>
      <x:c r="E3743" s="4" t="inlineStr">
        <x:is>
          <x:t xml:space="preserve">浙江省</x:t>
        </x:is>
      </x:c>
      <x:c r="F3743" s="4" t="inlineStr">
        <x:is>
          <x:t xml:space="preserve">江省海宁市</x:t>
        </x:is>
      </x:c>
      <x:c r="G3743" s="5" t="inlineStr">
        <x:is>
          <x:t xml:space="preserve">浙江省-江省海宁市</x:t>
        </x:is>
      </x:c>
      <x:c r="H3743" s="4" t="inlineStr">
        <x:is>
          <x:t xml:space="preserve">商业百货</x:t>
        </x:is>
      </x:c>
      <x:c r="I3743" s="4" t="inlineStr">
        <x:is>
          <x:t xml:space="preserve">2010-01-26</x:t>
        </x:is>
      </x:c>
      <x:c r="J3743" s="5" t="inlineStr">
        <x:is>
          <x:t xml:space="preserve">浙江省海宁市海州西路201号</x:t>
        </x:is>
      </x:c>
      <x:c r="K3743" s="12" t="str">
        <x:f>LEFT("913300007154612490",18)</x:f>
        <x:v>913300007154612500</x:v>
      </x:c>
    </x:row>
    <x:row r="3744">
      <x:c r="A3744" s="2" t="n">
        <x:v>3743</x:v>
      </x:c>
      <x:c r="B3744" s="2" t="inlineStr">
        <x:is>
          <x:t xml:space="preserve">002364</x:t>
        </x:is>
      </x:c>
      <x:c r="C3744" s="3" t="inlineStr">
        <x:is>
          <x:t xml:space="preserve">中恒电气</x:t>
        </x:is>
      </x:c>
      <x:c r="D3744" s="3" t="inlineStr">
        <x:is>
          <x:t xml:space="preserve">杭州中恒电气股份有限公司</x:t>
        </x:is>
      </x:c>
      <x:c r="E3744" s="2" t="inlineStr">
        <x:is>
          <x:t xml:space="preserve">浙江省</x:t>
        </x:is>
      </x:c>
      <x:c r="F3744" s="2" t="inlineStr">
        <x:is>
          <x:t xml:space="preserve">杭州市</x:t>
        </x:is>
      </x:c>
      <x:c r="G3744" s="3" t="inlineStr">
        <x:is>
          <x:t xml:space="preserve">浙江省-杭州市</x:t>
        </x:is>
      </x:c>
      <x:c r="H3744" s="2" t="inlineStr">
        <x:is>
          <x:t xml:space="preserve">电源设备</x:t>
        </x:is>
      </x:c>
      <x:c r="I3744" s="2" t="inlineStr">
        <x:is>
          <x:t xml:space="preserve">2010-03-05</x:t>
        </x:is>
      </x:c>
      <x:c r="J3744" s="3" t="inlineStr">
        <x:is>
          <x:t xml:space="preserve">浙江省杭州市高新区之江科技工业园东信大道69号</x:t>
        </x:is>
      </x:c>
      <x:c r="K3744" s="12" t="str">
        <x:f>LEFT("913300002539163407",18)</x:f>
        <x:v>913300002539163400</x:v>
      </x:c>
    </x:row>
    <x:row r="3745">
      <x:c r="A3745" s="4" t="n">
        <x:v>3744</x:v>
      </x:c>
      <x:c r="B3745" s="4" t="inlineStr">
        <x:is>
          <x:t xml:space="preserve">002370</x:t>
        </x:is>
      </x:c>
      <x:c r="C3745" s="5" t="inlineStr">
        <x:is>
          <x:t xml:space="preserve">亚太药业</x:t>
        </x:is>
      </x:c>
      <x:c r="D3745" s="5" t="inlineStr">
        <x:is>
          <x:t xml:space="preserve">浙江亚太药业股份有限公司</x:t>
        </x:is>
      </x:c>
      <x:c r="E3745" s="4" t="inlineStr">
        <x:is>
          <x:t xml:space="preserve">浙江省</x:t>
        </x:is>
      </x:c>
      <x:c r="F3745" s="4" t="inlineStr">
        <x:is>
          <x:t xml:space="preserve">绍兴市</x:t>
        </x:is>
      </x:c>
      <x:c r="G3745" s="5" t="inlineStr">
        <x:is>
          <x:t xml:space="preserve">浙江省-绍兴市</x:t>
        </x:is>
      </x:c>
      <x:c r="H3745" s="4" t="inlineStr">
        <x:is>
          <x:t xml:space="preserve">医药制造</x:t>
        </x:is>
      </x:c>
      <x:c r="I3745" s="4" t="inlineStr">
        <x:is>
          <x:t xml:space="preserve">2010-03-16</x:t>
        </x:is>
      </x:c>
      <x:c r="J3745" s="5" t="inlineStr">
        <x:is>
          <x:t xml:space="preserve">浙江省绍兴市柯桥区群贤路2003号1501室</x:t>
        </x:is>
      </x:c>
      <x:c r="K3745" s="12" t="str">
        <x:f>LEFT("91330000146008822C",18)</x:f>
        <x:v>91330000146008822C</x:v>
      </x:c>
    </x:row>
    <x:row r="3746">
      <x:c r="A3746" s="2" t="n">
        <x:v>3745</x:v>
      </x:c>
      <x:c r="B3746" s="2" t="inlineStr">
        <x:is>
          <x:t xml:space="preserve">002372</x:t>
        </x:is>
      </x:c>
      <x:c r="C3746" s="3" t="inlineStr">
        <x:is>
          <x:t xml:space="preserve">伟星新材</x:t>
        </x:is>
      </x:c>
      <x:c r="D3746" s="3" t="inlineStr">
        <x:is>
          <x:t xml:space="preserve">浙江伟星新型建材股份有限公司</x:t>
        </x:is>
      </x:c>
      <x:c r="E3746" s="2" t="inlineStr">
        <x:is>
          <x:t xml:space="preserve">浙江省</x:t>
        </x:is>
      </x:c>
      <x:c r="F3746" s="2" t="inlineStr">
        <x:is>
          <x:t xml:space="preserve">台州市</x:t>
        </x:is>
      </x:c>
      <x:c r="G3746" s="3" t="inlineStr">
        <x:is>
          <x:t xml:space="preserve">浙江省-台州市</x:t>
        </x:is>
      </x:c>
      <x:c r="H3746" s="2" t="inlineStr">
        <x:is>
          <x:t xml:space="preserve">装修建材</x:t>
        </x:is>
      </x:c>
      <x:c r="I3746" s="2" t="inlineStr">
        <x:is>
          <x:t xml:space="preserve">2010-03-18</x:t>
        </x:is>
      </x:c>
      <x:c r="J3746" s="3" t="inlineStr">
        <x:is>
          <x:t xml:space="preserve">浙江省临海经济开发区</x:t>
        </x:is>
      </x:c>
      <x:c r="K3746" s="12" t="str">
        <x:f>LEFT("91330000719525019T",18)</x:f>
        <x:v>91330000719525019T</x:v>
      </x:c>
    </x:row>
    <x:row r="3747">
      <x:c r="A3747" s="4" t="n">
        <x:v>3746</x:v>
      </x:c>
      <x:c r="B3747" s="4" t="inlineStr">
        <x:is>
          <x:t xml:space="preserve">002375</x:t>
        </x:is>
      </x:c>
      <x:c r="C3747" s="5" t="inlineStr">
        <x:is>
          <x:t xml:space="preserve">亚厦股份</x:t>
        </x:is>
      </x:c>
      <x:c r="D3747" s="5" t="inlineStr">
        <x:is>
          <x:t xml:space="preserve">浙江亚厦装饰股份有限公司</x:t>
        </x:is>
      </x:c>
      <x:c r="E3747" s="4" t="inlineStr">
        <x:is>
          <x:t xml:space="preserve">浙江省</x:t>
        </x:is>
      </x:c>
      <x:c r="F3747" s="4" t="inlineStr">
        <x:is>
          <x:t xml:space="preserve">江省上虞市</x:t>
        </x:is>
      </x:c>
      <x:c r="G3747" s="5" t="inlineStr">
        <x:is>
          <x:t xml:space="preserve">浙江省-江省上虞市</x:t>
        </x:is>
      </x:c>
      <x:c r="H3747" s="4" t="inlineStr">
        <x:is>
          <x:t xml:space="preserve">装修装饰</x:t>
        </x:is>
      </x:c>
      <x:c r="I3747" s="4" t="inlineStr">
        <x:is>
          <x:t xml:space="preserve">2010-03-23</x:t>
        </x:is>
      </x:c>
      <x:c r="J3747" s="5" t="inlineStr">
        <x:is>
          <x:t xml:space="preserve">浙江省上虞市章镇工业新区</x:t>
        </x:is>
      </x:c>
      <x:c r="K3747" s="12" t="str">
        <x:f>LEFT("9133000014616098X3",18)</x:f>
        <x:v>9133000014616098X3</x:v>
      </x:c>
    </x:row>
    <x:row r="3748">
      <x:c r="A3748" s="2" t="n">
        <x:v>3747</x:v>
      </x:c>
      <x:c r="B3748" s="2" t="inlineStr">
        <x:is>
          <x:t xml:space="preserve">002381</x:t>
        </x:is>
      </x:c>
      <x:c r="C3748" s="3" t="inlineStr">
        <x:is>
          <x:t xml:space="preserve">双箭股份</x:t>
        </x:is>
      </x:c>
      <x:c r="D3748" s="3" t="inlineStr">
        <x:is>
          <x:t xml:space="preserve">浙江双箭橡胶股份有限公司</x:t>
        </x:is>
      </x:c>
      <x:c r="E3748" s="2" t="inlineStr">
        <x:is>
          <x:t xml:space="preserve">浙江省</x:t>
        </x:is>
      </x:c>
      <x:c r="F3748" s="2" t="inlineStr">
        <x:is>
          <x:t xml:space="preserve">嘉兴市</x:t>
        </x:is>
      </x:c>
      <x:c r="G3748" s="3" t="inlineStr">
        <x:is>
          <x:t xml:space="preserve">浙江省-嘉兴市</x:t>
        </x:is>
      </x:c>
      <x:c r="H3748" s="2" t="inlineStr">
        <x:is>
          <x:t xml:space="preserve">橡胶制品</x:t>
        </x:is>
      </x:c>
      <x:c r="I3748" s="2" t="inlineStr">
        <x:is>
          <x:t xml:space="preserve">2010-04-02</x:t>
        </x:is>
      </x:c>
      <x:c r="J3748" s="3" t="inlineStr">
        <x:is>
          <x:t xml:space="preserve">浙江省嘉兴市桐乡市洲泉镇永安北路1538号</x:t>
        </x:is>
      </x:c>
      <x:c r="K3748" s="12" t="str">
        <x:f>LEFT("91330000146885956E",18)</x:f>
        <x:v>91330000146885956E</x:v>
      </x:c>
    </x:row>
    <x:row r="3749">
      <x:c r="A3749" s="4" t="n">
        <x:v>3748</x:v>
      </x:c>
      <x:c r="B3749" s="4" t="inlineStr">
        <x:is>
          <x:t xml:space="preserve">002388</x:t>
        </x:is>
      </x:c>
      <x:c r="C3749" s="5" t="inlineStr">
        <x:is>
          <x:t xml:space="preserve">ST新亚</x:t>
        </x:is>
      </x:c>
      <x:c r="D3749" s="5" t="inlineStr">
        <x:is>
          <x:t xml:space="preserve">新亚制程(浙江)股份有限公司</x:t>
        </x:is>
      </x:c>
      <x:c r="E3749" s="4" t="inlineStr">
        <x:is>
          <x:t xml:space="preserve">浙江省</x:t>
        </x:is>
      </x:c>
      <x:c r="F3749" s="4" t="inlineStr">
        <x:is>
          <x:t xml:space="preserve">衢州市</x:t>
        </x:is>
      </x:c>
      <x:c r="G3749" s="5" t="inlineStr">
        <x:is>
          <x:t xml:space="preserve">浙江省-衢州市</x:t>
        </x:is>
      </x:c>
      <x:c r="H3749" s="4" t="inlineStr">
        <x:is>
          <x:t xml:space="preserve">电子元件</x:t>
        </x:is>
      </x:c>
      <x:c r="I3749" s="4" t="inlineStr">
        <x:is>
          <x:t xml:space="preserve">2010-04-13</x:t>
        </x:is>
      </x:c>
      <x:c r="J3749" s="5" t="inlineStr">
        <x:is>
          <x:t xml:space="preserve">浙江省衢州市凯旋南路6号1幢A-120室</x:t>
        </x:is>
      </x:c>
      <x:c r="K3749" s="12" t="str">
        <x:f>LEFT("91440300745197274Y",18)</x:f>
        <x:v>91440300745197274Y</x:v>
      </x:c>
    </x:row>
    <x:row r="3750">
      <x:c r="A3750" s="2" t="n">
        <x:v>3749</x:v>
      </x:c>
      <x:c r="B3750" s="2" t="inlineStr">
        <x:is>
          <x:t xml:space="preserve">002389</x:t>
        </x:is>
      </x:c>
      <x:c r="C3750" s="3" t="inlineStr">
        <x:is>
          <x:t xml:space="preserve">航天彩虹</x:t>
        </x:is>
      </x:c>
      <x:c r="D3750" s="3" t="inlineStr">
        <x:is>
          <x:t xml:space="preserve">航天彩虹无人机股份有限公司</x:t>
        </x:is>
      </x:c>
      <x:c r="E3750" s="2" t="inlineStr">
        <x:is>
          <x:t xml:space="preserve">浙江省</x:t>
        </x:is>
      </x:c>
      <x:c r="F3750" s="2" t="inlineStr">
        <x:is>
          <x:t xml:space="preserve">台州市</x:t>
        </x:is>
      </x:c>
      <x:c r="G3750" s="3" t="inlineStr">
        <x:is>
          <x:t xml:space="preserve">浙江省-台州市</x:t>
        </x:is>
      </x:c>
      <x:c r="H3750" s="2" t="inlineStr">
        <x:is>
          <x:t xml:space="preserve">航天航空</x:t>
        </x:is>
      </x:c>
      <x:c r="I3750" s="2" t="inlineStr">
        <x:is>
          <x:t xml:space="preserve">2010-04-13</x:t>
        </x:is>
      </x:c>
      <x:c r="J3750" s="3" t="inlineStr">
        <x:is>
          <x:t xml:space="preserve">浙江省台州市台州湾集聚区海豪路788号</x:t>
        </x:is>
      </x:c>
      <x:c r="K3750" s="12" t="str">
        <x:f>LEFT("91330000734507783B",18)</x:f>
        <x:v>91330000734507783B</x:v>
      </x:c>
    </x:row>
    <x:row r="3751">
      <x:c r="A3751" s="4" t="n">
        <x:v>3750</x:v>
      </x:c>
      <x:c r="B3751" s="4" t="inlineStr">
        <x:is>
          <x:t xml:space="preserve">002403</x:t>
        </x:is>
      </x:c>
      <x:c r="C3751" s="5" t="inlineStr">
        <x:is>
          <x:t xml:space="preserve">爱仕达</x:t>
        </x:is>
      </x:c>
      <x:c r="D3751" s="5" t="inlineStr">
        <x:is>
          <x:t xml:space="preserve">爱仕达股份有限公司</x:t>
        </x:is>
      </x:c>
      <x:c r="E3751" s="4" t="inlineStr">
        <x:is>
          <x:t xml:space="preserve">浙江省</x:t>
        </x:is>
      </x:c>
      <x:c r="F3751" s="4" t="inlineStr">
        <x:is>
          <x:t xml:space="preserve">台州市</x:t>
        </x:is>
      </x:c>
      <x:c r="G3751" s="5" t="inlineStr">
        <x:is>
          <x:t xml:space="preserve">浙江省-台州市</x:t>
        </x:is>
      </x:c>
      <x:c r="H3751" s="4" t="inlineStr">
        <x:is>
          <x:t xml:space="preserve">家电行业</x:t>
        </x:is>
      </x:c>
      <x:c r="I3751" s="4" t="inlineStr">
        <x:is>
          <x:t xml:space="preserve">2010-05-11</x:t>
        </x:is>
      </x:c>
      <x:c r="J3751" s="5" t="inlineStr">
        <x:is>
          <x:t xml:space="preserve">浙江省台州市温岭市东部新区第四街1号</x:t>
        </x:is>
      </x:c>
      <x:c r="K3751" s="12" t="str">
        <x:f>LEFT("91330000610004375Y",18)</x:f>
        <x:v>91330000610004375Y</x:v>
      </x:c>
    </x:row>
    <x:row r="3752">
      <x:c r="A3752" s="2" t="n">
        <x:v>3751</x:v>
      </x:c>
      <x:c r="B3752" s="2" t="inlineStr">
        <x:is>
          <x:t xml:space="preserve">002404</x:t>
        </x:is>
      </x:c>
      <x:c r="C3752" s="3" t="inlineStr">
        <x:is>
          <x:t xml:space="preserve">嘉欣丝绸</x:t>
        </x:is>
      </x:c>
      <x:c r="D3752" s="3" t="inlineStr">
        <x:is>
          <x:t xml:space="preserve">浙江嘉欣丝绸股份有限公司</x:t>
        </x:is>
      </x:c>
      <x:c r="E3752" s="2" t="inlineStr">
        <x:is>
          <x:t xml:space="preserve">浙江省</x:t>
        </x:is>
      </x:c>
      <x:c r="F3752" s="2" t="inlineStr">
        <x:is>
          <x:t xml:space="preserve">嘉兴市</x:t>
        </x:is>
      </x:c>
      <x:c r="G3752" s="3" t="inlineStr">
        <x:is>
          <x:t xml:space="preserve">浙江省-嘉兴市</x:t>
        </x:is>
      </x:c>
      <x:c r="H3752" s="2" t="inlineStr">
        <x:is>
          <x:t xml:space="preserve">纺织服装</x:t>
        </x:is>
      </x:c>
      <x:c r="I3752" s="2" t="inlineStr">
        <x:is>
          <x:t xml:space="preserve">2010-05-11</x:t>
        </x:is>
      </x:c>
      <x:c r="J3752" s="3" t="inlineStr">
        <x:is>
          <x:t xml:space="preserve">浙江省嘉兴市中环西路588号</x:t>
        </x:is>
      </x:c>
      <x:c r="K3752" s="12" t="str">
        <x:f>LEFT("913300001464759067",18)</x:f>
        <x:v>913300001464759000</x:v>
      </x:c>
    </x:row>
    <x:row r="3753">
      <x:c r="A3753" s="4" t="n">
        <x:v>3752</x:v>
      </x:c>
      <x:c r="B3753" s="4" t="inlineStr">
        <x:is>
          <x:t xml:space="preserve">002415</x:t>
        </x:is>
      </x:c>
      <x:c r="C3753" s="5" t="inlineStr">
        <x:is>
          <x:t xml:space="preserve">海康威视</x:t>
        </x:is>
      </x:c>
      <x:c r="D3753" s="5" t="inlineStr">
        <x:is>
          <x:t xml:space="preserve">杭州海康威视数字技术股份有限公司</x:t>
        </x:is>
      </x:c>
      <x:c r="E3753" s="4" t="inlineStr">
        <x:is>
          <x:t xml:space="preserve">浙江省</x:t>
        </x:is>
      </x:c>
      <x:c r="F3753" s="4" t="inlineStr">
        <x:is>
          <x:t xml:space="preserve">杭州市</x:t>
        </x:is>
      </x:c>
      <x:c r="G3753" s="5" t="inlineStr">
        <x:is>
          <x:t xml:space="preserve">浙江省-杭州市</x:t>
        </x:is>
      </x:c>
      <x:c r="H3753" s="4" t="inlineStr">
        <x:is>
          <x:t xml:space="preserve">安防设备</x:t>
        </x:is>
      </x:c>
      <x:c r="I3753" s="4" t="inlineStr">
        <x:is>
          <x:t xml:space="preserve">2010-05-28</x:t>
        </x:is>
      </x:c>
      <x:c r="J3753" s="5" t="inlineStr">
        <x:is>
          <x:t xml:space="preserve">杭州市滨江区阡陌路555号</x:t>
        </x:is>
      </x:c>
      <x:c r="K3753" s="12" t="str">
        <x:f>LEFT("91330000733796106P",18)</x:f>
        <x:v>91330000733796106P</x:v>
      </x:c>
    </x:row>
    <x:row r="3754">
      <x:c r="A3754" s="2" t="n">
        <x:v>3753</x:v>
      </x:c>
      <x:c r="B3754" s="2" t="inlineStr">
        <x:is>
          <x:t xml:space="preserve">002418</x:t>
        </x:is>
      </x:c>
      <x:c r="C3754" s="3" t="inlineStr">
        <x:is>
          <x:t xml:space="preserve">康盛股份</x:t>
        </x:is>
      </x:c>
      <x:c r="D3754" s="3" t="inlineStr">
        <x:is>
          <x:t xml:space="preserve">浙江康盛股份有限公司</x:t>
        </x:is>
      </x:c>
      <x:c r="E3754" s="2" t="inlineStr">
        <x:is>
          <x:t xml:space="preserve">浙江省</x:t>
        </x:is>
      </x:c>
      <x:c r="F3754" s="2" t="inlineStr">
        <x:is>
          <x:t xml:space="preserve">杭州市</x:t>
        </x:is>
      </x:c>
      <x:c r="G3754" s="3" t="inlineStr">
        <x:is>
          <x:t xml:space="preserve">浙江省-杭州市</x:t>
        </x:is>
      </x:c>
      <x:c r="H3754" s="2" t="inlineStr">
        <x:is>
          <x:t xml:space="preserve">家电行业</x:t>
        </x:is>
      </x:c>
      <x:c r="I3754" s="2" t="inlineStr">
        <x:is>
          <x:t xml:space="preserve">2010-06-01</x:t>
        </x:is>
      </x:c>
      <x:c r="J3754" s="3" t="inlineStr">
        <x:is>
          <x:t xml:space="preserve">浙江省淳安县千岛湖镇康盛路268号</x:t>
        </x:is>
      </x:c>
      <x:c r="K3754" s="12" t="str">
        <x:f>LEFT("9133000074507862XQ",18)</x:f>
        <x:v>9133000074507862XQ</x:v>
      </x:c>
    </x:row>
    <x:row r="3755">
      <x:c r="A3755" s="4" t="n">
        <x:v>3754</x:v>
      </x:c>
      <x:c r="B3755" s="4" t="inlineStr">
        <x:is>
          <x:t xml:space="preserve">002427</x:t>
        </x:is>
      </x:c>
      <x:c r="C3755" s="5" t="inlineStr">
        <x:is>
          <x:t xml:space="preserve">尤夫股份</x:t>
        </x:is>
      </x:c>
      <x:c r="D3755" s="5" t="inlineStr">
        <x:is>
          <x:t xml:space="preserve">浙江尤夫高新纤维股份有限公司</x:t>
        </x:is>
      </x:c>
      <x:c r="E3755" s="4" t="inlineStr">
        <x:is>
          <x:t xml:space="preserve">浙江省</x:t>
        </x:is>
      </x:c>
      <x:c r="F3755" s="4" t="inlineStr">
        <x:is>
          <x:t xml:space="preserve">湖州市</x:t>
        </x:is>
      </x:c>
      <x:c r="G3755" s="5" t="inlineStr">
        <x:is>
          <x:t xml:space="preserve">浙江省-湖州市</x:t>
        </x:is>
      </x:c>
      <x:c r="H3755" s="4" t="inlineStr">
        <x:is>
          <x:t xml:space="preserve">化纤行业</x:t>
        </x:is>
      </x:c>
      <x:c r="I3755" s="4" t="inlineStr">
        <x:is>
          <x:t xml:space="preserve">2010-06-08</x:t>
        </x:is>
      </x:c>
      <x:c r="J3755" s="5" t="inlineStr">
        <x:is>
          <x:t xml:space="preserve">浙江省湖州市和孚镇工业园区</x:t>
        </x:is>
      </x:c>
      <x:c r="K3755" s="12" t="str">
        <x:f>LEFT("91330000755902563E",18)</x:f>
        <x:v>91330000755902563E</x:v>
      </x:c>
    </x:row>
    <x:row r="3756">
      <x:c r="A3756" s="2" t="n">
        <x:v>3755</x:v>
      </x:c>
      <x:c r="B3756" s="2" t="inlineStr">
        <x:is>
          <x:t xml:space="preserve">002430</x:t>
        </x:is>
      </x:c>
      <x:c r="C3756" s="3" t="inlineStr">
        <x:is>
          <x:t xml:space="preserve">杭氧股份</x:t>
        </x:is>
      </x:c>
      <x:c r="D3756" s="3" t="inlineStr">
        <x:is>
          <x:t xml:space="preserve">杭氧集团股份有限公司</x:t>
        </x:is>
      </x:c>
      <x:c r="E3756" s="2" t="inlineStr">
        <x:is>
          <x:t xml:space="preserve">浙江省</x:t>
        </x:is>
      </x:c>
      <x:c r="F3756" s="2" t="inlineStr">
        <x:is>
          <x:t xml:space="preserve">杭州市</x:t>
        </x:is>
      </x:c>
      <x:c r="G3756" s="3" t="inlineStr">
        <x:is>
          <x:t xml:space="preserve">浙江省-杭州市</x:t>
        </x:is>
      </x:c>
      <x:c r="H3756" s="2" t="inlineStr">
        <x:is>
          <x:t xml:space="preserve">专用设备</x:t>
        </x:is>
      </x:c>
      <x:c r="I3756" s="2" t="inlineStr">
        <x:is>
          <x:t xml:space="preserve">2010-06-10</x:t>
        </x:is>
      </x:c>
      <x:c r="J3756" s="3" t="inlineStr">
        <x:is>
          <x:t xml:space="preserve">浙江省杭州市临安区青山湖街道相府路799号</x:t>
        </x:is>
      </x:c>
      <x:c r="K3756" s="12" t="str">
        <x:f>LEFT("91330000725884202P",18)</x:f>
        <x:v>91330000725884202P</x:v>
      </x:c>
    </x:row>
    <x:row r="3757">
      <x:c r="A3757" s="4" t="n">
        <x:v>3756</x:v>
      </x:c>
      <x:c r="B3757" s="4" t="inlineStr">
        <x:is>
          <x:t xml:space="preserve">002434</x:t>
        </x:is>
      </x:c>
      <x:c r="C3757" s="5" t="inlineStr">
        <x:is>
          <x:t xml:space="preserve">万里扬</x:t>
        </x:is>
      </x:c>
      <x:c r="D3757" s="5" t="inlineStr">
        <x:is>
          <x:t xml:space="preserve">浙江万里扬股份有限公司</x:t>
        </x:is>
      </x:c>
      <x:c r="E3757" s="4" t="inlineStr">
        <x:is>
          <x:t xml:space="preserve">浙江省</x:t>
        </x:is>
      </x:c>
      <x:c r="F3757" s="4" t="inlineStr">
        <x:is>
          <x:t xml:space="preserve">金华市</x:t>
        </x:is>
      </x:c>
      <x:c r="G3757" s="5" t="inlineStr">
        <x:is>
          <x:t xml:space="preserve">浙江省-金华市</x:t>
        </x:is>
      </x:c>
      <x:c r="H3757" s="4" t="inlineStr">
        <x:is>
          <x:t xml:space="preserve">汽车行业</x:t>
        </x:is>
      </x:c>
      <x:c r="I3757" s="4" t="inlineStr">
        <x:is>
          <x:t xml:space="preserve">2010-06-18</x:t>
        </x:is>
      </x:c>
      <x:c r="J3757" s="5" t="inlineStr">
        <x:is>
          <x:t xml:space="preserve">浙江省金华市宾虹西路3999号</x:t>
        </x:is>
      </x:c>
      <x:c r="K3757" s="12" t="str">
        <x:f>LEFT("91330000754921594N",18)</x:f>
        <x:v>91330000754921594N</x:v>
      </x:c>
    </x:row>
    <x:row r="3758">
      <x:c r="A3758" s="2" t="n">
        <x:v>3757</x:v>
      </x:c>
      <x:c r="B3758" s="2" t="inlineStr">
        <x:is>
          <x:t xml:space="preserve">002440</x:t>
        </x:is>
      </x:c>
      <x:c r="C3758" s="3" t="inlineStr">
        <x:is>
          <x:t xml:space="preserve">闰土股份</x:t>
        </x:is>
      </x:c>
      <x:c r="D3758" s="3" t="inlineStr">
        <x:is>
          <x:t xml:space="preserve">浙江闰土股份有限公司</x:t>
        </x:is>
      </x:c>
      <x:c r="E3758" s="2" t="inlineStr">
        <x:is>
          <x:t xml:space="preserve">浙江省</x:t>
        </x:is>
      </x:c>
      <x:c r="F3758" s="2" t="inlineStr">
        <x:is>
          <x:t xml:space="preserve">杭州市</x:t>
        </x:is>
      </x:c>
      <x:c r="G3758" s="3" t="inlineStr">
        <x:is>
          <x:t xml:space="preserve">浙江省-杭州市</x:t>
        </x:is>
      </x:c>
      <x:c r="H3758" s="2" t="inlineStr">
        <x:is>
          <x:t xml:space="preserve">化工行业</x:t>
        </x:is>
      </x:c>
      <x:c r="I3758" s="2" t="inlineStr">
        <x:is>
          <x:t xml:space="preserve">2010-07-06</x:t>
        </x:is>
      </x:c>
      <x:c r="J3758" s="3" t="inlineStr">
        <x:is>
          <x:t xml:space="preserve">浙江省绍兴市杭州湾上虞经济技术开发区纬七东路1号</x:t>
        </x:is>
      </x:c>
      <x:c r="K3758" s="12" t="str">
        <x:f>LEFT("91330000146183233T",18)</x:f>
        <x:v>91330000146183233T</x:v>
      </x:c>
    </x:row>
    <x:row r="3759">
      <x:c r="A3759" s="4" t="n">
        <x:v>3758</x:v>
      </x:c>
      <x:c r="B3759" s="4" t="inlineStr">
        <x:is>
          <x:t xml:space="preserve">002443</x:t>
        </x:is>
      </x:c>
      <x:c r="C3759" s="5" t="inlineStr">
        <x:is>
          <x:t xml:space="preserve">金洲管道</x:t>
        </x:is>
      </x:c>
      <x:c r="D3759" s="5" t="inlineStr">
        <x:is>
          <x:t xml:space="preserve">浙江金洲管道科技股份有限公司</x:t>
        </x:is>
      </x:c>
      <x:c r="E3759" s="4" t="inlineStr">
        <x:is>
          <x:t xml:space="preserve">浙江省</x:t>
        </x:is>
      </x:c>
      <x:c r="F3759" s="4" t="inlineStr">
        <x:is>
          <x:t xml:space="preserve">湖州市</x:t>
        </x:is>
      </x:c>
      <x:c r="G3759" s="5" t="inlineStr">
        <x:is>
          <x:t xml:space="preserve">浙江省-湖州市</x:t>
        </x:is>
      </x:c>
      <x:c r="H3759" s="4" t="inlineStr">
        <x:is>
          <x:t xml:space="preserve">钢铁行业</x:t>
        </x:is>
      </x:c>
      <x:c r="I3759" s="4" t="inlineStr">
        <x:is>
          <x:t xml:space="preserve">2010-07-06</x:t>
        </x:is>
      </x:c>
      <x:c r="J3759" s="5" t="inlineStr">
        <x:is>
          <x:t xml:space="preserve">浙江省湖州市东门十五里牌(318国道旁)</x:t>
        </x:is>
      </x:c>
      <x:c r="K3759" s="12" t="str">
        <x:f>LEFT("913300001469757672",18)</x:f>
        <x:v>913300001469757700</x:v>
      </x:c>
    </x:row>
    <x:row r="3760">
      <x:c r="A3760" s="2" t="n">
        <x:v>3759</x:v>
      </x:c>
      <x:c r="B3760" s="2" t="inlineStr">
        <x:is>
          <x:t xml:space="preserve">002444</x:t>
        </x:is>
      </x:c>
      <x:c r="C3760" s="3" t="inlineStr">
        <x:is>
          <x:t xml:space="preserve">巨星科技</x:t>
        </x:is>
      </x:c>
      <x:c r="D3760" s="3" t="inlineStr">
        <x:is>
          <x:t xml:space="preserve">杭州巨星科技股份有限公司</x:t>
        </x:is>
      </x:c>
      <x:c r="E3760" s="2" t="inlineStr">
        <x:is>
          <x:t xml:space="preserve">浙江省</x:t>
        </x:is>
      </x:c>
      <x:c r="F3760" s="2" t="inlineStr">
        <x:is>
          <x:t xml:space="preserve">杭州市</x:t>
        </x:is>
      </x:c>
      <x:c r="G3760" s="3" t="inlineStr">
        <x:is>
          <x:t xml:space="preserve">浙江省-杭州市</x:t>
        </x:is>
      </x:c>
      <x:c r="H3760" s="2" t="inlineStr">
        <x:is>
          <x:t xml:space="preserve">通用设备</x:t>
        </x:is>
      </x:c>
      <x:c r="I3760" s="2" t="inlineStr">
        <x:is>
          <x:t xml:space="preserve">2010-07-13</x:t>
        </x:is>
      </x:c>
      <x:c r="J3760" s="3" t="inlineStr">
        <x:is>
          <x:t xml:space="preserve">浙江省杭州市上城区九环路35号</x:t>
        </x:is>
      </x:c>
      <x:c r="K3760" s="12" t="str">
        <x:f>LEFT("91330000731506099D",18)</x:f>
        <x:v>91330000731506099D</x:v>
      </x:c>
    </x:row>
    <x:row r="3761">
      <x:c r="A3761" s="4" t="n">
        <x:v>3760</x:v>
      </x:c>
      <x:c r="B3761" s="4" t="inlineStr">
        <x:is>
          <x:t xml:space="preserve">002468</x:t>
        </x:is>
      </x:c>
      <x:c r="C3761" s="5" t="inlineStr">
        <x:is>
          <x:t xml:space="preserve">申通快递</x:t>
        </x:is>
      </x:c>
      <x:c r="D3761" s="5" t="inlineStr">
        <x:is>
          <x:t xml:space="preserve">申通快递股份有限公司</x:t>
        </x:is>
      </x:c>
      <x:c r="E3761" s="4" t="inlineStr">
        <x:is>
          <x:t xml:space="preserve">浙江省</x:t>
        </x:is>
      </x:c>
      <x:c r="F3761" s="4" t="inlineStr">
        <x:is>
          <x:t xml:space="preserve">江省玉环市</x:t>
        </x:is>
      </x:c>
      <x:c r="G3761" s="5" t="inlineStr">
        <x:is>
          <x:t xml:space="preserve">浙江省-江省玉环市</x:t>
        </x:is>
      </x:c>
      <x:c r="H3761" s="4" t="inlineStr">
        <x:is>
          <x:t xml:space="preserve">交运物流</x:t>
        </x:is>
      </x:c>
      <x:c r="I3761" s="4" t="inlineStr">
        <x:is>
          <x:t xml:space="preserve">2010-09-08</x:t>
        </x:is>
      </x:c>
      <x:c r="J3761" s="5" t="inlineStr">
        <x:is>
          <x:t xml:space="preserve">浙江省玉环市机电工业园区</x:t>
        </x:is>
      </x:c>
      <x:c r="K3761" s="12" t="str">
        <x:f>LEFT("913300007324299960",18)</x:f>
        <x:v>913300007324299900</x:v>
      </x:c>
    </x:row>
    <x:row r="3762">
      <x:c r="A3762" s="2" t="n">
        <x:v>3761</x:v>
      </x:c>
      <x:c r="B3762" s="2" t="inlineStr">
        <x:is>
          <x:t xml:space="preserve">002472</x:t>
        </x:is>
      </x:c>
      <x:c r="C3762" s="3" t="inlineStr">
        <x:is>
          <x:t xml:space="preserve">双环传动</x:t>
        </x:is>
      </x:c>
      <x:c r="D3762" s="3" t="inlineStr">
        <x:is>
          <x:t xml:space="preserve">浙江双环传动机械股份有限公司</x:t>
        </x:is>
      </x:c>
      <x:c r="E3762" s="2" t="inlineStr">
        <x:is>
          <x:t xml:space="preserve">浙江省</x:t>
        </x:is>
      </x:c>
      <x:c r="F3762" s="2" t="inlineStr">
        <x:is>
          <x:t xml:space="preserve">江省玉环市</x:t>
        </x:is>
      </x:c>
      <x:c r="G3762" s="3" t="inlineStr">
        <x:is>
          <x:t xml:space="preserve">浙江省-江省玉环市</x:t>
        </x:is>
      </x:c>
      <x:c r="H3762" s="2" t="inlineStr">
        <x:is>
          <x:t xml:space="preserve">汽车零部件</x:t>
        </x:is>
      </x:c>
      <x:c r="I3762" s="2" t="inlineStr">
        <x:is>
          <x:t xml:space="preserve">2010-09-10</x:t>
        </x:is>
      </x:c>
      <x:c r="J3762" s="3" t="inlineStr">
        <x:is>
          <x:t xml:space="preserve">浙江省玉环市机电产业功能区盛园路1号</x:t>
        </x:is>
      </x:c>
      <x:c r="K3762" s="12" t="str">
        <x:f>LEFT("91330000779370442Q",18)</x:f>
        <x:v>91330000779370442Q</x:v>
      </x:c>
    </x:row>
    <x:row r="3763">
      <x:c r="A3763" s="4" t="n">
        <x:v>3762</x:v>
      </x:c>
      <x:c r="B3763" s="4" t="inlineStr">
        <x:is>
          <x:t xml:space="preserve">002479</x:t>
        </x:is>
      </x:c>
      <x:c r="C3763" s="5" t="inlineStr">
        <x:is>
          <x:t xml:space="preserve">富春环保</x:t>
        </x:is>
      </x:c>
      <x:c r="D3763" s="5" t="inlineStr">
        <x:is>
          <x:t xml:space="preserve">浙江富春江环保热电股份有限公司</x:t>
        </x:is>
      </x:c>
      <x:c r="E3763" s="4" t="inlineStr">
        <x:is>
          <x:t xml:space="preserve">浙江省</x:t>
        </x:is>
      </x:c>
      <x:c r="F3763" s="4" t="inlineStr">
        <x:is>
          <x:t xml:space="preserve">杭州市</x:t>
        </x:is>
      </x:c>
      <x:c r="G3763" s="5" t="inlineStr">
        <x:is>
          <x:t xml:space="preserve">浙江省-杭州市</x:t>
        </x:is>
      </x:c>
      <x:c r="H3763" s="4" t="inlineStr">
        <x:is>
          <x:t xml:space="preserve">环保工程</x:t>
        </x:is>
      </x:c>
      <x:c r="I3763" s="4" t="inlineStr">
        <x:is>
          <x:t xml:space="preserve">2010-09-21</x:t>
        </x:is>
      </x:c>
      <x:c r="J3763" s="5" t="inlineStr">
        <x:is>
          <x:t xml:space="preserve">杭州市富阳区灵桥镇春永路188号</x:t>
        </x:is>
      </x:c>
      <x:c r="K3763" s="12" t="str">
        <x:f>LEFT("913300007572103686",18)</x:f>
        <x:v>913300007572103700</x:v>
      </x:c>
    </x:row>
    <x:row r="3764">
      <x:c r="A3764" s="2" t="n">
        <x:v>3763</x:v>
      </x:c>
      <x:c r="B3764" s="2" t="inlineStr">
        <x:is>
          <x:t xml:space="preserve">002488</x:t>
        </x:is>
      </x:c>
      <x:c r="C3764" s="3" t="inlineStr">
        <x:is>
          <x:t xml:space="preserve">金固股份</x:t>
        </x:is>
      </x:c>
      <x:c r="D3764" s="3" t="inlineStr">
        <x:is>
          <x:t xml:space="preserve">浙江金固股份有限公司</x:t>
        </x:is>
      </x:c>
      <x:c r="E3764" s="2" t="inlineStr">
        <x:is>
          <x:t xml:space="preserve">浙江省</x:t>
        </x:is>
      </x:c>
      <x:c r="F3764" s="2" t="inlineStr">
        <x:is>
          <x:t xml:space="preserve">杭州市</x:t>
        </x:is>
      </x:c>
      <x:c r="G3764" s="3" t="inlineStr">
        <x:is>
          <x:t xml:space="preserve">浙江省-杭州市</x:t>
        </x:is>
      </x:c>
      <x:c r="H3764" s="2" t="inlineStr">
        <x:is>
          <x:t xml:space="preserve">汽车行业</x:t>
        </x:is>
      </x:c>
      <x:c r="I3764" s="2" t="inlineStr">
        <x:is>
          <x:t xml:space="preserve">2010-10-21</x:t>
        </x:is>
      </x:c>
      <x:c r="J3764" s="3" t="inlineStr">
        <x:is>
          <x:t xml:space="preserve">浙江省杭州市富阳区富春街道公园西路1181号</x:t>
        </x:is>
      </x:c>
      <x:c r="K3764" s="12" t="str">
        <x:f>LEFT("9133000025403311XB",18)</x:f>
        <x:v>9133000025403311XB</x:v>
      </x:c>
    </x:row>
    <x:row r="3765">
      <x:c r="A3765" s="4" t="n">
        <x:v>3764</x:v>
      </x:c>
      <x:c r="B3765" s="4" t="inlineStr">
        <x:is>
          <x:t xml:space="preserve">002489</x:t>
        </x:is>
      </x:c>
      <x:c r="C3765" s="5" t="inlineStr">
        <x:is>
          <x:t xml:space="preserve">浙江永强</x:t>
        </x:is>
      </x:c>
      <x:c r="D3765" s="5" t="inlineStr">
        <x:is>
          <x:t xml:space="preserve">浙江永强集团股份有限公司</x:t>
        </x:is>
      </x:c>
      <x:c r="E3765" s="4" t="inlineStr">
        <x:is>
          <x:t xml:space="preserve">浙江省</x:t>
        </x:is>
      </x:c>
      <x:c r="F3765" s="4" t="inlineStr">
        <x:is>
          <x:t xml:space="preserve">江省临海市</x:t>
        </x:is>
      </x:c>
      <x:c r="G3765" s="5" t="inlineStr">
        <x:is>
          <x:t xml:space="preserve">浙江省-江省临海市</x:t>
        </x:is>
      </x:c>
      <x:c r="H3765" s="4" t="inlineStr">
        <x:is>
          <x:t xml:space="preserve">家用轻工</x:t>
        </x:is>
      </x:c>
      <x:c r="I3765" s="4" t="inlineStr">
        <x:is>
          <x:t xml:space="preserve">2010-10-21</x:t>
        </x:is>
      </x:c>
      <x:c r="J3765" s="5" t="inlineStr">
        <x:is>
          <x:t xml:space="preserve">浙江省临海市前江南路1号</x:t>
        </x:is>
      </x:c>
      <x:c r="K3765" s="12" t="str">
        <x:f>LEFT("91330000743452075L",18)</x:f>
        <x:v>91330000743452075L</x:v>
      </x:c>
    </x:row>
    <x:row r="3766">
      <x:c r="A3766" s="2" t="n">
        <x:v>3765</x:v>
      </x:c>
      <x:c r="B3766" s="2" t="inlineStr">
        <x:is>
          <x:t xml:space="preserve">002493</x:t>
        </x:is>
      </x:c>
      <x:c r="C3766" s="3" t="inlineStr">
        <x:is>
          <x:t xml:space="preserve">荣盛石化</x:t>
        </x:is>
      </x:c>
      <x:c r="D3766" s="3" t="inlineStr">
        <x:is>
          <x:t xml:space="preserve">荣盛石化股份有限公司</x:t>
        </x:is>
      </x:c>
      <x:c r="E3766" s="2" t="inlineStr">
        <x:is>
          <x:t xml:space="preserve">浙江省</x:t>
        </x:is>
      </x:c>
      <x:c r="F3766" s="2" t="inlineStr">
        <x:is>
          <x:t xml:space="preserve">杭州市</x:t>
        </x:is>
      </x:c>
      <x:c r="G3766" s="3" t="inlineStr">
        <x:is>
          <x:t xml:space="preserve">浙江省-杭州市</x:t>
        </x:is>
      </x:c>
      <x:c r="H3766" s="2" t="inlineStr">
        <x:is>
          <x:t xml:space="preserve">化纤行业</x:t>
        </x:is>
      </x:c>
      <x:c r="I3766" s="2" t="inlineStr">
        <x:is>
          <x:t xml:space="preserve">2010-11-02</x:t>
        </x:is>
      </x:c>
      <x:c r="J3766" s="3" t="inlineStr">
        <x:is>
          <x:t xml:space="preserve">浙江省杭州市萧山区益农镇红阳路98号</x:t>
        </x:is>
      </x:c>
      <x:c r="K3766" s="12" t="str">
        <x:f>LEFT("91330000255693873W",18)</x:f>
        <x:v>91330000255693873W</x:v>
      </x:c>
    </x:row>
    <x:row r="3767">
      <x:c r="A3767" s="4" t="n">
        <x:v>3766</x:v>
      </x:c>
      <x:c r="B3767" s="4" t="inlineStr">
        <x:is>
          <x:t xml:space="preserve">002508</x:t>
        </x:is>
      </x:c>
      <x:c r="C3767" s="5" t="inlineStr">
        <x:is>
          <x:t xml:space="preserve">老板电器</x:t>
        </x:is>
      </x:c>
      <x:c r="D3767" s="5" t="inlineStr">
        <x:is>
          <x:t xml:space="preserve">杭州老板电器股份有限公司</x:t>
        </x:is>
      </x:c>
      <x:c r="E3767" s="4" t="inlineStr">
        <x:is>
          <x:t xml:space="preserve">浙江省</x:t>
        </x:is>
      </x:c>
      <x:c r="F3767" s="4" t="inlineStr">
        <x:is>
          <x:t xml:space="preserve">杭州市</x:t>
        </x:is>
      </x:c>
      <x:c r="G3767" s="5" t="inlineStr">
        <x:is>
          <x:t xml:space="preserve">浙江省-杭州市</x:t>
        </x:is>
      </x:c>
      <x:c r="H3767" s="4" t="inlineStr">
        <x:is>
          <x:t xml:space="preserve">家电行业</x:t>
        </x:is>
      </x:c>
      <x:c r="I3767" s="4" t="inlineStr">
        <x:is>
          <x:t xml:space="preserve">2010-11-23</x:t>
        </x:is>
      </x:c>
      <x:c r="J3767" s="5" t="inlineStr">
        <x:is>
          <x:t xml:space="preserve">浙江省杭州市临平区临平经济开发区临平大道592号</x:t>
        </x:is>
      </x:c>
      <x:c r="K3767" s="12" t="str">
        <x:f>LEFT("91330000725252053F",18)</x:f>
        <x:v>91330000725252053F</x:v>
      </x:c>
    </x:row>
    <x:row r="3768">
      <x:c r="A3768" s="2" t="n">
        <x:v>3767</x:v>
      </x:c>
      <x:c r="B3768" s="2" t="inlineStr">
        <x:is>
          <x:t xml:space="preserve">002515</x:t>
        </x:is>
      </x:c>
      <x:c r="C3768" s="3" t="inlineStr">
        <x:is>
          <x:t xml:space="preserve">金字火腿</x:t>
        </x:is>
      </x:c>
      <x:c r="D3768" s="3" t="inlineStr">
        <x:is>
          <x:t xml:space="preserve">金字火腿股份有限公司</x:t>
        </x:is>
      </x:c>
      <x:c r="E3768" s="2" t="inlineStr">
        <x:is>
          <x:t xml:space="preserve">浙江省</x:t>
        </x:is>
      </x:c>
      <x:c r="F3768" s="2" t="inlineStr">
        <x:is>
          <x:t xml:space="preserve">金华市</x:t>
        </x:is>
      </x:c>
      <x:c r="G3768" s="3" t="inlineStr">
        <x:is>
          <x:t xml:space="preserve">浙江省-金华市</x:t>
        </x:is>
      </x:c>
      <x:c r="H3768" s="2" t="inlineStr">
        <x:is>
          <x:t xml:space="preserve">食品饮料</x:t>
        </x:is>
      </x:c>
      <x:c r="I3768" s="2" t="inlineStr">
        <x:is>
          <x:t xml:space="preserve">2010-12-03</x:t>
        </x:is>
      </x:c>
      <x:c r="J3768" s="3" t="inlineStr">
        <x:is>
          <x:t xml:space="preserve">浙江省金华市工业园区金帆街1000号</x:t>
        </x:is>
      </x:c>
      <x:c r="K3768" s="12" t="str">
        <x:f>LEFT("91330000254983027G",18)</x:f>
        <x:v>91330000254983027G</x:v>
      </x:c>
    </x:row>
    <x:row r="3769">
      <x:c r="A3769" s="4" t="n">
        <x:v>3768</x:v>
      </x:c>
      <x:c r="B3769" s="4" t="inlineStr">
        <x:is>
          <x:t xml:space="preserve">002520</x:t>
        </x:is>
      </x:c>
      <x:c r="C3769" s="5" t="inlineStr">
        <x:is>
          <x:t xml:space="preserve">日发精机</x:t>
        </x:is>
      </x:c>
      <x:c r="D3769" s="5" t="inlineStr">
        <x:is>
          <x:t xml:space="preserve">浙江日发精密机械股份有限公司</x:t>
        </x:is>
      </x:c>
      <x:c r="E3769" s="4" t="inlineStr">
        <x:is>
          <x:t xml:space="preserve">浙江省</x:t>
        </x:is>
      </x:c>
      <x:c r="F3769" s="4" t="inlineStr">
        <x:is>
          <x:t xml:space="preserve">绍兴市</x:t>
        </x:is>
      </x:c>
      <x:c r="G3769" s="5" t="inlineStr">
        <x:is>
          <x:t xml:space="preserve">浙江省-绍兴市</x:t>
        </x:is>
      </x:c>
      <x:c r="H3769" s="4" t="inlineStr">
        <x:is>
          <x:t xml:space="preserve">机械行业</x:t>
        </x:is>
      </x:c>
      <x:c r="I3769" s="4" t="inlineStr">
        <x:is>
          <x:t xml:space="preserve">2010-12-10</x:t>
        </x:is>
      </x:c>
      <x:c r="J3769" s="5" t="inlineStr">
        <x:is>
          <x:t xml:space="preserve">浙江省新昌县七星街道日发数码科技园</x:t>
        </x:is>
      </x:c>
      <x:c r="K3769" s="12" t="str">
        <x:f>LEFT("91330000726586776L",18)</x:f>
        <x:v>91330000726586776L</x:v>
      </x:c>
    </x:row>
    <x:row r="3770">
      <x:c r="A3770" s="2" t="n">
        <x:v>3769</x:v>
      </x:c>
      <x:c r="B3770" s="2" t="inlineStr">
        <x:is>
          <x:t xml:space="preserve">002522</x:t>
        </x:is>
      </x:c>
      <x:c r="C3770" s="3" t="inlineStr">
        <x:is>
          <x:t xml:space="preserve">浙江众成</x:t>
        </x:is>
      </x:c>
      <x:c r="D3770" s="3" t="inlineStr">
        <x:is>
          <x:t xml:space="preserve">浙江众成包装材料股份有限公司</x:t>
        </x:is>
      </x:c>
      <x:c r="E3770" s="2" t="inlineStr">
        <x:is>
          <x:t xml:space="preserve">浙江省</x:t>
        </x:is>
      </x:c>
      <x:c r="F3770" s="2" t="inlineStr">
        <x:is>
          <x:t xml:space="preserve">嘉兴市</x:t>
        </x:is>
      </x:c>
      <x:c r="G3770" s="3" t="inlineStr">
        <x:is>
          <x:t xml:space="preserve">浙江省-嘉兴市</x:t>
        </x:is>
      </x:c>
      <x:c r="H3770" s="2" t="inlineStr">
        <x:is>
          <x:t xml:space="preserve">塑料制品</x:t>
        </x:is>
      </x:c>
      <x:c r="I3770" s="2" t="inlineStr">
        <x:is>
          <x:t xml:space="preserve">2010-12-10</x:t>
        </x:is>
      </x:c>
      <x:c r="J3770" s="3" t="inlineStr">
        <x:is>
          <x:t xml:space="preserve">浙江省嘉善县惠民街道泰山路1号</x:t>
        </x:is>
      </x:c>
      <x:c r="K3770" s="12" t="str">
        <x:f>LEFT("91330000732023371N",18)</x:f>
        <x:v>91330000732023371N</x:v>
      </x:c>
    </x:row>
    <x:row r="3771">
      <x:c r="A3771" s="4" t="n">
        <x:v>3770</x:v>
      </x:c>
      <x:c r="B3771" s="4" t="inlineStr">
        <x:is>
          <x:t xml:space="preserve">002534</x:t>
        </x:is>
      </x:c>
      <x:c r="C3771" s="5" t="inlineStr">
        <x:is>
          <x:t xml:space="preserve">西子洁能</x:t>
        </x:is>
      </x:c>
      <x:c r="D3771" s="5" t="inlineStr">
        <x:is>
          <x:t xml:space="preserve">西子清洁能源装备制造股份有限公司</x:t>
        </x:is>
      </x:c>
      <x:c r="E3771" s="4" t="inlineStr">
        <x:is>
          <x:t xml:space="preserve">浙江省</x:t>
        </x:is>
      </x:c>
      <x:c r="F3771" s="4" t="inlineStr">
        <x:is>
          <x:t xml:space="preserve">杭州市</x:t>
        </x:is>
      </x:c>
      <x:c r="G3771" s="5" t="inlineStr">
        <x:is>
          <x:t xml:space="preserve">浙江省-杭州市</x:t>
        </x:is>
      </x:c>
      <x:c r="H3771" s="4" t="inlineStr">
        <x:is>
          <x:t xml:space="preserve">电源设备</x:t>
        </x:is>
      </x:c>
      <x:c r="I3771" s="4" t="inlineStr">
        <x:is>
          <x:t xml:space="preserve">2011-01-10</x:t>
        </x:is>
      </x:c>
      <x:c r="J3771" s="5" t="inlineStr">
        <x:is>
          <x:t xml:space="preserve">杭州市上城区大农港路1216号</x:t>
        </x:is>
      </x:c>
      <x:c r="K3771" s="12" t="str">
        <x:f>LEFT("913300001430417586",18)</x:f>
        <x:v>913300001430417500</x:v>
      </x:c>
    </x:row>
    <x:row r="3772">
      <x:c r="A3772" s="2" t="n">
        <x:v>3771</x:v>
      </x:c>
      <x:c r="B3772" s="2" t="inlineStr">
        <x:is>
          <x:t xml:space="preserve">002552</x:t>
        </x:is>
      </x:c>
      <x:c r="C3772" s="3" t="inlineStr">
        <x:is>
          <x:t xml:space="preserve">宝鼎科技</x:t>
        </x:is>
      </x:c>
      <x:c r="D3772" s="3" t="inlineStr">
        <x:is>
          <x:t xml:space="preserve">宝鼎科技股份有限公司</x:t>
        </x:is>
      </x:c>
      <x:c r="E3772" s="2" t="inlineStr">
        <x:is>
          <x:t xml:space="preserve">浙江省</x:t>
        </x:is>
      </x:c>
      <x:c r="F3772" s="2" t="inlineStr">
        <x:is>
          <x:t xml:space="preserve">杭州市</x:t>
        </x:is>
      </x:c>
      <x:c r="G3772" s="3" t="inlineStr">
        <x:is>
          <x:t xml:space="preserve">浙江省-杭州市</x:t>
        </x:is>
      </x:c>
      <x:c r="H3772" s="2" t="inlineStr">
        <x:is>
          <x:t xml:space="preserve">通用设备</x:t>
        </x:is>
      </x:c>
      <x:c r="I3772" s="2" t="inlineStr">
        <x:is>
          <x:t xml:space="preserve">2011-02-25</x:t>
        </x:is>
      </x:c>
      <x:c r="J3772" s="3" t="inlineStr">
        <x:is>
          <x:t xml:space="preserve">浙江省杭州市临平区塘栖镇塘盛街7号5幢401室</x:t>
        </x:is>
      </x:c>
      <x:c r="K3772" s="12" t="str">
        <x:f>LEFT("91330000143839073P",18)</x:f>
        <x:v>91330000143839073P</x:v>
      </x:c>
    </x:row>
    <x:row r="3773">
      <x:c r="A3773" s="4" t="n">
        <x:v>3772</x:v>
      </x:c>
      <x:c r="B3773" s="4" t="inlineStr">
        <x:is>
          <x:t xml:space="preserve">002562</x:t>
        </x:is>
      </x:c>
      <x:c r="C3773" s="5" t="inlineStr">
        <x:is>
          <x:t xml:space="preserve">兄弟科技</x:t>
        </x:is>
      </x:c>
      <x:c r="D3773" s="5" t="inlineStr">
        <x:is>
          <x:t xml:space="preserve">兄弟科技股份有限公司</x:t>
        </x:is>
      </x:c>
      <x:c r="E3773" s="4" t="inlineStr">
        <x:is>
          <x:t xml:space="preserve">浙江省</x:t>
        </x:is>
      </x:c>
      <x:c r="F3773" s="4" t="inlineStr">
        <x:is>
          <x:t xml:space="preserve">江省海宁市</x:t>
        </x:is>
      </x:c>
      <x:c r="G3773" s="5" t="inlineStr">
        <x:is>
          <x:t xml:space="preserve">浙江省-江省海宁市</x:t>
        </x:is>
      </x:c>
      <x:c r="H3773" s="4" t="inlineStr">
        <x:is>
          <x:t xml:space="preserve">化学制品</x:t>
        </x:is>
      </x:c>
      <x:c r="I3773" s="4" t="inlineStr">
        <x:is>
          <x:t xml:space="preserve">2011-03-10</x:t>
        </x:is>
      </x:c>
      <x:c r="J3773" s="5" t="inlineStr">
        <x:is>
          <x:t xml:space="preserve">浙江省海宁市周王庙镇联民村蔡家石桥3号</x:t>
        </x:is>
      </x:c>
      <x:c r="K3773" s="12" t="str">
        <x:f>LEFT("91330000146733354E",18)</x:f>
        <x:v>91330000146733354E</x:v>
      </x:c>
    </x:row>
    <x:row r="3774">
      <x:c r="A3774" s="2" t="n">
        <x:v>3773</x:v>
      </x:c>
      <x:c r="B3774" s="2" t="inlineStr">
        <x:is>
          <x:t xml:space="preserve">002563</x:t>
        </x:is>
      </x:c>
      <x:c r="C3774" s="3" t="inlineStr">
        <x:is>
          <x:t xml:space="preserve">森马服饰</x:t>
        </x:is>
      </x:c>
      <x:c r="D3774" s="3" t="inlineStr">
        <x:is>
          <x:t xml:space="preserve">浙江森马服饰股份有限公司</x:t>
        </x:is>
      </x:c>
      <x:c r="E3774" s="2" t="inlineStr">
        <x:is>
          <x:t xml:space="preserve">浙江省</x:t>
        </x:is>
      </x:c>
      <x:c r="F3774" s="2" t="inlineStr">
        <x:is>
          <x:t xml:space="preserve">温州市</x:t>
        </x:is>
      </x:c>
      <x:c r="G3774" s="3" t="inlineStr">
        <x:is>
          <x:t xml:space="preserve">浙江省-温州市</x:t>
        </x:is>
      </x:c>
      <x:c r="H3774" s="2" t="inlineStr">
        <x:is>
          <x:t xml:space="preserve">纺织服装</x:t>
        </x:is>
      </x:c>
      <x:c r="I3774" s="2" t="inlineStr">
        <x:is>
          <x:t xml:space="preserve">2011-03-11</x:t>
        </x:is>
      </x:c>
      <x:c r="J3774" s="3" t="inlineStr">
        <x:is>
          <x:t xml:space="preserve">温州市瓯海区娄桥工业园南汇路98号</x:t>
        </x:is>
      </x:c>
      <x:c r="K3774" s="12" t="str">
        <x:f>LEFT("91330000736007862B",18)</x:f>
        <x:v>91330000736007862B</x:v>
      </x:c>
    </x:row>
    <x:row r="3775">
      <x:c r="A3775" s="4" t="n">
        <x:v>3774</x:v>
      </x:c>
      <x:c r="B3775" s="4" t="inlineStr">
        <x:is>
          <x:t xml:space="preserve">002569</x:t>
        </x:is>
      </x:c>
      <x:c r="C3775" s="5" t="inlineStr">
        <x:is>
          <x:t xml:space="preserve">*ST步森</x:t>
        </x:is>
      </x:c>
      <x:c r="D3775" s="5" t="inlineStr">
        <x:is>
          <x:t xml:space="preserve">浙江步森服饰股份有限公司</x:t>
        </x:is>
      </x:c>
      <x:c r="E3775" s="4" t="inlineStr">
        <x:is>
          <x:t xml:space="preserve">浙江省</x:t>
        </x:is>
      </x:c>
      <x:c r="F3775" s="4" t="inlineStr">
        <x:is>
          <x:t xml:space="preserve">江省诸暨市</x:t>
        </x:is>
      </x:c>
      <x:c r="G3775" s="5" t="inlineStr">
        <x:is>
          <x:t xml:space="preserve">浙江省-江省诸暨市</x:t>
        </x:is>
      </x:c>
      <x:c r="H3775" s="4" t="inlineStr">
        <x:is>
          <x:t xml:space="preserve">纺织服装</x:t>
        </x:is>
      </x:c>
      <x:c r="I3775" s="4" t="inlineStr">
        <x:is>
          <x:t xml:space="preserve">2011-04-12</x:t>
        </x:is>
      </x:c>
      <x:c r="J3775" s="5" t="inlineStr">
        <x:is>
          <x:t xml:space="preserve">浙江省诸暨市枫桥镇步森大道419号</x:t>
        </x:is>
      </x:c>
      <x:c r="K3775" s="12" t="str">
        <x:f>LEFT("91330000777214673R",18)</x:f>
        <x:v>91330000777214673R</x:v>
      </x:c>
    </x:row>
    <x:row r="3776">
      <x:c r="A3776" s="2" t="n">
        <x:v>3775</x:v>
      </x:c>
      <x:c r="B3776" s="2" t="inlineStr">
        <x:is>
          <x:t xml:space="preserve">002570</x:t>
        </x:is>
      </x:c>
      <x:c r="C3776" s="3" t="inlineStr">
        <x:is>
          <x:t xml:space="preserve">贝因美</x:t>
        </x:is>
      </x:c>
      <x:c r="D3776" s="3" t="inlineStr">
        <x:is>
          <x:t xml:space="preserve">贝因美股份有限公司</x:t>
        </x:is>
      </x:c>
      <x:c r="E3776" s="2" t="inlineStr">
        <x:is>
          <x:t xml:space="preserve">浙江省</x:t>
        </x:is>
      </x:c>
      <x:c r="F3776" s="2" t="inlineStr">
        <x:is>
          <x:t xml:space="preserve">杭州市</x:t>
        </x:is>
      </x:c>
      <x:c r="G3776" s="3" t="inlineStr">
        <x:is>
          <x:t xml:space="preserve">浙江省-杭州市</x:t>
        </x:is>
      </x:c>
      <x:c r="H3776" s="2" t="inlineStr">
        <x:is>
          <x:t xml:space="preserve">食品饮料</x:t>
        </x:is>
      </x:c>
      <x:c r="I3776" s="2" t="inlineStr">
        <x:is>
          <x:t xml:space="preserve">2011-04-12</x:t>
        </x:is>
      </x:c>
      <x:c r="J3776" s="3" t="inlineStr">
        <x:is>
          <x:t xml:space="preserve">浙江省杭州市滨江区伟业路1号10幢</x:t>
        </x:is>
      </x:c>
      <x:c r="K3776" s="12" t="str">
        <x:f>LEFT("91330000712560866K",18)</x:f>
        <x:v>91330000712560866K</x:v>
      </x:c>
    </x:row>
    <x:row r="3777">
      <x:c r="A3777" s="4" t="n">
        <x:v>3776</x:v>
      </x:c>
      <x:c r="B3777" s="4" t="inlineStr">
        <x:is>
          <x:t xml:space="preserve">002574</x:t>
        </x:is>
      </x:c>
      <x:c r="C3777" s="5" t="inlineStr">
        <x:is>
          <x:t xml:space="preserve">明牌珠宝</x:t>
        </x:is>
      </x:c>
      <x:c r="D3777" s="5" t="inlineStr">
        <x:is>
          <x:t xml:space="preserve">浙江明牌珠宝股份有限公司</x:t>
        </x:is>
      </x:c>
      <x:c r="E3777" s="4" t="inlineStr">
        <x:is>
          <x:t xml:space="preserve">浙江省</x:t>
        </x:is>
      </x:c>
      <x:c r="F3777" s="4" t="inlineStr">
        <x:is>
          <x:t xml:space="preserve">绍兴市</x:t>
        </x:is>
      </x:c>
      <x:c r="G3777" s="5" t="inlineStr">
        <x:is>
          <x:t xml:space="preserve">浙江省-绍兴市</x:t>
        </x:is>
      </x:c>
      <x:c r="H3777" s="4" t="inlineStr">
        <x:is>
          <x:t xml:space="preserve">珠宝首饰</x:t>
        </x:is>
      </x:c>
      <x:c r="I3777" s="4" t="inlineStr">
        <x:is>
          <x:t xml:space="preserve">2011-04-22</x:t>
        </x:is>
      </x:c>
      <x:c r="J3777" s="5" t="inlineStr">
        <x:is>
          <x:t xml:space="preserve">浙江省绍兴市柯桥区福全工业区</x:t>
        </x:is>
      </x:c>
      <x:c r="K3777" s="12" t="str">
        <x:f>LEFT("91330000743481693J",18)</x:f>
        <x:v>91330000743481693J</x:v>
      </x:c>
    </x:row>
    <x:row r="3778">
      <x:c r="A3778" s="2" t="n">
        <x:v>3777</x:v>
      </x:c>
      <x:c r="B3778" s="2" t="inlineStr">
        <x:is>
          <x:t xml:space="preserve">002586</x:t>
        </x:is>
      </x:c>
      <x:c r="C3778" s="3" t="inlineStr">
        <x:is>
          <x:t xml:space="preserve">ST围海</x:t>
        </x:is>
      </x:c>
      <x:c r="D3778" s="3" t="inlineStr">
        <x:is>
          <x:t xml:space="preserve">浙江省围海建设集团股份有限公司</x:t>
        </x:is>
      </x:c>
      <x:c r="E3778" s="2" t="inlineStr">
        <x:is>
          <x:t xml:space="preserve">浙江省</x:t>
        </x:is>
      </x:c>
      <x:c r="F3778" s="2" t="inlineStr">
        <x:is>
          <x:t xml:space="preserve">宁波市</x:t>
        </x:is>
      </x:c>
      <x:c r="G3778" s="3" t="inlineStr">
        <x:is>
          <x:t xml:space="preserve">浙江省-宁波市</x:t>
        </x:is>
      </x:c>
      <x:c r="H3778" s="2" t="inlineStr">
        <x:is>
          <x:t xml:space="preserve">工程建设</x:t>
        </x:is>
      </x:c>
      <x:c r="I3778" s="2" t="inlineStr">
        <x:is>
          <x:t xml:space="preserve">2011-06-02</x:t>
        </x:is>
      </x:c>
      <x:c r="J3778" s="3" t="inlineStr">
        <x:is>
          <x:t xml:space="preserve">浙江省宁波市鄞州区广贤路1009号</x:t>
        </x:is>
      </x:c>
      <x:c r="K3778" s="12" t="str">
        <x:f>LEFT("913302001449613537",18)</x:f>
        <x:v>913302001449613600</x:v>
      </x:c>
    </x:row>
    <x:row r="3779">
      <x:c r="A3779" s="4" t="n">
        <x:v>3778</x:v>
      </x:c>
      <x:c r="B3779" s="4" t="inlineStr">
        <x:is>
          <x:t xml:space="preserve">002590</x:t>
        </x:is>
      </x:c>
      <x:c r="C3779" s="5" t="inlineStr">
        <x:is>
          <x:t xml:space="preserve">万安科技</x:t>
        </x:is>
      </x:c>
      <x:c r="D3779" s="5" t="inlineStr">
        <x:is>
          <x:t xml:space="preserve">浙江万安科技股份有限公司</x:t>
        </x:is>
      </x:c>
      <x:c r="E3779" s="4" t="inlineStr">
        <x:is>
          <x:t xml:space="preserve">浙江省</x:t>
        </x:is>
      </x:c>
      <x:c r="F3779" s="4" t="inlineStr">
        <x:is>
          <x:t xml:space="preserve">江省诸暨市</x:t>
        </x:is>
      </x:c>
      <x:c r="G3779" s="5" t="inlineStr">
        <x:is>
          <x:t xml:space="preserve">浙江省-江省诸暨市</x:t>
        </x:is>
      </x:c>
      <x:c r="H3779" s="4" t="inlineStr">
        <x:is>
          <x:t xml:space="preserve">汽车零部件</x:t>
        </x:is>
      </x:c>
      <x:c r="I3779" s="4" t="inlineStr">
        <x:is>
          <x:t xml:space="preserve">2011-06-10</x:t>
        </x:is>
      </x:c>
      <x:c r="J3779" s="5" t="inlineStr">
        <x:is>
          <x:t xml:space="preserve">浙江省诸暨市店口镇工业区</x:t>
        </x:is>
      </x:c>
      <x:c r="K3779" s="12" t="str">
        <x:f>LEFT("91330000716198796G",18)</x:f>
        <x:v>91330000716198796G</x:v>
      </x:c>
    </x:row>
    <x:row r="3780">
      <x:c r="A3780" s="2" t="n">
        <x:v>3779</x:v>
      </x:c>
      <x:c r="B3780" s="2" t="inlineStr">
        <x:is>
          <x:t xml:space="preserve">002602</x:t>
        </x:is>
      </x:c>
      <x:c r="C3780" s="3" t="inlineStr">
        <x:is>
          <x:t xml:space="preserve">世纪华通</x:t>
        </x:is>
      </x:c>
      <x:c r="D3780" s="3" t="inlineStr">
        <x:is>
          <x:t xml:space="preserve">浙江世纪华通集团股份有限公司</x:t>
        </x:is>
      </x:c>
      <x:c r="E3780" s="2" t="inlineStr">
        <x:is>
          <x:t xml:space="preserve">浙江省</x:t>
        </x:is>
      </x:c>
      <x:c r="F3780" s="2" t="inlineStr">
        <x:is>
          <x:t xml:space="preserve">绍兴市</x:t>
        </x:is>
      </x:c>
      <x:c r="G3780" s="3" t="inlineStr">
        <x:is>
          <x:t xml:space="preserve">浙江省-绍兴市</x:t>
        </x:is>
      </x:c>
      <x:c r="H3780" s="2" t="inlineStr">
        <x:is>
          <x:t xml:space="preserve">游戏</x:t>
        </x:is>
      </x:c>
      <x:c r="I3780" s="2" t="inlineStr">
        <x:is>
          <x:t xml:space="preserve">2011-07-28</x:t>
        </x:is>
      </x:c>
      <x:c r="J3780" s="3" t="inlineStr">
        <x:is>
          <x:t xml:space="preserve">浙江省绍兴市上虞区曹娥街道越爱路66号5幢</x:t>
        </x:is>
      </x:c>
      <x:c r="K3780" s="12" t="str">
        <x:f>LEFT("91330000780477634Q",18)</x:f>
        <x:v>91330000780477634Q</x:v>
      </x:c>
    </x:row>
    <x:row r="3781">
      <x:c r="A3781" s="4" t="n">
        <x:v>3780</x:v>
      </x:c>
      <x:c r="B3781" s="4" t="inlineStr">
        <x:is>
          <x:t xml:space="preserve">002615</x:t>
        </x:is>
      </x:c>
      <x:c r="C3781" s="5" t="inlineStr">
        <x:is>
          <x:t xml:space="preserve">哈尔斯</x:t>
        </x:is>
      </x:c>
      <x:c r="D3781" s="5" t="inlineStr">
        <x:is>
          <x:t xml:space="preserve">浙江哈尔斯真空器皿股份有限公司</x:t>
        </x:is>
      </x:c>
      <x:c r="E3781" s="4" t="inlineStr">
        <x:is>
          <x:t xml:space="preserve">浙江省</x:t>
        </x:is>
      </x:c>
      <x:c r="F3781" s="4" t="inlineStr">
        <x:is>
          <x:t xml:space="preserve">金华市</x:t>
        </x:is>
      </x:c>
      <x:c r="G3781" s="5" t="inlineStr">
        <x:is>
          <x:t xml:space="preserve">浙江省-金华市</x:t>
        </x:is>
      </x:c>
      <x:c r="H3781" s="4" t="inlineStr">
        <x:is>
          <x:t xml:space="preserve">家用轻工</x:t>
        </x:is>
      </x:c>
      <x:c r="I3781" s="4" t="inlineStr">
        <x:is>
          <x:t xml:space="preserve">2011-09-09</x:t>
        </x:is>
      </x:c>
      <x:c r="J3781" s="5" t="inlineStr">
        <x:is>
          <x:t xml:space="preserve">永康经济开发区哈尔斯路1号</x:t>
        </x:is>
      </x:c>
      <x:c r="K3781" s="12" t="str">
        <x:f>LEFT("91330000255072786B",18)</x:f>
        <x:v>91330000255072786B</x:v>
      </x:c>
    </x:row>
    <x:row r="3782">
      <x:c r="A3782" s="2" t="n">
        <x:v>3781</x:v>
      </x:c>
      <x:c r="B3782" s="2" t="inlineStr">
        <x:is>
          <x:t xml:space="preserve">002617</x:t>
        </x:is>
      </x:c>
      <x:c r="C3782" s="3" t="inlineStr">
        <x:is>
          <x:t xml:space="preserve">露笑科技</x:t>
        </x:is>
      </x:c>
      <x:c r="D3782" s="3" t="inlineStr">
        <x:is>
          <x:t xml:space="preserve">露笑科技股份有限公司</x:t>
        </x:is>
      </x:c>
      <x:c r="E3782" s="2" t="inlineStr">
        <x:is>
          <x:t xml:space="preserve">浙江省</x:t>
        </x:is>
      </x:c>
      <x:c r="F3782" s="2" t="inlineStr">
        <x:is>
          <x:t xml:space="preserve">江省诸暨市</x:t>
        </x:is>
      </x:c>
      <x:c r="G3782" s="3" t="inlineStr">
        <x:is>
          <x:t xml:space="preserve">浙江省-江省诸暨市</x:t>
        </x:is>
      </x:c>
      <x:c r="H3782" s="2" t="inlineStr">
        <x:is>
          <x:t xml:space="preserve">光伏设备</x:t>
        </x:is>
      </x:c>
      <x:c r="I3782" s="2" t="inlineStr">
        <x:is>
          <x:t xml:space="preserve">2011-09-20</x:t>
        </x:is>
      </x:c>
      <x:c r="J3782" s="3" t="inlineStr">
        <x:is>
          <x:t xml:space="preserve">浙江省诸暨市店口镇露笑路38号</x:t>
        </x:is>
      </x:c>
      <x:c r="K3782" s="12" t="str">
        <x:f>LEFT("9133000014621022X1",18)</x:f>
        <x:v>9133000014621022X1</x:v>
      </x:c>
    </x:row>
    <x:row r="3783">
      <x:c r="A3783" s="4" t="n">
        <x:v>3782</x:v>
      </x:c>
      <x:c r="B3783" s="4" t="inlineStr">
        <x:is>
          <x:t xml:space="preserve">002624</x:t>
        </x:is>
      </x:c>
      <x:c r="C3783" s="5" t="inlineStr">
        <x:is>
          <x:t xml:space="preserve">完美世界</x:t>
        </x:is>
      </x:c>
      <x:c r="D3783" s="5" t="inlineStr">
        <x:is>
          <x:t xml:space="preserve">完美世界股份有限公司</x:t>
        </x:is>
      </x:c>
      <x:c r="E3783" s="4" t="inlineStr">
        <x:is>
          <x:t xml:space="preserve">浙江省</x:t>
        </x:is>
      </x:c>
      <x:c r="F3783" s="4" t="inlineStr">
        <x:is>
          <x:t xml:space="preserve">湖州市</x:t>
        </x:is>
      </x:c>
      <x:c r="G3783" s="5" t="inlineStr">
        <x:is>
          <x:t xml:space="preserve">浙江省-湖州市</x:t>
        </x:is>
      </x:c>
      <x:c r="H3783" s="4" t="inlineStr">
        <x:is>
          <x:t xml:space="preserve">游戏</x:t>
        </x:is>
      </x:c>
      <x:c r="I3783" s="4" t="inlineStr">
        <x:is>
          <x:t xml:space="preserve">2011-10-28</x:t>
        </x:is>
      </x:c>
      <x:c r="J3783" s="5" t="inlineStr">
        <x:is>
          <x:t xml:space="preserve">浙江省湖州市德清县钟管镇龙山路117号</x:t>
        </x:is>
      </x:c>
      <x:c r="K3783" s="12" t="str">
        <x:f>LEFT("913300007044605152",18)</x:f>
        <x:v>913300007044605200</x:v>
      </x:c>
    </x:row>
    <x:row r="3784">
      <x:c r="A3784" s="2" t="n">
        <x:v>3783</x:v>
      </x:c>
      <x:c r="B3784" s="2" t="inlineStr">
        <x:is>
          <x:t xml:space="preserve">002629</x:t>
        </x:is>
      </x:c>
      <x:c r="C3784" s="3" t="inlineStr">
        <x:is>
          <x:t xml:space="preserve">仁智股份</x:t>
        </x:is>
      </x:c>
      <x:c r="D3784" s="3" t="inlineStr">
        <x:is>
          <x:t xml:space="preserve">浙江仁智股份有限公司</x:t>
        </x:is>
      </x:c>
      <x:c r="E3784" s="2" t="inlineStr">
        <x:is>
          <x:t xml:space="preserve">浙江省</x:t>
        </x:is>
      </x:c>
      <x:c r="F3784" s="2" t="inlineStr">
        <x:is>
          <x:t xml:space="preserve">温州市</x:t>
        </x:is>
      </x:c>
      <x:c r="G3784" s="3" t="inlineStr">
        <x:is>
          <x:t xml:space="preserve">浙江省-温州市</x:t>
        </x:is>
      </x:c>
      <x:c r="H3784" s="2" t="inlineStr">
        <x:is>
          <x:t xml:space="preserve">采掘行业</x:t>
        </x:is>
      </x:c>
      <x:c r="I3784" s="2" t="inlineStr">
        <x:is>
          <x:t xml:space="preserve">2011-11-03</x:t>
        </x:is>
      </x:c>
      <x:c r="J3784" s="3" t="inlineStr">
        <x:is>
          <x:t xml:space="preserve">浙江省温州经济技术开发区滨海十七路350号浙南经济总部大厦336室</x:t>
        </x:is>
      </x:c>
      <x:c r="K3784" s="12" t="str">
        <x:f>LEFT("915107007939595288",18)</x:f>
        <x:v>915107007939595300</x:v>
      </x:c>
    </x:row>
    <x:row r="3785">
      <x:c r="A3785" s="4" t="n">
        <x:v>3784</x:v>
      </x:c>
      <x:c r="B3785" s="4" t="inlineStr">
        <x:is>
          <x:t xml:space="preserve">002632</x:t>
        </x:is>
      </x:c>
      <x:c r="C3785" s="5" t="inlineStr">
        <x:is>
          <x:t xml:space="preserve">道明光学</x:t>
        </x:is>
      </x:c>
      <x:c r="D3785" s="5" t="inlineStr">
        <x:is>
          <x:t xml:space="preserve">道明光学股份有限公司</x:t>
        </x:is>
      </x:c>
      <x:c r="E3785" s="4" t="inlineStr">
        <x:is>
          <x:t xml:space="preserve">浙江省</x:t>
        </x:is>
      </x:c>
      <x:c r="F3785" s="4" t="inlineStr">
        <x:is>
          <x:t xml:space="preserve">江省永康市</x:t>
        </x:is>
      </x:c>
      <x:c r="G3785" s="5" t="inlineStr">
        <x:is>
          <x:t xml:space="preserve">浙江省-江省永康市</x:t>
        </x:is>
      </x:c>
      <x:c r="H3785" s="4" t="inlineStr">
        <x:is>
          <x:t xml:space="preserve">塑料制品</x:t>
        </x:is>
      </x:c>
      <x:c r="I3785" s="4" t="inlineStr">
        <x:is>
          <x:t xml:space="preserve">2011-11-22</x:t>
        </x:is>
      </x:c>
      <x:c r="J3785" s="5" t="inlineStr">
        <x:is>
          <x:t xml:space="preserve">浙江省永康市象珠镇象珠工业区3号迎宾大道1号</x:t>
        </x:is>
      </x:c>
      <x:c r="K3785" s="12" t="str">
        <x:f>LEFT("9133000066917394XU",18)</x:f>
        <x:v>9133000066917394XU</x:v>
      </x:c>
    </x:row>
    <x:row r="3786">
      <x:c r="A3786" s="2" t="n">
        <x:v>3785</x:v>
      </x:c>
      <x:c r="B3786" s="2" t="inlineStr">
        <x:is>
          <x:t xml:space="preserve">002633</x:t>
        </x:is>
      </x:c>
      <x:c r="C3786" s="3" t="inlineStr">
        <x:is>
          <x:t xml:space="preserve">申科股份</x:t>
        </x:is>
      </x:c>
      <x:c r="D3786" s="3" t="inlineStr">
        <x:is>
          <x:t xml:space="preserve">申科滑动轴承股份有限公司</x:t>
        </x:is>
      </x:c>
      <x:c r="E3786" s="2" t="inlineStr">
        <x:is>
          <x:t xml:space="preserve">浙江省</x:t>
        </x:is>
      </x:c>
      <x:c r="F3786" s="2" t="inlineStr">
        <x:is>
          <x:t xml:space="preserve">绍兴市</x:t>
        </x:is>
      </x:c>
      <x:c r="G3786" s="3" t="inlineStr">
        <x:is>
          <x:t xml:space="preserve">浙江省-绍兴市</x:t>
        </x:is>
      </x:c>
      <x:c r="H3786" s="2" t="inlineStr">
        <x:is>
          <x:t xml:space="preserve">机械行业</x:t>
        </x:is>
      </x:c>
      <x:c r="I3786" s="2" t="inlineStr">
        <x:is>
          <x:t xml:space="preserve">2011-11-22</x:t>
        </x:is>
      </x:c>
      <x:c r="J3786" s="3" t="inlineStr">
        <x:is>
          <x:t xml:space="preserve">浙江省绍兴市诸暨市陶朱街道建工东路1号</x:t>
        </x:is>
      </x:c>
      <x:c r="K3786" s="12" t="str">
        <x:f>LEFT("913300007309204660",18)</x:f>
        <x:v>913300007309204600</x:v>
      </x:c>
    </x:row>
    <x:row r="3787">
      <x:c r="A3787" s="4" t="n">
        <x:v>3786</x:v>
      </x:c>
      <x:c r="B3787" s="4" t="inlineStr">
        <x:is>
          <x:t xml:space="preserve">002634</x:t>
        </x:is>
      </x:c>
      <x:c r="C3787" s="5" t="inlineStr">
        <x:is>
          <x:t xml:space="preserve">棒杰股份</x:t>
        </x:is>
      </x:c>
      <x:c r="D3787" s="5" t="inlineStr">
        <x:is>
          <x:t xml:space="preserve">浙江棒杰控股集团股份有限公司</x:t>
        </x:is>
      </x:c>
      <x:c r="E3787" s="4" t="inlineStr">
        <x:is>
          <x:t xml:space="preserve">浙江省</x:t>
        </x:is>
      </x:c>
      <x:c r="F3787" s="4" t="inlineStr">
        <x:is>
          <x:t xml:space="preserve">义乌市</x:t>
        </x:is>
      </x:c>
      <x:c r="G3787" s="5" t="inlineStr">
        <x:is>
          <x:t xml:space="preserve">浙江省-义乌市</x:t>
        </x:is>
      </x:c>
      <x:c r="H3787" s="4" t="inlineStr">
        <x:is>
          <x:t xml:space="preserve">纺织服装</x:t>
        </x:is>
      </x:c>
      <x:c r="I3787" s="4" t="inlineStr">
        <x:is>
          <x:t xml:space="preserve">2011-12-05</x:t>
        </x:is>
      </x:c>
      <x:c r="J3787" s="5" t="inlineStr">
        <x:is>
          <x:t xml:space="preserve">浙江省义乌市苏溪镇镇南小区</x:t>
        </x:is>
      </x:c>
      <x:c r="K3787" s="12" t="str">
        <x:f>LEFT("91330000609786138W",18)</x:f>
        <x:v>91330000609786138W</x:v>
      </x:c>
    </x:row>
    <x:row r="3788">
      <x:c r="A3788" s="2" t="n">
        <x:v>3787</x:v>
      </x:c>
      <x:c r="B3788" s="2" t="inlineStr">
        <x:is>
          <x:t xml:space="preserve">002637</x:t>
        </x:is>
      </x:c>
      <x:c r="C3788" s="3" t="inlineStr">
        <x:is>
          <x:t xml:space="preserve">赞宇科技</x:t>
        </x:is>
      </x:c>
      <x:c r="D3788" s="3" t="inlineStr">
        <x:is>
          <x:t xml:space="preserve">赞宇科技集团股份有限公司</x:t>
        </x:is>
      </x:c>
      <x:c r="E3788" s="2" t="inlineStr">
        <x:is>
          <x:t xml:space="preserve">浙江省</x:t>
        </x:is>
      </x:c>
      <x:c r="F3788" s="2" t="inlineStr">
        <x:is>
          <x:t xml:space="preserve">杭州市</x:t>
        </x:is>
      </x:c>
      <x:c r="G3788" s="3" t="inlineStr">
        <x:is>
          <x:t xml:space="preserve">浙江省-杭州市</x:t>
        </x:is>
      </x:c>
      <x:c r="H3788" s="2" t="inlineStr">
        <x:is>
          <x:t xml:space="preserve">化工行业</x:t>
        </x:is>
      </x:c>
      <x:c r="I3788" s="2" t="inlineStr">
        <x:is>
          <x:t xml:space="preserve">2011-11-25</x:t>
        </x:is>
      </x:c>
      <x:c r="J3788" s="3" t="inlineStr">
        <x:is>
          <x:t xml:space="preserve">浙江省杭州市城头巷128号</x:t>
        </x:is>
      </x:c>
      <x:c r="K3788" s="12" t="str">
        <x:f>LEFT("91330000723629902K",18)</x:f>
        <x:v>91330000723629902K</x:v>
      </x:c>
    </x:row>
    <x:row r="3789">
      <x:c r="A3789" s="4" t="n">
        <x:v>3788</x:v>
      </x:c>
      <x:c r="B3789" s="4" t="inlineStr">
        <x:is>
          <x:t xml:space="preserve">002641</x:t>
        </x:is>
      </x:c>
      <x:c r="C3789" s="5" t="inlineStr">
        <x:is>
          <x:t xml:space="preserve">公元股份</x:t>
        </x:is>
      </x:c>
      <x:c r="D3789" s="5" t="inlineStr">
        <x:is>
          <x:t xml:space="preserve">公元股份有限公司</x:t>
        </x:is>
      </x:c>
      <x:c r="E3789" s="4" t="inlineStr">
        <x:is>
          <x:t xml:space="preserve">浙江省</x:t>
        </x:is>
      </x:c>
      <x:c r="F3789" s="4" t="inlineStr">
        <x:is>
          <x:t xml:space="preserve">台州市</x:t>
        </x:is>
      </x:c>
      <x:c r="G3789" s="5" t="inlineStr">
        <x:is>
          <x:t xml:space="preserve">浙江省-台州市</x:t>
        </x:is>
      </x:c>
      <x:c r="H3789" s="4" t="inlineStr">
        <x:is>
          <x:t xml:space="preserve">装修建材</x:t>
        </x:is>
      </x:c>
      <x:c r="I3789" s="4" t="inlineStr">
        <x:is>
          <x:t xml:space="preserve">2011-12-08</x:t>
        </x:is>
      </x:c>
      <x:c r="J3789" s="5" t="inlineStr">
        <x:is>
          <x:t xml:space="preserve">浙江省台州市黄岩经济开发区埭西路2号</x:t>
        </x:is>
      </x:c>
      <x:c r="K3789" s="12" t="str">
        <x:f>LEFT("91330000610003372E",18)</x:f>
        <x:v>91330000610003372E</x:v>
      </x:c>
    </x:row>
    <x:row r="3790">
      <x:c r="A3790" s="2" t="n">
        <x:v>3789</x:v>
      </x:c>
      <x:c r="B3790" s="2" t="inlineStr">
        <x:is>
          <x:t xml:space="preserve">002648</x:t>
        </x:is>
      </x:c>
      <x:c r="C3790" s="3" t="inlineStr">
        <x:is>
          <x:t xml:space="preserve">卫星化学</x:t>
        </x:is>
      </x:c>
      <x:c r="D3790" s="3" t="inlineStr">
        <x:is>
          <x:t xml:space="preserve">卫星化学股份有限公司</x:t>
        </x:is>
      </x:c>
      <x:c r="E3790" s="2" t="inlineStr">
        <x:is>
          <x:t xml:space="preserve">浙江省</x:t>
        </x:is>
      </x:c>
      <x:c r="F3790" s="2" t="inlineStr">
        <x:is>
          <x:t xml:space="preserve">嘉兴市</x:t>
        </x:is>
      </x:c>
      <x:c r="G3790" s="3" t="inlineStr">
        <x:is>
          <x:t xml:space="preserve">浙江省-嘉兴市</x:t>
        </x:is>
      </x:c>
      <x:c r="H3790" s="2" t="inlineStr">
        <x:is>
          <x:t xml:space="preserve">化学原料</x:t>
        </x:is>
      </x:c>
      <x:c r="I3790" s="2" t="inlineStr">
        <x:is>
          <x:t xml:space="preserve">2011-12-28</x:t>
        </x:is>
      </x:c>
      <x:c r="J3790" s="3" t="inlineStr">
        <x:is>
          <x:t xml:space="preserve">浙江省嘉兴市嘉兴工业园区步焦路</x:t>
        </x:is>
      </x:c>
      <x:c r="K3790" s="12" t="str">
        <x:f>LEFT("9133000077826404X2",18)</x:f>
        <x:v>9133000077826404X2</x:v>
      </x:c>
    </x:row>
    <x:row r="3791">
      <x:c r="A3791" s="4" t="n">
        <x:v>3790</x:v>
      </x:c>
      <x:c r="B3791" s="4" t="inlineStr">
        <x:is>
          <x:t xml:space="preserve">002664</x:t>
        </x:is>
      </x:c>
      <x:c r="C3791" s="5" t="inlineStr">
        <x:is>
          <x:t xml:space="preserve">信质集团</x:t>
        </x:is>
      </x:c>
      <x:c r="D3791" s="5" t="inlineStr">
        <x:is>
          <x:t xml:space="preserve">信质集团股份有限公司</x:t>
        </x:is>
      </x:c>
      <x:c r="E3791" s="4" t="inlineStr">
        <x:is>
          <x:t xml:space="preserve">浙江省</x:t>
        </x:is>
      </x:c>
      <x:c r="F3791" s="4" t="inlineStr">
        <x:is>
          <x:t xml:space="preserve">台州市</x:t>
        </x:is>
      </x:c>
      <x:c r="G3791" s="5" t="inlineStr">
        <x:is>
          <x:t xml:space="preserve">浙江省-台州市</x:t>
        </x:is>
      </x:c>
      <x:c r="H3791" s="4" t="inlineStr">
        <x:is>
          <x:t xml:space="preserve">汽车零部件</x:t>
        </x:is>
      </x:c>
      <x:c r="I3791" s="4" t="inlineStr">
        <x:is>
          <x:t xml:space="preserve">2012-03-16</x:t>
        </x:is>
      </x:c>
      <x:c r="J3791" s="5" t="inlineStr">
        <x:is>
          <x:t xml:space="preserve">浙江省台州市椒江区前所信质路28号</x:t>
        </x:is>
      </x:c>
      <x:c r="K3791" s="12" t="str">
        <x:f>LEFT("91330000148247018R",18)</x:f>
        <x:v>91330000148247018R</x:v>
      </x:c>
    </x:row>
    <x:row r="3792">
      <x:c r="A3792" s="2" t="n">
        <x:v>3791</x:v>
      </x:c>
      <x:c r="B3792" s="2" t="inlineStr">
        <x:is>
          <x:t xml:space="preserve">002677</x:t>
        </x:is>
      </x:c>
      <x:c r="C3792" s="3" t="inlineStr">
        <x:is>
          <x:t xml:space="preserve">浙江美大</x:t>
        </x:is>
      </x:c>
      <x:c r="D3792" s="3" t="inlineStr">
        <x:is>
          <x:t xml:space="preserve">浙江美大实业股份有限公司</x:t>
        </x:is>
      </x:c>
      <x:c r="E3792" s="2" t="inlineStr">
        <x:is>
          <x:t xml:space="preserve">浙江省</x:t>
        </x:is>
      </x:c>
      <x:c r="F3792" s="2" t="inlineStr">
        <x:is>
          <x:t xml:space="preserve">海宁市</x:t>
        </x:is>
      </x:c>
      <x:c r="G3792" s="3" t="inlineStr">
        <x:is>
          <x:t xml:space="preserve">浙江省-海宁市</x:t>
        </x:is>
      </x:c>
      <x:c r="H3792" s="2" t="inlineStr">
        <x:is>
          <x:t xml:space="preserve">家电行业</x:t>
        </x:is>
      </x:c>
      <x:c r="I3792" s="2" t="inlineStr">
        <x:is>
          <x:t xml:space="preserve">2012-05-25</x:t>
        </x:is>
      </x:c>
      <x:c r="J3792" s="3" t="inlineStr">
        <x:is>
          <x:t xml:space="preserve">海宁市袁花镇谈桥81号(海宁市东西大道60KM)</x:t>
        </x:is>
      </x:c>
      <x:c r="K3792" s="12" t="str">
        <x:f>LEFT("913300007345204358",18)</x:f>
        <x:v>913300007345204400</x:v>
      </x:c>
    </x:row>
    <x:row r="3793">
      <x:c r="A3793" s="4" t="n">
        <x:v>3792</x:v>
      </x:c>
      <x:c r="B3793" s="4" t="inlineStr">
        <x:is>
          <x:t xml:space="preserve">002686</x:t>
        </x:is>
      </x:c>
      <x:c r="C3793" s="5" t="inlineStr">
        <x:is>
          <x:t xml:space="preserve">亿利达</x:t>
        </x:is>
      </x:c>
      <x:c r="D3793" s="5" t="inlineStr">
        <x:is>
          <x:t xml:space="preserve">浙江亿利达风机股份有限公司</x:t>
        </x:is>
      </x:c>
      <x:c r="E3793" s="4" t="inlineStr">
        <x:is>
          <x:t xml:space="preserve">浙江省</x:t>
        </x:is>
      </x:c>
      <x:c r="F3793" s="4" t="inlineStr">
        <x:is>
          <x:t xml:space="preserve">台州市</x:t>
        </x:is>
      </x:c>
      <x:c r="G3793" s="5" t="inlineStr">
        <x:is>
          <x:t xml:space="preserve">浙江省-台州市</x:t>
        </x:is>
      </x:c>
      <x:c r="H3793" s="4" t="inlineStr">
        <x:is>
          <x:t xml:space="preserve">机械行业</x:t>
        </x:is>
      </x:c>
      <x:c r="I3793" s="4" t="inlineStr">
        <x:is>
          <x:t xml:space="preserve">2012-07-03</x:t>
        </x:is>
      </x:c>
      <x:c r="J3793" s="5" t="inlineStr">
        <x:is>
          <x:t xml:space="preserve">浙江省台州市路桥区横街镇亿利达路</x:t>
        </x:is>
      </x:c>
      <x:c r="K3793" s="12" t="str">
        <x:f>LEFT("91330000704690900L",18)</x:f>
        <x:v>91330000704690900L</x:v>
      </x:c>
    </x:row>
    <x:row r="3794">
      <x:c r="A3794" s="2" t="n">
        <x:v>3793</x:v>
      </x:c>
      <x:c r="B3794" s="2" t="inlineStr">
        <x:is>
          <x:t xml:space="preserve">002687</x:t>
        </x:is>
      </x:c>
      <x:c r="C3794" s="3" t="inlineStr">
        <x:is>
          <x:t xml:space="preserve">乔治白</x:t>
        </x:is>
      </x:c>
      <x:c r="D3794" s="3" t="inlineStr">
        <x:is>
          <x:t xml:space="preserve">浙江乔治白服饰股份有限公司</x:t>
        </x:is>
      </x:c>
      <x:c r="E3794" s="2" t="inlineStr">
        <x:is>
          <x:t xml:space="preserve">浙江省</x:t>
        </x:is>
      </x:c>
      <x:c r="F3794" s="2" t="inlineStr">
        <x:is>
          <x:t xml:space="preserve">温州市</x:t>
        </x:is>
      </x:c>
      <x:c r="G3794" s="3" t="inlineStr">
        <x:is>
          <x:t xml:space="preserve">浙江省-温州市</x:t>
        </x:is>
      </x:c>
      <x:c r="H3794" s="2" t="inlineStr">
        <x:is>
          <x:t xml:space="preserve">纺织服装</x:t>
        </x:is>
      </x:c>
      <x:c r="I3794" s="2" t="inlineStr">
        <x:is>
          <x:t xml:space="preserve">2012-07-13</x:t>
        </x:is>
      </x:c>
      <x:c r="J3794" s="3" t="inlineStr">
        <x:is>
          <x:t xml:space="preserve">浙江省平阳县昆阳镇平瑞公路588号</x:t>
        </x:is>
      </x:c>
      <x:c r="K3794" s="12" t="str">
        <x:f>LEFT("913300007315154541",18)</x:f>
        <x:v>913300007315154600</x:v>
      </x:c>
    </x:row>
    <x:row r="3795">
      <x:c r="A3795" s="4" t="n">
        <x:v>3794</x:v>
      </x:c>
      <x:c r="B3795" s="4" t="inlineStr">
        <x:is>
          <x:t xml:space="preserve">002703</x:t>
        </x:is>
      </x:c>
      <x:c r="C3795" s="5" t="inlineStr">
        <x:is>
          <x:t xml:space="preserve">浙江世宝</x:t>
        </x:is>
      </x:c>
      <x:c r="D3795" s="5" t="inlineStr">
        <x:is>
          <x:t xml:space="preserve">浙江世宝股份有限公司</x:t>
        </x:is>
      </x:c>
      <x:c r="E3795" s="4" t="inlineStr">
        <x:is>
          <x:t xml:space="preserve">浙江省</x:t>
        </x:is>
      </x:c>
      <x:c r="F3795" s="4" t="inlineStr">
        <x:is>
          <x:t xml:space="preserve">义乌市</x:t>
        </x:is>
      </x:c>
      <x:c r="G3795" s="5" t="inlineStr">
        <x:is>
          <x:t xml:space="preserve">浙江省-义乌市</x:t>
        </x:is>
      </x:c>
      <x:c r="H3795" s="4" t="inlineStr">
        <x:is>
          <x:t xml:space="preserve">汽车行业</x:t>
        </x:is>
      </x:c>
      <x:c r="I3795" s="4" t="inlineStr">
        <x:is>
          <x:t xml:space="preserve">2012-11-02</x:t>
        </x:is>
      </x:c>
      <x:c r="J3795" s="5" t="inlineStr">
        <x:is>
          <x:t xml:space="preserve">浙江省义乌市稠江街道荷花南街2290号</x:t>
        </x:is>
      </x:c>
      <x:c r="K3795" s="12" t="str">
        <x:f>LEFT("913300001476445210",18)</x:f>
        <x:v>913300001476445200</x:v>
      </x:c>
    </x:row>
    <x:row r="3796">
      <x:c r="A3796" s="2" t="n">
        <x:v>3795</x:v>
      </x:c>
      <x:c r="B3796" s="2" t="inlineStr">
        <x:is>
          <x:t xml:space="preserve">002712</x:t>
        </x:is>
      </x:c>
      <x:c r="C3796" s="3" t="inlineStr">
        <x:is>
          <x:t xml:space="preserve">思美传媒</x:t>
        </x:is>
      </x:c>
      <x:c r="D3796" s="3" t="inlineStr">
        <x:is>
          <x:t xml:space="preserve">思美传媒股份有限公司</x:t>
        </x:is>
      </x:c>
      <x:c r="E3796" s="2" t="inlineStr">
        <x:is>
          <x:t xml:space="preserve">浙江省</x:t>
        </x:is>
      </x:c>
      <x:c r="F3796" s="2" t="inlineStr">
        <x:is>
          <x:t xml:space="preserve">杭州市</x:t>
        </x:is>
      </x:c>
      <x:c r="G3796" s="3" t="inlineStr">
        <x:is>
          <x:t xml:space="preserve">浙江省-杭州市</x:t>
        </x:is>
      </x:c>
      <x:c r="H3796" s="2" t="inlineStr">
        <x:is>
          <x:t xml:space="preserve">文化传媒</x:t>
        </x:is>
      </x:c>
      <x:c r="I3796" s="2" t="inlineStr">
        <x:is>
          <x:t xml:space="preserve">2014-01-23</x:t>
        </x:is>
      </x:c>
      <x:c r="J3796" s="3" t="inlineStr">
        <x:is>
          <x:t xml:space="preserve">浙江省杭州市上城区南复路59号</x:t>
        </x:is>
      </x:c>
      <x:c r="K3796" s="12" t="str">
        <x:f>LEFT("91330000723628803R",18)</x:f>
        <x:v>91330000723628803R</x:v>
      </x:c>
    </x:row>
    <x:row r="3797">
      <x:c r="A3797" s="4" t="n">
        <x:v>3796</x:v>
      </x:c>
      <x:c r="B3797" s="4" t="inlineStr">
        <x:is>
          <x:t xml:space="preserve">002718</x:t>
        </x:is>
      </x:c>
      <x:c r="C3797" s="5" t="inlineStr">
        <x:is>
          <x:t xml:space="preserve">友邦吊顶</x:t>
        </x:is>
      </x:c>
      <x:c r="D3797" s="5" t="inlineStr">
        <x:is>
          <x:t xml:space="preserve">浙江友邦集成吊顶股份有限公司</x:t>
        </x:is>
      </x:c>
      <x:c r="E3797" s="4" t="inlineStr">
        <x:is>
          <x:t xml:space="preserve">浙江省</x:t>
        </x:is>
      </x:c>
      <x:c r="F3797" s="4" t="inlineStr">
        <x:is>
          <x:t xml:space="preserve">嘉兴市</x:t>
        </x:is>
      </x:c>
      <x:c r="G3797" s="5" t="inlineStr">
        <x:is>
          <x:t xml:space="preserve">浙江省-嘉兴市</x:t>
        </x:is>
      </x:c>
      <x:c r="H3797" s="4" t="inlineStr">
        <x:is>
          <x:t xml:space="preserve">木业家具</x:t>
        </x:is>
      </x:c>
      <x:c r="I3797" s="4" t="inlineStr">
        <x:is>
          <x:t xml:space="preserve">2014-01-28</x:t>
        </x:is>
      </x:c>
      <x:c r="J3797" s="5" t="inlineStr">
        <x:is>
          <x:t xml:space="preserve">浙江省嘉兴市海盐县百步镇百步大道388号</x:t>
        </x:is>
      </x:c>
      <x:c r="K3797" s="12" t="str">
        <x:f>LEFT("913300006702752064",18)</x:f>
        <x:v>913300006702752000</x:v>
      </x:c>
    </x:row>
    <x:row r="3798">
      <x:c r="A3798" s="2" t="n">
        <x:v>3797</x:v>
      </x:c>
      <x:c r="B3798" s="2" t="inlineStr">
        <x:is>
          <x:t xml:space="preserve">002725</x:t>
        </x:is>
      </x:c>
      <x:c r="C3798" s="3" t="inlineStr">
        <x:is>
          <x:t xml:space="preserve">跃岭股份</x:t>
        </x:is>
      </x:c>
      <x:c r="D3798" s="3" t="inlineStr">
        <x:is>
          <x:t xml:space="preserve">浙江跃岭股份有限公司</x:t>
        </x:is>
      </x:c>
      <x:c r="E3798" s="2" t="inlineStr">
        <x:is>
          <x:t xml:space="preserve">浙江省</x:t>
        </x:is>
      </x:c>
      <x:c r="F3798" s="2" t="inlineStr">
        <x:is>
          <x:t xml:space="preserve">台州市</x:t>
        </x:is>
      </x:c>
      <x:c r="G3798" s="3" t="inlineStr">
        <x:is>
          <x:t xml:space="preserve">浙江省-台州市</x:t>
        </x:is>
      </x:c>
      <x:c r="H3798" s="2" t="inlineStr">
        <x:is>
          <x:t xml:space="preserve">汽车行业</x:t>
        </x:is>
      </x:c>
      <x:c r="I3798" s="2" t="inlineStr">
        <x:is>
          <x:t xml:space="preserve">2014-01-29</x:t>
        </x:is>
      </x:c>
      <x:c r="J3798" s="3" t="inlineStr">
        <x:is>
          <x:t xml:space="preserve">浙江省台州市温岭市泽国镇飞跃路1号</x:t>
        </x:is>
      </x:c>
      <x:c r="K3798" s="12" t="str">
        <x:f>LEFT("913300007109732885",18)</x:f>
        <x:v>913300007109732900</x:v>
      </x:c>
    </x:row>
    <x:row r="3799">
      <x:c r="A3799" s="4" t="n">
        <x:v>3798</x:v>
      </x:c>
      <x:c r="B3799" s="4" t="inlineStr">
        <x:is>
          <x:t xml:space="preserve">002730</x:t>
        </x:is>
      </x:c>
      <x:c r="C3799" s="5" t="inlineStr">
        <x:is>
          <x:t xml:space="preserve">电光科技</x:t>
        </x:is>
      </x:c>
      <x:c r="D3799" s="5" t="inlineStr">
        <x:is>
          <x:t xml:space="preserve">电光防爆科技股份有限公司</x:t>
        </x:is>
      </x:c>
      <x:c r="E3799" s="4" t="inlineStr">
        <x:is>
          <x:t xml:space="preserve">浙江省</x:t>
        </x:is>
      </x:c>
      <x:c r="F3799" s="4" t="inlineStr">
        <x:is>
          <x:t xml:space="preserve">温州市</x:t>
        </x:is>
      </x:c>
      <x:c r="G3799" s="5" t="inlineStr">
        <x:is>
          <x:t xml:space="preserve">浙江省-温州市</x:t>
        </x:is>
      </x:c>
      <x:c r="H3799" s="4" t="inlineStr">
        <x:is>
          <x:t xml:space="preserve">专用设备</x:t>
        </x:is>
      </x:c>
      <x:c r="I3799" s="4" t="inlineStr">
        <x:is>
          <x:t xml:space="preserve">2014-10-09</x:t>
        </x:is>
      </x:c>
      <x:c r="J3799" s="5" t="inlineStr">
        <x:is>
          <x:t xml:space="preserve">浙江省乐清经济开发区浦南一路177号(一照多址),浙江省温州市乐清市乐清经济开发区浦南一路199号,浙江省温州市乐清市乐清经济开发区纬五路180号</x:t>
        </x:is>
      </x:c>
      <x:c r="K3799" s="12" t="str">
        <x:f>LEFT("9133000014553840X5",18)</x:f>
        <x:v>9133000014553840X5</x:v>
      </x:c>
    </x:row>
    <x:row r="3800">
      <x:c r="A3800" s="2" t="n">
        <x:v>3799</x:v>
      </x:c>
      <x:c r="B3800" s="2" t="inlineStr">
        <x:is>
          <x:t xml:space="preserve">002756</x:t>
        </x:is>
      </x:c>
      <x:c r="C3800" s="3" t="inlineStr">
        <x:is>
          <x:t xml:space="preserve">永兴材料</x:t>
        </x:is>
      </x:c>
      <x:c r="D3800" s="3" t="inlineStr">
        <x:is>
          <x:t xml:space="preserve">永兴特种材料科技股份有限公司</x:t>
        </x:is>
      </x:c>
      <x:c r="E3800" s="2" t="inlineStr">
        <x:is>
          <x:t xml:space="preserve">浙江省</x:t>
        </x:is>
      </x:c>
      <x:c r="F3800" s="2" t="inlineStr">
        <x:is>
          <x:t xml:space="preserve">湖州市</x:t>
        </x:is>
      </x:c>
      <x:c r="G3800" s="3" t="inlineStr">
        <x:is>
          <x:t xml:space="preserve">浙江省-湖州市</x:t>
        </x:is>
      </x:c>
      <x:c r="H3800" s="2" t="inlineStr">
        <x:is>
          <x:t xml:space="preserve">钢铁行业</x:t>
        </x:is>
      </x:c>
      <x:c r="I3800" s="2" t="inlineStr">
        <x:is>
          <x:t xml:space="preserve">2015-05-15</x:t>
        </x:is>
      </x:c>
      <x:c r="J3800" s="3" t="inlineStr">
        <x:is>
          <x:t xml:space="preserve">浙江省湖州市杨家埠</x:t>
        </x:is>
      </x:c>
      <x:c r="K3800" s="12" t="str">
        <x:f>LEFT("91330000722762533U",18)</x:f>
        <x:v>91330000722762533U</x:v>
      </x:c>
    </x:row>
    <x:row r="3801">
      <x:c r="A3801" s="4" t="n">
        <x:v>3800</x:v>
      </x:c>
      <x:c r="B3801" s="4" t="inlineStr">
        <x:is>
          <x:t xml:space="preserve">002758</x:t>
        </x:is>
      </x:c>
      <x:c r="C3801" s="5" t="inlineStr">
        <x:is>
          <x:t xml:space="preserve">浙农股份</x:t>
        </x:is>
      </x:c>
      <x:c r="D3801" s="5" t="inlineStr">
        <x:is>
          <x:t xml:space="preserve">浙农集团股份有限公司</x:t>
        </x:is>
      </x:c>
      <x:c r="E3801" s="4" t="inlineStr">
        <x:is>
          <x:t xml:space="preserve">浙江省</x:t>
        </x:is>
      </x:c>
      <x:c r="F3801" s="4" t="inlineStr">
        <x:is>
          <x:t xml:space="preserve">绍兴市</x:t>
        </x:is>
      </x:c>
      <x:c r="G3801" s="5" t="inlineStr">
        <x:is>
          <x:t xml:space="preserve">浙江省-绍兴市</x:t>
        </x:is>
      </x:c>
      <x:c r="H3801" s="4" t="inlineStr">
        <x:is>
          <x:t xml:space="preserve">综合行业</x:t>
        </x:is>
      </x:c>
      <x:c r="I3801" s="4" t="inlineStr">
        <x:is>
          <x:t xml:space="preserve">2015-05-27</x:t>
        </x:is>
      </x:c>
      <x:c r="J3801" s="5" t="inlineStr">
        <x:is>
          <x:t xml:space="preserve">绍兴市柯桥区轻纺城大道1605号</x:t>
        </x:is>
      </x:c>
      <x:c r="K3801" s="12" t="str">
        <x:f>LEFT("91330000716184714D",18)</x:f>
        <x:v>91330000716184714D</x:v>
      </x:c>
    </x:row>
    <x:row r="3802">
      <x:c r="A3802" s="2" t="n">
        <x:v>3801</x:v>
      </x:c>
      <x:c r="B3802" s="2" t="inlineStr">
        <x:is>
          <x:t xml:space="preserve">002761</x:t>
        </x:is>
      </x:c>
      <x:c r="C3802" s="3" t="inlineStr">
        <x:is>
          <x:t xml:space="preserve">浙江建投</x:t>
        </x:is>
      </x:c>
      <x:c r="D3802" s="3" t="inlineStr">
        <x:is>
          <x:t xml:space="preserve">浙江省建设投资集团股份有限公司</x:t>
        </x:is>
      </x:c>
      <x:c r="E3802" s="2" t="inlineStr">
        <x:is>
          <x:t xml:space="preserve">浙江省</x:t>
        </x:is>
      </x:c>
      <x:c r="F3802" s="2" t="inlineStr">
        <x:is>
          <x:t xml:space="preserve">杭州市</x:t>
        </x:is>
      </x:c>
      <x:c r="G3802" s="3" t="inlineStr">
        <x:is>
          <x:t xml:space="preserve">浙江省-杭州市</x:t>
        </x:is>
      </x:c>
      <x:c r="H3802" s="2" t="inlineStr">
        <x:is>
          <x:t xml:space="preserve">工程建设</x:t>
        </x:is>
      </x:c>
      <x:c r="I3802" s="2" t="inlineStr">
        <x:is>
          <x:t xml:space="preserve">2015-06-10</x:t>
        </x:is>
      </x:c>
      <x:c r="J3802" s="3" t="inlineStr">
        <x:is>
          <x:t xml:space="preserve">浙江省杭州市西湖区文三西路52号</x:t>
        </x:is>
      </x:c>
      <x:c r="K3802" s="12" t="str">
        <x:f>LEFT("91430000796858896G",18)</x:f>
        <x:v>91430000796858896G</x:v>
      </x:c>
    </x:row>
    <x:row r="3803">
      <x:c r="A3803" s="4" t="n">
        <x:v>3802</x:v>
      </x:c>
      <x:c r="B3803" s="4" t="inlineStr">
        <x:is>
          <x:t xml:space="preserve">002767</x:t>
        </x:is>
      </x:c>
      <x:c r="C3803" s="5" t="inlineStr">
        <x:is>
          <x:t xml:space="preserve">先锋电子</x:t>
        </x:is>
      </x:c>
      <x:c r="D3803" s="5" t="inlineStr">
        <x:is>
          <x:t xml:space="preserve">杭州先锋电子技术股份有限公司</x:t>
        </x:is>
      </x:c>
      <x:c r="E3803" s="4" t="inlineStr">
        <x:is>
          <x:t xml:space="preserve">浙江省</x:t>
        </x:is>
      </x:c>
      <x:c r="F3803" s="4" t="inlineStr">
        <x:is>
          <x:t xml:space="preserve">杭州市</x:t>
        </x:is>
      </x:c>
      <x:c r="G3803" s="5" t="inlineStr">
        <x:is>
          <x:t xml:space="preserve">浙江省-杭州市</x:t>
        </x:is>
      </x:c>
      <x:c r="H3803" s="4" t="inlineStr">
        <x:is>
          <x:t xml:space="preserve">仪器仪表</x:t>
        </x:is>
      </x:c>
      <x:c r="I3803" s="4" t="inlineStr">
        <x:is>
          <x:t xml:space="preserve">2015-06-12</x:t>
        </x:is>
      </x:c>
      <x:c r="J3803" s="5" t="inlineStr">
        <x:is>
          <x:t xml:space="preserve">杭州市滨江区滨安路1186-1号</x:t>
        </x:is>
      </x:c>
      <x:c r="K3803" s="12" t="str">
        <x:f>LEFT("913300001430594726",18)</x:f>
        <x:v>913300001430594700</x:v>
      </x:c>
    </x:row>
    <x:row r="3804">
      <x:c r="A3804" s="2" t="n">
        <x:v>3803</x:v>
      </x:c>
      <x:c r="B3804" s="2" t="inlineStr">
        <x:is>
          <x:t xml:space="preserve">002779</x:t>
        </x:is>
      </x:c>
      <x:c r="C3804" s="3" t="inlineStr">
        <x:is>
          <x:t xml:space="preserve">中坚科技</x:t>
        </x:is>
      </x:c>
      <x:c r="D3804" s="3" t="inlineStr">
        <x:is>
          <x:t xml:space="preserve">浙江中坚科技股份有限公司</x:t>
        </x:is>
      </x:c>
      <x:c r="E3804" s="2" t="inlineStr">
        <x:is>
          <x:t xml:space="preserve">浙江省</x:t>
        </x:is>
      </x:c>
      <x:c r="F3804" s="2" t="inlineStr">
        <x:is>
          <x:t xml:space="preserve">永康市</x:t>
        </x:is>
      </x:c>
      <x:c r="G3804" s="3" t="inlineStr">
        <x:is>
          <x:t xml:space="preserve">浙江省-永康市</x:t>
        </x:is>
      </x:c>
      <x:c r="H3804" s="2" t="inlineStr">
        <x:is>
          <x:t xml:space="preserve">专用设备</x:t>
        </x:is>
      </x:c>
      <x:c r="I3804" s="2" t="inlineStr">
        <x:is>
          <x:t xml:space="preserve">2015-12-09</x:t>
        </x:is>
      </x:c>
      <x:c r="J3804" s="3" t="inlineStr">
        <x:is>
          <x:t xml:space="preserve">永康市经济开发区名园南大道10号</x:t>
        </x:is>
      </x:c>
      <x:c r="K3804" s="12" t="str">
        <x:f>LEFT("9133000070459138X9",18)</x:f>
        <x:v>9133000070459138X9</x:v>
      </x:c>
    </x:row>
    <x:row r="3805">
      <x:c r="A3805" s="4" t="n">
        <x:v>3804</x:v>
      </x:c>
      <x:c r="B3805" s="4" t="inlineStr">
        <x:is>
          <x:t xml:space="preserve">002795</x:t>
        </x:is>
      </x:c>
      <x:c r="C3805" s="5" t="inlineStr">
        <x:is>
          <x:t xml:space="preserve">永和智控</x:t>
        </x:is>
      </x:c>
      <x:c r="D3805" s="5" t="inlineStr">
        <x:is>
          <x:t xml:space="preserve">永和流体智控股份有限公司</x:t>
        </x:is>
      </x:c>
      <x:c r="E3805" s="4" t="inlineStr">
        <x:is>
          <x:t xml:space="preserve">浙江省</x:t>
        </x:is>
      </x:c>
      <x:c r="F3805" s="4" t="inlineStr">
        <x:is>
          <x:t xml:space="preserve">台州市</x:t>
        </x:is>
      </x:c>
      <x:c r="G3805" s="5" t="inlineStr">
        <x:is>
          <x:t xml:space="preserve">浙江省-台州市</x:t>
        </x:is>
      </x:c>
      <x:c r="H3805" s="4" t="inlineStr">
        <x:is>
          <x:t xml:space="preserve">机械行业</x:t>
        </x:is>
      </x:c>
      <x:c r="I3805" s="4" t="inlineStr">
        <x:is>
          <x:t xml:space="preserve">2016-04-28</x:t>
        </x:is>
      </x:c>
      <x:c r="J3805" s="5" t="inlineStr">
        <x:is>
          <x:t xml:space="preserve">浙江省玉环县清港镇工业产业集聚区</x:t>
        </x:is>
      </x:c>
      <x:c r="K3805" s="12" t="str">
        <x:f>LEFT("913310007530185122",18)</x:f>
        <x:v>913310007530185100</x:v>
      </x:c>
    </x:row>
    <x:row r="3806">
      <x:c r="A3806" s="2" t="n">
        <x:v>3805</x:v>
      </x:c>
      <x:c r="B3806" s="2" t="inlineStr">
        <x:is>
          <x:t xml:space="preserve">002801</x:t>
        </x:is>
      </x:c>
      <x:c r="C3806" s="3" t="inlineStr">
        <x:is>
          <x:t xml:space="preserve">微光股份</x:t>
        </x:is>
      </x:c>
      <x:c r="D3806" s="3" t="inlineStr">
        <x:is>
          <x:t xml:space="preserve">杭州微光电子股份有限公司</x:t>
        </x:is>
      </x:c>
      <x:c r="E3806" s="2" t="inlineStr">
        <x:is>
          <x:t xml:space="preserve">浙江省</x:t>
        </x:is>
      </x:c>
      <x:c r="F3806" s="2" t="inlineStr">
        <x:is>
          <x:t xml:space="preserve">杭州市</x:t>
        </x:is>
      </x:c>
      <x:c r="G3806" s="3" t="inlineStr">
        <x:is>
          <x:t xml:space="preserve">浙江省-杭州市</x:t>
        </x:is>
      </x:c>
      <x:c r="H3806" s="2" t="inlineStr">
        <x:is>
          <x:t xml:space="preserve">电机</x:t>
        </x:is>
      </x:c>
      <x:c r="I3806" s="2" t="inlineStr">
        <x:is>
          <x:t xml:space="preserve">2016-06-22</x:t>
        </x:is>
      </x:c>
      <x:c r="J3806" s="3" t="inlineStr">
        <x:is>
          <x:t xml:space="preserve">浙江省杭州市临平区东湖街道兴中路365号、366号</x:t>
        </x:is>
      </x:c>
      <x:c r="K3806" s="12" t="str">
        <x:f>LEFT("91330100143050988A",18)</x:f>
        <x:v>91330100143050988A</x:v>
      </x:c>
    </x:row>
    <x:row r="3807">
      <x:c r="A3807" s="4" t="n">
        <x:v>3806</x:v>
      </x:c>
      <x:c r="B3807" s="4" t="inlineStr">
        <x:is>
          <x:t xml:space="preserve">002840</x:t>
        </x:is>
      </x:c>
      <x:c r="C3807" s="5" t="inlineStr">
        <x:is>
          <x:t xml:space="preserve">华统股份</x:t>
        </x:is>
      </x:c>
      <x:c r="D3807" s="5" t="inlineStr">
        <x:is>
          <x:t xml:space="preserve">浙江华统肉制品股份有限公司</x:t>
        </x:is>
      </x:c>
      <x:c r="E3807" s="4" t="inlineStr">
        <x:is>
          <x:t xml:space="preserve">浙江省</x:t>
        </x:is>
      </x:c>
      <x:c r="F3807" s="4" t="inlineStr">
        <x:is>
          <x:t xml:space="preserve">义乌市</x:t>
        </x:is>
      </x:c>
      <x:c r="G3807" s="5" t="inlineStr">
        <x:is>
          <x:t xml:space="preserve">浙江省-义乌市</x:t>
        </x:is>
      </x:c>
      <x:c r="H3807" s="4" t="inlineStr">
        <x:is>
          <x:t xml:space="preserve">食品饮料</x:t>
        </x:is>
      </x:c>
      <x:c r="I3807" s="4" t="inlineStr">
        <x:is>
          <x:t xml:space="preserve">2017-01-10</x:t>
        </x:is>
      </x:c>
      <x:c r="J3807" s="5" t="inlineStr">
        <x:is>
          <x:t xml:space="preserve">浙江省义乌市义亭镇姑塘工业小区</x:t>
        </x:is>
      </x:c>
      <x:c r="K3807" s="12" t="str">
        <x:f>LEFT("9133070073033191X2",18)</x:f>
        <x:v>9133070073033191X2</x:v>
      </x:c>
    </x:row>
    <x:row r="3808">
      <x:c r="A3808" s="2" t="n">
        <x:v>3807</x:v>
      </x:c>
      <x:c r="B3808" s="2" t="inlineStr">
        <x:is>
          <x:t xml:space="preserve">002849</x:t>
        </x:is>
      </x:c>
      <x:c r="C3808" s="3" t="inlineStr">
        <x:is>
          <x:t xml:space="preserve">威星智能</x:t>
        </x:is>
      </x:c>
      <x:c r="D3808" s="3" t="inlineStr">
        <x:is>
          <x:t xml:space="preserve">浙江威星智能仪表股份有限公司</x:t>
        </x:is>
      </x:c>
      <x:c r="E3808" s="2" t="inlineStr">
        <x:is>
          <x:t xml:space="preserve">浙江省</x:t>
        </x:is>
      </x:c>
      <x:c r="F3808" s="2" t="inlineStr">
        <x:is>
          <x:t xml:space="preserve">杭州市</x:t>
        </x:is>
      </x:c>
      <x:c r="G3808" s="3" t="inlineStr">
        <x:is>
          <x:t xml:space="preserve">浙江省-杭州市</x:t>
        </x:is>
      </x:c>
      <x:c r="H3808" s="2" t="inlineStr">
        <x:is>
          <x:t xml:space="preserve">仪器仪表</x:t>
        </x:is>
      </x:c>
      <x:c r="I3808" s="2" t="inlineStr">
        <x:is>
          <x:t xml:space="preserve">2017-02-17</x:t>
        </x:is>
      </x:c>
      <x:c r="J3808" s="3" t="inlineStr">
        <x:is>
          <x:t xml:space="preserve">浙江省杭州市拱墅区莫干山路1418-41号6号楼(上城科技工业基地)</x:t>
        </x:is>
      </x:c>
      <x:c r="K3808" s="12" t="str">
        <x:f>LEFT("913301007792565355",18)</x:f>
        <x:v>913301007792565400</x:v>
      </x:c>
    </x:row>
    <x:row r="3809">
      <x:c r="A3809" s="4" t="n">
        <x:v>3808</x:v>
      </x:c>
      <x:c r="B3809" s="4" t="inlineStr">
        <x:is>
          <x:t xml:space="preserve">002859</x:t>
        </x:is>
      </x:c>
      <x:c r="C3809" s="5" t="inlineStr">
        <x:is>
          <x:t xml:space="preserve">洁美科技</x:t>
        </x:is>
      </x:c>
      <x:c r="D3809" s="5" t="inlineStr">
        <x:is>
          <x:t xml:space="preserve">浙江洁美电子科技股份有限公司</x:t>
        </x:is>
      </x:c>
      <x:c r="E3809" s="4" t="inlineStr">
        <x:is>
          <x:t xml:space="preserve">浙江省</x:t>
        </x:is>
      </x:c>
      <x:c r="F3809" s="4" t="inlineStr">
        <x:is>
          <x:t xml:space="preserve">湖州市</x:t>
        </x:is>
      </x:c>
      <x:c r="G3809" s="5" t="inlineStr">
        <x:is>
          <x:t xml:space="preserve">浙江省-湖州市</x:t>
        </x:is>
      </x:c>
      <x:c r="H3809" s="4" t="inlineStr">
        <x:is>
          <x:t xml:space="preserve">电子元件</x:t>
        </x:is>
      </x:c>
      <x:c r="I3809" s="4" t="inlineStr">
        <x:is>
          <x:t xml:space="preserve">2017-04-07</x:t>
        </x:is>
      </x:c>
      <x:c r="J3809" s="5" t="inlineStr">
        <x:is>
          <x:t xml:space="preserve">浙江省安吉经济开发区阳光工业园区</x:t>
        </x:is>
      </x:c>
      <x:c r="K3809" s="12" t="str">
        <x:f>LEFT("913305007272208214",18)</x:f>
        <x:v>913305007272208300</x:v>
      </x:c>
    </x:row>
    <x:row r="3810">
      <x:c r="A3810" s="2" t="n">
        <x:v>3809</x:v>
      </x:c>
      <x:c r="B3810" s="2" t="inlineStr">
        <x:is>
          <x:t xml:space="preserve">002860</x:t>
        </x:is>
      </x:c>
      <x:c r="C3810" s="3" t="inlineStr">
        <x:is>
          <x:t xml:space="preserve">星帅尔</x:t>
        </x:is>
      </x:c>
      <x:c r="D3810" s="3" t="inlineStr">
        <x:is>
          <x:t xml:space="preserve">杭州星帅尔电器股份有限公司</x:t>
        </x:is>
      </x:c>
      <x:c r="E3810" s="2" t="inlineStr">
        <x:is>
          <x:t xml:space="preserve">浙江省</x:t>
        </x:is>
      </x:c>
      <x:c r="F3810" s="2" t="inlineStr">
        <x:is>
          <x:t xml:space="preserve">杭州市</x:t>
        </x:is>
      </x:c>
      <x:c r="G3810" s="3" t="inlineStr">
        <x:is>
          <x:t xml:space="preserve">浙江省-杭州市</x:t>
        </x:is>
      </x:c>
      <x:c r="H3810" s="2" t="inlineStr">
        <x:is>
          <x:t xml:space="preserve">家电行业</x:t>
        </x:is>
      </x:c>
      <x:c r="I3810" s="2" t="inlineStr">
        <x:is>
          <x:t xml:space="preserve">2017-04-12</x:t>
        </x:is>
      </x:c>
      <x:c r="J3810" s="3" t="inlineStr">
        <x:is>
          <x:t xml:space="preserve">杭州市富阳区受降镇祝家村交界岭99号(2、3、4、5幢)</x:t>
        </x:is>
      </x:c>
      <x:c r="K3810" s="12" t="str">
        <x:f>LEFT("913301007161431629",18)</x:f>
        <x:v>913301007161431700</x:v>
      </x:c>
    </x:row>
    <x:row r="3811">
      <x:c r="A3811" s="4" t="n">
        <x:v>3810</x:v>
      </x:c>
      <x:c r="B3811" s="4" t="inlineStr">
        <x:is>
          <x:t xml:space="preserve">002863</x:t>
        </x:is>
      </x:c>
      <x:c r="C3811" s="5" t="inlineStr">
        <x:is>
          <x:t xml:space="preserve">今飞凯达</x:t>
        </x:is>
      </x:c>
      <x:c r="D3811" s="5" t="inlineStr">
        <x:is>
          <x:t xml:space="preserve">浙江今飞凯达轮毂股份有限公司</x:t>
        </x:is>
      </x:c>
      <x:c r="E3811" s="4" t="inlineStr">
        <x:is>
          <x:t xml:space="preserve">浙江省</x:t>
        </x:is>
      </x:c>
      <x:c r="F3811" s="4" t="inlineStr">
        <x:is>
          <x:t xml:space="preserve">金华市</x:t>
        </x:is>
      </x:c>
      <x:c r="G3811" s="5" t="inlineStr">
        <x:is>
          <x:t xml:space="preserve">浙江省-金华市</x:t>
        </x:is>
      </x:c>
      <x:c r="H3811" s="4" t="inlineStr">
        <x:is>
          <x:t xml:space="preserve">汽车行业</x:t>
        </x:is>
      </x:c>
      <x:c r="I3811" s="4" t="inlineStr">
        <x:is>
          <x:t xml:space="preserve">2017-04-18</x:t>
        </x:is>
      </x:c>
      <x:c r="J3811" s="5" t="inlineStr">
        <x:is>
          <x:t xml:space="preserve">浙江省金华市婺城区夹溪路888号</x:t>
        </x:is>
      </x:c>
      <x:c r="K3811" s="12" t="str">
        <x:f>LEFT("913307007707246030",18)</x:f>
        <x:v>913307007707246100</x:v>
      </x:c>
    </x:row>
    <x:row r="3812">
      <x:c r="A3812" s="2" t="n">
        <x:v>3811</x:v>
      </x:c>
      <x:c r="B3812" s="2" t="inlineStr">
        <x:is>
          <x:t xml:space="preserve">002896</x:t>
        </x:is>
      </x:c>
      <x:c r="C3812" s="3" t="inlineStr">
        <x:is>
          <x:t xml:space="preserve">中大力德</x:t>
        </x:is>
      </x:c>
      <x:c r="D3812" s="3" t="inlineStr">
        <x:is>
          <x:t xml:space="preserve">宁波中大力德智能传动股份有限公司</x:t>
        </x:is>
      </x:c>
      <x:c r="E3812" s="2" t="inlineStr">
        <x:is>
          <x:t xml:space="preserve">浙江省</x:t>
        </x:is>
      </x:c>
      <x:c r="F3812" s="2" t="inlineStr">
        <x:is>
          <x:t xml:space="preserve">宁波市</x:t>
        </x:is>
      </x:c>
      <x:c r="G3812" s="3" t="inlineStr">
        <x:is>
          <x:t xml:space="preserve">浙江省-宁波市</x:t>
        </x:is>
      </x:c>
      <x:c r="H3812" s="2" t="inlineStr">
        <x:is>
          <x:t xml:space="preserve">机械行业</x:t>
        </x:is>
      </x:c>
      <x:c r="I3812" s="2" t="inlineStr">
        <x:is>
          <x:t xml:space="preserve">2017-08-29</x:t>
        </x:is>
      </x:c>
      <x:c r="J3812" s="3" t="inlineStr">
        <x:is>
          <x:t xml:space="preserve">浙江省宁波市慈溪市新兴产业集群区宗汉街道新兴一路185号</x:t>
        </x:is>
      </x:c>
      <x:c r="K3812" s="12" t="str">
        <x:f>LEFT("913302007900592330",18)</x:f>
        <x:v>913302007900592400</x:v>
      </x:c>
    </x:row>
    <x:row r="3813">
      <x:c r="A3813" s="4" t="n">
        <x:v>3812</x:v>
      </x:c>
      <x:c r="B3813" s="4" t="inlineStr">
        <x:is>
          <x:t xml:space="preserve">002897</x:t>
        </x:is>
      </x:c>
      <x:c r="C3813" s="5" t="inlineStr">
        <x:is>
          <x:t xml:space="preserve">意华股份</x:t>
        </x:is>
      </x:c>
      <x:c r="D3813" s="5" t="inlineStr">
        <x:is>
          <x:t xml:space="preserve">温州意华接插件股份有限公司</x:t>
        </x:is>
      </x:c>
      <x:c r="E3813" s="4" t="inlineStr">
        <x:is>
          <x:t xml:space="preserve">浙江省</x:t>
        </x:is>
      </x:c>
      <x:c r="F3813" s="4" t="inlineStr">
        <x:is>
          <x:t xml:space="preserve">温州市</x:t>
        </x:is>
      </x:c>
      <x:c r="G3813" s="5" t="inlineStr">
        <x:is>
          <x:t xml:space="preserve">浙江省-温州市</x:t>
        </x:is>
      </x:c>
      <x:c r="H3813" s="4" t="inlineStr">
        <x:is>
          <x:t xml:space="preserve">光伏设备</x:t>
        </x:is>
      </x:c>
      <x:c r="I3813" s="4" t="inlineStr">
        <x:is>
          <x:t xml:space="preserve">2017-09-07</x:t>
        </x:is>
      </x:c>
      <x:c r="J3813" s="5" t="inlineStr">
        <x:is>
          <x:t xml:space="preserve">浙江省温州市乐清市翁垟街道意华科技园华星路2号</x:t>
        </x:is>
      </x:c>
      <x:c r="K3813" s="12" t="str">
        <x:f>LEFT("91330300609381595H",18)</x:f>
        <x:v>91330300609381595H</x:v>
      </x:c>
    </x:row>
    <x:row r="3814">
      <x:c r="A3814" s="2" t="n">
        <x:v>3813</x:v>
      </x:c>
      <x:c r="B3814" s="2" t="inlineStr">
        <x:is>
          <x:t xml:space="preserve">002915</x:t>
        </x:is>
      </x:c>
      <x:c r="C3814" s="3" t="inlineStr">
        <x:is>
          <x:t xml:space="preserve">中欣氟材</x:t>
        </x:is>
      </x:c>
      <x:c r="D3814" s="3" t="inlineStr">
        <x:is>
          <x:t xml:space="preserve">浙江中欣氟材股份有限公司</x:t>
        </x:is>
      </x:c>
      <x:c r="E3814" s="2" t="inlineStr">
        <x:is>
          <x:t xml:space="preserve">浙江省</x:t>
        </x:is>
      </x:c>
      <x:c r="F3814" s="2" t="inlineStr">
        <x:is>
          <x:t xml:space="preserve">杭州市</x:t>
        </x:is>
      </x:c>
      <x:c r="G3814" s="3" t="inlineStr">
        <x:is>
          <x:t xml:space="preserve">浙江省-杭州市</x:t>
        </x:is>
      </x:c>
      <x:c r="H3814" s="2" t="inlineStr">
        <x:is>
          <x:t xml:space="preserve">化工行业</x:t>
        </x:is>
      </x:c>
      <x:c r="I3814" s="2" t="inlineStr">
        <x:is>
          <x:t xml:space="preserve">2017-12-05</x:t>
        </x:is>
      </x:c>
      <x:c r="J3814" s="3" t="inlineStr">
        <x:is>
          <x:t xml:space="preserve">浙江省绍兴市上虞区杭州湾上虞经济技术开发区经十三路5号</x:t>
        </x:is>
      </x:c>
      <x:c r="K3814" s="12" t="str">
        <x:f>LEFT("91330600723626031R",18)</x:f>
        <x:v>91330600723626031R</x:v>
      </x:c>
    </x:row>
    <x:row r="3815">
      <x:c r="A3815" s="4" t="n">
        <x:v>3814</x:v>
      </x:c>
      <x:c r="B3815" s="4" t="inlineStr">
        <x:is>
          <x:t xml:space="preserve">002931</x:t>
        </x:is>
      </x:c>
      <x:c r="C3815" s="5" t="inlineStr">
        <x:is>
          <x:t xml:space="preserve">锋龙股份</x:t>
        </x:is>
      </x:c>
      <x:c r="D3815" s="5" t="inlineStr">
        <x:is>
          <x:t xml:space="preserve">浙江锋龙电气股份有限公司</x:t>
        </x:is>
      </x:c>
      <x:c r="E3815" s="4" t="inlineStr">
        <x:is>
          <x:t xml:space="preserve">浙江省</x:t>
        </x:is>
      </x:c>
      <x:c r="F3815" s="4" t="inlineStr">
        <x:is>
          <x:t xml:space="preserve">绍兴市</x:t>
        </x:is>
      </x:c>
      <x:c r="G3815" s="5" t="inlineStr">
        <x:is>
          <x:t xml:space="preserve">浙江省-绍兴市</x:t>
        </x:is>
      </x:c>
      <x:c r="H3815" s="4" t="inlineStr">
        <x:is>
          <x:t xml:space="preserve">通用设备</x:t>
        </x:is>
      </x:c>
      <x:c r="I3815" s="4" t="inlineStr">
        <x:is>
          <x:t xml:space="preserve">2018-04-03</x:t>
        </x:is>
      </x:c>
      <x:c r="J3815" s="5" t="inlineStr">
        <x:is>
          <x:t xml:space="preserve">绍兴市上虞区梁湖工业园区倪禄路5号</x:t>
        </x:is>
      </x:c>
      <x:c r="K3815" s="12" t="str">
        <x:f>LEFT("913306047498339794",18)</x:f>
        <x:v>913306047498339800</x:v>
      </x:c>
    </x:row>
    <x:row r="3816">
      <x:c r="A3816" s="2" t="n">
        <x:v>3815</x:v>
      </x:c>
      <x:c r="B3816" s="2" t="inlineStr">
        <x:is>
          <x:t xml:space="preserve">002937</x:t>
        </x:is>
      </x:c>
      <x:c r="C3816" s="3" t="inlineStr">
        <x:is>
          <x:t xml:space="preserve">兴瑞科技</x:t>
        </x:is>
      </x:c>
      <x:c r="D3816" s="3" t="inlineStr">
        <x:is>
          <x:t xml:space="preserve">宁波兴瑞电子科技股份有限公司</x:t>
        </x:is>
      </x:c>
      <x:c r="E3816" s="2" t="inlineStr">
        <x:is>
          <x:t xml:space="preserve">浙江省</x:t>
        </x:is>
      </x:c>
      <x:c r="F3816" s="2" t="inlineStr">
        <x:is>
          <x:t xml:space="preserve">江省慈溪市</x:t>
        </x:is>
      </x:c>
      <x:c r="G3816" s="3" t="inlineStr">
        <x:is>
          <x:t xml:space="preserve">浙江省-江省慈溪市</x:t>
        </x:is>
      </x:c>
      <x:c r="H3816" s="2" t="inlineStr">
        <x:is>
          <x:t xml:space="preserve">消费电子</x:t>
        </x:is>
      </x:c>
      <x:c r="I3816" s="2" t="inlineStr">
        <x:is>
          <x:t xml:space="preserve">2018-09-26</x:t>
        </x:is>
      </x:c>
      <x:c r="J3816" s="3" t="inlineStr">
        <x:is>
          <x:t xml:space="preserve">浙江省慈溪市长河镇</x:t>
        </x:is>
      </x:c>
      <x:c r="K3816" s="12" t="str">
        <x:f>LEFT("91330200734241532X",18)</x:f>
        <x:v>91330200734241532X</x:v>
      </x:c>
    </x:row>
    <x:row r="3817">
      <x:c r="A3817" s="4" t="n">
        <x:v>3816</x:v>
      </x:c>
      <x:c r="B3817" s="4" t="inlineStr">
        <x:is>
          <x:t xml:space="preserve">002940</x:t>
        </x:is>
      </x:c>
      <x:c r="C3817" s="5" t="inlineStr">
        <x:is>
          <x:t xml:space="preserve">昂利康</x:t>
        </x:is>
      </x:c>
      <x:c r="D3817" s="5" t="inlineStr">
        <x:is>
          <x:t xml:space="preserve">浙江昂利康制药股份有限公司</x:t>
        </x:is>
      </x:c>
      <x:c r="E3817" s="4" t="inlineStr">
        <x:is>
          <x:t xml:space="preserve">浙江省</x:t>
        </x:is>
      </x:c>
      <x:c r="F3817" s="4" t="inlineStr">
        <x:is>
          <x:t xml:space="preserve">江省嵊州市</x:t>
        </x:is>
      </x:c>
      <x:c r="G3817" s="5" t="inlineStr">
        <x:is>
          <x:t xml:space="preserve">浙江省-江省嵊州市</x:t>
        </x:is>
      </x:c>
      <x:c r="H3817" s="4" t="inlineStr">
        <x:is>
          <x:t xml:space="preserve">医药制造</x:t>
        </x:is>
      </x:c>
      <x:c r="I3817" s="4" t="inlineStr">
        <x:is>
          <x:t xml:space="preserve">2018-10-23</x:t>
        </x:is>
      </x:c>
      <x:c r="J3817" s="5" t="inlineStr">
        <x:is>
          <x:t xml:space="preserve">浙江省嵊州市嵊州大道北1000号</x:t>
        </x:is>
      </x:c>
      <x:c r="K3817" s="12" t="str">
        <x:f>LEFT("91330600146342118G",18)</x:f>
        <x:v>91330600146342118G</x:v>
      </x:c>
    </x:row>
    <x:row r="3818">
      <x:c r="A3818" s="2" t="n">
        <x:v>3817</x:v>
      </x:c>
      <x:c r="B3818" s="2" t="inlineStr">
        <x:is>
          <x:t xml:space="preserve">002942</x:t>
        </x:is>
      </x:c>
      <x:c r="C3818" s="3" t="inlineStr">
        <x:is>
          <x:t xml:space="preserve">新农股份</x:t>
        </x:is>
      </x:c>
      <x:c r="D3818" s="3" t="inlineStr">
        <x:is>
          <x:t xml:space="preserve">浙江新农化工股份有限公司</x:t>
        </x:is>
      </x:c>
      <x:c r="E3818" s="2" t="inlineStr">
        <x:is>
          <x:t xml:space="preserve">浙江省</x:t>
        </x:is>
      </x:c>
      <x:c r="F3818" s="2" t="inlineStr">
        <x:is>
          <x:t xml:space="preserve">台州市</x:t>
        </x:is>
      </x:c>
      <x:c r="G3818" s="3" t="inlineStr">
        <x:is>
          <x:t xml:space="preserve">浙江省-台州市</x:t>
        </x:is>
      </x:c>
      <x:c r="H3818" s="2" t="inlineStr">
        <x:is>
          <x:t xml:space="preserve">农药兽药</x:t>
        </x:is>
      </x:c>
      <x:c r="I3818" s="2" t="inlineStr">
        <x:is>
          <x:t xml:space="preserve">2018-12-05</x:t>
        </x:is>
      </x:c>
      <x:c r="J3818" s="3" t="inlineStr">
        <x:is>
          <x:t xml:space="preserve">浙江省仙居县杨府三里溪</x:t>
        </x:is>
      </x:c>
      <x:c r="K3818" s="12" t="str">
        <x:f>LEFT("91330000704721033H",18)</x:f>
        <x:v>91330000704721033H</x:v>
      </x:c>
    </x:row>
    <x:row r="3819">
      <x:c r="A3819" s="4" t="n">
        <x:v>3818</x:v>
      </x:c>
      <x:c r="B3819" s="4" t="inlineStr">
        <x:is>
          <x:t xml:space="preserve">003011</x:t>
        </x:is>
      </x:c>
      <x:c r="C3819" s="5" t="inlineStr">
        <x:is>
          <x:t xml:space="preserve">海象新材</x:t>
        </x:is>
      </x:c>
      <x:c r="D3819" s="5" t="inlineStr">
        <x:is>
          <x:t xml:space="preserve">浙江海象新材料股份有限公司</x:t>
        </x:is>
      </x:c>
      <x:c r="E3819" s="4" t="inlineStr">
        <x:is>
          <x:t xml:space="preserve">浙江省</x:t>
        </x:is>
      </x:c>
      <x:c r="F3819" s="4" t="inlineStr">
        <x:is>
          <x:t xml:space="preserve">江省海宁市</x:t>
        </x:is>
      </x:c>
      <x:c r="G3819" s="5" t="inlineStr">
        <x:is>
          <x:t xml:space="preserve">浙江省-江省海宁市</x:t>
        </x:is>
      </x:c>
      <x:c r="H3819" s="4" t="inlineStr">
        <x:is>
          <x:t xml:space="preserve">塑胶制品</x:t>
        </x:is>
      </x:c>
      <x:c r="I3819" s="4" t="inlineStr">
        <x:is>
          <x:t xml:space="preserve">2020-09-30</x:t>
        </x:is>
      </x:c>
      <x:c r="J3819" s="5" t="inlineStr">
        <x:is>
          <x:t xml:space="preserve">浙江省海宁市海昌街道海丰路380号3幢</x:t>
        </x:is>
      </x:c>
      <x:c r="K3819" s="12" t="str">
        <x:f>LEFT("913304810852709304",18)</x:f>
        <x:v>913304810852709200</x:v>
      </x:c>
    </x:row>
    <x:row r="3820">
      <x:c r="A3820" s="2" t="n">
        <x:v>3819</x:v>
      </x:c>
      <x:c r="B3820" s="2" t="inlineStr">
        <x:is>
          <x:t xml:space="preserve">003017</x:t>
        </x:is>
      </x:c>
      <x:c r="C3820" s="3" t="inlineStr">
        <x:is>
          <x:t xml:space="preserve">大洋生物</x:t>
        </x:is>
      </x:c>
      <x:c r="D3820" s="3" t="inlineStr">
        <x:is>
          <x:t xml:space="preserve">浙江大洋生物科技集团股份有限公司</x:t>
        </x:is>
      </x:c>
      <x:c r="E3820" s="2" t="inlineStr">
        <x:is>
          <x:t xml:space="preserve">浙江省</x:t>
        </x:is>
      </x:c>
      <x:c r="F3820" s="2" t="inlineStr">
        <x:is>
          <x:t xml:space="preserve">杭州市</x:t>
        </x:is>
      </x:c>
      <x:c r="G3820" s="3" t="inlineStr">
        <x:is>
          <x:t xml:space="preserve">浙江省-杭州市</x:t>
        </x:is>
      </x:c>
      <x:c r="H3820" s="2" t="inlineStr">
        <x:is>
          <x:t xml:space="preserve">化学原料</x:t>
        </x:is>
      </x:c>
      <x:c r="I3820" s="2" t="inlineStr">
        <x:is>
          <x:t xml:space="preserve">2020-10-26</x:t>
        </x:is>
      </x:c>
      <x:c r="J3820" s="3" t="inlineStr">
        <x:is>
          <x:t xml:space="preserve">浙江省杭州市建德市大洋镇朝阳路22号</x:t>
        </x:is>
      </x:c>
      <x:c r="K3820" s="12" t="str">
        <x:f>LEFT("91330100143956405Y",18)</x:f>
        <x:v>91330100143956405Y</x:v>
      </x:c>
    </x:row>
    <x:row r="3821">
      <x:c r="A3821" s="4" t="n">
        <x:v>3820</x:v>
      </x:c>
      <x:c r="B3821" s="4" t="inlineStr">
        <x:is>
          <x:t xml:space="preserve">003025</x:t>
        </x:is>
      </x:c>
      <x:c r="C3821" s="5" t="inlineStr">
        <x:is>
          <x:t xml:space="preserve">思进智能</x:t>
        </x:is>
      </x:c>
      <x:c r="D3821" s="5" t="inlineStr">
        <x:is>
          <x:t xml:space="preserve">思进智能成形装备股份有限公司</x:t>
        </x:is>
      </x:c>
      <x:c r="E3821" s="4" t="inlineStr">
        <x:is>
          <x:t xml:space="preserve">浙江省</x:t>
        </x:is>
      </x:c>
      <x:c r="F3821" s="4" t="inlineStr">
        <x:is>
          <x:t xml:space="preserve">宁波市</x:t>
        </x:is>
      </x:c>
      <x:c r="G3821" s="5" t="inlineStr">
        <x:is>
          <x:t xml:space="preserve">浙江省-宁波市</x:t>
        </x:is>
      </x:c>
      <x:c r="H3821" s="4" t="inlineStr">
        <x:is>
          <x:t xml:space="preserve">机械行业</x:t>
        </x:is>
      </x:c>
      <x:c r="I3821" s="4" t="inlineStr">
        <x:is>
          <x:t xml:space="preserve">2020-12-11</x:t>
        </x:is>
      </x:c>
      <x:c r="J3821" s="5" t="inlineStr">
        <x:is>
          <x:t xml:space="preserve">宁波高新区菁华路699号</x:t>
        </x:is>
      </x:c>
      <x:c r="K3821" s="12" t="str">
        <x:f>LEFT("91330200704805464Q",18)</x:f>
        <x:v>91330200704805464Q</x:v>
      </x:c>
    </x:row>
    <x:row r="3822">
      <x:c r="A3822" s="2" t="n">
        <x:v>3821</x:v>
      </x:c>
      <x:c r="B3822" s="2" t="inlineStr">
        <x:is>
          <x:t xml:space="preserve">003026</x:t>
        </x:is>
      </x:c>
      <x:c r="C3822" s="3" t="inlineStr">
        <x:is>
          <x:t xml:space="preserve">中晶科技</x:t>
        </x:is>
      </x:c>
      <x:c r="D3822" s="3" t="inlineStr">
        <x:is>
          <x:t xml:space="preserve">浙江中晶科技股份有限公司</x:t>
        </x:is>
      </x:c>
      <x:c r="E3822" s="2" t="inlineStr">
        <x:is>
          <x:t xml:space="preserve">浙江省</x:t>
        </x:is>
      </x:c>
      <x:c r="F3822" s="2" t="inlineStr">
        <x:is>
          <x:t xml:space="preserve">湖州市</x:t>
        </x:is>
      </x:c>
      <x:c r="G3822" s="3" t="inlineStr">
        <x:is>
          <x:t xml:space="preserve">浙江省-湖州市</x:t>
        </x:is>
      </x:c>
      <x:c r="H3822" s="2" t="inlineStr">
        <x:is>
          <x:t xml:space="preserve">半导体</x:t>
        </x:is>
      </x:c>
      <x:c r="I3822" s="2" t="inlineStr">
        <x:is>
          <x:t xml:space="preserve">2020-12-18</x:t>
        </x:is>
      </x:c>
      <x:c r="J3822" s="3" t="inlineStr">
        <x:is>
          <x:t xml:space="preserve">浙江省长兴县太湖街道陆汇路59号</x:t>
        </x:is>
      </x:c>
      <x:c r="K3822" s="12" t="str">
        <x:f>LEFT("91330500550515703T",18)</x:f>
        <x:v>91330500550515703T</x:v>
      </x:c>
    </x:row>
    <x:row r="3823">
      <x:c r="A3823" s="4" t="n">
        <x:v>3822</x:v>
      </x:c>
      <x:c r="B3823" s="4" t="inlineStr">
        <x:is>
          <x:t xml:space="preserve">003030</x:t>
        </x:is>
      </x:c>
      <x:c r="C3823" s="5" t="inlineStr">
        <x:is>
          <x:t xml:space="preserve">祖名股份</x:t>
        </x:is>
      </x:c>
      <x:c r="D3823" s="5" t="inlineStr">
        <x:is>
          <x:t xml:space="preserve">祖名豆制品集团股份有限公司</x:t>
        </x:is>
      </x:c>
      <x:c r="E3823" s="4" t="inlineStr">
        <x:is>
          <x:t xml:space="preserve">浙江省</x:t>
        </x:is>
      </x:c>
      <x:c r="F3823" s="4" t="inlineStr">
        <x:is>
          <x:t xml:space="preserve">杭州市</x:t>
        </x:is>
      </x:c>
      <x:c r="G3823" s="5" t="inlineStr">
        <x:is>
          <x:t xml:space="preserve">浙江省-杭州市</x:t>
        </x:is>
      </x:c>
      <x:c r="H3823" s="4" t="inlineStr">
        <x:is>
          <x:t xml:space="preserve">食品饮料</x:t>
        </x:is>
      </x:c>
      <x:c r="I3823" s="4" t="inlineStr">
        <x:is>
          <x:t xml:space="preserve">2021-01-06</x:t>
        </x:is>
      </x:c>
      <x:c r="J3823" s="5" t="inlineStr">
        <x:is>
          <x:t xml:space="preserve">杭州市滨江区江陵路77号</x:t>
        </x:is>
      </x:c>
      <x:c r="K3823" s="12" t="str">
        <x:f>LEFT("91330100X09172319F",18)</x:f>
        <x:v>91330100X09172319F</x:v>
      </x:c>
    </x:row>
    <x:row r="3824">
      <x:c r="A3824" s="2" t="n">
        <x:v>3823</x:v>
      </x:c>
      <x:c r="B3824" s="2" t="inlineStr">
        <x:is>
          <x:t xml:space="preserve">003036</x:t>
        </x:is>
      </x:c>
      <x:c r="C3824" s="3" t="inlineStr">
        <x:is>
          <x:t xml:space="preserve">泰坦股份</x:t>
        </x:is>
      </x:c>
      <x:c r="D3824" s="3" t="inlineStr">
        <x:is>
          <x:t xml:space="preserve">浙江泰坦股份有限公司</x:t>
        </x:is>
      </x:c>
      <x:c r="E3824" s="2" t="inlineStr">
        <x:is>
          <x:t xml:space="preserve">浙江省</x:t>
        </x:is>
      </x:c>
      <x:c r="F3824" s="2" t="inlineStr">
        <x:is>
          <x:t xml:space="preserve">绍兴市</x:t>
        </x:is>
      </x:c>
      <x:c r="G3824" s="3" t="inlineStr">
        <x:is>
          <x:t xml:space="preserve">浙江省-绍兴市</x:t>
        </x:is>
      </x:c>
      <x:c r="H3824" s="2" t="inlineStr">
        <x:is>
          <x:t xml:space="preserve">专用设备</x:t>
        </x:is>
      </x:c>
      <x:c r="I3824" s="2" t="inlineStr">
        <x:is>
          <x:t xml:space="preserve">2021-01-28</x:t>
        </x:is>
      </x:c>
      <x:c r="J3824" s="3" t="inlineStr">
        <x:is>
          <x:t xml:space="preserve">浙江省新昌县七星街道泰坦大道99号</x:t>
        </x:is>
      </x:c>
      <x:c r="K3824" s="12" t="str">
        <x:f>LEFT("91330000704207173A",18)</x:f>
        <x:v>91330000704207173A</x:v>
      </x:c>
    </x:row>
    <x:row r="3825">
      <x:c r="A3825" s="4" t="n">
        <x:v>3824</x:v>
      </x:c>
      <x:c r="B3825" s="4" t="inlineStr">
        <x:is>
          <x:t xml:space="preserve">003041</x:t>
        </x:is>
      </x:c>
      <x:c r="C3825" s="5" t="inlineStr">
        <x:is>
          <x:t xml:space="preserve">真爱美家</x:t>
        </x:is>
      </x:c>
      <x:c r="D3825" s="5" t="inlineStr">
        <x:is>
          <x:t xml:space="preserve">浙江真爱美家股份有限公司</x:t>
        </x:is>
      </x:c>
      <x:c r="E3825" s="4" t="inlineStr">
        <x:is>
          <x:t xml:space="preserve">浙江省</x:t>
        </x:is>
      </x:c>
      <x:c r="F3825" s="4" t="inlineStr">
        <x:is>
          <x:t xml:space="preserve">义乌市</x:t>
        </x:is>
      </x:c>
      <x:c r="G3825" s="5" t="inlineStr">
        <x:is>
          <x:t xml:space="preserve">浙江省-义乌市</x:t>
        </x:is>
      </x:c>
      <x:c r="H3825" s="4" t="inlineStr">
        <x:is>
          <x:t xml:space="preserve">纺织服装</x:t>
        </x:is>
      </x:c>
      <x:c r="I3825" s="4" t="inlineStr">
        <x:is>
          <x:t xml:space="preserve">2021-04-06</x:t>
        </x:is>
      </x:c>
      <x:c r="J3825" s="5" t="inlineStr">
        <x:is>
          <x:t xml:space="preserve">浙江省义乌市苏溪镇好派路999号</x:t>
        </x:is>
      </x:c>
      <x:c r="K3825" s="12" t="str">
        <x:f>LEFT("91330700566953812T",18)</x:f>
        <x:v>91330700566953812T</x:v>
      </x:c>
    </x:row>
    <x:row r="3826">
      <x:c r="A3826" s="2" t="n">
        <x:v>3825</x:v>
      </x:c>
      <x:c r="B3826" s="2" t="inlineStr">
        <x:is>
          <x:t xml:space="preserve">300020</x:t>
        </x:is>
      </x:c>
      <x:c r="C3826" s="3" t="inlineStr">
        <x:is>
          <x:t xml:space="preserve">ST银江</x:t>
        </x:is>
      </x:c>
      <x:c r="D3826" s="3" t="inlineStr">
        <x:is>
          <x:t xml:space="preserve">银江技术股份有限公司</x:t>
        </x:is>
      </x:c>
      <x:c r="E3826" s="2" t="inlineStr">
        <x:is>
          <x:t xml:space="preserve">浙江省</x:t>
        </x:is>
      </x:c>
      <x:c r="F3826" s="2" t="inlineStr">
        <x:is>
          <x:t xml:space="preserve">杭州市</x:t>
        </x:is>
      </x:c>
      <x:c r="G3826" s="3" t="inlineStr">
        <x:is>
          <x:t xml:space="preserve">浙江省-杭州市</x:t>
        </x:is>
      </x:c>
      <x:c r="H3826" s="2" t="inlineStr">
        <x:is>
          <x:t xml:space="preserve">互联网服务</x:t>
        </x:is>
      </x:c>
      <x:c r="I3826" s="2" t="inlineStr">
        <x:is>
          <x:t xml:space="preserve">2009-10-30</x:t>
        </x:is>
      </x:c>
      <x:c r="J3826" s="3" t="inlineStr">
        <x:is>
          <x:t xml:space="preserve">杭州市益乐路223号1幢1层</x:t>
        </x:is>
      </x:c>
      <x:c r="K3826" s="12" t="str">
        <x:f>LEFT("91330000609121494M",18)</x:f>
        <x:v>91330000609121494M</x:v>
      </x:c>
    </x:row>
    <x:row r="3827">
      <x:c r="A3827" s="4" t="n">
        <x:v>3826</x:v>
      </x:c>
      <x:c r="B3827" s="4" t="inlineStr">
        <x:is>
          <x:t xml:space="preserve">300025</x:t>
        </x:is>
      </x:c>
      <x:c r="C3827" s="5" t="inlineStr">
        <x:is>
          <x:t xml:space="preserve">华星创业</x:t>
        </x:is>
      </x:c>
      <x:c r="D3827" s="5" t="inlineStr">
        <x:is>
          <x:t xml:space="preserve">杭州华星创业通信技术股份有限公司</x:t>
        </x:is>
      </x:c>
      <x:c r="E3827" s="4" t="inlineStr">
        <x:is>
          <x:t xml:space="preserve">浙江省</x:t>
        </x:is>
      </x:c>
      <x:c r="F3827" s="4" t="inlineStr">
        <x:is>
          <x:t xml:space="preserve">杭州市</x:t>
        </x:is>
      </x:c>
      <x:c r="G3827" s="5" t="inlineStr">
        <x:is>
          <x:t xml:space="preserve">浙江省-杭州市</x:t>
        </x:is>
      </x:c>
      <x:c r="H3827" s="4" t="inlineStr">
        <x:is>
          <x:t xml:space="preserve">通信服务</x:t>
        </x:is>
      </x:c>
      <x:c r="I3827" s="4" t="inlineStr">
        <x:is>
          <x:t xml:space="preserve">2009-10-30</x:t>
        </x:is>
      </x:c>
      <x:c r="J3827" s="5" t="inlineStr">
        <x:is>
          <x:t xml:space="preserve">杭州市滨江区长河街道聚才路500号</x:t>
        </x:is>
      </x:c>
      <x:c r="K3827" s="12" t="str">
        <x:f>LEFT("913300007494817829",18)</x:f>
        <x:v>913300007494817800</x:v>
      </x:c>
    </x:row>
    <x:row r="3828">
      <x:c r="A3828" s="2" t="n">
        <x:v>3827</x:v>
      </x:c>
      <x:c r="B3828" s="2" t="inlineStr">
        <x:is>
          <x:t xml:space="preserve">300027</x:t>
        </x:is>
      </x:c>
      <x:c r="C3828" s="3" t="inlineStr">
        <x:is>
          <x:t xml:space="preserve">华谊兄弟</x:t>
        </x:is>
      </x:c>
      <x:c r="D3828" s="3" t="inlineStr">
        <x:is>
          <x:t xml:space="preserve">华谊兄弟传媒股份有限公司</x:t>
        </x:is>
      </x:c>
      <x:c r="E3828" s="2" t="inlineStr">
        <x:is>
          <x:t xml:space="preserve">浙江省</x:t>
        </x:is>
      </x:c>
      <x:c r="F3828" s="2" t="inlineStr">
        <x:is>
          <x:t xml:space="preserve">江省东阳市</x:t>
        </x:is>
      </x:c>
      <x:c r="G3828" s="3" t="inlineStr">
        <x:is>
          <x:t xml:space="preserve">浙江省-江省东阳市</x:t>
        </x:is>
      </x:c>
      <x:c r="H3828" s="2" t="inlineStr">
        <x:is>
          <x:t xml:space="preserve">文化传媒</x:t>
        </x:is>
      </x:c>
      <x:c r="I3828" s="2" t="inlineStr">
        <x:is>
          <x:t xml:space="preserve">2009-10-30</x:t>
        </x:is>
      </x:c>
      <x:c r="J3828" s="3" t="inlineStr">
        <x:is>
          <x:t xml:space="preserve">浙江省东阳市横店影视产业实验区C1-001</x:t>
        </x:is>
      </x:c>
      <x:c r="K3828" s="12" t="str">
        <x:f>LEFT("91330000768691187H",18)</x:f>
        <x:v>91330000768691187H</x:v>
      </x:c>
    </x:row>
    <x:row r="3829">
      <x:c r="A3829" s="4" t="n">
        <x:v>3828</x:v>
      </x:c>
      <x:c r="B3829" s="4" t="inlineStr">
        <x:is>
          <x:t xml:space="preserve">300032</x:t>
        </x:is>
      </x:c>
      <x:c r="C3829" s="5" t="inlineStr">
        <x:is>
          <x:t xml:space="preserve">金龙机电</x:t>
        </x:is>
      </x:c>
      <x:c r="D3829" s="5" t="inlineStr">
        <x:is>
          <x:t xml:space="preserve">金龙机电股份有限公司</x:t>
        </x:is>
      </x:c>
      <x:c r="E3829" s="4" t="inlineStr">
        <x:is>
          <x:t xml:space="preserve">浙江省</x:t>
        </x:is>
      </x:c>
      <x:c r="F3829" s="4" t="inlineStr">
        <x:is>
          <x:t xml:space="preserve">温州市</x:t>
        </x:is>
      </x:c>
      <x:c r="G3829" s="5" t="inlineStr">
        <x:is>
          <x:t xml:space="preserve">浙江省-温州市</x:t>
        </x:is>
      </x:c>
      <x:c r="H3829" s="4" t="inlineStr">
        <x:is>
          <x:t xml:space="preserve">消费电子</x:t>
        </x:is>
      </x:c>
      <x:c r="I3829" s="4" t="inlineStr">
        <x:is>
          <x:t xml:space="preserve">2009-12-25</x:t>
        </x:is>
      </x:c>
      <x:c r="J3829" s="5" t="inlineStr">
        <x:is>
          <x:t xml:space="preserve">浙江省温州市乐清市北白象镇进港大道边金龙科技园</x:t>
        </x:is>
      </x:c>
      <x:c r="K3829" s="12" t="str">
        <x:f>LEFT("913300006093165660",18)</x:f>
        <x:v>913300006093165700</x:v>
      </x:c>
    </x:row>
    <x:row r="3830">
      <x:c r="A3830" s="2" t="n">
        <x:v>3829</x:v>
      </x:c>
      <x:c r="B3830" s="2" t="inlineStr">
        <x:is>
          <x:t xml:space="preserve">300033</x:t>
        </x:is>
      </x:c>
      <x:c r="C3830" s="3" t="inlineStr">
        <x:is>
          <x:t xml:space="preserve">同花顺</x:t>
        </x:is>
      </x:c>
      <x:c r="D3830" s="3" t="inlineStr">
        <x:is>
          <x:t xml:space="preserve">浙江核新同花顺网络信息股份有限公司</x:t>
        </x:is>
      </x:c>
      <x:c r="E3830" s="2" t="inlineStr">
        <x:is>
          <x:t xml:space="preserve">浙江省</x:t>
        </x:is>
      </x:c>
      <x:c r="F3830" s="2" t="inlineStr">
        <x:is>
          <x:t xml:space="preserve">杭州市</x:t>
        </x:is>
      </x:c>
      <x:c r="G3830" s="3" t="inlineStr">
        <x:is>
          <x:t xml:space="preserve">浙江省-杭州市</x:t>
        </x:is>
      </x:c>
      <x:c r="H3830" s="2" t="inlineStr">
        <x:is>
          <x:t xml:space="preserve">软件服务</x:t>
        </x:is>
      </x:c>
      <x:c r="I3830" s="2" t="inlineStr">
        <x:is>
          <x:t xml:space="preserve">2009-12-25</x:t>
        </x:is>
      </x:c>
      <x:c r="J3830" s="3" t="inlineStr">
        <x:is>
          <x:t xml:space="preserve">杭州市余杭区五常街道同顺街18号</x:t>
        </x:is>
      </x:c>
      <x:c r="K3830" s="12" t="str">
        <x:f>LEFT("9133000070337747XE",18)</x:f>
        <x:v>9133000070337747XE</x:v>
      </x:c>
    </x:row>
    <x:row r="3831">
      <x:c r="A3831" s="4" t="n">
        <x:v>3830</x:v>
      </x:c>
      <x:c r="B3831" s="4" t="inlineStr">
        <x:is>
          <x:t xml:space="preserve">300068</x:t>
        </x:is>
      </x:c>
      <x:c r="C3831" s="5" t="inlineStr">
        <x:is>
          <x:t xml:space="preserve">南都电源</x:t>
        </x:is>
      </x:c>
      <x:c r="D3831" s="5" t="inlineStr">
        <x:is>
          <x:t xml:space="preserve">浙江南都电源动力股份有限公司</x:t>
        </x:is>
      </x:c>
      <x:c r="E3831" s="4" t="inlineStr">
        <x:is>
          <x:t xml:space="preserve">浙江省</x:t>
        </x:is>
      </x:c>
      <x:c r="F3831" s="4" t="inlineStr">
        <x:is>
          <x:t xml:space="preserve">杭州市</x:t>
        </x:is>
      </x:c>
      <x:c r="G3831" s="5" t="inlineStr">
        <x:is>
          <x:t xml:space="preserve">浙江省-杭州市</x:t>
        </x:is>
      </x:c>
      <x:c r="H3831" s="4" t="inlineStr">
        <x:is>
          <x:t xml:space="preserve">电池</x:t>
        </x:is>
      </x:c>
      <x:c r="I3831" s="4" t="inlineStr">
        <x:is>
          <x:t xml:space="preserve">2010-04-21</x:t>
        </x:is>
      </x:c>
      <x:c r="J3831" s="5" t="inlineStr">
        <x:is>
          <x:t xml:space="preserve">浙江省杭州市临安区青山湖街道景观大道72号</x:t>
        </x:is>
      </x:c>
      <x:c r="K3831" s="12" t="str">
        <x:f>LEFT("91330000725238534Q",18)</x:f>
        <x:v>91330000725238534Q</x:v>
      </x:c>
    </x:row>
    <x:row r="3832">
      <x:c r="A3832" s="2" t="n">
        <x:v>3831</x:v>
      </x:c>
      <x:c r="B3832" s="2" t="inlineStr">
        <x:is>
          <x:t xml:space="preserve">300076</x:t>
        </x:is>
      </x:c>
      <x:c r="C3832" s="3" t="inlineStr">
        <x:is>
          <x:t xml:space="preserve">GQY视讯</x:t>
        </x:is>
      </x:c>
      <x:c r="D3832" s="3" t="inlineStr">
        <x:is>
          <x:t xml:space="preserve">宁波GQY视讯股份有限公司</x:t>
        </x:is>
      </x:c>
      <x:c r="E3832" s="2" t="inlineStr">
        <x:is>
          <x:t xml:space="preserve">浙江省</x:t>
        </x:is>
      </x:c>
      <x:c r="F3832" s="2" t="inlineStr">
        <x:is>
          <x:t xml:space="preserve">杭州市</x:t>
        </x:is>
      </x:c>
      <x:c r="G3832" s="3" t="inlineStr">
        <x:is>
          <x:t xml:space="preserve">浙江省-杭州市</x:t>
        </x:is>
      </x:c>
      <x:c r="H3832" s="2" t="inlineStr">
        <x:is>
          <x:t xml:space="preserve">光学光电子</x:t>
        </x:is>
      </x:c>
      <x:c r="I3832" s="2" t="inlineStr">
        <x:is>
          <x:t xml:space="preserve">2010-04-30</x:t>
        </x:is>
      </x:c>
      <x:c r="J3832" s="3" t="inlineStr">
        <x:is>
          <x:t xml:space="preserve">浙江省宁波杭州湾新区玉海东路136号3幢</x:t>
        </x:is>
      </x:c>
      <x:c r="K3832" s="12" t="str">
        <x:f>LEFT("913302006102665518",18)</x:f>
        <x:v>913302006102665500</x:v>
      </x:c>
    </x:row>
    <x:row r="3833">
      <x:c r="A3833" s="4" t="n">
        <x:v>3832</x:v>
      </x:c>
      <x:c r="B3833" s="4" t="inlineStr">
        <x:is>
          <x:t xml:space="preserve">300078</x:t>
        </x:is>
      </x:c>
      <x:c r="C3833" s="5" t="inlineStr">
        <x:is>
          <x:t xml:space="preserve">思创医惠</x:t>
        </x:is>
      </x:c>
      <x:c r="D3833" s="5" t="inlineStr">
        <x:is>
          <x:t xml:space="preserve">思创智联科技股份有限公司</x:t>
        </x:is>
      </x:c>
      <x:c r="E3833" s="4" t="inlineStr">
        <x:is>
          <x:t xml:space="preserve">浙江省</x:t>
        </x:is>
      </x:c>
      <x:c r="F3833" s="4" t="inlineStr">
        <x:is>
          <x:t xml:space="preserve">温州市</x:t>
        </x:is>
      </x:c>
      <x:c r="G3833" s="5" t="inlineStr">
        <x:is>
          <x:t xml:space="preserve">浙江省-温州市</x:t>
        </x:is>
      </x:c>
      <x:c r="H3833" s="4" t="inlineStr">
        <x:is>
          <x:t xml:space="preserve">电子信息</x:t>
        </x:is>
      </x:c>
      <x:c r="I3833" s="4" t="inlineStr">
        <x:is>
          <x:t xml:space="preserve">2010-04-30</x:t>
        </x:is>
      </x:c>
      <x:c r="J3833" s="5" t="inlineStr">
        <x:is>
          <x:t xml:space="preserve">浙江省温州市苍南县灵溪镇春晖路433-505号公投大楼5楼503室</x:t>
        </x:is>
      </x:c>
      <x:c r="K3833" s="12" t="str">
        <x:f>LEFT("91330000754441902G",18)</x:f>
        <x:v>91330000754441902G</x:v>
      </x:c>
    </x:row>
    <x:row r="3834">
      <x:c r="A3834" s="2" t="n">
        <x:v>3833</x:v>
      </x:c>
      <x:c r="B3834" s="2" t="inlineStr">
        <x:is>
          <x:t xml:space="preserve">300100</x:t>
        </x:is>
      </x:c>
      <x:c r="C3834" s="3" t="inlineStr">
        <x:is>
          <x:t xml:space="preserve">双林股份</x:t>
        </x:is>
      </x:c>
      <x:c r="D3834" s="3" t="inlineStr">
        <x:is>
          <x:t xml:space="preserve">双林股份有限公司</x:t>
        </x:is>
      </x:c>
      <x:c r="E3834" s="2" t="inlineStr">
        <x:is>
          <x:t xml:space="preserve">浙江省</x:t>
        </x:is>
      </x:c>
      <x:c r="F3834" s="2" t="inlineStr">
        <x:is>
          <x:t xml:space="preserve">宁波市</x:t>
        </x:is>
      </x:c>
      <x:c r="G3834" s="3" t="inlineStr">
        <x:is>
          <x:t xml:space="preserve">浙江省-宁波市</x:t>
        </x:is>
      </x:c>
      <x:c r="H3834" s="2" t="inlineStr">
        <x:is>
          <x:t xml:space="preserve">汽车行业</x:t>
        </x:is>
      </x:c>
      <x:c r="I3834" s="2" t="inlineStr">
        <x:is>
          <x:t xml:space="preserve">2010-08-06</x:t>
        </x:is>
      </x:c>
      <x:c r="J3834" s="3" t="inlineStr">
        <x:is>
          <x:t xml:space="preserve">浙江省宁波市宁海县西店镇璜溪口</x:t>
        </x:is>
      </x:c>
      <x:c r="K3834" s="12" t="str">
        <x:f>LEFT("91330200725152191T",18)</x:f>
        <x:v>91330200725152191T</x:v>
      </x:c>
    </x:row>
    <x:row r="3835">
      <x:c r="A3835" s="4" t="n">
        <x:v>3834</x:v>
      </x:c>
      <x:c r="B3835" s="4" t="inlineStr">
        <x:is>
          <x:t xml:space="preserve">300111</x:t>
        </x:is>
      </x:c>
      <x:c r="C3835" s="5" t="inlineStr">
        <x:is>
          <x:t xml:space="preserve">向日葵</x:t>
        </x:is>
      </x:c>
      <x:c r="D3835" s="5" t="inlineStr">
        <x:is>
          <x:t xml:space="preserve">浙江向日葵大健康科技股份有限公司</x:t>
        </x:is>
      </x:c>
      <x:c r="E3835" s="4" t="inlineStr">
        <x:is>
          <x:t xml:space="preserve">浙江省</x:t>
        </x:is>
      </x:c>
      <x:c r="F3835" s="4" t="inlineStr">
        <x:is>
          <x:t xml:space="preserve">绍兴市</x:t>
        </x:is>
      </x:c>
      <x:c r="G3835" s="5" t="inlineStr">
        <x:is>
          <x:t xml:space="preserve">浙江省-绍兴市</x:t>
        </x:is>
      </x:c>
      <x:c r="H3835" s="4" t="inlineStr">
        <x:is>
          <x:t xml:space="preserve">医药制造</x:t>
        </x:is>
      </x:c>
      <x:c r="I3835" s="4" t="inlineStr">
        <x:is>
          <x:t xml:space="preserve">2010-08-27</x:t>
        </x:is>
      </x:c>
      <x:c r="J3835" s="5" t="inlineStr">
        <x:is>
          <x:t xml:space="preserve">浙江省绍兴袍江工业区三江路</x:t>
        </x:is>
      </x:c>
      <x:c r="K3835" s="12" t="str">
        <x:f>LEFT("9133000077191496X7",18)</x:f>
        <x:v>9133000077191496X7</x:v>
      </x:c>
    </x:row>
    <x:row r="3836">
      <x:c r="A3836" s="2" t="n">
        <x:v>3835</x:v>
      </x:c>
      <x:c r="B3836" s="2" t="inlineStr">
        <x:is>
          <x:t xml:space="preserve">300113</x:t>
        </x:is>
      </x:c>
      <x:c r="C3836" s="3" t="inlineStr">
        <x:is>
          <x:t xml:space="preserve">顺网科技</x:t>
        </x:is>
      </x:c>
      <x:c r="D3836" s="3" t="inlineStr">
        <x:is>
          <x:t xml:space="preserve">杭州顺网科技股份有限公司</x:t>
        </x:is>
      </x:c>
      <x:c r="E3836" s="2" t="inlineStr">
        <x:is>
          <x:t xml:space="preserve">浙江省</x:t>
        </x:is>
      </x:c>
      <x:c r="F3836" s="2" t="inlineStr">
        <x:is>
          <x:t xml:space="preserve">杭州市</x:t>
        </x:is>
      </x:c>
      <x:c r="G3836" s="3" t="inlineStr">
        <x:is>
          <x:t xml:space="preserve">浙江省-杭州市</x:t>
        </x:is>
      </x:c>
      <x:c r="H3836" s="2" t="inlineStr">
        <x:is>
          <x:t xml:space="preserve">游戏</x:t>
        </x:is>
      </x:c>
      <x:c r="I3836" s="2" t="inlineStr">
        <x:is>
          <x:t xml:space="preserve">2010-08-27</x:t>
        </x:is>
      </x:c>
      <x:c r="J3836" s="3" t="inlineStr">
        <x:is>
          <x:t xml:space="preserve">杭州市西湖区文一西路75号3号楼</x:t>
        </x:is>
      </x:c>
      <x:c r="K3836" s="12" t="str">
        <x:f>LEFT("91330000776617307P",18)</x:f>
        <x:v>91330000776617307P</x:v>
      </x:c>
    </x:row>
    <x:row r="3837">
      <x:c r="A3837" s="4" t="n">
        <x:v>3836</x:v>
      </x:c>
      <x:c r="B3837" s="4" t="inlineStr">
        <x:is>
          <x:t xml:space="preserve">300118</x:t>
        </x:is>
      </x:c>
      <x:c r="C3837" s="5" t="inlineStr">
        <x:is>
          <x:t xml:space="preserve">东方日升</x:t>
        </x:is>
      </x:c>
      <x:c r="D3837" s="5" t="inlineStr">
        <x:is>
          <x:t xml:space="preserve">东方日升新能源股份有限公司</x:t>
        </x:is>
      </x:c>
      <x:c r="E3837" s="4" t="inlineStr">
        <x:is>
          <x:t xml:space="preserve">浙江省</x:t>
        </x:is>
      </x:c>
      <x:c r="F3837" s="4" t="inlineStr">
        <x:is>
          <x:t xml:space="preserve">宁波市</x:t>
        </x:is>
      </x:c>
      <x:c r="G3837" s="5" t="inlineStr">
        <x:is>
          <x:t xml:space="preserve">浙江省-宁波市</x:t>
        </x:is>
      </x:c>
      <x:c r="H3837" s="4" t="inlineStr">
        <x:is>
          <x:t xml:space="preserve">光伏设备</x:t>
        </x:is>
      </x:c>
      <x:c r="I3837" s="4" t="inlineStr">
        <x:is>
          <x:t xml:space="preserve">2010-09-02</x:t>
        </x:is>
      </x:c>
      <x:c r="J3837" s="5" t="inlineStr">
        <x:is>
          <x:t xml:space="preserve">浙江省宁波市宁海县梅林街道塔山工业园区</x:t>
        </x:is>
      </x:c>
      <x:c r="K3837" s="12" t="str">
        <x:f>LEFT("913302001449739014",18)</x:f>
        <x:v>913302001449739000</x:v>
      </x:c>
    </x:row>
    <x:row r="3838">
      <x:c r="A3838" s="2" t="n">
        <x:v>3837</x:v>
      </x:c>
      <x:c r="B3838" s="2" t="inlineStr">
        <x:is>
          <x:t xml:space="preserve">300133</x:t>
        </x:is>
      </x:c>
      <x:c r="C3838" s="3" t="inlineStr">
        <x:is>
          <x:t xml:space="preserve">华策影视</x:t>
        </x:is>
      </x:c>
      <x:c r="D3838" s="3" t="inlineStr">
        <x:is>
          <x:t xml:space="preserve">浙江华策影视股份有限公司</x:t>
        </x:is>
      </x:c>
      <x:c r="E3838" s="2" t="inlineStr">
        <x:is>
          <x:t xml:space="preserve">浙江省</x:t>
        </x:is>
      </x:c>
      <x:c r="F3838" s="2" t="inlineStr">
        <x:is>
          <x:t xml:space="preserve">杭州市</x:t>
        </x:is>
      </x:c>
      <x:c r="G3838" s="3" t="inlineStr">
        <x:is>
          <x:t xml:space="preserve">浙江省-杭州市</x:t>
        </x:is>
      </x:c>
      <x:c r="H3838" s="2" t="inlineStr">
        <x:is>
          <x:t xml:space="preserve">文化传媒</x:t>
        </x:is>
      </x:c>
      <x:c r="I3838" s="2" t="inlineStr">
        <x:is>
          <x:t xml:space="preserve">2010-10-26</x:t>
        </x:is>
      </x:c>
      <x:c r="J3838" s="3" t="inlineStr">
        <x:is>
          <x:t xml:space="preserve">浙江省杭州市西湖区华策中心1号楼401室</x:t>
        </x:is>
      </x:c>
      <x:c r="K3838" s="12" t="str">
        <x:f>LEFT("913300007792873744",18)</x:f>
        <x:v>913300007792873700</x:v>
      </x:c>
    </x:row>
    <x:row r="3839">
      <x:c r="A3839" s="4" t="n">
        <x:v>3838</x:v>
      </x:c>
      <x:c r="B3839" s="4" t="inlineStr">
        <x:is>
          <x:t xml:space="preserve">300144</x:t>
        </x:is>
      </x:c>
      <x:c r="C3839" s="5" t="inlineStr">
        <x:is>
          <x:t xml:space="preserve">宋城演艺</x:t>
        </x:is>
      </x:c>
      <x:c r="D3839" s="5" t="inlineStr">
        <x:is>
          <x:t xml:space="preserve">宋城演艺发展股份有限公司</x:t>
        </x:is>
      </x:c>
      <x:c r="E3839" s="4" t="inlineStr">
        <x:is>
          <x:t xml:space="preserve">浙江省</x:t>
        </x:is>
      </x:c>
      <x:c r="F3839" s="4" t="inlineStr">
        <x:is>
          <x:t xml:space="preserve">杭州市</x:t>
        </x:is>
      </x:c>
      <x:c r="G3839" s="5" t="inlineStr">
        <x:is>
          <x:t xml:space="preserve">浙江省-杭州市</x:t>
        </x:is>
      </x:c>
      <x:c r="H3839" s="4" t="inlineStr">
        <x:is>
          <x:t xml:space="preserve">旅游酒店</x:t>
        </x:is>
      </x:c>
      <x:c r="I3839" s="4" t="inlineStr">
        <x:is>
          <x:t xml:space="preserve">2010-12-09</x:t>
        </x:is>
      </x:c>
      <x:c r="J3839" s="5" t="inlineStr">
        <x:is>
          <x:t xml:space="preserve">浙江省杭州市之江路148号</x:t>
        </x:is>
      </x:c>
      <x:c r="K3839" s="12" t="str">
        <x:f>LEFT("91330000143102311G",18)</x:f>
        <x:v>91330000143102311G</x:v>
      </x:c>
    </x:row>
    <x:row r="3840">
      <x:c r="A3840" s="2" t="n">
        <x:v>3839</x:v>
      </x:c>
      <x:c r="B3840" s="2" t="inlineStr">
        <x:is>
          <x:t xml:space="preserve">300145</x:t>
        </x:is>
      </x:c>
      <x:c r="C3840" s="3" t="inlineStr">
        <x:is>
          <x:t xml:space="preserve">南方泵业</x:t>
        </x:is>
      </x:c>
      <x:c r="D3840" s="3" t="inlineStr">
        <x:is>
          <x:t xml:space="preserve">南方泵业股份有限公司</x:t>
        </x:is>
      </x:c>
      <x:c r="E3840" s="2" t="inlineStr">
        <x:is>
          <x:t xml:space="preserve">浙江省</x:t>
        </x:is>
      </x:c>
      <x:c r="F3840" s="2" t="inlineStr">
        <x:is>
          <x:t xml:space="preserve">杭州市</x:t>
        </x:is>
      </x:c>
      <x:c r="G3840" s="3" t="inlineStr">
        <x:is>
          <x:t xml:space="preserve">浙江省-杭州市</x:t>
        </x:is>
      </x:c>
      <x:c r="H3840" s="2" t="inlineStr">
        <x:is>
          <x:t xml:space="preserve">机械行业</x:t>
        </x:is>
      </x:c>
      <x:c r="I3840" s="2" t="inlineStr">
        <x:is>
          <x:t xml:space="preserve">2010-12-09</x:t>
        </x:is>
      </x:c>
      <x:c r="J3840" s="3" t="inlineStr">
        <x:is>
          <x:t xml:space="preserve">杭州市余杭区仁和街道仁河大道46号</x:t>
        </x:is>
      </x:c>
      <x:c r="K3840" s="12" t="str">
        <x:f>LEFT("91330000143853115H",18)</x:f>
        <x:v>91330000143853115H</x:v>
      </x:c>
    </x:row>
    <x:row r="3841">
      <x:c r="A3841" s="4" t="n">
        <x:v>3840</x:v>
      </x:c>
      <x:c r="B3841" s="4" t="inlineStr">
        <x:is>
          <x:t xml:space="preserve">300163</x:t>
        </x:is>
      </x:c>
      <x:c r="C3841" s="5" t="inlineStr">
        <x:is>
          <x:t xml:space="preserve">先锋新材</x:t>
        </x:is>
      </x:c>
      <x:c r="D3841" s="5" t="inlineStr">
        <x:is>
          <x:t xml:space="preserve">宁波先锋新材料股份有限公司</x:t>
        </x:is>
      </x:c>
      <x:c r="E3841" s="4" t="inlineStr">
        <x:is>
          <x:t xml:space="preserve">浙江省</x:t>
        </x:is>
      </x:c>
      <x:c r="F3841" s="4" t="inlineStr">
        <x:is>
          <x:t xml:space="preserve">宁波市</x:t>
        </x:is>
      </x:c>
      <x:c r="G3841" s="5" t="inlineStr">
        <x:is>
          <x:t xml:space="preserve">浙江省-宁波市</x:t>
        </x:is>
      </x:c>
      <x:c r="H3841" s="4" t="inlineStr">
        <x:is>
          <x:t xml:space="preserve">化学制品</x:t>
        </x:is>
      </x:c>
      <x:c r="I3841" s="4" t="inlineStr">
        <x:is>
          <x:t xml:space="preserve">2011-01-13</x:t>
        </x:is>
      </x:c>
      <x:c r="J3841" s="5" t="inlineStr">
        <x:is>
          <x:t xml:space="preserve">宁波市海曙区集士港镇山下庄村</x:t>
        </x:is>
      </x:c>
      <x:c r="K3841" s="12" t="str">
        <x:f>LEFT("913302007473534968",18)</x:f>
        <x:v>913302007473535000</x:v>
      </x:c>
    </x:row>
    <x:row r="3842">
      <x:c r="A3842" s="2" t="n">
        <x:v>3841</x:v>
      </x:c>
      <x:c r="B3842" s="2" t="inlineStr">
        <x:is>
          <x:t xml:space="preserve">300181</x:t>
        </x:is>
      </x:c>
      <x:c r="C3842" s="3" t="inlineStr">
        <x:is>
          <x:t xml:space="preserve">佐力药业</x:t>
        </x:is>
      </x:c>
      <x:c r="D3842" s="3" t="inlineStr">
        <x:is>
          <x:t xml:space="preserve">浙江佐力药业股份有限公司</x:t>
        </x:is>
      </x:c>
      <x:c r="E3842" s="2" t="inlineStr">
        <x:is>
          <x:t xml:space="preserve">浙江省</x:t>
        </x:is>
      </x:c>
      <x:c r="F3842" s="2" t="inlineStr">
        <x:is>
          <x:t xml:space="preserve">湖州市</x:t>
        </x:is>
      </x:c>
      <x:c r="G3842" s="3" t="inlineStr">
        <x:is>
          <x:t xml:space="preserve">浙江省-湖州市</x:t>
        </x:is>
      </x:c>
      <x:c r="H3842" s="2" t="inlineStr">
        <x:is>
          <x:t xml:space="preserve">中药</x:t>
        </x:is>
      </x:c>
      <x:c r="I3842" s="2" t="inlineStr">
        <x:is>
          <x:t xml:space="preserve">2011-02-22</x:t>
        </x:is>
      </x:c>
      <x:c r="J3842" s="3" t="inlineStr">
        <x:is>
          <x:t xml:space="preserve">浙江省德清县阜溪街道志远北路388号</x:t>
        </x:is>
      </x:c>
      <x:c r="K3842" s="12" t="str">
        <x:f>LEFT("91330000147115443M",18)</x:f>
        <x:v>91330000147115443M</x:v>
      </x:c>
    </x:row>
    <x:row r="3843">
      <x:c r="A3843" s="4" t="n">
        <x:v>3842</x:v>
      </x:c>
      <x:c r="B3843" s="4" t="inlineStr">
        <x:is>
          <x:t xml:space="preserve">300203</x:t>
        </x:is>
      </x:c>
      <x:c r="C3843" s="5" t="inlineStr">
        <x:is>
          <x:t xml:space="preserve">聚光科技</x:t>
        </x:is>
      </x:c>
      <x:c r="D3843" s="5" t="inlineStr">
        <x:is>
          <x:t xml:space="preserve">聚光科技(杭州)股份有限公司</x:t>
        </x:is>
      </x:c>
      <x:c r="E3843" s="4" t="inlineStr">
        <x:is>
          <x:t xml:space="preserve">浙江省</x:t>
        </x:is>
      </x:c>
      <x:c r="F3843" s="4" t="inlineStr">
        <x:is>
          <x:t xml:space="preserve">杭州市</x:t>
        </x:is>
      </x:c>
      <x:c r="G3843" s="5" t="inlineStr">
        <x:is>
          <x:t xml:space="preserve">浙江省-杭州市</x:t>
        </x:is>
      </x:c>
      <x:c r="H3843" s="4" t="inlineStr">
        <x:is>
          <x:t xml:space="preserve">仪器仪表</x:t>
        </x:is>
      </x:c>
      <x:c r="I3843" s="4" t="inlineStr">
        <x:is>
          <x:t xml:space="preserve">2011-04-15</x:t>
        </x:is>
      </x:c>
      <x:c r="J3843" s="5" t="inlineStr">
        <x:is>
          <x:t xml:space="preserve">浙江省杭州市滨江区滨安路760号</x:t>
        </x:is>
      </x:c>
      <x:c r="K3843" s="12" t="str">
        <x:f>LEFT("91330000734500338C",18)</x:f>
        <x:v>91330000734500338C</x:v>
      </x:c>
    </x:row>
    <x:row r="3844">
      <x:c r="A3844" s="2" t="n">
        <x:v>3843</x:v>
      </x:c>
      <x:c r="B3844" s="2" t="inlineStr">
        <x:is>
          <x:t xml:space="preserve">300234</x:t>
        </x:is>
      </x:c>
      <x:c r="C3844" s="3" t="inlineStr">
        <x:is>
          <x:t xml:space="preserve">开尔新材</x:t>
        </x:is>
      </x:c>
      <x:c r="D3844" s="3" t="inlineStr">
        <x:is>
          <x:t xml:space="preserve">浙江开尔新材料股份有限公司</x:t>
        </x:is>
      </x:c>
      <x:c r="E3844" s="2" t="inlineStr">
        <x:is>
          <x:t xml:space="preserve">浙江省</x:t>
        </x:is>
      </x:c>
      <x:c r="F3844" s="2" t="inlineStr">
        <x:is>
          <x:t xml:space="preserve">金华市</x:t>
        </x:is>
      </x:c>
      <x:c r="G3844" s="3" t="inlineStr">
        <x:is>
          <x:t xml:space="preserve">浙江省-金华市</x:t>
        </x:is>
      </x:c>
      <x:c r="H3844" s="2" t="inlineStr">
        <x:is>
          <x:t xml:space="preserve">装修建材</x:t>
        </x:is>
      </x:c>
      <x:c r="I3844" s="2" t="inlineStr">
        <x:is>
          <x:t xml:space="preserve">2011-06-22</x:t>
        </x:is>
      </x:c>
      <x:c r="J3844" s="3" t="inlineStr">
        <x:is>
          <x:t xml:space="preserve">浙江省金华市金义都市经济开发区广顺街333号</x:t>
        </x:is>
      </x:c>
      <x:c r="K3844" s="12" t="str">
        <x:f>LEFT("9133000074981708XL",18)</x:f>
        <x:v>9133000074981708XL</x:v>
      </x:c>
    </x:row>
    <x:row r="3845">
      <x:c r="A3845" s="4" t="n">
        <x:v>3844</x:v>
      </x:c>
      <x:c r="B3845" s="4" t="inlineStr">
        <x:is>
          <x:t xml:space="preserve">300244</x:t>
        </x:is>
      </x:c>
      <x:c r="C3845" s="5" t="inlineStr">
        <x:is>
          <x:t xml:space="preserve">迪安诊断</x:t>
        </x:is>
      </x:c>
      <x:c r="D3845" s="5" t="inlineStr">
        <x:is>
          <x:t xml:space="preserve">迪安诊断技术集团股份有限公司</x:t>
        </x:is>
      </x:c>
      <x:c r="E3845" s="4" t="inlineStr">
        <x:is>
          <x:t xml:space="preserve">浙江省</x:t>
        </x:is>
      </x:c>
      <x:c r="F3845" s="4" t="inlineStr">
        <x:is>
          <x:t xml:space="preserve">杭州市</x:t>
        </x:is>
      </x:c>
      <x:c r="G3845" s="5" t="inlineStr">
        <x:is>
          <x:t xml:space="preserve">浙江省-杭州市</x:t>
        </x:is>
      </x:c>
      <x:c r="H3845" s="4" t="inlineStr">
        <x:is>
          <x:t xml:space="preserve">医疗服务</x:t>
        </x:is>
      </x:c>
      <x:c r="I3845" s="4" t="inlineStr">
        <x:is>
          <x:t xml:space="preserve">2011-07-19</x:t>
        </x:is>
      </x:c>
      <x:c r="J3845" s="5" t="inlineStr">
        <x:is>
          <x:t xml:space="preserve">杭州市西湖区三墩镇金蓬街329号2幢5层</x:t>
        </x:is>
      </x:c>
      <x:c r="K3845" s="12" t="str">
        <x:f>LEFT("91330000731996462B",18)</x:f>
        <x:v>91330000731996462B</x:v>
      </x:c>
    </x:row>
    <x:row r="3846">
      <x:c r="A3846" s="2" t="n">
        <x:v>3845</x:v>
      </x:c>
      <x:c r="B3846" s="2" t="inlineStr">
        <x:is>
          <x:t xml:space="preserve">300250</x:t>
        </x:is>
      </x:c>
      <x:c r="C3846" s="3" t="inlineStr">
        <x:is>
          <x:t xml:space="preserve">初灵信息</x:t>
        </x:is>
      </x:c>
      <x:c r="D3846" s="3" t="inlineStr">
        <x:is>
          <x:t xml:space="preserve">杭州初灵信息技术股份有限公司</x:t>
        </x:is>
      </x:c>
      <x:c r="E3846" s="2" t="inlineStr">
        <x:is>
          <x:t xml:space="preserve">浙江省</x:t>
        </x:is>
      </x:c>
      <x:c r="F3846" s="2" t="inlineStr">
        <x:is>
          <x:t xml:space="preserve">杭州市</x:t>
        </x:is>
      </x:c>
      <x:c r="G3846" s="3" t="inlineStr">
        <x:is>
          <x:t xml:space="preserve">浙江省-杭州市</x:t>
        </x:is>
      </x:c>
      <x:c r="H3846" s="2" t="inlineStr">
        <x:is>
          <x:t xml:space="preserve">电子信息</x:t>
        </x:is>
      </x:c>
      <x:c r="I3846" s="2" t="inlineStr">
        <x:is>
          <x:t xml:space="preserve">2011-08-03</x:t>
        </x:is>
      </x:c>
      <x:c r="J3846" s="3" t="inlineStr">
        <x:is>
          <x:t xml:space="preserve">杭州市滨江区西兴街道物联网街259号</x:t>
        </x:is>
      </x:c>
      <x:c r="K3846" s="12" t="str">
        <x:f>LEFT("91330000720048184T",18)</x:f>
        <x:v>91330000720048184T</x:v>
      </x:c>
    </x:row>
    <x:row r="3847">
      <x:c r="A3847" s="4" t="n">
        <x:v>3846</x:v>
      </x:c>
      <x:c r="B3847" s="4" t="inlineStr">
        <x:is>
          <x:t xml:space="preserve">300266</x:t>
        </x:is>
      </x:c>
      <x:c r="C3847" s="5" t="inlineStr">
        <x:is>
          <x:t xml:space="preserve">兴源环境</x:t>
        </x:is>
      </x:c>
      <x:c r="D3847" s="5" t="inlineStr">
        <x:is>
          <x:t xml:space="preserve">兴源环境科技股份有限公司</x:t>
        </x:is>
      </x:c>
      <x:c r="E3847" s="4" t="inlineStr">
        <x:is>
          <x:t xml:space="preserve">浙江省</x:t>
        </x:is>
      </x:c>
      <x:c r="F3847" s="4" t="inlineStr">
        <x:is>
          <x:t xml:space="preserve">杭州市</x:t>
        </x:is>
      </x:c>
      <x:c r="G3847" s="5" t="inlineStr">
        <x:is>
          <x:t xml:space="preserve">浙江省-杭州市</x:t>
        </x:is>
      </x:c>
      <x:c r="H3847" s="4" t="inlineStr">
        <x:is>
          <x:t xml:space="preserve">环保工程</x:t>
        </x:is>
      </x:c>
      <x:c r="I3847" s="4" t="inlineStr">
        <x:is>
          <x:t xml:space="preserve">2011-09-27</x:t>
        </x:is>
      </x:c>
      <x:c r="J3847" s="5" t="inlineStr">
        <x:is>
          <x:t xml:space="preserve">浙江省杭州市临平区望梅路1588号</x:t>
        </x:is>
      </x:c>
      <x:c r="K3847" s="12" t="str">
        <x:f>LEFT("91330000609124409H",18)</x:f>
        <x:v>91330000609124409H</x:v>
      </x:c>
    </x:row>
    <x:row r="3848">
      <x:c r="A3848" s="2" t="n">
        <x:v>3847</x:v>
      </x:c>
      <x:c r="B3848" s="2" t="inlineStr">
        <x:is>
          <x:t xml:space="preserve">300270</x:t>
        </x:is>
      </x:c>
      <x:c r="C3848" s="3" t="inlineStr">
        <x:is>
          <x:t xml:space="preserve">中威电子</x:t>
        </x:is>
      </x:c>
      <x:c r="D3848" s="3" t="inlineStr">
        <x:is>
          <x:t xml:space="preserve">杭州中威电子股份有限公司</x:t>
        </x:is>
      </x:c>
      <x:c r="E3848" s="2" t="inlineStr">
        <x:is>
          <x:t xml:space="preserve">浙江省</x:t>
        </x:is>
      </x:c>
      <x:c r="F3848" s="2" t="inlineStr">
        <x:is>
          <x:t xml:space="preserve">杭州市</x:t>
        </x:is>
      </x:c>
      <x:c r="G3848" s="3" t="inlineStr">
        <x:is>
          <x:t xml:space="preserve">浙江省-杭州市</x:t>
        </x:is>
      </x:c>
      <x:c r="H3848" s="2" t="inlineStr">
        <x:is>
          <x:t xml:space="preserve">安防设备</x:t>
        </x:is>
      </x:c>
      <x:c r="I3848" s="2" t="inlineStr">
        <x:is>
          <x:t xml:space="preserve">2011-10-12</x:t>
        </x:is>
      </x:c>
      <x:c r="J3848" s="3" t="inlineStr">
        <x:is>
          <x:t xml:space="preserve">杭州市滨江区西兴路1819号中威大厦15-20层</x:t>
        </x:is>
      </x:c>
      <x:c r="K3848" s="12" t="str">
        <x:f>LEFT("913300007161542753",18)</x:f>
        <x:v>913300007161542800</x:v>
      </x:c>
    </x:row>
    <x:row r="3849">
      <x:c r="A3849" s="4" t="n">
        <x:v>3848</x:v>
      </x:c>
      <x:c r="B3849" s="4" t="inlineStr">
        <x:is>
          <x:t xml:space="preserve">300277</x:t>
        </x:is>
      </x:c>
      <x:c r="C3849" s="5" t="inlineStr">
        <x:is>
          <x:t xml:space="preserve">海联讯</x:t>
        </x:is>
      </x:c>
      <x:c r="D3849" s="5" t="inlineStr">
        <x:is>
          <x:t xml:space="preserve">浙江杭汽轮动力科技集团股份有限公司</x:t>
        </x:is>
      </x:c>
      <x:c r="E3849" s="4" t="inlineStr">
        <x:is>
          <x:t xml:space="preserve">浙江省</x:t>
        </x:is>
      </x:c>
      <x:c r="F3849" s="4" t="inlineStr">
        <x:is>
          <x:t xml:space="preserve">杭州市</x:t>
        </x:is>
      </x:c>
      <x:c r="G3849" s="5" t="inlineStr">
        <x:is>
          <x:t xml:space="preserve">浙江省-杭州市</x:t>
        </x:is>
      </x:c>
      <x:c r="H3849" s="4" t="inlineStr">
        <x:is>
          <x:t xml:space="preserve">互联网服务</x:t>
        </x:is>
      </x:c>
      <x:c r="I3849" s="4" t="inlineStr">
        <x:is>
          <x:t xml:space="preserve">2011-11-23</x:t>
        </x:is>
      </x:c>
      <x:c r="J3849" s="5" t="inlineStr">
        <x:is>
          <x:t xml:space="preserve">浙江省杭州市临平区康信路608号8幢</x:t>
        </x:is>
      </x:c>
      <x:c r="K3849" s="12" t="str">
        <x:f>LEFT("914403007152459096",18)</x:f>
        <x:v>914403007152459100</x:v>
      </x:c>
    </x:row>
    <x:row r="3850">
      <x:c r="A3850" s="2" t="n">
        <x:v>3849</x:v>
      </x:c>
      <x:c r="B3850" s="2" t="inlineStr">
        <x:is>
          <x:t xml:space="preserve">300283</x:t>
        </x:is>
      </x:c>
      <x:c r="C3850" s="3" t="inlineStr">
        <x:is>
          <x:t xml:space="preserve">温州宏丰</x:t>
        </x:is>
      </x:c>
      <x:c r="D3850" s="3" t="inlineStr">
        <x:is>
          <x:t xml:space="preserve">温州宏丰电工合金股份有限公司</x:t>
        </x:is>
      </x:c>
      <x:c r="E3850" s="2" t="inlineStr">
        <x:is>
          <x:t xml:space="preserve">浙江省</x:t>
        </x:is>
      </x:c>
      <x:c r="F3850" s="2" t="inlineStr">
        <x:is>
          <x:t xml:space="preserve">江省乐清市</x:t>
        </x:is>
      </x:c>
      <x:c r="G3850" s="3" t="inlineStr">
        <x:is>
          <x:t xml:space="preserve">浙江省-江省乐清市</x:t>
        </x:is>
      </x:c>
      <x:c r="H3850" s="2" t="inlineStr">
        <x:is>
          <x:t xml:space="preserve">电网设备</x:t>
        </x:is>
      </x:c>
      <x:c r="I3850" s="2" t="inlineStr">
        <x:is>
          <x:t xml:space="preserve">2012-01-10</x:t>
        </x:is>
      </x:c>
      <x:c r="J3850" s="3" t="inlineStr">
        <x:is>
          <x:t xml:space="preserve">浙江省乐清市北白象镇大桥工业区塘下片区</x:t>
        </x:is>
      </x:c>
      <x:c r="K3850" s="12" t="str">
        <x:f>LEFT("91330000256018570F",18)</x:f>
        <x:v>91330000256018570F</x:v>
      </x:c>
    </x:row>
    <x:row r="3851">
      <x:c r="A3851" s="4" t="n">
        <x:v>3850</x:v>
      </x:c>
      <x:c r="B3851" s="4" t="inlineStr">
        <x:is>
          <x:t xml:space="preserve">300306</x:t>
        </x:is>
      </x:c>
      <x:c r="C3851" s="5" t="inlineStr">
        <x:is>
          <x:t xml:space="preserve">远方信息</x:t>
        </x:is>
      </x:c>
      <x:c r="D3851" s="5" t="inlineStr">
        <x:is>
          <x:t xml:space="preserve">杭州远方光电信息股份有限公司</x:t>
        </x:is>
      </x:c>
      <x:c r="E3851" s="4" t="inlineStr">
        <x:is>
          <x:t xml:space="preserve">浙江省</x:t>
        </x:is>
      </x:c>
      <x:c r="F3851" s="4" t="inlineStr">
        <x:is>
          <x:t xml:space="preserve">杭州市</x:t>
        </x:is>
      </x:c>
      <x:c r="G3851" s="5" t="inlineStr">
        <x:is>
          <x:t xml:space="preserve">浙江省-杭州市</x:t>
        </x:is>
      </x:c>
      <x:c r="H3851" s="4" t="inlineStr">
        <x:is>
          <x:t xml:space="preserve">仪器仪表</x:t>
        </x:is>
      </x:c>
      <x:c r="I3851" s="4" t="inlineStr">
        <x:is>
          <x:t xml:space="preserve">2012-03-29</x:t>
        </x:is>
      </x:c>
      <x:c r="J3851" s="5" t="inlineStr">
        <x:is>
          <x:t xml:space="preserve">杭州市滨江区滨康路669号1号楼</x:t>
        </x:is>
      </x:c>
      <x:c r="K3851" s="12" t="str">
        <x:f>LEFT("91330000749475817C",18)</x:f>
        <x:v>91330000749475817C</x:v>
      </x:c>
    </x:row>
    <x:row r="3852">
      <x:c r="A3852" s="2" t="n">
        <x:v>3851</x:v>
      </x:c>
      <x:c r="B3852" s="2" t="inlineStr">
        <x:is>
          <x:t xml:space="preserve">300307</x:t>
        </x:is>
      </x:c>
      <x:c r="C3852" s="3" t="inlineStr">
        <x:is>
          <x:t xml:space="preserve">慈星股份</x:t>
        </x:is>
      </x:c>
      <x:c r="D3852" s="3" t="inlineStr">
        <x:is>
          <x:t xml:space="preserve">宁波慈星股份有限公司</x:t>
        </x:is>
      </x:c>
      <x:c r="E3852" s="2" t="inlineStr">
        <x:is>
          <x:t xml:space="preserve">浙江省</x:t>
        </x:is>
      </x:c>
      <x:c r="F3852" s="2" t="inlineStr">
        <x:is>
          <x:t xml:space="preserve">江省慈溪市</x:t>
        </x:is>
      </x:c>
      <x:c r="G3852" s="3" t="inlineStr">
        <x:is>
          <x:t xml:space="preserve">浙江省-江省慈溪市</x:t>
        </x:is>
      </x:c>
      <x:c r="H3852" s="2" t="inlineStr">
        <x:is>
          <x:t xml:space="preserve">专用设备</x:t>
        </x:is>
      </x:c>
      <x:c r="I3852" s="2" t="inlineStr">
        <x:is>
          <x:t xml:space="preserve">2012-03-29</x:t>
        </x:is>
      </x:c>
      <x:c r="J3852" s="3" t="inlineStr">
        <x:is>
          <x:t xml:space="preserve">浙江省慈溪市白沙路街道三北大街2588号</x:t>
        </x:is>
      </x:c>
      <x:c r="K3852" s="12" t="str">
        <x:f>LEFT("913302007503813672",18)</x:f>
        <x:v>913302007503813600</x:v>
      </x:c>
    </x:row>
    <x:row r="3853">
      <x:c r="A3853" s="4" t="n">
        <x:v>3852</x:v>
      </x:c>
      <x:c r="B3853" s="4" t="inlineStr">
        <x:is>
          <x:t xml:space="preserve">300314</x:t>
        </x:is>
      </x:c>
      <x:c r="C3853" s="5" t="inlineStr">
        <x:is>
          <x:t xml:space="preserve">戴维医疗</x:t>
        </x:is>
      </x:c>
      <x:c r="D3853" s="5" t="inlineStr">
        <x:is>
          <x:t xml:space="preserve">宁波戴维医疗器械股份有限公司</x:t>
        </x:is>
      </x:c>
      <x:c r="E3853" s="4" t="inlineStr">
        <x:is>
          <x:t xml:space="preserve">浙江省</x:t>
        </x:is>
      </x:c>
      <x:c r="F3853" s="4" t="inlineStr">
        <x:is>
          <x:t xml:space="preserve">宁波市</x:t>
        </x:is>
      </x:c>
      <x:c r="G3853" s="5" t="inlineStr">
        <x:is>
          <x:t xml:space="preserve">浙江省-宁波市</x:t>
        </x:is>
      </x:c>
      <x:c r="H3853" s="4" t="inlineStr">
        <x:is>
          <x:t xml:space="preserve">医疗器械</x:t>
        </x:is>
      </x:c>
      <x:c r="I3853" s="4" t="inlineStr">
        <x:is>
          <x:t xml:space="preserve">2012-05-08</x:t>
        </x:is>
      </x:c>
      <x:c r="J3853" s="5" t="inlineStr">
        <x:is>
          <x:t xml:space="preserve">浙江省宁波市象山县石浦科技园区科苑路2号</x:t>
        </x:is>
      </x:c>
      <x:c r="K3853" s="12" t="str">
        <x:f>LEFT("91330200610257495J",18)</x:f>
        <x:v>91330200610257495J</x:v>
      </x:c>
    </x:row>
    <x:row r="3854">
      <x:c r="A3854" s="2" t="n">
        <x:v>3853</x:v>
      </x:c>
      <x:c r="B3854" s="2" t="inlineStr">
        <x:is>
          <x:t xml:space="preserve">300316</x:t>
        </x:is>
      </x:c>
      <x:c r="C3854" s="3" t="inlineStr">
        <x:is>
          <x:t xml:space="preserve">晶盛机电</x:t>
        </x:is>
      </x:c>
      <x:c r="D3854" s="3" t="inlineStr">
        <x:is>
          <x:t xml:space="preserve">浙江晶盛机电股份有限公司</x:t>
        </x:is>
      </x:c>
      <x:c r="E3854" s="2" t="inlineStr">
        <x:is>
          <x:t xml:space="preserve">浙江省</x:t>
        </x:is>
      </x:c>
      <x:c r="F3854" s="2" t="inlineStr">
        <x:is>
          <x:t xml:space="preserve">绍兴市</x:t>
        </x:is>
      </x:c>
      <x:c r="G3854" s="3" t="inlineStr">
        <x:is>
          <x:t xml:space="preserve">浙江省-绍兴市</x:t>
        </x:is>
      </x:c>
      <x:c r="H3854" s="2" t="inlineStr">
        <x:is>
          <x:t xml:space="preserve">光伏设备</x:t>
        </x:is>
      </x:c>
      <x:c r="I3854" s="2" t="inlineStr">
        <x:is>
          <x:t xml:space="preserve">2012-05-11</x:t>
        </x:is>
      </x:c>
      <x:c r="J3854" s="3" t="inlineStr">
        <x:is>
          <x:t xml:space="preserve">浙江省绍兴市上虞区曹娥街道五星西路99号</x:t>
        </x:is>
      </x:c>
      <x:c r="K3854" s="12" t="str">
        <x:f>LEFT("913300007964528296",18)</x:f>
        <x:v>913300007964528300</x:v>
      </x:c>
    </x:row>
    <x:row r="3855">
      <x:c r="A3855" s="4" t="n">
        <x:v>3854</x:v>
      </x:c>
      <x:c r="B3855" s="4" t="inlineStr">
        <x:is>
          <x:t xml:space="preserve">300329</x:t>
        </x:is>
      </x:c>
      <x:c r="C3855" s="5" t="inlineStr">
        <x:is>
          <x:t xml:space="preserve">海伦钢琴</x:t>
        </x:is>
      </x:c>
      <x:c r="D3855" s="5" t="inlineStr">
        <x:is>
          <x:t xml:space="preserve">海伦钢琴股份有限公司</x:t>
        </x:is>
      </x:c>
      <x:c r="E3855" s="4" t="inlineStr">
        <x:is>
          <x:t xml:space="preserve">浙江省</x:t>
        </x:is>
      </x:c>
      <x:c r="F3855" s="4" t="inlineStr">
        <x:is>
          <x:t xml:space="preserve">宁波市</x:t>
        </x:is>
      </x:c>
      <x:c r="G3855" s="5" t="inlineStr">
        <x:is>
          <x:t xml:space="preserve">浙江省-宁波市</x:t>
        </x:is>
      </x:c>
      <x:c r="H3855" s="4" t="inlineStr">
        <x:is>
          <x:t xml:space="preserve">家用轻工</x:t>
        </x:is>
      </x:c>
      <x:c r="I3855" s="4" t="inlineStr">
        <x:is>
          <x:t xml:space="preserve">2012-06-19</x:t>
        </x:is>
      </x:c>
      <x:c r="J3855" s="5" t="inlineStr">
        <x:is>
          <x:t xml:space="preserve">宁波市北仑区龙潭山路36号</x:t>
        </x:is>
      </x:c>
      <x:c r="K3855" s="12" t="str">
        <x:f>LEFT("91330200728120101E",18)</x:f>
        <x:v>91330200728120101E</x:v>
      </x:c>
    </x:row>
    <x:row r="3856">
      <x:c r="A3856" s="2" t="n">
        <x:v>3855</x:v>
      </x:c>
      <x:c r="B3856" s="2" t="inlineStr">
        <x:is>
          <x:t xml:space="preserve">300347</x:t>
        </x:is>
      </x:c>
      <x:c r="C3856" s="3" t="inlineStr">
        <x:is>
          <x:t xml:space="preserve">泰格医药</x:t>
        </x:is>
      </x:c>
      <x:c r="D3856" s="3" t="inlineStr">
        <x:is>
          <x:t xml:space="preserve">杭州泰格医药科技股份有限公司</x:t>
        </x:is>
      </x:c>
      <x:c r="E3856" s="2" t="inlineStr">
        <x:is>
          <x:t xml:space="preserve">浙江省</x:t>
        </x:is>
      </x:c>
      <x:c r="F3856" s="2" t="inlineStr">
        <x:is>
          <x:t xml:space="preserve">杭州市</x:t>
        </x:is>
      </x:c>
      <x:c r="G3856" s="3" t="inlineStr">
        <x:is>
          <x:t xml:space="preserve">浙江省-杭州市</x:t>
        </x:is>
      </x:c>
      <x:c r="H3856" s="2" t="inlineStr">
        <x:is>
          <x:t xml:space="preserve">医疗行业</x:t>
        </x:is>
      </x:c>
      <x:c r="I3856" s="2" t="inlineStr">
        <x:is>
          <x:t xml:space="preserve">2012-08-17</x:t>
        </x:is>
      </x:c>
      <x:c r="J3856" s="3" t="inlineStr">
        <x:is>
          <x:t xml:space="preserve">中国杭州市滨江区西兴街道聚工路19号8幢20层2001-2010室</x:t>
        </x:is>
      </x:c>
      <x:c r="K3856" s="12" t="str">
        <x:f>LEFT("9133000076823762XE",18)</x:f>
        <x:v>9133000076823762XE</x:v>
      </x:c>
    </x:row>
    <x:row r="3857">
      <x:c r="A3857" s="4" t="n">
        <x:v>3856</x:v>
      </x:c>
      <x:c r="B3857" s="4" t="inlineStr">
        <x:is>
          <x:t xml:space="preserve">300349</x:t>
        </x:is>
      </x:c>
      <x:c r="C3857" s="5" t="inlineStr">
        <x:is>
          <x:t xml:space="preserve">金卡智能</x:t>
        </x:is>
      </x:c>
      <x:c r="D3857" s="5" t="inlineStr">
        <x:is>
          <x:t xml:space="preserve">金卡智能集团股份有限公司</x:t>
        </x:is>
      </x:c>
      <x:c r="E3857" s="4" t="inlineStr">
        <x:is>
          <x:t xml:space="preserve">浙江省</x:t>
        </x:is>
      </x:c>
      <x:c r="F3857" s="4" t="inlineStr">
        <x:is>
          <x:t xml:space="preserve">温州市</x:t>
        </x:is>
      </x:c>
      <x:c r="G3857" s="5" t="inlineStr">
        <x:is>
          <x:t xml:space="preserve">浙江省-温州市</x:t>
        </x:is>
      </x:c>
      <x:c r="H3857" s="4" t="inlineStr">
        <x:is>
          <x:t xml:space="preserve">仪器仪表</x:t>
        </x:is>
      </x:c>
      <x:c r="I3857" s="4" t="inlineStr">
        <x:is>
          <x:t xml:space="preserve">2012-08-17</x:t>
        </x:is>
      </x:c>
      <x:c r="J3857" s="5" t="inlineStr">
        <x:is>
          <x:t xml:space="preserve">浙江省乐清经济开发区纬十七路291号</x:t>
        </x:is>
      </x:c>
      <x:c r="K3857" s="12" t="str">
        <x:f>LEFT("91330000691292005R",18)</x:f>
        <x:v>91330000691292005R</x:v>
      </x:c>
    </x:row>
    <x:row r="3858">
      <x:c r="A3858" s="2" t="n">
        <x:v>3857</x:v>
      </x:c>
      <x:c r="B3858" s="2" t="inlineStr">
        <x:is>
          <x:t xml:space="preserve">300351</x:t>
        </x:is>
      </x:c>
      <x:c r="C3858" s="3" t="inlineStr">
        <x:is>
          <x:t xml:space="preserve">永贵电器</x:t>
        </x:is>
      </x:c>
      <x:c r="D3858" s="3" t="inlineStr">
        <x:is>
          <x:t xml:space="preserve">浙江永贵电器股份有限公司</x:t>
        </x:is>
      </x:c>
      <x:c r="E3858" s="2" t="inlineStr">
        <x:is>
          <x:t xml:space="preserve">浙江省</x:t>
        </x:is>
      </x:c>
      <x:c r="F3858" s="2" t="inlineStr">
        <x:is>
          <x:t xml:space="preserve">台州市</x:t>
        </x:is>
      </x:c>
      <x:c r="G3858" s="3" t="inlineStr">
        <x:is>
          <x:t xml:space="preserve">浙江省-台州市</x:t>
        </x:is>
      </x:c>
      <x:c r="H3858" s="2" t="inlineStr">
        <x:is>
          <x:t xml:space="preserve">交运设备</x:t>
        </x:is>
      </x:c>
      <x:c r="I3858" s="2" t="inlineStr">
        <x:is>
          <x:t xml:space="preserve">2012-09-20</x:t>
        </x:is>
      </x:c>
      <x:c r="J3858" s="3" t="inlineStr">
        <x:is>
          <x:t xml:space="preserve">浙江省天台县白鹤镇东园路5号(西工业区)</x:t>
        </x:is>
      </x:c>
      <x:c r="K3858" s="12" t="str">
        <x:f>LEFT("91330000704713738F",18)</x:f>
        <x:v>91330000704713738F</x:v>
      </x:c>
    </x:row>
    <x:row r="3859">
      <x:c r="A3859" s="4" t="n">
        <x:v>3858</x:v>
      </x:c>
      <x:c r="B3859" s="4" t="inlineStr">
        <x:is>
          <x:t xml:space="preserve">300357</x:t>
        </x:is>
      </x:c>
      <x:c r="C3859" s="5" t="inlineStr">
        <x:is>
          <x:t xml:space="preserve">我武生物</x:t>
        </x:is>
      </x:c>
      <x:c r="D3859" s="5" t="inlineStr">
        <x:is>
          <x:t xml:space="preserve">浙江我武生物科技股份有限公司</x:t>
        </x:is>
      </x:c>
      <x:c r="E3859" s="4" t="inlineStr">
        <x:is>
          <x:t xml:space="preserve">浙江省</x:t>
        </x:is>
      </x:c>
      <x:c r="F3859" s="4" t="inlineStr">
        <x:is>
          <x:t xml:space="preserve">湖州市</x:t>
        </x:is>
      </x:c>
      <x:c r="G3859" s="5" t="inlineStr">
        <x:is>
          <x:t xml:space="preserve">浙江省-湖州市</x:t>
        </x:is>
      </x:c>
      <x:c r="H3859" s="4" t="inlineStr">
        <x:is>
          <x:t xml:space="preserve">生物制品</x:t>
        </x:is>
      </x:c>
      <x:c r="I3859" s="4" t="inlineStr">
        <x:is>
          <x:t xml:space="preserve">2014-01-21</x:t>
        </x:is>
      </x:c>
      <x:c r="J3859" s="5" t="inlineStr">
        <x:is>
          <x:t xml:space="preserve">浙江省德清县武康镇志远北路636号</x:t>
        </x:is>
      </x:c>
      <x:c r="K3859" s="12" t="str">
        <x:f>LEFT("91330000742906207U",18)</x:f>
        <x:v>91330000742906207U</x:v>
      </x:c>
    </x:row>
    <x:row r="3860">
      <x:c r="A3860" s="2" t="n">
        <x:v>3859</x:v>
      </x:c>
      <x:c r="B3860" s="2" t="inlineStr">
        <x:is>
          <x:t xml:space="preserve">300360</x:t>
        </x:is>
      </x:c>
      <x:c r="C3860" s="3" t="inlineStr">
        <x:is>
          <x:t xml:space="preserve">炬华科技</x:t>
        </x:is>
      </x:c>
      <x:c r="D3860" s="3" t="inlineStr">
        <x:is>
          <x:t xml:space="preserve">杭州炬华科技股份有限公司</x:t>
        </x:is>
      </x:c>
      <x:c r="E3860" s="2" t="inlineStr">
        <x:is>
          <x:t xml:space="preserve">浙江省</x:t>
        </x:is>
      </x:c>
      <x:c r="F3860" s="2" t="inlineStr">
        <x:is>
          <x:t xml:space="preserve">杭州市</x:t>
        </x:is>
      </x:c>
      <x:c r="G3860" s="3" t="inlineStr">
        <x:is>
          <x:t xml:space="preserve">浙江省-杭州市</x:t>
        </x:is>
      </x:c>
      <x:c r="H3860" s="2" t="inlineStr">
        <x:is>
          <x:t xml:space="preserve">电网设备</x:t>
        </x:is>
      </x:c>
      <x:c r="I3860" s="2" t="inlineStr">
        <x:is>
          <x:t xml:space="preserve">2014-01-21</x:t>
        </x:is>
      </x:c>
      <x:c r="J3860" s="3" t="inlineStr">
        <x:is>
          <x:t xml:space="preserve">浙江省杭州市余杭区仓前街道仓兴街1099号</x:t>
        </x:is>
      </x:c>
      <x:c r="K3860" s="12" t="str">
        <x:f>LEFT("91330000785344291E",18)</x:f>
        <x:v>91330000785344291E</x:v>
      </x:c>
    </x:row>
    <x:row r="3861">
      <x:c r="A3861" s="4" t="n">
        <x:v>3860</x:v>
      </x:c>
      <x:c r="B3861" s="4" t="inlineStr">
        <x:is>
          <x:t xml:space="preserve">300401</x:t>
        </x:is>
      </x:c>
      <x:c r="C3861" s="5" t="inlineStr">
        <x:is>
          <x:t xml:space="preserve">花园生物</x:t>
        </x:is>
      </x:c>
      <x:c r="D3861" s="5" t="inlineStr">
        <x:is>
          <x:t xml:space="preserve">浙江花园生物医药股份有限公司</x:t>
        </x:is>
      </x:c>
      <x:c r="E3861" s="4" t="inlineStr">
        <x:is>
          <x:t xml:space="preserve">浙江省</x:t>
        </x:is>
      </x:c>
      <x:c r="F3861" s="4" t="inlineStr">
        <x:is>
          <x:t xml:space="preserve">江省东阳市</x:t>
        </x:is>
      </x:c>
      <x:c r="G3861" s="5" t="inlineStr">
        <x:is>
          <x:t xml:space="preserve">浙江省-江省东阳市</x:t>
        </x:is>
      </x:c>
      <x:c r="H3861" s="4" t="inlineStr">
        <x:is>
          <x:t xml:space="preserve">化学制药</x:t>
        </x:is>
      </x:c>
      <x:c r="I3861" s="4" t="inlineStr">
        <x:is>
          <x:t xml:space="preserve">2014-10-09</x:t>
        </x:is>
      </x:c>
      <x:c r="J3861" s="5" t="inlineStr">
        <x:is>
          <x:t xml:space="preserve">浙江省东阳市南马镇花园村</x:t>
        </x:is>
      </x:c>
      <x:c r="K3861" s="12" t="str">
        <x:f>LEFT("91330000725871364C",18)</x:f>
        <x:v>91330000725871364C</x:v>
      </x:c>
    </x:row>
    <x:row r="3862">
      <x:c r="A3862" s="2" t="n">
        <x:v>3861</x:v>
      </x:c>
      <x:c r="B3862" s="2" t="inlineStr">
        <x:is>
          <x:t xml:space="preserve">300411</x:t>
        </x:is>
      </x:c>
      <x:c r="C3862" s="3" t="inlineStr">
        <x:is>
          <x:t xml:space="preserve">金盾股份</x:t>
        </x:is>
      </x:c>
      <x:c r="D3862" s="3" t="inlineStr">
        <x:is>
          <x:t xml:space="preserve">浙江金盾风机股份有限公司</x:t>
        </x:is>
      </x:c>
      <x:c r="E3862" s="2" t="inlineStr">
        <x:is>
          <x:t xml:space="preserve">浙江省</x:t>
        </x:is>
      </x:c>
      <x:c r="F3862" s="2" t="inlineStr">
        <x:is>
          <x:t xml:space="preserve">绍兴市</x:t>
        </x:is>
      </x:c>
      <x:c r="G3862" s="3" t="inlineStr">
        <x:is>
          <x:t xml:space="preserve">浙江省-绍兴市</x:t>
        </x:is>
      </x:c>
      <x:c r="H3862" s="2" t="inlineStr">
        <x:is>
          <x:t xml:space="preserve">专用设备</x:t>
        </x:is>
      </x:c>
      <x:c r="I3862" s="2" t="inlineStr">
        <x:is>
          <x:t xml:space="preserve">2014-12-31</x:t>
        </x:is>
      </x:c>
      <x:c r="J3862" s="3" t="inlineStr">
        <x:is>
          <x:t xml:space="preserve">浙江省绍兴市上虞区章镇镇工业园区</x:t>
        </x:is>
      </x:c>
      <x:c r="K3862" s="12" t="str">
        <x:f>LEFT("913300007829495191",18)</x:f>
        <x:v>913300007829495200</x:v>
      </x:c>
    </x:row>
    <x:row r="3863">
      <x:c r="A3863" s="4" t="n">
        <x:v>3862</x:v>
      </x:c>
      <x:c r="B3863" s="4" t="inlineStr">
        <x:is>
          <x:t xml:space="preserve">300412</x:t>
        </x:is>
      </x:c>
      <x:c r="C3863" s="5" t="inlineStr">
        <x:is>
          <x:t xml:space="preserve">迦南科技</x:t>
        </x:is>
      </x:c>
      <x:c r="D3863" s="5" t="inlineStr">
        <x:is>
          <x:t xml:space="preserve">浙江迦南科技股份有限公司</x:t>
        </x:is>
      </x:c>
      <x:c r="E3863" s="4" t="inlineStr">
        <x:is>
          <x:t xml:space="preserve">浙江省</x:t>
        </x:is>
      </x:c>
      <x:c r="F3863" s="4" t="inlineStr">
        <x:is>
          <x:t xml:space="preserve">温州市</x:t>
        </x:is>
      </x:c>
      <x:c r="G3863" s="5" t="inlineStr">
        <x:is>
          <x:t xml:space="preserve">浙江省-温州市</x:t>
        </x:is>
      </x:c>
      <x:c r="H3863" s="4" t="inlineStr">
        <x:is>
          <x:t xml:space="preserve">专用设备</x:t>
        </x:is>
      </x:c>
      <x:c r="I3863" s="4" t="inlineStr">
        <x:is>
          <x:t xml:space="preserve">2014-12-31</x:t>
        </x:is>
      </x:c>
      <x:c r="J3863" s="5" t="inlineStr">
        <x:is>
          <x:t xml:space="preserve">浙江省温州市永嘉县瓯北街道江楠大道1188号</x:t>
        </x:is>
      </x:c>
      <x:c r="K3863" s="12" t="str">
        <x:f>LEFT("91330000683124669E",18)</x:f>
        <x:v>91330000683124669E</x:v>
      </x:c>
    </x:row>
    <x:row r="3864">
      <x:c r="A3864" s="2" t="n">
        <x:v>3863</x:v>
      </x:c>
      <x:c r="B3864" s="2" t="inlineStr">
        <x:is>
          <x:t xml:space="preserve">300426</x:t>
        </x:is>
      </x:c>
      <x:c r="C3864" s="3" t="inlineStr">
        <x:is>
          <x:t xml:space="preserve">华智数媒</x:t>
        </x:is>
      </x:c>
      <x:c r="D3864" s="3" t="inlineStr">
        <x:is>
          <x:t xml:space="preserve">浙江华智数媒传媒股份有限公司</x:t>
        </x:is>
      </x:c>
      <x:c r="E3864" s="2" t="inlineStr">
        <x:is>
          <x:t xml:space="preserve">浙江省</x:t>
        </x:is>
      </x:c>
      <x:c r="F3864" s="2" t="inlineStr">
        <x:is>
          <x:t xml:space="preserve">浙江东阳市</x:t>
        </x:is>
      </x:c>
      <x:c r="G3864" s="3" t="inlineStr">
        <x:is>
          <x:t xml:space="preserve">浙江省-浙江东阳市</x:t>
        </x:is>
      </x:c>
      <x:c r="H3864" s="2" t="inlineStr">
        <x:is>
          <x:t xml:space="preserve">文化传媒</x:t>
        </x:is>
      </x:c>
      <x:c r="I3864" s="2" t="inlineStr">
        <x:is>
          <x:t xml:space="preserve">2015-02-17</x:t>
        </x:is>
      </x:c>
      <x:c r="J3864" s="3" t="inlineStr">
        <x:is>
          <x:t xml:space="preserve">浙江东阳市横店影视产业实验区C3-028</x:t>
        </x:is>
      </x:c>
      <x:c r="K3864" s="12" t="str">
        <x:f>LEFT("91330000794397512J",18)</x:f>
        <x:v>91330000794397512J</x:v>
      </x:c>
    </x:row>
    <x:row r="3865">
      <x:c r="A3865" s="4" t="n">
        <x:v>3864</x:v>
      </x:c>
      <x:c r="B3865" s="4" t="inlineStr">
        <x:is>
          <x:t xml:space="preserve">300435</x:t>
        </x:is>
      </x:c>
      <x:c r="C3865" s="5" t="inlineStr">
        <x:is>
          <x:t xml:space="preserve">中泰股份</x:t>
        </x:is>
      </x:c>
      <x:c r="D3865" s="5" t="inlineStr">
        <x:is>
          <x:t xml:space="preserve">杭州中泰深冷技术股份有限公司</x:t>
        </x:is>
      </x:c>
      <x:c r="E3865" s="4" t="inlineStr">
        <x:is>
          <x:t xml:space="preserve">浙江省</x:t>
        </x:is>
      </x:c>
      <x:c r="F3865" s="4" t="inlineStr">
        <x:is>
          <x:t xml:space="preserve">杭州市</x:t>
        </x:is>
      </x:c>
      <x:c r="G3865" s="5" t="inlineStr">
        <x:is>
          <x:t xml:space="preserve">浙江省-杭州市</x:t>
        </x:is>
      </x:c>
      <x:c r="H3865" s="4" t="inlineStr">
        <x:is>
          <x:t xml:space="preserve">燃气</x:t>
        </x:is>
      </x:c>
      <x:c r="I3865" s="4" t="inlineStr">
        <x:is>
          <x:t xml:space="preserve">2015-03-26</x:t>
        </x:is>
      </x:c>
      <x:c r="J3865" s="5" t="inlineStr">
        <x:is>
          <x:t xml:space="preserve">杭州市富阳区东洲街道高尔夫路228号</x:t>
        </x:is>
      </x:c>
      <x:c r="K3865" s="12" t="str">
        <x:f>LEFT("91330000782388803N",18)</x:f>
        <x:v>91330000782388803N</x:v>
      </x:c>
    </x:row>
    <x:row r="3866">
      <x:c r="A3866" s="2" t="n">
        <x:v>3865</x:v>
      </x:c>
      <x:c r="B3866" s="2" t="inlineStr">
        <x:is>
          <x:t xml:space="preserve">300439</x:t>
        </x:is>
      </x:c>
      <x:c r="C3866" s="3" t="inlineStr">
        <x:is>
          <x:t xml:space="preserve">美康生物</x:t>
        </x:is>
      </x:c>
      <x:c r="D3866" s="3" t="inlineStr">
        <x:is>
          <x:t xml:space="preserve">美康生物科技股份有限公司</x:t>
        </x:is>
      </x:c>
      <x:c r="E3866" s="2" t="inlineStr">
        <x:is>
          <x:t xml:space="preserve">浙江省</x:t>
        </x:is>
      </x:c>
      <x:c r="F3866" s="2" t="inlineStr">
        <x:is>
          <x:t xml:space="preserve">宁波市</x:t>
        </x:is>
      </x:c>
      <x:c r="G3866" s="3" t="inlineStr">
        <x:is>
          <x:t xml:space="preserve">浙江省-宁波市</x:t>
        </x:is>
      </x:c>
      <x:c r="H3866" s="2" t="inlineStr">
        <x:is>
          <x:t xml:space="preserve">医疗器械</x:t>
        </x:is>
      </x:c>
      <x:c r="I3866" s="2" t="inlineStr">
        <x:is>
          <x:t xml:space="preserve">2015-04-22</x:t>
        </x:is>
      </x:c>
      <x:c r="J3866" s="3" t="inlineStr">
        <x:is>
          <x:t xml:space="preserve">宁波市鄞州区启明南路299号</x:t>
        </x:is>
      </x:c>
      <x:c r="K3866" s="12" t="str">
        <x:f>LEFT("913302007503871799",18)</x:f>
        <x:v>913302007503871700</x:v>
      </x:c>
    </x:row>
    <x:row r="3867">
      <x:c r="A3867" s="4" t="n">
        <x:v>3866</x:v>
      </x:c>
      <x:c r="B3867" s="4" t="inlineStr">
        <x:is>
          <x:t xml:space="preserve">300441</x:t>
        </x:is>
      </x:c>
      <x:c r="C3867" s="5" t="inlineStr">
        <x:is>
          <x:t xml:space="preserve">鲍斯股份</x:t>
        </x:is>
      </x:c>
      <x:c r="D3867" s="5" t="inlineStr">
        <x:is>
          <x:t xml:space="preserve">宁波鲍斯能源装备股份有限公司</x:t>
        </x:is>
      </x:c>
      <x:c r="E3867" s="4" t="inlineStr">
        <x:is>
          <x:t xml:space="preserve">浙江省</x:t>
        </x:is>
      </x:c>
      <x:c r="F3867" s="4" t="inlineStr">
        <x:is>
          <x:t xml:space="preserve">宁波市</x:t>
        </x:is>
      </x:c>
      <x:c r="G3867" s="5" t="inlineStr">
        <x:is>
          <x:t xml:space="preserve">浙江省-宁波市</x:t>
        </x:is>
      </x:c>
      <x:c r="H3867" s="4" t="inlineStr">
        <x:is>
          <x:t xml:space="preserve">机械行业</x:t>
        </x:is>
      </x:c>
      <x:c r="I3867" s="4" t="inlineStr">
        <x:is>
          <x:t xml:space="preserve">2015-04-23</x:t>
        </x:is>
      </x:c>
      <x:c r="J3867" s="5" t="inlineStr">
        <x:is>
          <x:t xml:space="preserve">浙江省宁波市奉化区西坞街道尚桥路18号</x:t>
        </x:is>
      </x:c>
      <x:c r="K3867" s="12" t="str">
        <x:f>LEFT("91330200674725577Q",18)</x:f>
        <x:v>91330200674725577Q</x:v>
      </x:c>
    </x:row>
    <x:row r="3868">
      <x:c r="A3868" s="2" t="n">
        <x:v>3867</x:v>
      </x:c>
      <x:c r="B3868" s="2" t="inlineStr">
        <x:is>
          <x:t xml:space="preserve">300451</x:t>
        </x:is>
      </x:c>
      <x:c r="C3868" s="3" t="inlineStr">
        <x:is>
          <x:t xml:space="preserve">创业慧康</x:t>
        </x:is>
      </x:c>
      <x:c r="D3868" s="3" t="inlineStr">
        <x:is>
          <x:t xml:space="preserve">创业慧康科技股份有限公司</x:t>
        </x:is>
      </x:c>
      <x:c r="E3868" s="2" t="inlineStr">
        <x:is>
          <x:t xml:space="preserve">浙江省</x:t>
        </x:is>
      </x:c>
      <x:c r="F3868" s="2" t="inlineStr">
        <x:is>
          <x:t xml:space="preserve">杭州市</x:t>
        </x:is>
      </x:c>
      <x:c r="G3868" s="3" t="inlineStr">
        <x:is>
          <x:t xml:space="preserve">浙江省-杭州市</x:t>
        </x:is>
      </x:c>
      <x:c r="H3868" s="2" t="inlineStr">
        <x:is>
          <x:t xml:space="preserve">软件服务</x:t>
        </x:is>
      </x:c>
      <x:c r="I3868" s="2" t="inlineStr">
        <x:is>
          <x:t xml:space="preserve">2015-05-14</x:t>
        </x:is>
      </x:c>
      <x:c r="J3868" s="3" t="inlineStr">
        <x:is>
          <x:t xml:space="preserve">浙江省杭州市滨江区浦沿街道坚塔街708号6楼</x:t>
        </x:is>
      </x:c>
      <x:c r="K3868" s="12" t="str">
        <x:f>LEFT("9133000025393934X6",18)</x:f>
        <x:v>9133000025393934X6</x:v>
      </x:c>
    </x:row>
    <x:row r="3869">
      <x:c r="A3869" s="4" t="n">
        <x:v>3868</x:v>
      </x:c>
      <x:c r="B3869" s="4" t="inlineStr">
        <x:is>
          <x:t xml:space="preserve">300459</x:t>
        </x:is>
      </x:c>
      <x:c r="C3869" s="5" t="inlineStr">
        <x:is>
          <x:t xml:space="preserve">汤姆猫</x:t>
        </x:is>
      </x:c>
      <x:c r="D3869" s="5" t="inlineStr">
        <x:is>
          <x:t xml:space="preserve">浙江金科汤姆猫文化产业股份有限公司</x:t>
        </x:is>
      </x:c>
      <x:c r="E3869" s="4" t="inlineStr">
        <x:is>
          <x:t xml:space="preserve">浙江省</x:t>
        </x:is>
      </x:c>
      <x:c r="F3869" s="4" t="inlineStr">
        <x:is>
          <x:t xml:space="preserve">绍兴市</x:t>
        </x:is>
      </x:c>
      <x:c r="G3869" s="5" t="inlineStr">
        <x:is>
          <x:t xml:space="preserve">浙江省-绍兴市</x:t>
        </x:is>
      </x:c>
      <x:c r="H3869" s="4" t="inlineStr">
        <x:is>
          <x:t xml:space="preserve">游戏</x:t>
        </x:is>
      </x:c>
      <x:c r="I3869" s="4" t="inlineStr">
        <x:is>
          <x:t xml:space="preserve">2015-05-15</x:t>
        </x:is>
      </x:c>
      <x:c r="J3869" s="5" t="inlineStr">
        <x:is>
          <x:t xml:space="preserve">浙江省绍兴市上虞区曹娥街道e游小镇门户客厅2号楼4层401</x:t>
        </x:is>
      </x:c>
      <x:c r="K3869" s="12" t="str">
        <x:f>LEFT("913300006628918505",18)</x:f>
        <x:v>913300006628918500</x:v>
      </x:c>
    </x:row>
    <x:row r="3870">
      <x:c r="A3870" s="2" t="n">
        <x:v>3869</x:v>
      </x:c>
      <x:c r="B3870" s="2" t="inlineStr">
        <x:is>
          <x:t xml:space="preserve">300461</x:t>
        </x:is>
      </x:c>
      <x:c r="C3870" s="3" t="inlineStr">
        <x:is>
          <x:t xml:space="preserve">田中精机</x:t>
        </x:is>
      </x:c>
      <x:c r="D3870" s="3" t="inlineStr">
        <x:is>
          <x:t xml:space="preserve">浙江田中精机股份有限公司</x:t>
        </x:is>
      </x:c>
      <x:c r="E3870" s="2" t="inlineStr">
        <x:is>
          <x:t xml:space="preserve">浙江省</x:t>
        </x:is>
      </x:c>
      <x:c r="F3870" s="2" t="inlineStr">
        <x:is>
          <x:t xml:space="preserve">嘉兴市</x:t>
        </x:is>
      </x:c>
      <x:c r="G3870" s="3" t="inlineStr">
        <x:is>
          <x:t xml:space="preserve">浙江省-嘉兴市</x:t>
        </x:is>
      </x:c>
      <x:c r="H3870" s="2" t="inlineStr">
        <x:is>
          <x:t xml:space="preserve">专用设备</x:t>
        </x:is>
      </x:c>
      <x:c r="I3870" s="2" t="inlineStr">
        <x:is>
          <x:t xml:space="preserve">2015-05-19</x:t>
        </x:is>
      </x:c>
      <x:c r="J3870" s="3" t="inlineStr">
        <x:is>
          <x:t xml:space="preserve">浙江省嘉善县姚庄镇新景路398号</x:t>
        </x:is>
      </x:c>
      <x:c r="K3870" s="12" t="str">
        <x:f>LEFT("91330000751199313Q",18)</x:f>
        <x:v>91330000751199313Q</x:v>
      </x:c>
    </x:row>
    <x:row r="3871">
      <x:c r="A3871" s="4" t="n">
        <x:v>3870</x:v>
      </x:c>
      <x:c r="B3871" s="4" t="inlineStr">
        <x:is>
          <x:t xml:space="preserve">300469</x:t>
        </x:is>
      </x:c>
      <x:c r="C3871" s="5" t="inlineStr">
        <x:is>
          <x:t xml:space="preserve">信息发展</x:t>
        </x:is>
      </x:c>
      <x:c r="D3871" s="5" t="inlineStr">
        <x:is>
          <x:t xml:space="preserve">交信(浙江)信息发展股份有限公司</x:t>
        </x:is>
      </x:c>
      <x:c r="E3871" s="4" t="inlineStr">
        <x:is>
          <x:t xml:space="preserve">浙江省</x:t>
        </x:is>
      </x:c>
      <x:c r="F3871" s="4" t="inlineStr">
        <x:is>
          <x:t xml:space="preserve">嘉兴市</x:t>
        </x:is>
      </x:c>
      <x:c r="G3871" s="5" t="inlineStr">
        <x:is>
          <x:t xml:space="preserve">浙江省-嘉兴市</x:t>
        </x:is>
      </x:c>
      <x:c r="H3871" s="4" t="inlineStr">
        <x:is>
          <x:t xml:space="preserve">软件服务</x:t>
        </x:is>
      </x:c>
      <x:c r="I3871" s="4" t="inlineStr">
        <x:is>
          <x:t xml:space="preserve">2015-06-11</x:t>
        </x:is>
      </x:c>
      <x:c r="J3871" s="5" t="inlineStr">
        <x:is>
          <x:t xml:space="preserve">浙江省嘉兴市南湖区东栅街道信德园16幢1室1层</x:t>
        </x:is>
      </x:c>
      <x:c r="K3871" s="12" t="str">
        <x:f>LEFT("913100001322925352",18)</x:f>
        <x:v>913100001322925300</x:v>
      </x:c>
    </x:row>
    <x:row r="3872">
      <x:c r="A3872" s="2" t="n">
        <x:v>3871</x:v>
      </x:c>
      <x:c r="B3872" s="2" t="inlineStr">
        <x:is>
          <x:t xml:space="preserve">300478</x:t>
        </x:is>
      </x:c>
      <x:c r="C3872" s="3" t="inlineStr">
        <x:is>
          <x:t xml:space="preserve">杭州高新</x:t>
        </x:is>
      </x:c>
      <x:c r="D3872" s="3" t="inlineStr">
        <x:is>
          <x:t xml:space="preserve">杭州高新材料科技股份有限公司</x:t>
        </x:is>
      </x:c>
      <x:c r="E3872" s="2" t="inlineStr">
        <x:is>
          <x:t xml:space="preserve">浙江省</x:t>
        </x:is>
      </x:c>
      <x:c r="F3872" s="2" t="inlineStr">
        <x:is>
          <x:t xml:space="preserve">杭州市</x:t>
        </x:is>
      </x:c>
      <x:c r="G3872" s="3" t="inlineStr">
        <x:is>
          <x:t xml:space="preserve">浙江省-杭州市</x:t>
        </x:is>
      </x:c>
      <x:c r="H3872" s="2" t="inlineStr">
        <x:is>
          <x:t xml:space="preserve">塑胶制品</x:t>
        </x:is>
      </x:c>
      <x:c r="I3872" s="2" t="inlineStr">
        <x:is>
          <x:t xml:space="preserve">2015-06-10</x:t>
        </x:is>
      </x:c>
      <x:c r="J3872" s="3" t="inlineStr">
        <x:is>
          <x:t xml:space="preserve">浙江省杭州市余杭区径山镇后村桥路3号</x:t>
        </x:is>
      </x:c>
      <x:c r="K3872" s="12" t="str">
        <x:f>LEFT("913300007682195527",18)</x:f>
        <x:v>913300007682195600</x:v>
      </x:c>
    </x:row>
    <x:row r="3873">
      <x:c r="A3873" s="4" t="n">
        <x:v>3872</x:v>
      </x:c>
      <x:c r="B3873" s="4" t="inlineStr">
        <x:is>
          <x:t xml:space="preserve">300488</x:t>
        </x:is>
      </x:c>
      <x:c r="C3873" s="5" t="inlineStr">
        <x:is>
          <x:t xml:space="preserve">恒锋工具</x:t>
        </x:is>
      </x:c>
      <x:c r="D3873" s="5" t="inlineStr">
        <x:is>
          <x:t xml:space="preserve">恒锋工具股份有限公司</x:t>
        </x:is>
      </x:c>
      <x:c r="E3873" s="4" t="inlineStr">
        <x:is>
          <x:t xml:space="preserve">浙江省</x:t>
        </x:is>
      </x:c>
      <x:c r="F3873" s="4" t="inlineStr">
        <x:is>
          <x:t xml:space="preserve">嘉兴市</x:t>
        </x:is>
      </x:c>
      <x:c r="G3873" s="5" t="inlineStr">
        <x:is>
          <x:t xml:space="preserve">浙江省-嘉兴市</x:t>
        </x:is>
      </x:c>
      <x:c r="H3873" s="4" t="inlineStr">
        <x:is>
          <x:t xml:space="preserve">通用设备</x:t>
        </x:is>
      </x:c>
      <x:c r="I3873" s="4" t="inlineStr">
        <x:is>
          <x:t xml:space="preserve">2015-07-01</x:t>
        </x:is>
      </x:c>
      <x:c r="J3873" s="5" t="inlineStr">
        <x:is>
          <x:t xml:space="preserve">浙江省嘉兴市海盐县武原街道海兴东路68号</x:t>
        </x:is>
      </x:c>
      <x:c r="K3873" s="12" t="str">
        <x:f>LEFT("91330000254847375U",18)</x:f>
        <x:v>91330000254847375U</x:v>
      </x:c>
    </x:row>
    <x:row r="3874">
      <x:c r="A3874" s="2" t="n">
        <x:v>3873</x:v>
      </x:c>
      <x:c r="B3874" s="2" t="inlineStr">
        <x:is>
          <x:t xml:space="preserve">300489</x:t>
        </x:is>
      </x:c>
      <x:c r="C3874" s="3" t="inlineStr">
        <x:is>
          <x:t xml:space="preserve">光智科技</x:t>
        </x:is>
      </x:c>
      <x:c r="D3874" s="3" t="inlineStr">
        <x:is>
          <x:t xml:space="preserve">光智科技股份有限公司</x:t>
        </x:is>
      </x:c>
      <x:c r="E3874" s="2" t="inlineStr">
        <x:is>
          <x:t xml:space="preserve">浙江省</x:t>
        </x:is>
      </x:c>
      <x:c r="F3874" s="2" t="inlineStr">
        <x:is>
          <x:t xml:space="preserve">衢州市</x:t>
        </x:is>
      </x:c>
      <x:c r="G3874" s="3" t="inlineStr">
        <x:is>
          <x:t xml:space="preserve">浙江省-衢州市</x:t>
        </x:is>
      </x:c>
      <x:c r="H3874" s="2" t="inlineStr">
        <x:is>
          <x:t xml:space="preserve">有色金属</x:t>
        </x:is>
      </x:c>
      <x:c r="I3874" s="2" t="inlineStr">
        <x:is>
          <x:t xml:space="preserve">2015-07-01</x:t>
        </x:is>
      </x:c>
      <x:c r="J3874" s="3" t="inlineStr">
        <x:is>
          <x:t xml:space="preserve">浙江省衢州市柯城区新新街道凯旋南路6号1幢A337室</x:t>
        </x:is>
      </x:c>
      <x:c r="K3874" s="12" t="str">
        <x:f>LEFT("912301997875329317",18)</x:f>
        <x:v>912301997875329300</x:v>
      </x:c>
    </x:row>
    <x:row r="3875">
      <x:c r="A3875" s="4" t="n">
        <x:v>3874</x:v>
      </x:c>
      <x:c r="B3875" s="4" t="inlineStr">
        <x:is>
          <x:t xml:space="preserve">300512</x:t>
        </x:is>
      </x:c>
      <x:c r="C3875" s="5" t="inlineStr">
        <x:is>
          <x:t xml:space="preserve">中亚股份</x:t>
        </x:is>
      </x:c>
      <x:c r="D3875" s="5" t="inlineStr">
        <x:is>
          <x:t xml:space="preserve">杭州中亚机械股份有限公司</x:t>
        </x:is>
      </x:c>
      <x:c r="E3875" s="4" t="inlineStr">
        <x:is>
          <x:t xml:space="preserve">浙江省</x:t>
        </x:is>
      </x:c>
      <x:c r="F3875" s="4" t="inlineStr">
        <x:is>
          <x:t xml:space="preserve">杭州市</x:t>
        </x:is>
      </x:c>
      <x:c r="G3875" s="5" t="inlineStr">
        <x:is>
          <x:t xml:space="preserve">浙江省-杭州市</x:t>
        </x:is>
      </x:c>
      <x:c r="H3875" s="4" t="inlineStr">
        <x:is>
          <x:t xml:space="preserve">专用设备</x:t>
        </x:is>
      </x:c>
      <x:c r="I3875" s="4" t="inlineStr">
        <x:is>
          <x:t xml:space="preserve">2016-05-26</x:t>
        </x:is>
      </x:c>
      <x:c r="J3875" s="5" t="inlineStr">
        <x:is>
          <x:t xml:space="preserve">浙江省杭州市拱墅区方家埭路189号</x:t>
        </x:is>
      </x:c>
      <x:c r="K3875" s="12" t="str">
        <x:f>LEFT("91330100710985166J",18)</x:f>
        <x:v>91330100710985166J</x:v>
      </x:c>
    </x:row>
    <x:row r="3876">
      <x:c r="A3876" s="2" t="n">
        <x:v>3875</x:v>
      </x:c>
      <x:c r="B3876" s="2" t="inlineStr">
        <x:is>
          <x:t xml:space="preserve">300519</x:t>
        </x:is>
      </x:c>
      <x:c r="C3876" s="3" t="inlineStr">
        <x:is>
          <x:t xml:space="preserve">新光药业</x:t>
        </x:is>
      </x:c>
      <x:c r="D3876" s="3" t="inlineStr">
        <x:is>
          <x:t xml:space="preserve">浙江新光药业股份有限公司</x:t>
        </x:is>
      </x:c>
      <x:c r="E3876" s="2" t="inlineStr">
        <x:is>
          <x:t xml:space="preserve">浙江省</x:t>
        </x:is>
      </x:c>
      <x:c r="F3876" s="2" t="inlineStr">
        <x:is>
          <x:t xml:space="preserve">江省嵊州市</x:t>
        </x:is>
      </x:c>
      <x:c r="G3876" s="3" t="inlineStr">
        <x:is>
          <x:t xml:space="preserve">浙江省-江省嵊州市</x:t>
        </x:is>
      </x:c>
      <x:c r="H3876" s="2" t="inlineStr">
        <x:is>
          <x:t xml:space="preserve">中药</x:t>
        </x:is>
      </x:c>
      <x:c r="I3876" s="2" t="inlineStr">
        <x:is>
          <x:t xml:space="preserve">2016-06-24</x:t>
        </x:is>
      </x:c>
      <x:c r="J3876" s="3" t="inlineStr">
        <x:is>
          <x:t xml:space="preserve">浙江省嵊州市剡湖街道环城西路25号</x:t>
        </x:is>
      </x:c>
      <x:c r="K3876" s="12" t="str">
        <x:f>LEFT("913300001463546966",18)</x:f>
        <x:v>913300001463547000</x:v>
      </x:c>
    </x:row>
    <x:row r="3877">
      <x:c r="A3877" s="4" t="n">
        <x:v>3876</x:v>
      </x:c>
      <x:c r="B3877" s="4" t="inlineStr">
        <x:is>
          <x:t xml:space="preserve">300539</x:t>
        </x:is>
      </x:c>
      <x:c r="C3877" s="5" t="inlineStr">
        <x:is>
          <x:t xml:space="preserve">横河精密</x:t>
        </x:is>
      </x:c>
      <x:c r="D3877" s="5" t="inlineStr">
        <x:is>
          <x:t xml:space="preserve">宁波横河精密工业股份有限公司</x:t>
        </x:is>
      </x:c>
      <x:c r="E3877" s="4" t="inlineStr">
        <x:is>
          <x:t xml:space="preserve">浙江省</x:t>
        </x:is>
      </x:c>
      <x:c r="F3877" s="4" t="inlineStr">
        <x:is>
          <x:t xml:space="preserve">慈溪市</x:t>
        </x:is>
      </x:c>
      <x:c r="G3877" s="5" t="inlineStr">
        <x:is>
          <x:t xml:space="preserve">浙江省-慈溪市</x:t>
        </x:is>
      </x:c>
      <x:c r="H3877" s="4" t="inlineStr">
        <x:is>
          <x:t xml:space="preserve">塑胶制品</x:t>
        </x:is>
      </x:c>
      <x:c r="I3877" s="4" t="inlineStr">
        <x:is>
          <x:t xml:space="preserve">2016-08-30</x:t>
        </x:is>
      </x:c>
      <x:c r="J3877" s="5" t="inlineStr">
        <x:is>
          <x:t xml:space="preserve">慈溪市新兴产业集群区宗汉街道新兴大道588号</x:t>
        </x:is>
      </x:c>
      <x:c r="K3877" s="12" t="str">
        <x:f>LEFT("9133020014469905X0",18)</x:f>
        <x:v>9133020014469905X0</x:v>
      </x:c>
    </x:row>
    <x:row r="3878">
      <x:c r="A3878" s="2" t="n">
        <x:v>3877</x:v>
      </x:c>
      <x:c r="B3878" s="2" t="inlineStr">
        <x:is>
          <x:t xml:space="preserve">300548</x:t>
        </x:is>
      </x:c>
      <x:c r="C3878" s="3" t="inlineStr">
        <x:is>
          <x:t xml:space="preserve">长芯博创</x:t>
        </x:is>
      </x:c>
      <x:c r="D3878" s="3" t="inlineStr">
        <x:is>
          <x:t xml:space="preserve">长芯博创科技股份有限公司</x:t>
        </x:is>
      </x:c>
      <x:c r="E3878" s="2" t="inlineStr">
        <x:is>
          <x:t xml:space="preserve">浙江省</x:t>
        </x:is>
      </x:c>
      <x:c r="F3878" s="2" t="inlineStr">
        <x:is>
          <x:t xml:space="preserve">嘉兴市</x:t>
        </x:is>
      </x:c>
      <x:c r="G3878" s="3" t="inlineStr">
        <x:is>
          <x:t xml:space="preserve">浙江省-嘉兴市</x:t>
        </x:is>
      </x:c>
      <x:c r="H3878" s="2" t="inlineStr">
        <x:is>
          <x:t xml:space="preserve">通讯行业</x:t>
        </x:is>
      </x:c>
      <x:c r="I3878" s="2" t="inlineStr">
        <x:is>
          <x:t xml:space="preserve">2016-10-12</x:t>
        </x:is>
      </x:c>
      <x:c r="J3878" s="3" t="inlineStr">
        <x:is>
          <x:t xml:space="preserve">浙江省嘉兴市南湖区亚太路306号1号楼</x:t>
        </x:is>
      </x:c>
      <x:c r="K3878" s="12" t="str">
        <x:f>LEFT("91330000751914583X",18)</x:f>
        <x:v>91330000751914583X</x:v>
      </x:c>
    </x:row>
    <x:row r="3879">
      <x:c r="A3879" s="4" t="n">
        <x:v>3878</x:v>
      </x:c>
      <x:c r="B3879" s="4" t="inlineStr">
        <x:is>
          <x:t xml:space="preserve">300550</x:t>
        </x:is>
      </x:c>
      <x:c r="C3879" s="5" t="inlineStr">
        <x:is>
          <x:t xml:space="preserve">和仁科技</x:t>
        </x:is>
      </x:c>
      <x:c r="D3879" s="5" t="inlineStr">
        <x:is>
          <x:t xml:space="preserve">浙江和仁科技股份有限公司</x:t>
        </x:is>
      </x:c>
      <x:c r="E3879" s="4" t="inlineStr">
        <x:is>
          <x:t xml:space="preserve">浙江省</x:t>
        </x:is>
      </x:c>
      <x:c r="F3879" s="4" t="inlineStr">
        <x:is>
          <x:t xml:space="preserve">杭州市</x:t>
        </x:is>
      </x:c>
      <x:c r="G3879" s="5" t="inlineStr">
        <x:is>
          <x:t xml:space="preserve">浙江省-杭州市</x:t>
        </x:is>
      </x:c>
      <x:c r="H3879" s="4" t="inlineStr">
        <x:is>
          <x:t xml:space="preserve">软件服务</x:t>
        </x:is>
      </x:c>
      <x:c r="I3879" s="4" t="inlineStr">
        <x:is>
          <x:t xml:space="preserve">2016-10-18</x:t>
        </x:is>
      </x:c>
      <x:c r="J3879" s="5" t="inlineStr">
        <x:is>
          <x:t xml:space="preserve">杭州市滨江区西兴街道新联路625号</x:t>
        </x:is>
      </x:c>
      <x:c r="K3879" s="12" t="str">
        <x:f>LEFT("91330100563023775L",18)</x:f>
        <x:v>91330100563023775L</x:v>
      </x:c>
    </x:row>
    <x:row r="3880">
      <x:c r="A3880" s="2" t="n">
        <x:v>3879</x:v>
      </x:c>
      <x:c r="B3880" s="2" t="inlineStr">
        <x:is>
          <x:t xml:space="preserve">300553</x:t>
        </x:is>
      </x:c>
      <x:c r="C3880" s="3" t="inlineStr">
        <x:is>
          <x:t xml:space="preserve">集智股份</x:t>
        </x:is>
      </x:c>
      <x:c r="D3880" s="3" t="inlineStr">
        <x:is>
          <x:t xml:space="preserve">杭州集智机电股份有限公司</x:t>
        </x:is>
      </x:c>
      <x:c r="E3880" s="2" t="inlineStr">
        <x:is>
          <x:t xml:space="preserve">浙江省</x:t>
        </x:is>
      </x:c>
      <x:c r="F3880" s="2" t="inlineStr">
        <x:is>
          <x:t xml:space="preserve">杭州市</x:t>
        </x:is>
      </x:c>
      <x:c r="G3880" s="3" t="inlineStr">
        <x:is>
          <x:t xml:space="preserve">浙江省-杭州市</x:t>
        </x:is>
      </x:c>
      <x:c r="H3880" s="2" t="inlineStr">
        <x:is>
          <x:t xml:space="preserve">仪器仪表</x:t>
        </x:is>
      </x:c>
      <x:c r="I3880" s="2" t="inlineStr">
        <x:is>
          <x:t xml:space="preserve">2016-10-21</x:t>
        </x:is>
      </x:c>
      <x:c r="J3880" s="3" t="inlineStr">
        <x:is>
          <x:t xml:space="preserve">浙江省杭州市西湖区莲池南路36号2号楼2001室</x:t>
        </x:is>
      </x:c>
      <x:c r="K3880" s="12" t="str">
        <x:f>LEFT("91330100762017394J",18)</x:f>
        <x:v>91330100762017394J</x:v>
      </x:c>
    </x:row>
    <x:row r="3881">
      <x:c r="A3881" s="4" t="n">
        <x:v>3880</x:v>
      </x:c>
      <x:c r="B3881" s="4" t="inlineStr">
        <x:is>
          <x:t xml:space="preserve">300558</x:t>
        </x:is>
      </x:c>
      <x:c r="C3881" s="5" t="inlineStr">
        <x:is>
          <x:t xml:space="preserve">贝达药业</x:t>
        </x:is>
      </x:c>
      <x:c r="D3881" s="5" t="inlineStr">
        <x:is>
          <x:t xml:space="preserve">贝达药业股份有限公司</x:t>
        </x:is>
      </x:c>
      <x:c r="E3881" s="4" t="inlineStr">
        <x:is>
          <x:t xml:space="preserve">浙江省</x:t>
        </x:is>
      </x:c>
      <x:c r="F3881" s="4" t="inlineStr">
        <x:is>
          <x:t xml:space="preserve">杭州市</x:t>
        </x:is>
      </x:c>
      <x:c r="G3881" s="5" t="inlineStr">
        <x:is>
          <x:t xml:space="preserve">浙江省-杭州市</x:t>
        </x:is>
      </x:c>
      <x:c r="H3881" s="4" t="inlineStr">
        <x:is>
          <x:t xml:space="preserve">医药制造</x:t>
        </x:is>
      </x:c>
      <x:c r="I3881" s="4" t="inlineStr">
        <x:is>
          <x:t xml:space="preserve">2016-11-07</x:t>
        </x:is>
      </x:c>
      <x:c r="J3881" s="5" t="inlineStr">
        <x:is>
          <x:t xml:space="preserve">浙江省杭州市余杭经济技术开发区兴中路355号</x:t>
        </x:is>
      </x:c>
      <x:c r="K3881" s="12" t="str">
        <x:f>LEFT("913301007463034461",18)</x:f>
        <x:v>913301007463034500</x:v>
      </x:c>
    </x:row>
    <x:row r="3882">
      <x:c r="A3882" s="2" t="n">
        <x:v>3881</x:v>
      </x:c>
      <x:c r="B3882" s="2" t="inlineStr">
        <x:is>
          <x:t xml:space="preserve">300566</x:t>
        </x:is>
      </x:c>
      <x:c r="C3882" s="3" t="inlineStr">
        <x:is>
          <x:t xml:space="preserve">激智科技</x:t>
        </x:is>
      </x:c>
      <x:c r="D3882" s="3" t="inlineStr">
        <x:is>
          <x:t xml:space="preserve">宁波激智科技股份有限公司</x:t>
        </x:is>
      </x:c>
      <x:c r="E3882" s="2" t="inlineStr">
        <x:is>
          <x:t xml:space="preserve">浙江省</x:t>
        </x:is>
      </x:c>
      <x:c r="F3882" s="2" t="inlineStr">
        <x:is>
          <x:t xml:space="preserve">宁波市</x:t>
        </x:is>
      </x:c>
      <x:c r="G3882" s="3" t="inlineStr">
        <x:is>
          <x:t xml:space="preserve">浙江省-宁波市</x:t>
        </x:is>
      </x:c>
      <x:c r="H3882" s="2" t="inlineStr">
        <x:is>
          <x:t xml:space="preserve">光学光电子</x:t>
        </x:is>
      </x:c>
      <x:c r="I3882" s="2" t="inlineStr">
        <x:is>
          <x:t xml:space="preserve">2016-11-15</x:t>
        </x:is>
      </x:c>
      <x:c r="J3882" s="3" t="inlineStr">
        <x:is>
          <x:t xml:space="preserve">宁波高新区晶源路9号</x:t>
        </x:is>
      </x:c>
      <x:c r="K3882" s="12" t="str">
        <x:f>LEFT("91330200799507506N",18)</x:f>
        <x:v>91330200799507506N</x:v>
      </x:c>
    </x:row>
    <x:row r="3883">
      <x:c r="A3883" s="4" t="n">
        <x:v>3882</x:v>
      </x:c>
      <x:c r="B3883" s="4" t="inlineStr">
        <x:is>
          <x:t xml:space="preserve">300571</x:t>
        </x:is>
      </x:c>
      <x:c r="C3883" s="5" t="inlineStr">
        <x:is>
          <x:t xml:space="preserve">平治信息</x:t>
        </x:is>
      </x:c>
      <x:c r="D3883" s="5" t="inlineStr">
        <x:is>
          <x:t xml:space="preserve">杭州平治信息技术股份有限公司</x:t>
        </x:is>
      </x:c>
      <x:c r="E3883" s="4" t="inlineStr">
        <x:is>
          <x:t xml:space="preserve">浙江省</x:t>
        </x:is>
      </x:c>
      <x:c r="F3883" s="4" t="inlineStr">
        <x:is>
          <x:t xml:space="preserve">杭州市</x:t>
        </x:is>
      </x:c>
      <x:c r="G3883" s="5" t="inlineStr">
        <x:is>
          <x:t xml:space="preserve">浙江省-杭州市</x:t>
        </x:is>
      </x:c>
      <x:c r="H3883" s="4" t="inlineStr">
        <x:is>
          <x:t xml:space="preserve">通信服务</x:t>
        </x:is>
      </x:c>
      <x:c r="I3883" s="4" t="inlineStr">
        <x:is>
          <x:t xml:space="preserve">2016-12-13</x:t>
        </x:is>
      </x:c>
      <x:c r="J3883" s="5" t="inlineStr">
        <x:is>
          <x:t xml:space="preserve">杭州市上城区九盛路9号A18幢5楼518室</x:t>
        </x:is>
      </x:c>
      <x:c r="K3883" s="12" t="str">
        <x:f>LEFT("913301047450789616",18)</x:f>
        <x:v>913301047450789600</x:v>
      </x:c>
    </x:row>
    <x:row r="3884">
      <x:c r="A3884" s="2" t="n">
        <x:v>3883</x:v>
      </x:c>
      <x:c r="B3884" s="2" t="inlineStr">
        <x:is>
          <x:t xml:space="preserve">300582</x:t>
        </x:is>
      </x:c>
      <x:c r="C3884" s="3" t="inlineStr">
        <x:is>
          <x:t xml:space="preserve">英飞特</x:t>
        </x:is>
      </x:c>
      <x:c r="D3884" s="3" t="inlineStr">
        <x:is>
          <x:t xml:space="preserve">英飞特电子(杭州)股份有限公司</x:t>
        </x:is>
      </x:c>
      <x:c r="E3884" s="2" t="inlineStr">
        <x:is>
          <x:t xml:space="preserve">浙江省</x:t>
        </x:is>
      </x:c>
      <x:c r="F3884" s="2" t="inlineStr">
        <x:is>
          <x:t xml:space="preserve">杭州市</x:t>
        </x:is>
      </x:c>
      <x:c r="G3884" s="3" t="inlineStr">
        <x:is>
          <x:t xml:space="preserve">浙江省-杭州市</x:t>
        </x:is>
      </x:c>
      <x:c r="H3884" s="2" t="inlineStr">
        <x:is>
          <x:t xml:space="preserve">光学光电子</x:t>
        </x:is>
      </x:c>
      <x:c r="I3884" s="2" t="inlineStr">
        <x:is>
          <x:t xml:space="preserve">2016-12-28</x:t>
        </x:is>
      </x:c>
      <x:c r="J3884" s="3" t="inlineStr">
        <x:is>
          <x:t xml:space="preserve">杭州市滨江区长河街道江虹路459号A座</x:t>
        </x:is>
      </x:c>
      <x:c r="K3884" s="12" t="str">
        <x:f>LEFT("91330100665226709C",18)</x:f>
        <x:v>91330100665226709C</x:v>
      </x:c>
    </x:row>
    <x:row r="3885">
      <x:c r="A3885" s="4" t="n">
        <x:v>3884</x:v>
      </x:c>
      <x:c r="B3885" s="4" t="inlineStr">
        <x:is>
          <x:t xml:space="preserve">300587</x:t>
        </x:is>
      </x:c>
      <x:c r="C3885" s="5" t="inlineStr">
        <x:is>
          <x:t xml:space="preserve">天铁科技</x:t>
        </x:is>
      </x:c>
      <x:c r="D3885" s="5" t="inlineStr">
        <x:is>
          <x:t xml:space="preserve">浙江天铁科技股份有限公司</x:t>
        </x:is>
      </x:c>
      <x:c r="E3885" s="4" t="inlineStr">
        <x:is>
          <x:t xml:space="preserve">浙江省</x:t>
        </x:is>
      </x:c>
      <x:c r="F3885" s="4" t="inlineStr">
        <x:is>
          <x:t xml:space="preserve">台州市</x:t>
        </x:is>
      </x:c>
      <x:c r="G3885" s="5" t="inlineStr">
        <x:is>
          <x:t xml:space="preserve">浙江省-台州市</x:t>
        </x:is>
      </x:c>
      <x:c r="H3885" s="4" t="inlineStr">
        <x:is>
          <x:t xml:space="preserve">橡胶制品</x:t>
        </x:is>
      </x:c>
      <x:c r="I3885" s="4" t="inlineStr">
        <x:is>
          <x:t xml:space="preserve">2017-01-05</x:t>
        </x:is>
      </x:c>
      <x:c r="J3885" s="5" t="inlineStr">
        <x:is>
          <x:t xml:space="preserve">浙江省台州市天台县人民东路928号</x:t>
        </x:is>
      </x:c>
      <x:c r="K3885" s="12" t="str">
        <x:f>LEFT("9133100075709503XC",18)</x:f>
        <x:v>9133100075709503XC</x:v>
      </x:c>
    </x:row>
    <x:row r="3886">
      <x:c r="A3886" s="2" t="n">
        <x:v>3885</x:v>
      </x:c>
      <x:c r="B3886" s="2" t="inlineStr">
        <x:is>
          <x:t xml:space="preserve">300604</x:t>
        </x:is>
      </x:c>
      <x:c r="C3886" s="3" t="inlineStr">
        <x:is>
          <x:t xml:space="preserve">长川科技</x:t>
        </x:is>
      </x:c>
      <x:c r="D3886" s="3" t="inlineStr">
        <x:is>
          <x:t xml:space="preserve">杭州长川科技股份有限公司</x:t>
        </x:is>
      </x:c>
      <x:c r="E3886" s="2" t="inlineStr">
        <x:is>
          <x:t xml:space="preserve">浙江省</x:t>
        </x:is>
      </x:c>
      <x:c r="F3886" s="2" t="inlineStr">
        <x:is>
          <x:t xml:space="preserve">杭州市</x:t>
        </x:is>
      </x:c>
      <x:c r="G3886" s="3" t="inlineStr">
        <x:is>
          <x:t xml:space="preserve">浙江省-杭州市</x:t>
        </x:is>
      </x:c>
      <x:c r="H3886" s="2" t="inlineStr">
        <x:is>
          <x:t xml:space="preserve">半导体</x:t>
        </x:is>
      </x:c>
      <x:c r="I3886" s="2" t="inlineStr">
        <x:is>
          <x:t xml:space="preserve">2017-04-17</x:t>
        </x:is>
      </x:c>
      <x:c r="J3886" s="3" t="inlineStr">
        <x:is>
          <x:t xml:space="preserve">杭州市滨江区聚才路410号</x:t>
        </x:is>
      </x:c>
      <x:c r="K3886" s="12" t="str">
        <x:f>LEFT("91330100673958539H",18)</x:f>
        <x:v>91330100673958539H</x:v>
      </x:c>
    </x:row>
    <x:row r="3887">
      <x:c r="A3887" s="4" t="n">
        <x:v>3886</x:v>
      </x:c>
      <x:c r="B3887" s="4" t="inlineStr">
        <x:is>
          <x:t xml:space="preserve">300611</x:t>
        </x:is>
      </x:c>
      <x:c r="C3887" s="5" t="inlineStr">
        <x:is>
          <x:t xml:space="preserve">美力科技</x:t>
        </x:is>
      </x:c>
      <x:c r="D3887" s="5" t="inlineStr">
        <x:is>
          <x:t xml:space="preserve">浙江美力科技股份有限公司</x:t>
        </x:is>
      </x:c>
      <x:c r="E3887" s="4" t="inlineStr">
        <x:is>
          <x:t xml:space="preserve">浙江省</x:t>
        </x:is>
      </x:c>
      <x:c r="F3887" s="4" t="inlineStr">
        <x:is>
          <x:t xml:space="preserve">绍兴市</x:t>
        </x:is>
      </x:c>
      <x:c r="G3887" s="5" t="inlineStr">
        <x:is>
          <x:t xml:space="preserve">浙江省-绍兴市</x:t>
        </x:is>
      </x:c>
      <x:c r="H3887" s="4" t="inlineStr">
        <x:is>
          <x:t xml:space="preserve">汽车零部件</x:t>
        </x:is>
      </x:c>
      <x:c r="I3887" s="4" t="inlineStr">
        <x:is>
          <x:t xml:space="preserve">2017-02-20</x:t>
        </x:is>
      </x:c>
      <x:c r="J3887" s="5" t="inlineStr">
        <x:is>
          <x:t xml:space="preserve">浙江省绍兴市新昌县文华路1号</x:t>
        </x:is>
      </x:c>
      <x:c r="K3887" s="12" t="str">
        <x:f>LEFT("91330600739910598X",18)</x:f>
        <x:v>91330600739910598X</x:v>
      </x:c>
    </x:row>
    <x:row r="3888">
      <x:c r="A3888" s="2" t="n">
        <x:v>3887</x:v>
      </x:c>
      <x:c r="B3888" s="2" t="inlineStr">
        <x:is>
          <x:t xml:space="preserve">300626</x:t>
        </x:is>
      </x:c>
      <x:c r="C3888" s="3" t="inlineStr">
        <x:is>
          <x:t xml:space="preserve">华瑞股份</x:t>
        </x:is>
      </x:c>
      <x:c r="D3888" s="3" t="inlineStr">
        <x:is>
          <x:t xml:space="preserve">华瑞电器股份有限公司</x:t>
        </x:is>
      </x:c>
      <x:c r="E3888" s="2" t="inlineStr">
        <x:is>
          <x:t xml:space="preserve">浙江省</x:t>
        </x:is>
      </x:c>
      <x:c r="F3888" s="2" t="inlineStr">
        <x:is>
          <x:t xml:space="preserve">宁波市</x:t>
        </x:is>
      </x:c>
      <x:c r="G3888" s="3" t="inlineStr">
        <x:is>
          <x:t xml:space="preserve">浙江省-宁波市</x:t>
        </x:is>
      </x:c>
      <x:c r="H3888" s="2" t="inlineStr">
        <x:is>
          <x:t xml:space="preserve">电机</x:t>
        </x:is>
      </x:c>
      <x:c r="I3888" s="2" t="inlineStr">
        <x:is>
          <x:t xml:space="preserve">2017-03-20</x:t>
        </x:is>
      </x:c>
      <x:c r="J3888" s="3" t="inlineStr">
        <x:is>
          <x:t xml:space="preserve">宁波市鄞州区姜山镇科技园区</x:t>
        </x:is>
      </x:c>
      <x:c r="K3888" s="12" t="str">
        <x:f>LEFT("91330200144565596J",18)</x:f>
        <x:v>91330200144565596J</x:v>
      </x:c>
    </x:row>
    <x:row r="3889">
      <x:c r="A3889" s="4" t="n">
        <x:v>3888</x:v>
      </x:c>
      <x:c r="B3889" s="4" t="inlineStr">
        <x:is>
          <x:t xml:space="preserve">300637</x:t>
        </x:is>
      </x:c>
      <x:c r="C3889" s="5" t="inlineStr">
        <x:is>
          <x:t xml:space="preserve">扬帆新材</x:t>
        </x:is>
      </x:c>
      <x:c r="D3889" s="5" t="inlineStr">
        <x:is>
          <x:t xml:space="preserve">扬帆新材料(浙江)股份有限公司</x:t>
        </x:is>
      </x:c>
      <x:c r="E3889" s="4" t="inlineStr">
        <x:is>
          <x:t xml:space="preserve">浙江省</x:t>
        </x:is>
      </x:c>
      <x:c r="F3889" s="4" t="inlineStr">
        <x:is>
          <x:t xml:space="preserve">杭州市</x:t>
        </x:is>
      </x:c>
      <x:c r="G3889" s="5" t="inlineStr">
        <x:is>
          <x:t xml:space="preserve">浙江省-杭州市</x:t>
        </x:is>
      </x:c>
      <x:c r="H3889" s="4" t="inlineStr">
        <x:is>
          <x:t xml:space="preserve">化学制品</x:t>
        </x:is>
      </x:c>
      <x:c r="I3889" s="4" t="inlineStr">
        <x:is>
          <x:t xml:space="preserve">2017-04-12</x:t>
        </x:is>
      </x:c>
      <x:c r="J3889" s="5" t="inlineStr">
        <x:is>
          <x:t xml:space="preserve">浙江省绍兴市杭州湾上虞经济技术开发区纬三路25号</x:t>
        </x:is>
      </x:c>
      <x:c r="K3889" s="12" t="str">
        <x:f>LEFT("91330600745085889D",18)</x:f>
        <x:v>91330600745085889D</x:v>
      </x:c>
    </x:row>
    <x:row r="3890">
      <x:c r="A3890" s="2" t="n">
        <x:v>3889</x:v>
      </x:c>
      <x:c r="B3890" s="2" t="inlineStr">
        <x:is>
          <x:t xml:space="preserve">300643</x:t>
        </x:is>
      </x:c>
      <x:c r="C3890" s="3" t="inlineStr">
        <x:is>
          <x:t xml:space="preserve">万通智控</x:t>
        </x:is>
      </x:c>
      <x:c r="D3890" s="3" t="inlineStr">
        <x:is>
          <x:t xml:space="preserve">万通智控科技股份有限公司</x:t>
        </x:is>
      </x:c>
      <x:c r="E3890" s="2" t="inlineStr">
        <x:is>
          <x:t xml:space="preserve">浙江省</x:t>
        </x:is>
      </x:c>
      <x:c r="F3890" s="2" t="inlineStr">
        <x:is>
          <x:t xml:space="preserve">杭州市</x:t>
        </x:is>
      </x:c>
      <x:c r="G3890" s="3" t="inlineStr">
        <x:is>
          <x:t xml:space="preserve">浙江省-杭州市</x:t>
        </x:is>
      </x:c>
      <x:c r="H3890" s="2" t="inlineStr">
        <x:is>
          <x:t xml:space="preserve">汽车行业</x:t>
        </x:is>
      </x:c>
      <x:c r="I3890" s="2" t="inlineStr">
        <x:is>
          <x:t xml:space="preserve">2017-05-05</x:t>
        </x:is>
      </x:c>
      <x:c r="J3890" s="3" t="inlineStr">
        <x:is>
          <x:t xml:space="preserve">浙江省杭州市临平区昌达路122号</x:t>
        </x:is>
      </x:c>
      <x:c r="K3890" s="12" t="str">
        <x:f>LEFT("91330100609132142D",18)</x:f>
        <x:v>91330100609132142D</x:v>
      </x:c>
    </x:row>
    <x:row r="3891">
      <x:c r="A3891" s="4" t="n">
        <x:v>3890</x:v>
      </x:c>
      <x:c r="B3891" s="4" t="inlineStr">
        <x:is>
          <x:t xml:space="preserve">300645</x:t>
        </x:is>
      </x:c>
      <x:c r="C3891" s="5" t="inlineStr">
        <x:is>
          <x:t xml:space="preserve">正元智慧</x:t>
        </x:is>
      </x:c>
      <x:c r="D3891" s="5" t="inlineStr">
        <x:is>
          <x:t xml:space="preserve">正元智慧集团股份有限公司</x:t>
        </x:is>
      </x:c>
      <x:c r="E3891" s="4" t="inlineStr">
        <x:is>
          <x:t xml:space="preserve">浙江省</x:t>
        </x:is>
      </x:c>
      <x:c r="F3891" s="4" t="inlineStr">
        <x:is>
          <x:t xml:space="preserve">杭州市</x:t>
        </x:is>
      </x:c>
      <x:c r="G3891" s="5" t="inlineStr">
        <x:is>
          <x:t xml:space="preserve">浙江省-杭州市</x:t>
        </x:is>
      </x:c>
      <x:c r="H3891" s="4" t="inlineStr">
        <x:is>
          <x:t xml:space="preserve">互联网服务</x:t>
        </x:is>
      </x:c>
      <x:c r="I3891" s="4" t="inlineStr">
        <x:is>
          <x:t xml:space="preserve">2017-04-21</x:t>
        </x:is>
      </x:c>
      <x:c r="J3891" s="5" t="inlineStr">
        <x:is>
          <x:t xml:space="preserve">浙江省杭州市余杭区舒心路359号正元智慧大厦A幢17层</x:t>
        </x:is>
      </x:c>
      <x:c r="K3891" s="12" t="str">
        <x:f>LEFT("913300007200827022",18)</x:f>
        <x:v>913300007200827000</x:v>
      </x:c>
    </x:row>
    <x:row r="3892">
      <x:c r="A3892" s="2" t="n">
        <x:v>3891</x:v>
      </x:c>
      <x:c r="B3892" s="2" t="inlineStr">
        <x:is>
          <x:t xml:space="preserve">300649</x:t>
        </x:is>
      </x:c>
      <x:c r="C3892" s="3" t="inlineStr">
        <x:is>
          <x:t xml:space="preserve">杭州园林</x:t>
        </x:is>
      </x:c>
      <x:c r="D3892" s="3" t="inlineStr">
        <x:is>
          <x:t xml:space="preserve">杭州园林设计院股份有限公司</x:t>
        </x:is>
      </x:c>
      <x:c r="E3892" s="2" t="inlineStr">
        <x:is>
          <x:t xml:space="preserve">浙江省</x:t>
        </x:is>
      </x:c>
      <x:c r="F3892" s="2" t="inlineStr">
        <x:is>
          <x:t xml:space="preserve">杭州市</x:t>
        </x:is>
      </x:c>
      <x:c r="G3892" s="3" t="inlineStr">
        <x:is>
          <x:t xml:space="preserve">浙江省-杭州市</x:t>
        </x:is>
      </x:c>
      <x:c r="H3892" s="2" t="inlineStr">
        <x:is>
          <x:t xml:space="preserve">工程咨询服务</x:t>
        </x:is>
      </x:c>
      <x:c r="I3892" s="2" t="inlineStr">
        <x:is>
          <x:t xml:space="preserve">2017-05-05</x:t>
        </x:is>
      </x:c>
      <x:c r="J3892" s="3" t="inlineStr">
        <x:is>
          <x:t xml:space="preserve">杭州市余杭区五常街道高顺路8号1幢363室</x:t>
        </x:is>
      </x:c>
      <x:c r="K3892" s="12" t="str">
        <x:f>LEFT("91330100733232239N",18)</x:f>
        <x:v>91330100733232239N</x:v>
      </x:c>
    </x:row>
    <x:row r="3893">
      <x:c r="A3893" s="4" t="n">
        <x:v>3892</x:v>
      </x:c>
      <x:c r="B3893" s="4" t="inlineStr">
        <x:is>
          <x:t xml:space="preserve">300652</x:t>
        </x:is>
      </x:c>
      <x:c r="C3893" s="5" t="inlineStr">
        <x:is>
          <x:t xml:space="preserve">雷迪克</x:t>
        </x:is>
      </x:c>
      <x:c r="D3893" s="5" t="inlineStr">
        <x:is>
          <x:t xml:space="preserve">杭州雷迪克节能科技股份有限公司</x:t>
        </x:is>
      </x:c>
      <x:c r="E3893" s="4" t="inlineStr">
        <x:is>
          <x:t xml:space="preserve">浙江省</x:t>
        </x:is>
      </x:c>
      <x:c r="F3893" s="4" t="inlineStr">
        <x:is>
          <x:t xml:space="preserve">杭州市</x:t>
        </x:is>
      </x:c>
      <x:c r="G3893" s="5" t="inlineStr">
        <x:is>
          <x:t xml:space="preserve">浙江省-杭州市</x:t>
        </x:is>
      </x:c>
      <x:c r="H3893" s="4" t="inlineStr">
        <x:is>
          <x:t xml:space="preserve">汽车行业</x:t>
        </x:is>
      </x:c>
      <x:c r="I3893" s="4" t="inlineStr">
        <x:is>
          <x:t xml:space="preserve">2017-05-16</x:t>
        </x:is>
      </x:c>
      <x:c r="J3893" s="5" t="inlineStr">
        <x:is>
          <x:t xml:space="preserve">杭州萧山经济技术开发区桥南区块春潮路89号</x:t>
        </x:is>
      </x:c>
      <x:c r="K3893" s="12" t="str">
        <x:f>LEFT("91330100744131994K",18)</x:f>
        <x:v>91330100744131994K</x:v>
      </x:c>
    </x:row>
    <x:row r="3894">
      <x:c r="A3894" s="2" t="n">
        <x:v>3893</x:v>
      </x:c>
      <x:c r="B3894" s="2" t="inlineStr">
        <x:is>
          <x:t xml:space="preserve">300666</x:t>
        </x:is>
      </x:c>
      <x:c r="C3894" s="3" t="inlineStr">
        <x:is>
          <x:t xml:space="preserve">江丰电子</x:t>
        </x:is>
      </x:c>
      <x:c r="D3894" s="3" t="inlineStr">
        <x:is>
          <x:t xml:space="preserve">宁波江丰电子材料股份有限公司</x:t>
        </x:is>
      </x:c>
      <x:c r="E3894" s="2" t="inlineStr">
        <x:is>
          <x:t xml:space="preserve">浙江省</x:t>
        </x:is>
      </x:c>
      <x:c r="F3894" s="2" t="inlineStr">
        <x:is>
          <x:t xml:space="preserve">余姚市</x:t>
        </x:is>
      </x:c>
      <x:c r="G3894" s="3" t="inlineStr">
        <x:is>
          <x:t xml:space="preserve">浙江省-余姚市</x:t>
        </x:is>
      </x:c>
      <x:c r="H3894" s="2" t="inlineStr">
        <x:is>
          <x:t xml:space="preserve">半导体</x:t>
        </x:is>
      </x:c>
      <x:c r="I3894" s="2" t="inlineStr">
        <x:is>
          <x:t xml:space="preserve">2017-06-15</x:t>
        </x:is>
      </x:c>
      <x:c r="J3894" s="3" t="inlineStr">
        <x:is>
          <x:t xml:space="preserve">余姚市经济开发区名邦科技工业园区安山路</x:t>
        </x:is>
      </x:c>
      <x:c r="K3894" s="12" t="str">
        <x:f>LEFT("91330200772311538P",18)</x:f>
        <x:v>91330200772311538P</x:v>
      </x:c>
    </x:row>
    <x:row r="3895">
      <x:c r="A3895" s="4" t="n">
        <x:v>3894</x:v>
      </x:c>
      <x:c r="B3895" s="4" t="inlineStr">
        <x:is>
          <x:t xml:space="preserve">300669</x:t>
        </x:is>
      </x:c>
      <x:c r="C3895" s="5" t="inlineStr">
        <x:is>
          <x:t xml:space="preserve">沪宁股份</x:t>
        </x:is>
      </x:c>
      <x:c r="D3895" s="5" t="inlineStr">
        <x:is>
          <x:t xml:space="preserve">杭州沪宁电梯部件股份有限公司</x:t>
        </x:is>
      </x:c>
      <x:c r="E3895" s="4" t="inlineStr">
        <x:is>
          <x:t xml:space="preserve">浙江省</x:t>
        </x:is>
      </x:c>
      <x:c r="F3895" s="4" t="inlineStr">
        <x:is>
          <x:t xml:space="preserve">杭州市</x:t>
        </x:is>
      </x:c>
      <x:c r="G3895" s="5" t="inlineStr">
        <x:is>
          <x:t xml:space="preserve">浙江省-杭州市</x:t>
        </x:is>
      </x:c>
      <x:c r="H3895" s="4" t="inlineStr">
        <x:is>
          <x:t xml:space="preserve">专用设备</x:t>
        </x:is>
      </x:c>
      <x:c r="I3895" s="4" t="inlineStr">
        <x:is>
          <x:t xml:space="preserve">2017-06-29</x:t>
        </x:is>
      </x:c>
      <x:c r="J3895" s="5" t="inlineStr">
        <x:is>
          <x:t xml:space="preserve">浙江省杭州市余杭区中泰街道石鸽社区</x:t>
        </x:is>
      </x:c>
      <x:c r="K3895" s="12" t="str">
        <x:f>LEFT("913301002554310997",18)</x:f>
        <x:v>913301002554311000</x:v>
      </x:c>
    </x:row>
    <x:row r="3896">
      <x:c r="A3896" s="2" t="n">
        <x:v>3895</x:v>
      </x:c>
      <x:c r="B3896" s="2" t="inlineStr">
        <x:is>
          <x:t xml:space="preserve">300673</x:t>
        </x:is>
      </x:c>
      <x:c r="C3896" s="3" t="inlineStr">
        <x:is>
          <x:t xml:space="preserve">佩蒂股份</x:t>
        </x:is>
      </x:c>
      <x:c r="D3896" s="3" t="inlineStr">
        <x:is>
          <x:t xml:space="preserve">佩蒂动物营养科技股份有限公司</x:t>
        </x:is>
      </x:c>
      <x:c r="E3896" s="2" t="inlineStr">
        <x:is>
          <x:t xml:space="preserve">浙江省</x:t>
        </x:is>
      </x:c>
      <x:c r="F3896" s="2" t="inlineStr">
        <x:is>
          <x:t xml:space="preserve">温州市</x:t>
        </x:is>
      </x:c>
      <x:c r="G3896" s="3" t="inlineStr">
        <x:is>
          <x:t xml:space="preserve">浙江省-温州市</x:t>
        </x:is>
      </x:c>
      <x:c r="H3896" s="2" t="inlineStr">
        <x:is>
          <x:t xml:space="preserve">农牧饲渔</x:t>
        </x:is>
      </x:c>
      <x:c r="I3896" s="2" t="inlineStr">
        <x:is>
          <x:t xml:space="preserve">2017-07-11</x:t>
        </x:is>
      </x:c>
      <x:c r="J3896" s="3" t="inlineStr">
        <x:is>
          <x:t xml:space="preserve">浙江省平阳县水头镇工业园区宠乐路2号</x:t>
        </x:is>
      </x:c>
      <x:c r="K3896" s="12" t="str">
        <x:f>LEFT("913303007441123125",18)</x:f>
        <x:v>913303007441123100</x:v>
      </x:c>
    </x:row>
    <x:row r="3897">
      <x:c r="A3897" s="4" t="n">
        <x:v>3896</x:v>
      </x:c>
      <x:c r="B3897" s="4" t="inlineStr">
        <x:is>
          <x:t xml:space="preserve">300695</x:t>
        </x:is>
      </x:c>
      <x:c r="C3897" s="5" t="inlineStr">
        <x:is>
          <x:t xml:space="preserve">兆丰股份</x:t>
        </x:is>
      </x:c>
      <x:c r="D3897" s="5" t="inlineStr">
        <x:is>
          <x:t xml:space="preserve">浙江兆丰机电股份有限公司</x:t>
        </x:is>
      </x:c>
      <x:c r="E3897" s="4" t="inlineStr">
        <x:is>
          <x:t xml:space="preserve">浙江省</x:t>
        </x:is>
      </x:c>
      <x:c r="F3897" s="4" t="inlineStr">
        <x:is>
          <x:t xml:space="preserve">杭州市</x:t>
        </x:is>
      </x:c>
      <x:c r="G3897" s="5" t="inlineStr">
        <x:is>
          <x:t xml:space="preserve">浙江省-杭州市</x:t>
        </x:is>
      </x:c>
      <x:c r="H3897" s="4" t="inlineStr">
        <x:is>
          <x:t xml:space="preserve">汽车行业</x:t>
        </x:is>
      </x:c>
      <x:c r="I3897" s="4" t="inlineStr">
        <x:is>
          <x:t xml:space="preserve">2017-09-08</x:t>
        </x:is>
      </x:c>
      <x:c r="J3897" s="5" t="inlineStr">
        <x:is>
          <x:t xml:space="preserve">杭州市萧山经济技术开发区桥南区块兆丰路6号</x:t>
        </x:is>
      </x:c>
      <x:c r="K3897" s="12" t="str">
        <x:f>LEFT("913300007450544091",18)</x:f>
        <x:v>913300007450544100</x:v>
      </x:c>
    </x:row>
    <x:row r="3898">
      <x:c r="A3898" s="2" t="n">
        <x:v>3897</x:v>
      </x:c>
      <x:c r="B3898" s="2" t="inlineStr">
        <x:is>
          <x:t xml:space="preserve">300698</x:t>
        </x:is>
      </x:c>
      <x:c r="C3898" s="3" t="inlineStr">
        <x:is>
          <x:t xml:space="preserve">万马科技</x:t>
        </x:is>
      </x:c>
      <x:c r="D3898" s="3" t="inlineStr">
        <x:is>
          <x:t xml:space="preserve">万马科技股份有限公司</x:t>
        </x:is>
      </x:c>
      <x:c r="E3898" s="2" t="inlineStr">
        <x:is>
          <x:t xml:space="preserve">浙江省</x:t>
        </x:is>
      </x:c>
      <x:c r="F3898" s="2" t="inlineStr">
        <x:is>
          <x:t xml:space="preserve">杭州市</x:t>
        </x:is>
      </x:c>
      <x:c r="G3898" s="3" t="inlineStr">
        <x:is>
          <x:t xml:space="preserve">浙江省-杭州市</x:t>
        </x:is>
      </x:c>
      <x:c r="H3898" s="2" t="inlineStr">
        <x:is>
          <x:t xml:space="preserve">通讯行业</x:t>
        </x:is>
      </x:c>
      <x:c r="I3898" s="2" t="inlineStr">
        <x:is>
          <x:t xml:space="preserve">2017-08-31</x:t>
        </x:is>
      </x:c>
      <x:c r="J3898" s="3" t="inlineStr">
        <x:is>
          <x:t xml:space="preserve">浙江省杭州市临安区太湖源镇青云村</x:t>
        </x:is>
      </x:c>
      <x:c r="K3898" s="12" t="str">
        <x:f>LEFT("91330100143779306C",18)</x:f>
        <x:v>91330100143779306C</x:v>
      </x:c>
    </x:row>
    <x:row r="3899">
      <x:c r="A3899" s="4" t="n">
        <x:v>3898</x:v>
      </x:c>
      <x:c r="B3899" s="4" t="inlineStr">
        <x:is>
          <x:t xml:space="preserve">300702</x:t>
        </x:is>
      </x:c>
      <x:c r="C3899" s="5" t="inlineStr">
        <x:is>
          <x:t xml:space="preserve">天宇股份</x:t>
        </x:is>
      </x:c>
      <x:c r="D3899" s="5" t="inlineStr">
        <x:is>
          <x:t xml:space="preserve">浙江天宇药业股份有限公司</x:t>
        </x:is>
      </x:c>
      <x:c r="E3899" s="4" t="inlineStr">
        <x:is>
          <x:t xml:space="preserve">浙江省</x:t>
        </x:is>
      </x:c>
      <x:c r="F3899" s="4" t="inlineStr">
        <x:is>
          <x:t xml:space="preserve">台州市</x:t>
        </x:is>
      </x:c>
      <x:c r="G3899" s="5" t="inlineStr">
        <x:is>
          <x:t xml:space="preserve">浙江省-台州市</x:t>
        </x:is>
      </x:c>
      <x:c r="H3899" s="4" t="inlineStr">
        <x:is>
          <x:t xml:space="preserve">医药制造</x:t>
        </x:is>
      </x:c>
      <x:c r="I3899" s="4" t="inlineStr">
        <x:is>
          <x:t xml:space="preserve">2017-09-19</x:t>
        </x:is>
      </x:c>
      <x:c r="J3899" s="5" t="inlineStr">
        <x:is>
          <x:t xml:space="preserve">台州市黄岩江口化工开发区</x:t>
        </x:is>
      </x:c>
      <x:c r="K3899" s="12" t="str">
        <x:f>LEFT("91331000148144211K",18)</x:f>
        <x:v>91331000148144211K</x:v>
      </x:c>
    </x:row>
    <x:row r="3900">
      <x:c r="A3900" s="2" t="n">
        <x:v>3899</x:v>
      </x:c>
      <x:c r="B3900" s="2" t="inlineStr">
        <x:is>
          <x:t xml:space="preserve">300703</x:t>
        </x:is>
      </x:c>
      <x:c r="C3900" s="3" t="inlineStr">
        <x:is>
          <x:t xml:space="preserve">创源股份</x:t>
        </x:is>
      </x:c>
      <x:c r="D3900" s="3" t="inlineStr">
        <x:is>
          <x:t xml:space="preserve">宁波创源文化发展股份有限公司</x:t>
        </x:is>
      </x:c>
      <x:c r="E3900" s="2" t="inlineStr">
        <x:is>
          <x:t xml:space="preserve">浙江省</x:t>
        </x:is>
      </x:c>
      <x:c r="F3900" s="2" t="inlineStr">
        <x:is>
          <x:t xml:space="preserve">宁波市</x:t>
        </x:is>
      </x:c>
      <x:c r="G3900" s="3" t="inlineStr">
        <x:is>
          <x:t xml:space="preserve">浙江省-宁波市</x:t>
        </x:is>
      </x:c>
      <x:c r="H3900" s="2" t="inlineStr">
        <x:is>
          <x:t xml:space="preserve">家用轻工</x:t>
        </x:is>
      </x:c>
      <x:c r="I3900" s="2" t="inlineStr">
        <x:is>
          <x:t xml:space="preserve">2017-09-19</x:t>
        </x:is>
      </x:c>
      <x:c r="J3900" s="3" t="inlineStr">
        <x:is>
          <x:t xml:space="preserve">浙江省宁波市北仑区大碶街道人民北路688号1幢A座</x:t>
        </x:is>
      </x:c>
      <x:c r="K3900" s="12" t="str">
        <x:f>LEFT("9133020072812724XH",18)</x:f>
        <x:v>9133020072812724XH</x:v>
      </x:c>
    </x:row>
    <x:row r="3901">
      <x:c r="A3901" s="4" t="n">
        <x:v>3900</x:v>
      </x:c>
      <x:c r="B3901" s="4" t="inlineStr">
        <x:is>
          <x:t xml:space="preserve">300710</x:t>
        </x:is>
      </x:c>
      <x:c r="C3901" s="5" t="inlineStr">
        <x:is>
          <x:t xml:space="preserve">万隆光电</x:t>
        </x:is>
      </x:c>
      <x:c r="D3901" s="5" t="inlineStr">
        <x:is>
          <x:t xml:space="preserve">杭州万隆光电设备股份有限公司</x:t>
        </x:is>
      </x:c>
      <x:c r="E3901" s="4" t="inlineStr">
        <x:is>
          <x:t xml:space="preserve">浙江省</x:t>
        </x:is>
      </x:c>
      <x:c r="F3901" s="4" t="inlineStr">
        <x:is>
          <x:t xml:space="preserve">杭州市</x:t>
        </x:is>
      </x:c>
      <x:c r="G3901" s="5" t="inlineStr">
        <x:is>
          <x:t xml:space="preserve">浙江省-杭州市</x:t>
        </x:is>
      </x:c>
      <x:c r="H3901" s="4" t="inlineStr">
        <x:is>
          <x:t xml:space="preserve">通讯行业</x:t>
        </x:is>
      </x:c>
      <x:c r="I3901" s="4" t="inlineStr">
        <x:is>
          <x:t xml:space="preserve">2017-10-19</x:t>
        </x:is>
      </x:c>
      <x:c r="J3901" s="5" t="inlineStr">
        <x:is>
          <x:t xml:space="preserve">浙江省杭州市萧山区瓜沥镇建设四路11809号2幢5层</x:t>
        </x:is>
      </x:c>
      <x:c r="K3901" s="12" t="str">
        <x:f>LEFT("91330100728903763J",18)</x:f>
        <x:v>91330100728903763J</x:v>
      </x:c>
    </x:row>
    <x:row r="3902">
      <x:c r="A3902" s="2" t="n">
        <x:v>3901</x:v>
      </x:c>
      <x:c r="B3902" s="2" t="inlineStr">
        <x:is>
          <x:t xml:space="preserve">300718</x:t>
        </x:is>
      </x:c>
      <x:c r="C3902" s="3" t="inlineStr">
        <x:is>
          <x:t xml:space="preserve">长盛轴承</x:t>
        </x:is>
      </x:c>
      <x:c r="D3902" s="3" t="inlineStr">
        <x:is>
          <x:t xml:space="preserve">浙江长盛滑动轴承股份有限公司</x:t>
        </x:is>
      </x:c>
      <x:c r="E3902" s="2" t="inlineStr">
        <x:is>
          <x:t xml:space="preserve">浙江省</x:t>
        </x:is>
      </x:c>
      <x:c r="F3902" s="2" t="inlineStr">
        <x:is>
          <x:t xml:space="preserve">嘉兴市</x:t>
        </x:is>
      </x:c>
      <x:c r="G3902" s="3" t="inlineStr">
        <x:is>
          <x:t xml:space="preserve">浙江省-嘉兴市</x:t>
        </x:is>
      </x:c>
      <x:c r="H3902" s="2" t="inlineStr">
        <x:is>
          <x:t xml:space="preserve">工程机械</x:t>
        </x:is>
      </x:c>
      <x:c r="I3902" s="2" t="inlineStr">
        <x:is>
          <x:t xml:space="preserve">2017-11-06</x:t>
        </x:is>
      </x:c>
      <x:c r="J3902" s="3" t="inlineStr">
        <x:is>
          <x:t xml:space="preserve">嘉善县惠民街道鑫达路6号</x:t>
        </x:is>
      </x:c>
      <x:c r="K3902" s="12" t="str">
        <x:f>LEFT("91330400609458425P",18)</x:f>
        <x:v>91330400609458425P</x:v>
      </x:c>
    </x:row>
    <x:row r="3903">
      <x:c r="A3903" s="4" t="n">
        <x:v>3902</x:v>
      </x:c>
      <x:c r="B3903" s="4" t="inlineStr">
        <x:is>
          <x:t xml:space="preserve">300727</x:t>
        </x:is>
      </x:c>
      <x:c r="C3903" s="5" t="inlineStr">
        <x:is>
          <x:t xml:space="preserve">润禾材料</x:t>
        </x:is>
      </x:c>
      <x:c r="D3903" s="5" t="inlineStr">
        <x:is>
          <x:t xml:space="preserve">宁波润禾高新材料科技股份有限公司</x:t>
        </x:is>
      </x:c>
      <x:c r="E3903" s="4" t="inlineStr">
        <x:is>
          <x:t xml:space="preserve">浙江省</x:t>
        </x:is>
      </x:c>
      <x:c r="F3903" s="4" t="inlineStr">
        <x:is>
          <x:t xml:space="preserve">宁波市</x:t>
        </x:is>
      </x:c>
      <x:c r="G3903" s="5" t="inlineStr">
        <x:is>
          <x:t xml:space="preserve">浙江省-宁波市</x:t>
        </x:is>
      </x:c>
      <x:c r="H3903" s="4" t="inlineStr">
        <x:is>
          <x:t xml:space="preserve">化工行业</x:t>
        </x:is>
      </x:c>
      <x:c r="I3903" s="4" t="inlineStr">
        <x:is>
          <x:t xml:space="preserve">2017-11-27</x:t>
        </x:is>
      </x:c>
      <x:c r="J3903" s="5" t="inlineStr">
        <x:is>
          <x:t xml:space="preserve">浙江省宁波市宁海县宁波南部滨海新区金海中路168号</x:t>
        </x:is>
      </x:c>
      <x:c r="K3903" s="12" t="str">
        <x:f>LEFT("91330226725159588E",18)</x:f>
        <x:v>91330226725159588E</x:v>
      </x:c>
    </x:row>
    <x:row r="3904">
      <x:c r="A3904" s="2" t="n">
        <x:v>3903</x:v>
      </x:c>
      <x:c r="B3904" s="2" t="inlineStr">
        <x:is>
          <x:t xml:space="preserve">300729</x:t>
        </x:is>
      </x:c>
      <x:c r="C3904" s="3" t="inlineStr">
        <x:is>
          <x:t xml:space="preserve">乐歌股份</x:t>
        </x:is>
      </x:c>
      <x:c r="D3904" s="3" t="inlineStr">
        <x:is>
          <x:t xml:space="preserve">乐歌人体工学科技股份有限公司</x:t>
        </x:is>
      </x:c>
      <x:c r="E3904" s="2" t="inlineStr">
        <x:is>
          <x:t xml:space="preserve">浙江省</x:t>
        </x:is>
      </x:c>
      <x:c r="F3904" s="2" t="inlineStr">
        <x:is>
          <x:t xml:space="preserve">宁波市</x:t>
        </x:is>
      </x:c>
      <x:c r="G3904" s="3" t="inlineStr">
        <x:is>
          <x:t xml:space="preserve">浙江省-宁波市</x:t>
        </x:is>
      </x:c>
      <x:c r="H3904" s="2" t="inlineStr">
        <x:is>
          <x:t xml:space="preserve">家用轻工</x:t>
        </x:is>
      </x:c>
      <x:c r="I3904" s="2" t="inlineStr">
        <x:is>
          <x:t xml:space="preserve">2017-12-01</x:t>
        </x:is>
      </x:c>
      <x:c r="J3904" s="3" t="inlineStr">
        <x:is>
          <x:t xml:space="preserve">宁波市鄞州经济开发区启航南路588号(鄞州区瞻岐镇)</x:t>
        </x:is>
      </x:c>
      <x:c r="K3904" s="12" t="str">
        <x:f>LEFT("91330200736952581D",18)</x:f>
        <x:v>91330200736952581D</x:v>
      </x:c>
    </x:row>
    <x:row r="3905">
      <x:c r="A3905" s="4" t="n">
        <x:v>3904</x:v>
      </x:c>
      <x:c r="B3905" s="4" t="inlineStr">
        <x:is>
          <x:t xml:space="preserve">300743</x:t>
        </x:is>
      </x:c>
      <x:c r="C3905" s="5" t="inlineStr">
        <x:is>
          <x:t xml:space="preserve">天地数码</x:t>
        </x:is>
      </x:c>
      <x:c r="D3905" s="5" t="inlineStr">
        <x:is>
          <x:t xml:space="preserve">杭州天地数码科技股份有限公司</x:t>
        </x:is>
      </x:c>
      <x:c r="E3905" s="4" t="inlineStr">
        <x:is>
          <x:t xml:space="preserve">浙江省</x:t>
        </x:is>
      </x:c>
      <x:c r="F3905" s="4" t="inlineStr">
        <x:is>
          <x:t xml:space="preserve">杭州市</x:t>
        </x:is>
      </x:c>
      <x:c r="G3905" s="5" t="inlineStr">
        <x:is>
          <x:t xml:space="preserve">浙江省-杭州市</x:t>
        </x:is>
      </x:c>
      <x:c r="H3905" s="4" t="inlineStr">
        <x:is>
          <x:t xml:space="preserve">非金属材料</x:t>
        </x:is>
      </x:c>
      <x:c r="I3905" s="4" t="inlineStr">
        <x:is>
          <x:t xml:space="preserve">2018-04-27</x:t>
        </x:is>
      </x:c>
      <x:c r="J3905" s="5" t="inlineStr">
        <x:is>
          <x:t xml:space="preserve">杭州市临平区东湖街道康信路600号</x:t>
        </x:is>
      </x:c>
      <x:c r="K3905" s="12" t="str">
        <x:f>LEFT("913301007384263900",18)</x:f>
        <x:v>913301007384264000</x:v>
      </x:c>
    </x:row>
    <x:row r="3906">
      <x:c r="A3906" s="2" t="n">
        <x:v>3905</x:v>
      </x:c>
      <x:c r="B3906" s="2" t="inlineStr">
        <x:is>
          <x:t xml:space="preserve">300746</x:t>
        </x:is>
      </x:c>
      <x:c r="C3906" s="3" t="inlineStr">
        <x:is>
          <x:t xml:space="preserve">汉嘉设计</x:t>
        </x:is>
      </x:c>
      <x:c r="D3906" s="3" t="inlineStr">
        <x:is>
          <x:t xml:space="preserve">汉嘉数智科技集团股份有限公司</x:t>
        </x:is>
      </x:c>
      <x:c r="E3906" s="2" t="inlineStr">
        <x:is>
          <x:t xml:space="preserve">浙江省</x:t>
        </x:is>
      </x:c>
      <x:c r="F3906" s="2" t="inlineStr">
        <x:is>
          <x:t xml:space="preserve">杭州市</x:t>
        </x:is>
      </x:c>
      <x:c r="G3906" s="3" t="inlineStr">
        <x:is>
          <x:t xml:space="preserve">浙江省-杭州市</x:t>
        </x:is>
      </x:c>
      <x:c r="H3906" s="2" t="inlineStr">
        <x:is>
          <x:t xml:space="preserve">工程咨询服务</x:t>
        </x:is>
      </x:c>
      <x:c r="I3906" s="2" t="inlineStr">
        <x:is>
          <x:t xml:space="preserve">2018-05-25</x:t>
        </x:is>
      </x:c>
      <x:c r="J3906" s="3" t="inlineStr">
        <x:is>
          <x:t xml:space="preserve">浙江省杭州市湖墅南路501号迪尚商务大厦</x:t>
        </x:is>
      </x:c>
      <x:c r="K3906" s="12" t="str">
        <x:f>LEFT("91330000142917121G",18)</x:f>
        <x:v>91330000142917121G</x:v>
      </x:c>
    </x:row>
    <x:row r="3907">
      <x:c r="A3907" s="4" t="n">
        <x:v>3906</x:v>
      </x:c>
      <x:c r="B3907" s="4" t="inlineStr">
        <x:is>
          <x:t xml:space="preserve">300763</x:t>
        </x:is>
      </x:c>
      <x:c r="C3907" s="5" t="inlineStr">
        <x:is>
          <x:t xml:space="preserve">锦浪科技</x:t>
        </x:is>
      </x:c>
      <x:c r="D3907" s="5" t="inlineStr">
        <x:is>
          <x:t xml:space="preserve">锦浪科技股份有限公司</x:t>
        </x:is>
      </x:c>
      <x:c r="E3907" s="4" t="inlineStr">
        <x:is>
          <x:t xml:space="preserve">浙江省</x:t>
        </x:is>
      </x:c>
      <x:c r="F3907" s="4" t="inlineStr">
        <x:is>
          <x:t xml:space="preserve">盐城市</x:t>
        </x:is>
      </x:c>
      <x:c r="G3907" s="5" t="inlineStr">
        <x:is>
          <x:t xml:space="preserve">浙江省-盐城市</x:t>
        </x:is>
      </x:c>
      <x:c r="H3907" s="4" t="inlineStr">
        <x:is>
          <x:t xml:space="preserve">光伏设备</x:t>
        </x:is>
      </x:c>
      <x:c r="I3907" s="4" t="inlineStr">
        <x:is>
          <x:t xml:space="preserve">2019-03-19</x:t>
        </x:is>
      </x:c>
      <x:c r="J3907" s="5" t="inlineStr">
        <x:is>
          <x:t xml:space="preserve">浙江省象山县经济开发区滨海工业园金通路57号</x:t>
        </x:is>
      </x:c>
      <x:c r="K3907" s="12" t="str">
        <x:f>LEFT("91330200778244188M",18)</x:f>
        <x:v>91330200778244188M</x:v>
      </x:c>
    </x:row>
    <x:row r="3908">
      <x:c r="A3908" s="2" t="n">
        <x:v>3907</x:v>
      </x:c>
      <x:c r="B3908" s="2" t="inlineStr">
        <x:is>
          <x:t xml:space="preserve">300766</x:t>
        </x:is>
      </x:c>
      <x:c r="C3908" s="3" t="inlineStr">
        <x:is>
          <x:t xml:space="preserve">每日互动</x:t>
        </x:is>
      </x:c>
      <x:c r="D3908" s="3" t="inlineStr">
        <x:is>
          <x:t xml:space="preserve">每日互动股份有限公司</x:t>
        </x:is>
      </x:c>
      <x:c r="E3908" s="2" t="inlineStr">
        <x:is>
          <x:t xml:space="preserve">浙江省</x:t>
        </x:is>
      </x:c>
      <x:c r="F3908" s="2" t="inlineStr">
        <x:is>
          <x:t xml:space="preserve">杭州市</x:t>
        </x:is>
      </x:c>
      <x:c r="G3908" s="3" t="inlineStr">
        <x:is>
          <x:t xml:space="preserve">浙江省-杭州市</x:t>
        </x:is>
      </x:c>
      <x:c r="H3908" s="2" t="inlineStr">
        <x:is>
          <x:t xml:space="preserve">电子信息</x:t>
        </x:is>
      </x:c>
      <x:c r="I3908" s="2" t="inlineStr">
        <x:is>
          <x:t xml:space="preserve">2019-03-25</x:t>
        </x:is>
      </x:c>
      <x:c r="J3908" s="3" t="inlineStr">
        <x:is>
          <x:t xml:space="preserve">浙江省杭州市西湖区荆大路100号1号楼808室</x:t>
        </x:is>
      </x:c>
      <x:c r="K3908" s="12" t="str">
        <x:f>LEFT("91330106566067060H",18)</x:f>
        <x:v>91330106566067060H</x:v>
      </x:c>
    </x:row>
    <x:row r="3909">
      <x:c r="A3909" s="4" t="n">
        <x:v>3908</x:v>
      </x:c>
      <x:c r="B3909" s="4" t="inlineStr">
        <x:is>
          <x:t xml:space="preserve">300768</x:t>
        </x:is>
      </x:c>
      <x:c r="C3909" s="5" t="inlineStr">
        <x:is>
          <x:t xml:space="preserve">迪普科技</x:t>
        </x:is>
      </x:c>
      <x:c r="D3909" s="5" t="inlineStr">
        <x:is>
          <x:t xml:space="preserve">杭州迪普科技股份有限公司</x:t>
        </x:is>
      </x:c>
      <x:c r="E3909" s="4" t="inlineStr">
        <x:is>
          <x:t xml:space="preserve">浙江省</x:t>
        </x:is>
      </x:c>
      <x:c r="F3909" s="4" t="inlineStr">
        <x:is>
          <x:t xml:space="preserve">杭州市</x:t>
        </x:is>
      </x:c>
      <x:c r="G3909" s="5" t="inlineStr">
        <x:is>
          <x:t xml:space="preserve">浙江省-杭州市</x:t>
        </x:is>
      </x:c>
      <x:c r="H3909" s="4" t="inlineStr">
        <x:is>
          <x:t xml:space="preserve">软件开发</x:t>
        </x:is>
      </x:c>
      <x:c r="I3909" s="4" t="inlineStr">
        <x:is>
          <x:t xml:space="preserve">2019-04-12</x:t>
        </x:is>
      </x:c>
      <x:c r="J3909" s="5" t="inlineStr">
        <x:is>
          <x:t xml:space="preserve">浙江省杭州市滨江区月明路595号迪普科技18楼</x:t>
        </x:is>
      </x:c>
      <x:c r="K3909" s="12" t="str">
        <x:f>LEFT("91330108673990352B",18)</x:f>
        <x:v>91330108673990352B</x:v>
      </x:c>
    </x:row>
    <x:row r="3910">
      <x:c r="A3910" s="2" t="n">
        <x:v>3909</x:v>
      </x:c>
      <x:c r="B3910" s="2" t="inlineStr">
        <x:is>
          <x:t xml:space="preserve">300772</x:t>
        </x:is>
      </x:c>
      <x:c r="C3910" s="3" t="inlineStr">
        <x:is>
          <x:t xml:space="preserve">运达股份</x:t>
        </x:is>
      </x:c>
      <x:c r="D3910" s="3" t="inlineStr">
        <x:is>
          <x:t xml:space="preserve">运达能源科技集团股份有限公司</x:t>
        </x:is>
      </x:c>
      <x:c r="E3910" s="2" t="inlineStr">
        <x:is>
          <x:t xml:space="preserve">浙江省</x:t>
        </x:is>
      </x:c>
      <x:c r="F3910" s="2" t="inlineStr">
        <x:is>
          <x:t xml:space="preserve">杭州市</x:t>
        </x:is>
      </x:c>
      <x:c r="G3910" s="3" t="inlineStr">
        <x:is>
          <x:t xml:space="preserve">浙江省-杭州市</x:t>
        </x:is>
      </x:c>
      <x:c r="H3910" s="2" t="inlineStr">
        <x:is>
          <x:t xml:space="preserve">风电设备</x:t>
        </x:is>
      </x:c>
      <x:c r="I3910" s="2" t="inlineStr">
        <x:is>
          <x:t xml:space="preserve">2019-04-26</x:t>
        </x:is>
      </x:c>
      <x:c r="J3910" s="3" t="inlineStr">
        <x:is>
          <x:t xml:space="preserve">浙江省杭州市临平区顺风路558号</x:t>
        </x:is>
      </x:c>
      <x:c r="K3910" s="12" t="str">
        <x:f>LEFT("91330000733811206X",18)</x:f>
        <x:v>91330000733811206X</x:v>
      </x:c>
    </x:row>
    <x:row r="3911">
      <x:c r="A3911" s="4" t="n">
        <x:v>3910</x:v>
      </x:c>
      <x:c r="B3911" s="4" t="inlineStr">
        <x:is>
          <x:t xml:space="preserve">300784</x:t>
        </x:is>
      </x:c>
      <x:c r="C3911" s="5" t="inlineStr">
        <x:is>
          <x:t xml:space="preserve">利安科技</x:t>
        </x:is>
      </x:c>
      <x:c r="D3911" s="5" t="inlineStr">
        <x:is>
          <x:t xml:space="preserve">宁波利安科技股份有限公司</x:t>
        </x:is>
      </x:c>
      <x:c r="E3911" s="4" t="inlineStr">
        <x:is>
          <x:t xml:space="preserve">浙江省</x:t>
        </x:is>
      </x:c>
      <x:c r="F3911" s="4" t="inlineStr">
        <x:is>
          <x:t xml:space="preserve">宁波市</x:t>
        </x:is>
      </x:c>
      <x:c r="G3911" s="5" t="inlineStr">
        <x:is>
          <x:t xml:space="preserve">浙江省-宁波市</x:t>
        </x:is>
      </x:c>
      <x:c r="H3911" s="4" t="inlineStr">
        <x:is>
          <x:t xml:space="preserve">塑料制品</x:t>
        </x:is>
      </x:c>
      <x:c r="I3911" s="4" t="inlineStr">
        <x:is>
          <x:t xml:space="preserve">2024-06-07</x:t>
        </x:is>
      </x:c>
      <x:c r="J3911" s="5" t="inlineStr">
        <x:is>
          <x:t xml:space="preserve">浙江省宁波市奉化区经济开发区汇盛路289号</x:t>
        </x:is>
      </x:c>
      <x:c r="K3911" s="12" t="str">
        <x:f>LEFT("913302837843330998",18)</x:f>
        <x:v>913302837843331000</x:v>
      </x:c>
    </x:row>
    <x:row r="3912">
      <x:c r="A3912" s="2" t="n">
        <x:v>3911</x:v>
      </x:c>
      <x:c r="B3912" s="2" t="inlineStr">
        <x:is>
          <x:t xml:space="preserve">300795</x:t>
        </x:is>
      </x:c>
      <x:c r="C3912" s="3" t="inlineStr">
        <x:is>
          <x:t xml:space="preserve">米奥会展</x:t>
        </x:is>
      </x:c>
      <x:c r="D3912" s="3" t="inlineStr">
        <x:is>
          <x:t xml:space="preserve">浙江米奥兰特商务会展股份有限公司</x:t>
        </x:is>
      </x:c>
      <x:c r="E3912" s="2" t="inlineStr">
        <x:is>
          <x:t xml:space="preserve">浙江省</x:t>
        </x:is>
      </x:c>
      <x:c r="F3912" s="2" t="inlineStr">
        <x:is>
          <x:t xml:space="preserve">杭州市</x:t>
        </x:is>
      </x:c>
      <x:c r="G3912" s="3" t="inlineStr">
        <x:is>
          <x:t xml:space="preserve">浙江省-杭州市</x:t>
        </x:is>
      </x:c>
      <x:c r="H3912" s="2" t="inlineStr">
        <x:is>
          <x:t xml:space="preserve">文化传媒</x:t>
        </x:is>
      </x:c>
      <x:c r="I3912" s="2" t="inlineStr">
        <x:is>
          <x:t xml:space="preserve">2019-10-22</x:t>
        </x:is>
      </x:c>
      <x:c r="J3912" s="3" t="inlineStr">
        <x:is>
          <x:t xml:space="preserve">杭州市钱塘区白杨街道6号大街452号3幢912号房</x:t>
        </x:is>
      </x:c>
      <x:c r="K3912" s="12" t="str">
        <x:f>LEFT("91330100557910132M",18)</x:f>
        <x:v>91330100557910132M</x:v>
      </x:c>
    </x:row>
    <x:row r="3913">
      <x:c r="A3913" s="4" t="n">
        <x:v>3912</x:v>
      </x:c>
      <x:c r="B3913" s="4" t="inlineStr">
        <x:is>
          <x:t xml:space="preserve">300796</x:t>
        </x:is>
      </x:c>
      <x:c r="C3913" s="5" t="inlineStr">
        <x:is>
          <x:t xml:space="preserve">贝斯美</x:t>
        </x:is>
      </x:c>
      <x:c r="D3913" s="5" t="inlineStr">
        <x:is>
          <x:t xml:space="preserve">绍兴贝斯美化工股份有限公司</x:t>
        </x:is>
      </x:c>
      <x:c r="E3913" s="4" t="inlineStr">
        <x:is>
          <x:t xml:space="preserve">浙江省</x:t>
        </x:is>
      </x:c>
      <x:c r="F3913" s="4" t="inlineStr">
        <x:is>
          <x:t xml:space="preserve">杭州市</x:t>
        </x:is>
      </x:c>
      <x:c r="G3913" s="5" t="inlineStr">
        <x:is>
          <x:t xml:space="preserve">浙江省-杭州市</x:t>
        </x:is>
      </x:c>
      <x:c r="H3913" s="4" t="inlineStr">
        <x:is>
          <x:t xml:space="preserve">农药兽药</x:t>
        </x:is>
      </x:c>
      <x:c r="I3913" s="4" t="inlineStr">
        <x:is>
          <x:t xml:space="preserve">2019-11-15</x:t>
        </x:is>
      </x:c>
      <x:c r="J3913" s="5" t="inlineStr">
        <x:is>
          <x:t xml:space="preserve">浙江省绍兴市上虞区杭州湾上虞经济技术开发区经十一路2号</x:t>
        </x:is>
      </x:c>
      <x:c r="K3913" s="12" t="str">
        <x:f>LEFT("91330604747735048A",18)</x:f>
        <x:v>91330604747735048A</x:v>
      </x:c>
    </x:row>
    <x:row r="3914">
      <x:c r="A3914" s="2" t="n">
        <x:v>3913</x:v>
      </x:c>
      <x:c r="B3914" s="2" t="inlineStr">
        <x:is>
          <x:t xml:space="preserve">300813</x:t>
        </x:is>
      </x:c>
      <x:c r="C3914" s="3" t="inlineStr">
        <x:is>
          <x:t xml:space="preserve">泰林生物</x:t>
        </x:is>
      </x:c>
      <x:c r="D3914" s="3" t="inlineStr">
        <x:is>
          <x:t xml:space="preserve">浙江泰林生物技术股份有限公司</x:t>
        </x:is>
      </x:c>
      <x:c r="E3914" s="2" t="inlineStr">
        <x:is>
          <x:t xml:space="preserve">浙江省</x:t>
        </x:is>
      </x:c>
      <x:c r="F3914" s="2" t="inlineStr">
        <x:is>
          <x:t xml:space="preserve">杭州市</x:t>
        </x:is>
      </x:c>
      <x:c r="G3914" s="3" t="inlineStr">
        <x:is>
          <x:t xml:space="preserve">浙江省-杭州市</x:t>
        </x:is>
      </x:c>
      <x:c r="H3914" s="2" t="inlineStr">
        <x:is>
          <x:t xml:space="preserve">医疗器械</x:t>
        </x:is>
      </x:c>
      <x:c r="I3914" s="2" t="inlineStr">
        <x:is>
          <x:t xml:space="preserve">2020-01-14</x:t>
        </x:is>
      </x:c>
      <x:c r="J3914" s="3" t="inlineStr">
        <x:is>
          <x:t xml:space="preserve">浙江省杭州市滨江区南环路2930号</x:t>
        </x:is>
      </x:c>
      <x:c r="K3914" s="12" t="str">
        <x:f>LEFT("91330100735254191Q",18)</x:f>
        <x:v>91330100735254191Q</x:v>
      </x:c>
    </x:row>
    <x:row r="3915">
      <x:c r="A3915" s="4" t="n">
        <x:v>3914</x:v>
      </x:c>
      <x:c r="B3915" s="4" t="inlineStr">
        <x:is>
          <x:t xml:space="preserve">300817</x:t>
        </x:is>
      </x:c>
      <x:c r="C3915" s="5" t="inlineStr">
        <x:is>
          <x:t xml:space="preserve">双飞集团</x:t>
        </x:is>
      </x:c>
      <x:c r="D3915" s="5" t="inlineStr">
        <x:is>
          <x:t xml:space="preserve">双飞无油轴承集团股份有限公司</x:t>
        </x:is>
      </x:c>
      <x:c r="E3915" s="4" t="inlineStr">
        <x:is>
          <x:t xml:space="preserve">浙江省</x:t>
        </x:is>
      </x:c>
      <x:c r="F3915" s="4" t="inlineStr">
        <x:is>
          <x:t xml:space="preserve">嘉兴市</x:t>
        </x:is>
      </x:c>
      <x:c r="G3915" s="5" t="inlineStr">
        <x:is>
          <x:t xml:space="preserve">浙江省-嘉兴市</x:t>
        </x:is>
      </x:c>
      <x:c r="H3915" s="4" t="inlineStr">
        <x:is>
          <x:t xml:space="preserve">机械行业</x:t>
        </x:is>
      </x:c>
      <x:c r="I3915" s="4" t="inlineStr">
        <x:is>
          <x:t xml:space="preserve">2020-02-18</x:t>
        </x:is>
      </x:c>
      <x:c r="J3915" s="5" t="inlineStr">
        <x:is>
          <x:t xml:space="preserve">浙江省嘉善县干窑镇宏伟北路18号</x:t>
        </x:is>
      </x:c>
      <x:c r="K3915" s="12" t="str">
        <x:f>LEFT("913304001465938497",18)</x:f>
        <x:v>913304001465938600</x:v>
      </x:c>
    </x:row>
    <x:row r="3916">
      <x:c r="A3916" s="2" t="n">
        <x:v>3915</x:v>
      </x:c>
      <x:c r="B3916" s="2" t="inlineStr">
        <x:is>
          <x:t xml:space="preserve">300837</x:t>
        </x:is>
      </x:c>
      <x:c r="C3916" s="3" t="inlineStr">
        <x:is>
          <x:t xml:space="preserve">浙矿股份</x:t>
        </x:is>
      </x:c>
      <x:c r="D3916" s="3" t="inlineStr">
        <x:is>
          <x:t xml:space="preserve">浙矿重工股份有限公司</x:t>
        </x:is>
      </x:c>
      <x:c r="E3916" s="2" t="inlineStr">
        <x:is>
          <x:t xml:space="preserve">浙江省</x:t>
        </x:is>
      </x:c>
      <x:c r="F3916" s="2" t="inlineStr">
        <x:is>
          <x:t xml:space="preserve">湖州市</x:t>
        </x:is>
      </x:c>
      <x:c r="G3916" s="3" t="inlineStr">
        <x:is>
          <x:t xml:space="preserve">浙江省-湖州市</x:t>
        </x:is>
      </x:c>
      <x:c r="H3916" s="2" t="inlineStr">
        <x:is>
          <x:t xml:space="preserve">专用设备</x:t>
        </x:is>
      </x:c>
      <x:c r="I3916" s="2" t="inlineStr">
        <x:is>
          <x:t xml:space="preserve">2020-06-05</x:t>
        </x:is>
      </x:c>
      <x:c r="J3916" s="3" t="inlineStr">
        <x:is>
          <x:t xml:space="preserve">浙江省长兴县和平镇工业园区</x:t>
        </x:is>
      </x:c>
      <x:c r="K3916" s="12" t="str">
        <x:f>LEFT("91330500753970802B",18)</x:f>
        <x:v>91330500753970802B</x:v>
      </x:c>
    </x:row>
    <x:row r="3917">
      <x:c r="A3917" s="4" t="n">
        <x:v>3916</x:v>
      </x:c>
      <x:c r="B3917" s="4" t="inlineStr">
        <x:is>
          <x:t xml:space="preserve">300838</x:t>
        </x:is>
      </x:c>
      <x:c r="C3917" s="5" t="inlineStr">
        <x:is>
          <x:t xml:space="preserve">浙江力诺</x:t>
        </x:is>
      </x:c>
      <x:c r="D3917" s="5" t="inlineStr">
        <x:is>
          <x:t xml:space="preserve">浙江力诺流体控制科技股份有限公司</x:t>
        </x:is>
      </x:c>
      <x:c r="E3917" s="4" t="inlineStr">
        <x:is>
          <x:t xml:space="preserve">浙江省</x:t>
        </x:is>
      </x:c>
      <x:c r="F3917" s="4" t="inlineStr">
        <x:is>
          <x:t xml:space="preserve">温州市</x:t>
        </x:is>
      </x:c>
      <x:c r="G3917" s="5" t="inlineStr">
        <x:is>
          <x:t xml:space="preserve">浙江省-温州市</x:t>
        </x:is>
      </x:c>
      <x:c r="H3917" s="4" t="inlineStr">
        <x:is>
          <x:t xml:space="preserve">仪器仪表</x:t>
        </x:is>
      </x:c>
      <x:c r="I3917" s="4" t="inlineStr">
        <x:is>
          <x:t xml:space="preserve">2020-06-08</x:t>
        </x:is>
      </x:c>
      <x:c r="J3917" s="5" t="inlineStr">
        <x:is>
          <x:t xml:space="preserve">浙江省温州市瑞安市上望街道望海路2899号</x:t>
        </x:is>
      </x:c>
      <x:c r="K3917" s="12" t="str">
        <x:f>LEFT("9133030074633113X9",18)</x:f>
        <x:v>9133030074633113X9</x:v>
      </x:c>
    </x:row>
    <x:row r="3918">
      <x:c r="A3918" s="2" t="n">
        <x:v>3917</x:v>
      </x:c>
      <x:c r="B3918" s="2" t="inlineStr">
        <x:is>
          <x:t xml:space="preserve">300839</x:t>
        </x:is>
      </x:c>
      <x:c r="C3918" s="3" t="inlineStr">
        <x:is>
          <x:t xml:space="preserve">博汇股份</x:t>
        </x:is>
      </x:c>
      <x:c r="D3918" s="3" t="inlineStr">
        <x:is>
          <x:t xml:space="preserve">宁波博汇化工科技股份有限公司</x:t>
        </x:is>
      </x:c>
      <x:c r="E3918" s="2" t="inlineStr">
        <x:is>
          <x:t xml:space="preserve">浙江省</x:t>
        </x:is>
      </x:c>
      <x:c r="F3918" s="2" t="inlineStr">
        <x:is>
          <x:t xml:space="preserve">宁波市</x:t>
        </x:is>
      </x:c>
      <x:c r="G3918" s="3" t="inlineStr">
        <x:is>
          <x:t xml:space="preserve">浙江省-宁波市</x:t>
        </x:is>
      </x:c>
      <x:c r="H3918" s="2" t="inlineStr">
        <x:is>
          <x:t xml:space="preserve">石油行业</x:t>
        </x:is>
      </x:c>
      <x:c r="I3918" s="2" t="inlineStr">
        <x:is>
          <x:t xml:space="preserve">2020-06-30</x:t>
        </x:is>
      </x:c>
      <x:c r="J3918" s="3" t="inlineStr">
        <x:is>
          <x:t xml:space="preserve">浙江省宁波石化经济技术开发区滨海路2366号</x:t>
        </x:is>
      </x:c>
      <x:c r="K3918" s="12" t="str">
        <x:f>LEFT("9133020078041158X6",18)</x:f>
        <x:v>9133020078041158X6</x:v>
      </x:c>
    </x:row>
    <x:row r="3919">
      <x:c r="A3919" s="4" t="n">
        <x:v>3918</x:v>
      </x:c>
      <x:c r="B3919" s="4" t="inlineStr">
        <x:is>
          <x:t xml:space="preserve">300849</x:t>
        </x:is>
      </x:c>
      <x:c r="C3919" s="5" t="inlineStr">
        <x:is>
          <x:t xml:space="preserve">锦盛新材</x:t>
        </x:is>
      </x:c>
      <x:c r="D3919" s="5" t="inlineStr">
        <x:is>
          <x:t xml:space="preserve">浙江锦盛新材料股份有限公司</x:t>
        </x:is>
      </x:c>
      <x:c r="E3919" s="4" t="inlineStr">
        <x:is>
          <x:t xml:space="preserve">浙江省</x:t>
        </x:is>
      </x:c>
      <x:c r="F3919" s="4" t="inlineStr">
        <x:is>
          <x:t xml:space="preserve">绍兴市</x:t>
        </x:is>
      </x:c>
      <x:c r="G3919" s="5" t="inlineStr">
        <x:is>
          <x:t xml:space="preserve">浙江省-绍兴市</x:t>
        </x:is>
      </x:c>
      <x:c r="H3919" s="4" t="inlineStr">
        <x:is>
          <x:t xml:space="preserve">美容护理</x:t>
        </x:is>
      </x:c>
      <x:c r="I3919" s="4" t="inlineStr">
        <x:is>
          <x:t xml:space="preserve">2020-07-10</x:t>
        </x:is>
      </x:c>
      <x:c r="J3919" s="5" t="inlineStr">
        <x:is>
          <x:t xml:space="preserve">绍兴滨海新城沥海镇渔舟路9号</x:t>
        </x:is>
      </x:c>
      <x:c r="K3919" s="12" t="str">
        <x:f>LEFT("91330600146150140Y",18)</x:f>
        <x:v>91330600146150140Y</x:v>
      </x:c>
    </x:row>
    <x:row r="3920">
      <x:c r="A3920" s="2" t="n">
        <x:v>3919</x:v>
      </x:c>
      <x:c r="B3920" s="2" t="inlineStr">
        <x:is>
          <x:t xml:space="preserve">300853</x:t>
        </x:is>
      </x:c>
      <x:c r="C3920" s="3" t="inlineStr">
        <x:is>
          <x:t xml:space="preserve">申昊科技</x:t>
        </x:is>
      </x:c>
      <x:c r="D3920" s="3" t="inlineStr">
        <x:is>
          <x:t xml:space="preserve">杭州申昊科技股份有限公司</x:t>
        </x:is>
      </x:c>
      <x:c r="E3920" s="2" t="inlineStr">
        <x:is>
          <x:t xml:space="preserve">浙江省</x:t>
        </x:is>
      </x:c>
      <x:c r="F3920" s="2" t="inlineStr">
        <x:is>
          <x:t xml:space="preserve">杭州市</x:t>
        </x:is>
      </x:c>
      <x:c r="G3920" s="3" t="inlineStr">
        <x:is>
          <x:t xml:space="preserve">浙江省-杭州市</x:t>
        </x:is>
      </x:c>
      <x:c r="H3920" s="2" t="inlineStr">
        <x:is>
          <x:t xml:space="preserve">通用设备</x:t>
        </x:is>
      </x:c>
      <x:c r="I3920" s="2" t="inlineStr">
        <x:is>
          <x:t xml:space="preserve">2020-07-24</x:t>
        </x:is>
      </x:c>
      <x:c r="J3920" s="3" t="inlineStr">
        <x:is>
          <x:t xml:space="preserve">浙江省杭州市余杭区仓前街道长松街6号</x:t>
        </x:is>
      </x:c>
      <x:c r="K3920" s="12" t="str">
        <x:f>LEFT("91330100742929345R",18)</x:f>
        <x:v>91330100742929345R</x:v>
      </x:c>
    </x:row>
    <x:row r="3921">
      <x:c r="A3921" s="4" t="n">
        <x:v>3920</x:v>
      </x:c>
      <x:c r="B3921" s="4" t="inlineStr">
        <x:is>
          <x:t xml:space="preserve">300863</x:t>
        </x:is>
      </x:c>
      <x:c r="C3921" s="5" t="inlineStr">
        <x:is>
          <x:t xml:space="preserve">卡倍亿</x:t>
        </x:is>
      </x:c>
      <x:c r="D3921" s="5" t="inlineStr">
        <x:is>
          <x:t xml:space="preserve">宁波卡倍亿电气技术股份有限公司</x:t>
        </x:is>
      </x:c>
      <x:c r="E3921" s="4" t="inlineStr">
        <x:is>
          <x:t xml:space="preserve">浙江省</x:t>
        </x:is>
      </x:c>
      <x:c r="F3921" s="4" t="inlineStr">
        <x:is>
          <x:t xml:space="preserve">宁波市</x:t>
        </x:is>
      </x:c>
      <x:c r="G3921" s="5" t="inlineStr">
        <x:is>
          <x:t xml:space="preserve">浙江省-宁波市</x:t>
        </x:is>
      </x:c>
      <x:c r="H3921" s="4" t="inlineStr">
        <x:is>
          <x:t xml:space="preserve">汽车行业</x:t>
        </x:is>
      </x:c>
      <x:c r="I3921" s="4" t="inlineStr">
        <x:is>
          <x:t xml:space="preserve">2020-08-24</x:t>
        </x:is>
      </x:c>
      <x:c r="J3921" s="5" t="inlineStr">
        <x:is>
          <x:t xml:space="preserve">宁海县桥头胡街道汶溪周工业区</x:t>
        </x:is>
      </x:c>
      <x:c r="K3921" s="12" t="str">
        <x:f>LEFT("9133020075886446XG",18)</x:f>
        <x:v>9133020075886446XG</x:v>
      </x:c>
    </x:row>
    <x:row r="3922">
      <x:c r="A3922" s="2" t="n">
        <x:v>3921</x:v>
      </x:c>
      <x:c r="B3922" s="2" t="inlineStr">
        <x:is>
          <x:t xml:space="preserve">300878</x:t>
        </x:is>
      </x:c>
      <x:c r="C3922" s="3" t="inlineStr">
        <x:is>
          <x:t xml:space="preserve">维康药业</x:t>
        </x:is>
      </x:c>
      <x:c r="D3922" s="3" t="inlineStr">
        <x:is>
          <x:t xml:space="preserve">浙江维康药业股份有限公司</x:t>
        </x:is>
      </x:c>
      <x:c r="E3922" s="2" t="inlineStr">
        <x:is>
          <x:t xml:space="preserve">浙江省</x:t>
        </x:is>
      </x:c>
      <x:c r="F3922" s="2" t="inlineStr">
        <x:is>
          <x:t xml:space="preserve">丽水市</x:t>
        </x:is>
      </x:c>
      <x:c r="G3922" s="3" t="inlineStr">
        <x:is>
          <x:t xml:space="preserve">浙江省-丽水市</x:t>
        </x:is>
      </x:c>
      <x:c r="H3922" s="2" t="inlineStr">
        <x:is>
          <x:t xml:space="preserve">中药</x:t>
        </x:is>
      </x:c>
      <x:c r="I3922" s="2" t="inlineStr">
        <x:is>
          <x:t xml:space="preserve">2020-08-24</x:t>
        </x:is>
      </x:c>
      <x:c r="J3922" s="3" t="inlineStr">
        <x:is>
          <x:t xml:space="preserve">浙江省丽水经济开发区遂松路2号</x:t>
        </x:is>
      </x:c>
      <x:c r="K3922" s="12" t="str">
        <x:f>LEFT("913311007047968289",18)</x:f>
        <x:v>913311007047968300</x:v>
      </x:c>
    </x:row>
    <x:row r="3923">
      <x:c r="A3923" s="4" t="n">
        <x:v>3922</x:v>
      </x:c>
      <x:c r="B3923" s="4" t="inlineStr">
        <x:is>
          <x:t xml:space="preserve">300879</x:t>
        </x:is>
      </x:c>
      <x:c r="C3923" s="5" t="inlineStr">
        <x:is>
          <x:t xml:space="preserve">大叶股份</x:t>
        </x:is>
      </x:c>
      <x:c r="D3923" s="5" t="inlineStr">
        <x:is>
          <x:t xml:space="preserve">宁波大叶园林设备股份有限公司</x:t>
        </x:is>
      </x:c>
      <x:c r="E3923" s="4" t="inlineStr">
        <x:is>
          <x:t xml:space="preserve">浙江省</x:t>
        </x:is>
      </x:c>
      <x:c r="F3923" s="4" t="inlineStr">
        <x:is>
          <x:t xml:space="preserve">江省余姚市</x:t>
        </x:is>
      </x:c>
      <x:c r="G3923" s="5" t="inlineStr">
        <x:is>
          <x:t xml:space="preserve">浙江省-江省余姚市</x:t>
        </x:is>
      </x:c>
      <x:c r="H3923" s="4" t="inlineStr">
        <x:is>
          <x:t xml:space="preserve">专用设备</x:t>
        </x:is>
      </x:c>
      <x:c r="I3923" s="4" t="inlineStr">
        <x:is>
          <x:t xml:space="preserve">2020-09-01</x:t>
        </x:is>
      </x:c>
      <x:c r="J3923" s="5" t="inlineStr">
        <x:is>
          <x:t xml:space="preserve">浙江省余姚市锦凤路58号</x:t>
        </x:is>
      </x:c>
      <x:c r="K3923" s="12" t="str">
        <x:f>LEFT("91330281784320546U",18)</x:f>
        <x:v>91330281784320546U</x:v>
      </x:c>
    </x:row>
    <x:row r="3924">
      <x:c r="A3924" s="2" t="n">
        <x:v>3923</x:v>
      </x:c>
      <x:c r="B3924" s="2" t="inlineStr">
        <x:is>
          <x:t xml:space="preserve">300880</x:t>
        </x:is>
      </x:c>
      <x:c r="C3924" s="3" t="inlineStr">
        <x:is>
          <x:t xml:space="preserve">迦南智能</x:t>
        </x:is>
      </x:c>
      <x:c r="D3924" s="3" t="inlineStr">
        <x:is>
          <x:t xml:space="preserve">宁波迦南智能电气股份有限公司</x:t>
        </x:is>
      </x:c>
      <x:c r="E3924" s="2" t="inlineStr">
        <x:is>
          <x:t xml:space="preserve">浙江省</x:t>
        </x:is>
      </x:c>
      <x:c r="F3924" s="2" t="inlineStr">
        <x:is>
          <x:t xml:space="preserve">江省慈溪市</x:t>
        </x:is>
      </x:c>
      <x:c r="G3924" s="3" t="inlineStr">
        <x:is>
          <x:t xml:space="preserve">浙江省-江省慈溪市</x:t>
        </x:is>
      </x:c>
      <x:c r="H3924" s="2" t="inlineStr">
        <x:is>
          <x:t xml:space="preserve">电网设备</x:t>
        </x:is>
      </x:c>
      <x:c r="I3924" s="2" t="inlineStr">
        <x:is>
          <x:t xml:space="preserve">2020-09-01</x:t>
        </x:is>
      </x:c>
      <x:c r="J3924" s="3" t="inlineStr">
        <x:is>
          <x:t xml:space="preserve">浙江省慈溪市开源路315号</x:t>
        </x:is>
      </x:c>
      <x:c r="K3924" s="12" t="str">
        <x:f>LEFT("913302827133274413",18)</x:f>
        <x:v>913302827133274400</x:v>
      </x:c>
    </x:row>
    <x:row r="3925">
      <x:c r="A3925" s="4" t="n">
        <x:v>3924</x:v>
      </x:c>
      <x:c r="B3925" s="4" t="inlineStr">
        <x:is>
          <x:t xml:space="preserve">300882</x:t>
        </x:is>
      </x:c>
      <x:c r="C3925" s="5" t="inlineStr">
        <x:is>
          <x:t xml:space="preserve">万胜智能</x:t>
        </x:is>
      </x:c>
      <x:c r="D3925" s="5" t="inlineStr">
        <x:is>
          <x:t xml:space="preserve">浙江万胜智能科技股份有限公司</x:t>
        </x:is>
      </x:c>
      <x:c r="E3925" s="4" t="inlineStr">
        <x:is>
          <x:t xml:space="preserve">浙江省</x:t>
        </x:is>
      </x:c>
      <x:c r="F3925" s="4" t="inlineStr">
        <x:is>
          <x:t xml:space="preserve">台州市</x:t>
        </x:is>
      </x:c>
      <x:c r="G3925" s="5" t="inlineStr">
        <x:is>
          <x:t xml:space="preserve">浙江省-台州市</x:t>
        </x:is>
      </x:c>
      <x:c r="H3925" s="4" t="inlineStr">
        <x:is>
          <x:t xml:space="preserve">电网设备</x:t>
        </x:is>
      </x:c>
      <x:c r="I3925" s="4" t="inlineStr">
        <x:is>
          <x:t xml:space="preserve">2020-09-10</x:t>
        </x:is>
      </x:c>
      <x:c r="J3925" s="5" t="inlineStr">
        <x:is>
          <x:t xml:space="preserve">浙江省台州市天台县始丰街道永昌路109号</x:t>
        </x:is>
      </x:c>
      <x:c r="K3925" s="12" t="str">
        <x:f>LEFT("91331000704716189P",18)</x:f>
        <x:v>91331000704716189P</x:v>
      </x:c>
    </x:row>
    <x:row r="3926">
      <x:c r="A3926" s="2" t="n">
        <x:v>3925</x:v>
      </x:c>
      <x:c r="B3926" s="2" t="inlineStr">
        <x:is>
          <x:t xml:space="preserve">300893</x:t>
        </x:is>
      </x:c>
      <x:c r="C3926" s="3" t="inlineStr">
        <x:is>
          <x:t xml:space="preserve">松原股份</x:t>
        </x:is>
      </x:c>
      <x:c r="D3926" s="3" t="inlineStr">
        <x:is>
          <x:t xml:space="preserve">浙江松原汽车安全系统股份有限公司</x:t>
        </x:is>
      </x:c>
      <x:c r="E3926" s="2" t="inlineStr">
        <x:is>
          <x:t xml:space="preserve">浙江省</x:t>
        </x:is>
      </x:c>
      <x:c r="F3926" s="2" t="inlineStr">
        <x:is>
          <x:t xml:space="preserve">余姚市</x:t>
        </x:is>
      </x:c>
      <x:c r="G3926" s="3" t="inlineStr">
        <x:is>
          <x:t xml:space="preserve">浙江省-余姚市</x:t>
        </x:is>
      </x:c>
      <x:c r="H3926" s="2" t="inlineStr">
        <x:is>
          <x:t xml:space="preserve">汽车行业</x:t>
        </x:is>
      </x:c>
      <x:c r="I3926" s="2" t="inlineStr">
        <x:is>
          <x:t xml:space="preserve">2020-09-24</x:t>
        </x:is>
      </x:c>
      <x:c r="J3926" s="3" t="inlineStr">
        <x:is>
          <x:t xml:space="preserve">余姚市牟山镇运河沿路1号</x:t>
        </x:is>
      </x:c>
      <x:c r="K3926" s="12" t="str">
        <x:f>LEFT("91330281730145332E",18)</x:f>
        <x:v>91330281730145332E</x:v>
      </x:c>
    </x:row>
    <x:row r="3927">
      <x:c r="A3927" s="4" t="n">
        <x:v>3926</x:v>
      </x:c>
      <x:c r="B3927" s="4" t="inlineStr">
        <x:is>
          <x:t xml:space="preserve">300894</x:t>
        </x:is>
      </x:c>
      <x:c r="C3927" s="5" t="inlineStr">
        <x:is>
          <x:t xml:space="preserve">火星人</x:t>
        </x:is>
      </x:c>
      <x:c r="D3927" s="5" t="inlineStr">
        <x:is>
          <x:t xml:space="preserve">火星人厨具股份有限公司</x:t>
        </x:is>
      </x:c>
      <x:c r="E3927" s="4" t="inlineStr">
        <x:is>
          <x:t xml:space="preserve">浙江省</x:t>
        </x:is>
      </x:c>
      <x:c r="F3927" s="4" t="inlineStr">
        <x:is>
          <x:t xml:space="preserve">江省海宁市</x:t>
        </x:is>
      </x:c>
      <x:c r="G3927" s="5" t="inlineStr">
        <x:is>
          <x:t xml:space="preserve">浙江省-江省海宁市</x:t>
        </x:is>
      </x:c>
      <x:c r="H3927" s="4" t="inlineStr">
        <x:is>
          <x:t xml:space="preserve">家电行业</x:t>
        </x:is>
      </x:c>
      <x:c r="I3927" s="4" t="inlineStr">
        <x:is>
          <x:t xml:space="preserve">2020-12-31</x:t>
        </x:is>
      </x:c>
      <x:c r="J3927" s="5" t="inlineStr">
        <x:is>
          <x:t xml:space="preserve">浙江省海宁市尖山新区新城路366号</x:t>
        </x:is>
      </x:c>
      <x:c r="K3927" s="12" t="str">
        <x:f>LEFT("91330481554013049C",18)</x:f>
        <x:v>91330481554013049C</x:v>
      </x:c>
    </x:row>
    <x:row r="3928">
      <x:c r="A3928" s="2" t="n">
        <x:v>3927</x:v>
      </x:c>
      <x:c r="B3928" s="2" t="inlineStr">
        <x:is>
          <x:t xml:space="preserve">300897</x:t>
        </x:is>
      </x:c>
      <x:c r="C3928" s="3" t="inlineStr">
        <x:is>
          <x:t xml:space="preserve">山科智能</x:t>
        </x:is>
      </x:c>
      <x:c r="D3928" s="3" t="inlineStr">
        <x:is>
          <x:t xml:space="preserve">杭州山科智能科技股份有限公司</x:t>
        </x:is>
      </x:c>
      <x:c r="E3928" s="2" t="inlineStr">
        <x:is>
          <x:t xml:space="preserve">浙江省</x:t>
        </x:is>
      </x:c>
      <x:c r="F3928" s="2" t="inlineStr">
        <x:is>
          <x:t xml:space="preserve">杭州市</x:t>
        </x:is>
      </x:c>
      <x:c r="G3928" s="3" t="inlineStr">
        <x:is>
          <x:t xml:space="preserve">浙江省-杭州市</x:t>
        </x:is>
      </x:c>
      <x:c r="H3928" s="2" t="inlineStr">
        <x:is>
          <x:t xml:space="preserve">仪器仪表</x:t>
        </x:is>
      </x:c>
      <x:c r="I3928" s="2" t="inlineStr">
        <x:is>
          <x:t xml:space="preserve">2020-09-28</x:t>
        </x:is>
      </x:c>
      <x:c r="J3928" s="3" t="inlineStr">
        <x:is>
          <x:t xml:space="preserve">浙江省杭州市滨江区西兴街道启智街89号山科智能大厦1602室</x:t>
        </x:is>
      </x:c>
      <x:c r="K3928" s="12" t="str">
        <x:f>LEFT("91330100719572130W",18)</x:f>
        <x:v>91330100719572130W</x:v>
      </x:c>
    </x:row>
    <x:row r="3929">
      <x:c r="A3929" s="4" t="n">
        <x:v>3928</x:v>
      </x:c>
      <x:c r="B3929" s="4" t="inlineStr">
        <x:is>
          <x:t xml:space="preserve">300898</x:t>
        </x:is>
      </x:c>
      <x:c r="C3929" s="5" t="inlineStr">
        <x:is>
          <x:t xml:space="preserve">熊猫乳品</x:t>
        </x:is>
      </x:c>
      <x:c r="D3929" s="5" t="inlineStr">
        <x:is>
          <x:t xml:space="preserve">熊猫乳品集团股份有限公司</x:t>
        </x:is>
      </x:c>
      <x:c r="E3929" s="4" t="inlineStr">
        <x:is>
          <x:t xml:space="preserve">浙江省</x:t>
        </x:is>
      </x:c>
      <x:c r="F3929" s="4" t="inlineStr">
        <x:is>
          <x:t xml:space="preserve">温州市</x:t>
        </x:is>
      </x:c>
      <x:c r="G3929" s="5" t="inlineStr">
        <x:is>
          <x:t xml:space="preserve">浙江省-温州市</x:t>
        </x:is>
      </x:c>
      <x:c r="H3929" s="4" t="inlineStr">
        <x:is>
          <x:t xml:space="preserve">食品饮料</x:t>
        </x:is>
      </x:c>
      <x:c r="I3929" s="4" t="inlineStr">
        <x:is>
          <x:t xml:space="preserve">2020-10-16</x:t>
        </x:is>
      </x:c>
      <x:c r="J3929" s="5" t="inlineStr">
        <x:is>
          <x:t xml:space="preserve">浙江省苍南县灵溪镇建兴东路650-668号</x:t>
        </x:is>
      </x:c>
      <x:c r="K3929" s="12" t="str">
        <x:f>LEFT("913303002546756499",18)</x:f>
        <x:v>913303002546756500</x:v>
      </x:c>
    </x:row>
    <x:row r="3930">
      <x:c r="A3930" s="2" t="n">
        <x:v>3929</x:v>
      </x:c>
      <x:c r="B3930" s="2" t="inlineStr">
        <x:is>
          <x:t xml:space="preserve">300901</x:t>
        </x:is>
      </x:c>
      <x:c r="C3930" s="3" t="inlineStr">
        <x:is>
          <x:t xml:space="preserve">中胤时尚</x:t>
        </x:is>
      </x:c>
      <x:c r="D3930" s="3" t="inlineStr">
        <x:is>
          <x:t xml:space="preserve">浙江中胤时尚股份有限公司</x:t>
        </x:is>
      </x:c>
      <x:c r="E3930" s="2" t="inlineStr">
        <x:is>
          <x:t xml:space="preserve">浙江省</x:t>
        </x:is>
      </x:c>
      <x:c r="F3930" s="2" t="inlineStr">
        <x:is>
          <x:t xml:space="preserve">温州市</x:t>
        </x:is>
      </x:c>
      <x:c r="G3930" s="3" t="inlineStr">
        <x:is>
          <x:t xml:space="preserve">浙江省-温州市</x:t>
        </x:is>
      </x:c>
      <x:c r="H3930" s="2" t="inlineStr">
        <x:is>
          <x:t xml:space="preserve">纺织服装</x:t>
        </x:is>
      </x:c>
      <x:c r="I3930" s="2" t="inlineStr">
        <x:is>
          <x:t xml:space="preserve">2020-10-29</x:t>
        </x:is>
      </x:c>
      <x:c r="J3930" s="3" t="inlineStr">
        <x:is>
          <x:t xml:space="preserve">浙江省温州市鹿城区丰叶路180号</x:t>
        </x:is>
      </x:c>
      <x:c r="K3930" s="12" t="str">
        <x:f>LEFT("91330302585012778N",18)</x:f>
        <x:v>91330302585012778N</x:v>
      </x:c>
    </x:row>
    <x:row r="3931">
      <x:c r="A3931" s="4" t="n">
        <x:v>3930</x:v>
      </x:c>
      <x:c r="B3931" s="4" t="inlineStr">
        <x:is>
          <x:t xml:space="preserve">300911</x:t>
        </x:is>
      </x:c>
      <x:c r="C3931" s="5" t="inlineStr">
        <x:is>
          <x:t xml:space="preserve">亿田智能</x:t>
        </x:is>
      </x:c>
      <x:c r="D3931" s="5" t="inlineStr">
        <x:is>
          <x:t xml:space="preserve">浙江亿田智能厨电股份有限公司</x:t>
        </x:is>
      </x:c>
      <x:c r="E3931" s="4" t="inlineStr">
        <x:is>
          <x:t xml:space="preserve">浙江省</x:t>
        </x:is>
      </x:c>
      <x:c r="F3931" s="4" t="inlineStr">
        <x:is>
          <x:t xml:space="preserve">绍兴市</x:t>
        </x:is>
      </x:c>
      <x:c r="G3931" s="5" t="inlineStr">
        <x:is>
          <x:t xml:space="preserve">浙江省-绍兴市</x:t>
        </x:is>
      </x:c>
      <x:c r="H3931" s="4" t="inlineStr">
        <x:is>
          <x:t xml:space="preserve">家电行业</x:t>
        </x:is>
      </x:c>
      <x:c r="I3931" s="4" t="inlineStr">
        <x:is>
          <x:t xml:space="preserve">2020-12-03</x:t>
        </x:is>
      </x:c>
      <x:c r="J3931" s="5" t="inlineStr">
        <x:is>
          <x:t xml:space="preserve">浙江省绍兴市嵊州市浦口街道浙锻路68号</x:t>
        </x:is>
      </x:c>
      <x:c r="K3931" s="12" t="str">
        <x:f>LEFT("91330683768696455K",18)</x:f>
        <x:v>91330683768696455K</x:v>
      </x:c>
    </x:row>
    <x:row r="3932">
      <x:c r="A3932" s="2" t="n">
        <x:v>3931</x:v>
      </x:c>
      <x:c r="B3932" s="2" t="inlineStr">
        <x:is>
          <x:t xml:space="preserve">300913</x:t>
        </x:is>
      </x:c>
      <x:c r="C3932" s="3" t="inlineStr">
        <x:is>
          <x:t xml:space="preserve">兆龙互连</x:t>
        </x:is>
      </x:c>
      <x:c r="D3932" s="3" t="inlineStr">
        <x:is>
          <x:t xml:space="preserve">浙江兆龙互连科技股份有限公司</x:t>
        </x:is>
      </x:c>
      <x:c r="E3932" s="2" t="inlineStr">
        <x:is>
          <x:t xml:space="preserve">浙江省</x:t>
        </x:is>
      </x:c>
      <x:c r="F3932" s="2" t="inlineStr">
        <x:is>
          <x:t xml:space="preserve">德清县新市</x:t>
        </x:is>
      </x:c>
      <x:c r="G3932" s="3" t="inlineStr">
        <x:is>
          <x:t xml:space="preserve">浙江省-德清县新市</x:t>
        </x:is>
      </x:c>
      <x:c r="H3932" s="2" t="inlineStr">
        <x:is>
          <x:t xml:space="preserve">通讯行业</x:t>
        </x:is>
      </x:c>
      <x:c r="I3932" s="2" t="inlineStr">
        <x:is>
          <x:t xml:space="preserve">2020-12-07</x:t>
        </x:is>
      </x:c>
      <x:c r="J3932" s="3" t="inlineStr">
        <x:is>
          <x:t xml:space="preserve">浙江省德清县新市镇士林工业区</x:t>
        </x:is>
      </x:c>
      <x:c r="K3932" s="12" t="str">
        <x:f>LEFT("91330521147114918E",18)</x:f>
        <x:v>91330521147114918E</x:v>
      </x:c>
    </x:row>
    <x:row r="3933">
      <x:c r="A3933" s="4" t="n">
        <x:v>3932</x:v>
      </x:c>
      <x:c r="B3933" s="4" t="inlineStr">
        <x:is>
          <x:t xml:space="preserve">300920</x:t>
        </x:is>
      </x:c>
      <x:c r="C3933" s="5" t="inlineStr">
        <x:is>
          <x:t xml:space="preserve">润阳科技</x:t>
        </x:is>
      </x:c>
      <x:c r="D3933" s="5" t="inlineStr">
        <x:is>
          <x:t xml:space="preserve">浙江润阳新材料科技股份有限公司</x:t>
        </x:is>
      </x:c>
      <x:c r="E3933" s="4" t="inlineStr">
        <x:is>
          <x:t xml:space="preserve">浙江省</x:t>
        </x:is>
      </x:c>
      <x:c r="F3933" s="4" t="inlineStr">
        <x:is>
          <x:t xml:space="preserve">湖州市</x:t>
        </x:is>
      </x:c>
      <x:c r="G3933" s="5" t="inlineStr">
        <x:is>
          <x:t xml:space="preserve">浙江省-湖州市</x:t>
        </x:is>
      </x:c>
      <x:c r="H3933" s="4" t="inlineStr">
        <x:is>
          <x:t xml:space="preserve">塑胶制品</x:t>
        </x:is>
      </x:c>
      <x:c r="I3933" s="4" t="inlineStr">
        <x:is>
          <x:t xml:space="preserve">2020-12-25</x:t>
        </x:is>
      </x:c>
      <x:c r="J3933" s="5" t="inlineStr">
        <x:is>
          <x:t xml:space="preserve">浙江省湖州市长兴县李家巷镇长兴大道9号</x:t>
        </x:is>
      </x:c>
      <x:c r="K3933" s="12" t="str">
        <x:f>LEFT("91330500056855710M",18)</x:f>
        <x:v>91330500056855710M</x:v>
      </x:c>
    </x:row>
    <x:row r="3934">
      <x:c r="A3934" s="2" t="n">
        <x:v>3933</x:v>
      </x:c>
      <x:c r="B3934" s="2" t="inlineStr">
        <x:is>
          <x:t xml:space="preserve">300930</x:t>
        </x:is>
      </x:c>
      <x:c r="C3934" s="3" t="inlineStr">
        <x:is>
          <x:t xml:space="preserve">屹通新材</x:t>
        </x:is>
      </x:c>
      <x:c r="D3934" s="3" t="inlineStr">
        <x:is>
          <x:t xml:space="preserve">杭州屹通新材料股份有限公司</x:t>
        </x:is>
      </x:c>
      <x:c r="E3934" s="2" t="inlineStr">
        <x:is>
          <x:t xml:space="preserve">浙江省</x:t>
        </x:is>
      </x:c>
      <x:c r="F3934" s="2" t="inlineStr">
        <x:is>
          <x:t xml:space="preserve">杭州市</x:t>
        </x:is>
      </x:c>
      <x:c r="G3934" s="3" t="inlineStr">
        <x:is>
          <x:t xml:space="preserve">浙江省-杭州市</x:t>
        </x:is>
      </x:c>
      <x:c r="H3934" s="2" t="inlineStr">
        <x:is>
          <x:t xml:space="preserve">有色金属</x:t>
        </x:is>
      </x:c>
      <x:c r="I3934" s="2" t="inlineStr">
        <x:is>
          <x:t xml:space="preserve">2021-01-21</x:t>
        </x:is>
      </x:c>
      <x:c r="J3934" s="3" t="inlineStr">
        <x:is>
          <x:t xml:space="preserve">浙江省杭州市建德市大慈岩镇檀村村</x:t>
        </x:is>
      </x:c>
      <x:c r="K3934" s="12" t="str">
        <x:f>LEFT("913301827245151225",18)</x:f>
        <x:v>913301827245151200</x:v>
      </x:c>
    </x:row>
    <x:row r="3935">
      <x:c r="A3935" s="4" t="n">
        <x:v>3934</x:v>
      </x:c>
      <x:c r="B3935" s="4" t="inlineStr">
        <x:is>
          <x:t xml:space="preserve">300943</x:t>
        </x:is>
      </x:c>
      <x:c r="C3935" s="5" t="inlineStr">
        <x:is>
          <x:t xml:space="preserve">春晖智控</x:t>
        </x:is>
      </x:c>
      <x:c r="D3935" s="5" t="inlineStr">
        <x:is>
          <x:t xml:space="preserve">浙江春晖智能控制股份有限公司</x:t>
        </x:is>
      </x:c>
      <x:c r="E3935" s="4" t="inlineStr">
        <x:is>
          <x:t xml:space="preserve">浙江省</x:t>
        </x:is>
      </x:c>
      <x:c r="F3935" s="4" t="inlineStr">
        <x:is>
          <x:t xml:space="preserve">江省上虞市</x:t>
        </x:is>
      </x:c>
      <x:c r="G3935" s="5" t="inlineStr">
        <x:is>
          <x:t xml:space="preserve">浙江省-江省上虞市</x:t>
        </x:is>
      </x:c>
      <x:c r="H3935" s="4" t="inlineStr">
        <x:is>
          <x:t xml:space="preserve">机械行业</x:t>
        </x:is>
      </x:c>
      <x:c r="I3935" s="4" t="inlineStr">
        <x:is>
          <x:t xml:space="preserve">2021-02-10</x:t>
        </x:is>
      </x:c>
      <x:c r="J3935" s="5" t="inlineStr">
        <x:is>
          <x:t xml:space="preserve">浙江省上虞市经济开发区</x:t>
        </x:is>
      </x:c>
      <x:c r="K3935" s="12" t="str">
        <x:f>LEFT("91330000609671736A",18)</x:f>
        <x:v>91330000609671736A</x:v>
      </x:c>
    </x:row>
    <x:row r="3936">
      <x:c r="A3936" s="2" t="n">
        <x:v>3935</x:v>
      </x:c>
      <x:c r="B3936" s="2" t="inlineStr">
        <x:is>
          <x:t xml:space="preserve">300945</x:t>
        </x:is>
      </x:c>
      <x:c r="C3936" s="3" t="inlineStr">
        <x:is>
          <x:t xml:space="preserve">曼卡龙</x:t>
        </x:is>
      </x:c>
      <x:c r="D3936" s="3" t="inlineStr">
        <x:is>
          <x:t xml:space="preserve">曼卡龙珠宝股份有限公司</x:t>
        </x:is>
      </x:c>
      <x:c r="E3936" s="2" t="inlineStr">
        <x:is>
          <x:t xml:space="preserve">浙江省</x:t>
        </x:is>
      </x:c>
      <x:c r="F3936" s="2" t="inlineStr">
        <x:is>
          <x:t xml:space="preserve">杭州市</x:t>
        </x:is>
      </x:c>
      <x:c r="G3936" s="3" t="inlineStr">
        <x:is>
          <x:t xml:space="preserve">浙江省-杭州市</x:t>
        </x:is>
      </x:c>
      <x:c r="H3936" s="2" t="inlineStr">
        <x:is>
          <x:t xml:space="preserve">珠宝首饰</x:t>
        </x:is>
      </x:c>
      <x:c r="I3936" s="2" t="inlineStr">
        <x:is>
          <x:t xml:space="preserve">2021-02-10</x:t>
        </x:is>
      </x:c>
      <x:c r="J3936" s="3" t="inlineStr">
        <x:is>
          <x:t xml:space="preserve">浙江省杭州市萧山区萧山经济技术开发区启迪路198号A-B102-473室</x:t>
        </x:is>
      </x:c>
      <x:c r="K3936" s="12" t="str">
        <x:f>LEFT("9133000069826762XG",18)</x:f>
        <x:v>9133000069826762XG</x:v>
      </x:c>
    </x:row>
    <x:row r="3937">
      <x:c r="A3937" s="4" t="n">
        <x:v>3936</x:v>
      </x:c>
      <x:c r="B3937" s="4" t="inlineStr">
        <x:is>
          <x:t xml:space="preserve">300953</x:t>
        </x:is>
      </x:c>
      <x:c r="C3937" s="5" t="inlineStr">
        <x:is>
          <x:t xml:space="preserve">震裕科技</x:t>
        </x:is>
      </x:c>
      <x:c r="D3937" s="5" t="inlineStr">
        <x:is>
          <x:t xml:space="preserve">宁波震裕科技股份有限公司</x:t>
        </x:is>
      </x:c>
      <x:c r="E3937" s="4" t="inlineStr">
        <x:is>
          <x:t xml:space="preserve">浙江省</x:t>
        </x:is>
      </x:c>
      <x:c r="F3937" s="4" t="inlineStr">
        <x:is>
          <x:t xml:space="preserve">宁波市</x:t>
        </x:is>
      </x:c>
      <x:c r="G3937" s="5" t="inlineStr">
        <x:is>
          <x:t xml:space="preserve">浙江省-宁波市</x:t>
        </x:is>
      </x:c>
      <x:c r="H3937" s="4" t="inlineStr">
        <x:is>
          <x:t xml:space="preserve">电池</x:t>
        </x:is>
      </x:c>
      <x:c r="I3937" s="4" t="inlineStr">
        <x:is>
          <x:t xml:space="preserve">2021-03-18</x:t>
        </x:is>
      </x:c>
      <x:c r="J3937" s="5" t="inlineStr">
        <x:is>
          <x:t xml:space="preserve">浙江省宁波市宁海县西店</x:t>
        </x:is>
      </x:c>
      <x:c r="K3937" s="12" t="str">
        <x:f>LEFT("91330200254385326P",18)</x:f>
        <x:v>91330200254385326P</x:v>
      </x:c>
    </x:row>
    <x:row r="3938">
      <x:c r="A3938" s="2" t="n">
        <x:v>3937</x:v>
      </x:c>
      <x:c r="B3938" s="2" t="inlineStr">
        <x:is>
          <x:t xml:space="preserve">300969</x:t>
        </x:is>
      </x:c>
      <x:c r="C3938" s="3" t="inlineStr">
        <x:is>
          <x:t xml:space="preserve">恒帅股份</x:t>
        </x:is>
      </x:c>
      <x:c r="D3938" s="3" t="inlineStr">
        <x:is>
          <x:t xml:space="preserve">宁波恒帅股份有限公司</x:t>
        </x:is>
      </x:c>
      <x:c r="E3938" s="2" t="inlineStr">
        <x:is>
          <x:t xml:space="preserve">浙江省</x:t>
        </x:is>
      </x:c>
      <x:c r="F3938" s="2" t="inlineStr">
        <x:is>
          <x:t xml:space="preserve">宁波市</x:t>
        </x:is>
      </x:c>
      <x:c r="G3938" s="3" t="inlineStr">
        <x:is>
          <x:t xml:space="preserve">浙江省-宁波市</x:t>
        </x:is>
      </x:c>
      <x:c r="H3938" s="2" t="inlineStr">
        <x:is>
          <x:t xml:space="preserve">汽车行业</x:t>
        </x:is>
      </x:c>
      <x:c r="I3938" s="2" t="inlineStr">
        <x:is>
          <x:t xml:space="preserve">2021-04-12</x:t>
        </x:is>
      </x:c>
      <x:c r="J3938" s="3" t="inlineStr">
        <x:is>
          <x:t xml:space="preserve">浙江省宁波市江北区通宁路399号</x:t>
        </x:is>
      </x:c>
      <x:c r="K3938" s="12" t="str">
        <x:f>LEFT("913302057263945208",18)</x:f>
        <x:v>913302057263945200</x:v>
      </x:c>
    </x:row>
    <x:row r="3939">
      <x:c r="A3939" s="4" t="n">
        <x:v>3938</x:v>
      </x:c>
      <x:c r="B3939" s="4" t="inlineStr">
        <x:is>
          <x:t xml:space="preserve">300984</x:t>
        </x:is>
      </x:c>
      <x:c r="C3939" s="5" t="inlineStr">
        <x:is>
          <x:t xml:space="preserve">金沃股份</x:t>
        </x:is>
      </x:c>
      <x:c r="D3939" s="5" t="inlineStr">
        <x:is>
          <x:t xml:space="preserve">浙江金沃精工股份有限公司</x:t>
        </x:is>
      </x:c>
      <x:c r="E3939" s="4" t="inlineStr">
        <x:is>
          <x:t xml:space="preserve">浙江省</x:t>
        </x:is>
      </x:c>
      <x:c r="F3939" s="4" t="inlineStr">
        <x:is>
          <x:t xml:space="preserve">衢州市</x:t>
        </x:is>
      </x:c>
      <x:c r="G3939" s="5" t="inlineStr">
        <x:is>
          <x:t xml:space="preserve">浙江省-衢州市</x:t>
        </x:is>
      </x:c>
      <x:c r="H3939" s="4" t="inlineStr">
        <x:is>
          <x:t xml:space="preserve">机械行业</x:t>
        </x:is>
      </x:c>
      <x:c r="I3939" s="4" t="inlineStr">
        <x:is>
          <x:t xml:space="preserve">2021-06-18</x:t>
        </x:is>
      </x:c>
      <x:c r="J3939" s="5" t="inlineStr">
        <x:is>
          <x:t xml:space="preserve">浙江省衢州市柯城区航埠镇刘山一路1号</x:t>
        </x:is>
      </x:c>
      <x:c r="K3939" s="12" t="str">
        <x:f>LEFT("913308025765293106",18)</x:f>
        <x:v>913308025765293000</x:v>
      </x:c>
    </x:row>
    <x:row r="3940">
      <x:c r="A3940" s="2" t="n">
        <x:v>3939</x:v>
      </x:c>
      <x:c r="B3940" s="2" t="inlineStr">
        <x:is>
          <x:t xml:space="preserve">300992</x:t>
        </x:is>
      </x:c>
      <x:c r="C3940" s="3" t="inlineStr">
        <x:is>
          <x:t xml:space="preserve">泰福泵业</x:t>
        </x:is>
      </x:c>
      <x:c r="D3940" s="3" t="inlineStr">
        <x:is>
          <x:t xml:space="preserve">浙江泰福泵业股份有限公司</x:t>
        </x:is>
      </x:c>
      <x:c r="E3940" s="2" t="inlineStr">
        <x:is>
          <x:t xml:space="preserve">浙江省</x:t>
        </x:is>
      </x:c>
      <x:c r="F3940" s="2" t="inlineStr">
        <x:is>
          <x:t xml:space="preserve">温岭市</x:t>
        </x:is>
      </x:c>
      <x:c r="G3940" s="3" t="inlineStr">
        <x:is>
          <x:t xml:space="preserve">浙江省-温岭市</x:t>
        </x:is>
      </x:c>
      <x:c r="H3940" s="2" t="inlineStr">
        <x:is>
          <x:t xml:space="preserve">机械行业</x:t>
        </x:is>
      </x:c>
      <x:c r="I3940" s="2" t="inlineStr">
        <x:is>
          <x:t xml:space="preserve">2021-05-25</x:t>
        </x:is>
      </x:c>
      <x:c r="J3940" s="3" t="inlineStr">
        <x:is>
          <x:t xml:space="preserve">温岭市松门镇东南工业园区(海天名苑小区往东800米)</x:t>
        </x:is>
      </x:c>
      <x:c r="K3940" s="12" t="str">
        <x:f>LEFT("913310816100020466",18)</x:f>
        <x:v>913310816100020500</x:v>
      </x:c>
    </x:row>
    <x:row r="3941">
      <x:c r="A3941" s="4" t="n">
        <x:v>3940</x:v>
      </x:c>
      <x:c r="B3941" s="4" t="inlineStr">
        <x:is>
          <x:t xml:space="preserve">300994</x:t>
        </x:is>
      </x:c>
      <x:c r="C3941" s="5" t="inlineStr">
        <x:is>
          <x:t xml:space="preserve">久祺股份</x:t>
        </x:is>
      </x:c>
      <x:c r="D3941" s="5" t="inlineStr">
        <x:is>
          <x:t xml:space="preserve">久祺股份有限公司</x:t>
        </x:is>
      </x:c>
      <x:c r="E3941" s="4" t="inlineStr">
        <x:is>
          <x:t xml:space="preserve">浙江省</x:t>
        </x:is>
      </x:c>
      <x:c r="F3941" s="4" t="inlineStr">
        <x:is>
          <x:t xml:space="preserve">杭州市</x:t>
        </x:is>
      </x:c>
      <x:c r="G3941" s="5" t="inlineStr">
        <x:is>
          <x:t xml:space="preserve">浙江省-杭州市</x:t>
        </x:is>
      </x:c>
      <x:c r="H3941" s="4" t="inlineStr">
        <x:is>
          <x:t xml:space="preserve">交运设备</x:t>
        </x:is>
      </x:c>
      <x:c r="I3941" s="4" t="inlineStr">
        <x:is>
          <x:t xml:space="preserve">2021-08-12</x:t>
        </x:is>
      </x:c>
      <x:c r="J3941" s="5" t="inlineStr">
        <x:is>
          <x:t xml:space="preserve">浙江省杭州市上城区新塘路36、38、46、50、56、58、66号广新大厦16层</x:t>
        </x:is>
      </x:c>
      <x:c r="K3941" s="12" t="str">
        <x:f>LEFT("913301007043789098",18)</x:f>
        <x:v>913301007043789000</x:v>
      </x:c>
    </x:row>
    <x:row r="3942">
      <x:c r="A3942" s="2" t="n">
        <x:v>3941</x:v>
      </x:c>
      <x:c r="B3942" s="2" t="inlineStr">
        <x:is>
          <x:t xml:space="preserve">300998</x:t>
        </x:is>
      </x:c>
      <x:c r="C3942" s="3" t="inlineStr">
        <x:is>
          <x:t xml:space="preserve">宁波方正</x:t>
        </x:is>
      </x:c>
      <x:c r="D3942" s="3" t="inlineStr">
        <x:is>
          <x:t xml:space="preserve">宁波方正汽车模具股份有限公司</x:t>
        </x:is>
      </x:c>
      <x:c r="E3942" s="2" t="inlineStr">
        <x:is>
          <x:t xml:space="preserve">浙江省</x:t>
        </x:is>
      </x:c>
      <x:c r="F3942" s="2" t="inlineStr">
        <x:is>
          <x:t xml:space="preserve">宁波市</x:t>
        </x:is>
      </x:c>
      <x:c r="G3942" s="3" t="inlineStr">
        <x:is>
          <x:t xml:space="preserve">浙江省-宁波市</x:t>
        </x:is>
      </x:c>
      <x:c r="H3942" s="2" t="inlineStr">
        <x:is>
          <x:t xml:space="preserve">汽车行业</x:t>
        </x:is>
      </x:c>
      <x:c r="I3942" s="2" t="inlineStr">
        <x:is>
          <x:t xml:space="preserve">2021-06-02</x:t>
        </x:is>
      </x:c>
      <x:c r="J3942" s="3" t="inlineStr">
        <x:is>
          <x:t xml:space="preserve">浙江省宁海县梅林街道三省中路1号</x:t>
        </x:is>
      </x:c>
      <x:c r="K3942" s="12" t="str">
        <x:f>LEFT("91330226758875089J",18)</x:f>
        <x:v>91330226758875089J</x:v>
      </x:c>
    </x:row>
    <x:row r="3943">
      <x:c r="A3943" s="4" t="n">
        <x:v>3942</x:v>
      </x:c>
      <x:c r="B3943" s="4" t="inlineStr">
        <x:is>
          <x:t xml:space="preserve">301004</x:t>
        </x:is>
      </x:c>
      <x:c r="C3943" s="5" t="inlineStr">
        <x:is>
          <x:t xml:space="preserve">嘉益股份</x:t>
        </x:is>
      </x:c>
      <x:c r="D3943" s="5" t="inlineStr">
        <x:is>
          <x:t xml:space="preserve">浙江嘉益保温科技股份有限公司</x:t>
        </x:is>
      </x:c>
      <x:c r="E3943" s="4" t="inlineStr">
        <x:is>
          <x:t xml:space="preserve">浙江省</x:t>
        </x:is>
      </x:c>
      <x:c r="F3943" s="4" t="inlineStr">
        <x:is>
          <x:t xml:space="preserve">金华市</x:t>
        </x:is>
      </x:c>
      <x:c r="G3943" s="5" t="inlineStr">
        <x:is>
          <x:t xml:space="preserve">浙江省-金华市</x:t>
        </x:is>
      </x:c>
      <x:c r="H3943" s="4" t="inlineStr">
        <x:is>
          <x:t xml:space="preserve">家用轻工</x:t>
        </x:is>
      </x:c>
      <x:c r="I3943" s="4" t="inlineStr">
        <x:is>
          <x:t xml:space="preserve">2021-06-25</x:t>
        </x:is>
      </x:c>
      <x:c r="J3943" s="5" t="inlineStr">
        <x:is>
          <x:t xml:space="preserve">浙江省金华市武义县经济开发区白洋工业区</x:t>
        </x:is>
      </x:c>
      <x:c r="K3943" s="12" t="str">
        <x:f>LEFT("91330723762512117A",18)</x:f>
        <x:v>91330723762512117A</x:v>
      </x:c>
    </x:row>
    <x:row r="3944">
      <x:c r="A3944" s="2" t="n">
        <x:v>3943</x:v>
      </x:c>
      <x:c r="B3944" s="2" t="inlineStr">
        <x:is>
          <x:t xml:space="preserve">301008</x:t>
        </x:is>
      </x:c>
      <x:c r="C3944" s="3" t="inlineStr">
        <x:is>
          <x:t xml:space="preserve">宏昌科技</x:t>
        </x:is>
      </x:c>
      <x:c r="D3944" s="3" t="inlineStr">
        <x:is>
          <x:t xml:space="preserve">浙江宏昌电器科技股份有限公司</x:t>
        </x:is>
      </x:c>
      <x:c r="E3944" s="2" t="inlineStr">
        <x:is>
          <x:t xml:space="preserve">浙江省</x:t>
        </x:is>
      </x:c>
      <x:c r="F3944" s="2" t="inlineStr">
        <x:is>
          <x:t xml:space="preserve">金华市</x:t>
        </x:is>
      </x:c>
      <x:c r="G3944" s="3" t="inlineStr">
        <x:is>
          <x:t xml:space="preserve">浙江省-金华市</x:t>
        </x:is>
      </x:c>
      <x:c r="H3944" s="2" t="inlineStr">
        <x:is>
          <x:t xml:space="preserve">家电行业</x:t>
        </x:is>
      </x:c>
      <x:c r="I3944" s="2" t="inlineStr">
        <x:is>
          <x:t xml:space="preserve">2021-06-11</x:t>
        </x:is>
      </x:c>
      <x:c r="J3944" s="3" t="inlineStr">
        <x:is>
          <x:t xml:space="preserve">浙江省金华市婺城区秋滨街道新宏路788号</x:t>
        </x:is>
      </x:c>
      <x:c r="K3944" s="12" t="str">
        <x:f>LEFT("91330701254999838P",18)</x:f>
        <x:v>91330701254999838P</x:v>
      </x:c>
    </x:row>
    <x:row r="3945">
      <x:c r="A3945" s="4" t="n">
        <x:v>3944</x:v>
      </x:c>
      <x:c r="B3945" s="4" t="inlineStr">
        <x:is>
          <x:t xml:space="preserve">301009</x:t>
        </x:is>
      </x:c>
      <x:c r="C3945" s="5" t="inlineStr">
        <x:is>
          <x:t xml:space="preserve">可靠股份</x:t>
        </x:is>
      </x:c>
      <x:c r="D3945" s="5" t="inlineStr">
        <x:is>
          <x:t xml:space="preserve">杭州可靠护理用品股份有限公司</x:t>
        </x:is>
      </x:c>
      <x:c r="E3945" s="4" t="inlineStr">
        <x:is>
          <x:t xml:space="preserve">浙江省</x:t>
        </x:is>
      </x:c>
      <x:c r="F3945" s="4" t="inlineStr">
        <x:is>
          <x:t xml:space="preserve">杭州市</x:t>
        </x:is>
      </x:c>
      <x:c r="G3945" s="5" t="inlineStr">
        <x:is>
          <x:t xml:space="preserve">浙江省-杭州市</x:t>
        </x:is>
      </x:c>
      <x:c r="H3945" s="4" t="inlineStr">
        <x:is>
          <x:t xml:space="preserve">美容护理</x:t>
        </x:is>
      </x:c>
      <x:c r="I3945" s="4" t="inlineStr">
        <x:is>
          <x:t xml:space="preserve">2021-06-17</x:t>
        </x:is>
      </x:c>
      <x:c r="J3945" s="5" t="inlineStr">
        <x:is>
          <x:t xml:space="preserve">浙江省杭州市临安区锦城街道(城西工业园)花桥路2号</x:t>
        </x:is>
      </x:c>
      <x:c r="K3945" s="12" t="str">
        <x:f>LEFT("913301007309330480",18)</x:f>
        <x:v>913301007309330400</x:v>
      </x:c>
    </x:row>
    <x:row r="3946">
      <x:c r="A3946" s="2" t="n">
        <x:v>3945</x:v>
      </x:c>
      <x:c r="B3946" s="2" t="inlineStr">
        <x:is>
          <x:t xml:space="preserve">301019</x:t>
        </x:is>
      </x:c>
      <x:c r="C3946" s="3" t="inlineStr">
        <x:is>
          <x:t xml:space="preserve">宁波色母</x:t>
        </x:is>
      </x:c>
      <x:c r="D3946" s="3" t="inlineStr">
        <x:is>
          <x:t xml:space="preserve">宁波色母粒股份有限公司</x:t>
        </x:is>
      </x:c>
      <x:c r="E3946" s="2" t="inlineStr">
        <x:is>
          <x:t xml:space="preserve">浙江省</x:t>
        </x:is>
      </x:c>
      <x:c r="F3946" s="2" t="inlineStr">
        <x:is>
          <x:t xml:space="preserve">宁波市</x:t>
        </x:is>
      </x:c>
      <x:c r="G3946" s="3" t="inlineStr">
        <x:is>
          <x:t xml:space="preserve">浙江省-宁波市</x:t>
        </x:is>
      </x:c>
      <x:c r="H3946" s="2" t="inlineStr">
        <x:is>
          <x:t xml:space="preserve">塑胶制品</x:t>
        </x:is>
      </x:c>
      <x:c r="I3946" s="2" t="inlineStr">
        <x:is>
          <x:t xml:space="preserve">2021-06-28</x:t>
        </x:is>
      </x:c>
      <x:c r="J3946" s="3" t="inlineStr">
        <x:is>
          <x:t xml:space="preserve">浙江省宁波市鄞州区潘火街道金辉西路168号</x:t>
        </x:is>
      </x:c>
      <x:c r="K3946" s="12" t="str">
        <x:f>LEFT("91330212144455506B",18)</x:f>
        <x:v>91330212144455506B</x:v>
      </x:c>
    </x:row>
    <x:row r="3947">
      <x:c r="A3947" s="4" t="n">
        <x:v>3946</x:v>
      </x:c>
      <x:c r="B3947" s="4" t="inlineStr">
        <x:is>
          <x:t xml:space="preserve">301032</x:t>
        </x:is>
      </x:c>
      <x:c r="C3947" s="5" t="inlineStr">
        <x:is>
          <x:t xml:space="preserve">新柴股份</x:t>
        </x:is>
      </x:c>
      <x:c r="D3947" s="5" t="inlineStr">
        <x:is>
          <x:t xml:space="preserve">浙江新柴股份有限公司</x:t>
        </x:is>
      </x:c>
      <x:c r="E3947" s="4" t="inlineStr">
        <x:is>
          <x:t xml:space="preserve">浙江省</x:t>
        </x:is>
      </x:c>
      <x:c r="F3947" s="4" t="inlineStr">
        <x:is>
          <x:t xml:space="preserve">绍兴市</x:t>
        </x:is>
      </x:c>
      <x:c r="G3947" s="5" t="inlineStr">
        <x:is>
          <x:t xml:space="preserve">浙江省-绍兴市</x:t>
        </x:is>
      </x:c>
      <x:c r="H3947" s="4" t="inlineStr">
        <x:is>
          <x:t xml:space="preserve">机械行业</x:t>
        </x:is>
      </x:c>
      <x:c r="I3947" s="4" t="inlineStr">
        <x:is>
          <x:t xml:space="preserve">2021-07-22</x:t>
        </x:is>
      </x:c>
      <x:c r="J3947" s="5" t="inlineStr">
        <x:is>
          <x:t xml:space="preserve">浙江新昌大道西路888号</x:t>
        </x:is>
      </x:c>
      <x:c r="K3947" s="12" t="str">
        <x:f>LEFT("913306006628977937",18)</x:f>
        <x:v>913306006628977900</x:v>
      </x:c>
    </x:row>
    <x:row r="3948">
      <x:c r="A3948" s="2" t="n">
        <x:v>3947</x:v>
      </x:c>
      <x:c r="B3948" s="2" t="inlineStr">
        <x:is>
          <x:t xml:space="preserve">301052</x:t>
        </x:is>
      </x:c>
      <x:c r="C3948" s="3" t="inlineStr">
        <x:is>
          <x:t xml:space="preserve">果麦文化</x:t>
        </x:is>
      </x:c>
      <x:c r="D3948" s="3" t="inlineStr">
        <x:is>
          <x:t xml:space="preserve">果麦文化传媒股份有限公司</x:t>
        </x:is>
      </x:c>
      <x:c r="E3948" s="2" t="inlineStr">
        <x:is>
          <x:t xml:space="preserve">浙江省</x:t>
        </x:is>
      </x:c>
      <x:c r="F3948" s="2" t="inlineStr">
        <x:is>
          <x:t xml:space="preserve">杭州市</x:t>
        </x:is>
      </x:c>
      <x:c r="G3948" s="3" t="inlineStr">
        <x:is>
          <x:t xml:space="preserve">浙江省-杭州市</x:t>
        </x:is>
      </x:c>
      <x:c r="H3948" s="2" t="inlineStr">
        <x:is>
          <x:t xml:space="preserve">文化传媒</x:t>
        </x:is>
      </x:c>
      <x:c r="I3948" s="2" t="inlineStr">
        <x:is>
          <x:t xml:space="preserve">2021-08-30</x:t>
        </x:is>
      </x:c>
      <x:c r="J3948" s="3" t="inlineStr">
        <x:is>
          <x:t xml:space="preserve">浙江省杭州市西湖区文二西路777号三深区块一区1号</x:t>
        </x:is>
      </x:c>
      <x:c r="K3948" s="12" t="str">
        <x:f>LEFT("9133010659662215XJ",18)</x:f>
        <x:v>9133010659662215XJ</x:v>
      </x:c>
    </x:row>
    <x:row r="3949">
      <x:c r="A3949" s="4" t="n">
        <x:v>3948</x:v>
      </x:c>
      <x:c r="B3949" s="4" t="inlineStr">
        <x:is>
          <x:t xml:space="preserve">301053</x:t>
        </x:is>
      </x:c>
      <x:c r="C3949" s="5" t="inlineStr">
        <x:is>
          <x:t xml:space="preserve">远信工业</x:t>
        </x:is>
      </x:c>
      <x:c r="D3949" s="5" t="inlineStr">
        <x:is>
          <x:t xml:space="preserve">远信工业股份有限公司</x:t>
        </x:is>
      </x:c>
      <x:c r="E3949" s="4" t="inlineStr">
        <x:is>
          <x:t xml:space="preserve">浙江省</x:t>
        </x:is>
      </x:c>
      <x:c r="F3949" s="4" t="inlineStr">
        <x:is>
          <x:t xml:space="preserve">绍兴市</x:t>
        </x:is>
      </x:c>
      <x:c r="G3949" s="5" t="inlineStr">
        <x:is>
          <x:t xml:space="preserve">浙江省-绍兴市</x:t>
        </x:is>
      </x:c>
      <x:c r="H3949" s="4" t="inlineStr">
        <x:is>
          <x:t xml:space="preserve">专用设备</x:t>
        </x:is>
      </x:c>
      <x:c r="I3949" s="4" t="inlineStr">
        <x:is>
          <x:t xml:space="preserve">2021-09-01</x:t>
        </x:is>
      </x:c>
      <x:c r="J3949" s="5" t="inlineStr">
        <x:is>
          <x:t xml:space="preserve">新昌县澄潭工业区</x:t>
        </x:is>
      </x:c>
      <x:c r="K3949" s="12" t="str">
        <x:f>LEFT("91330624556197056N",18)</x:f>
        <x:v>91330624556197056N</x:v>
      </x:c>
    </x:row>
    <x:row r="3950">
      <x:c r="A3950" s="2" t="n">
        <x:v>3949</x:v>
      </x:c>
      <x:c r="B3950" s="2" t="inlineStr">
        <x:is>
          <x:t xml:space="preserve">301055</x:t>
        </x:is>
      </x:c>
      <x:c r="C3950" s="3" t="inlineStr">
        <x:is>
          <x:t xml:space="preserve">张小泉</x:t>
        </x:is>
      </x:c>
      <x:c r="D3950" s="3" t="inlineStr">
        <x:is>
          <x:t xml:space="preserve">张小泉股份有限公司</x:t>
        </x:is>
      </x:c>
      <x:c r="E3950" s="2" t="inlineStr">
        <x:is>
          <x:t xml:space="preserve">浙江省</x:t>
        </x:is>
      </x:c>
      <x:c r="F3950" s="2" t="inlineStr">
        <x:is>
          <x:t xml:space="preserve">杭州市</x:t>
        </x:is>
      </x:c>
      <x:c r="G3950" s="3" t="inlineStr">
        <x:is>
          <x:t xml:space="preserve">浙江省-杭州市</x:t>
        </x:is>
      </x:c>
      <x:c r="H3950" s="2" t="inlineStr">
        <x:is>
          <x:t xml:space="preserve">通用设备</x:t>
        </x:is>
      </x:c>
      <x:c r="I3950" s="2" t="inlineStr">
        <x:is>
          <x:t xml:space="preserve">2021-09-06</x:t>
        </x:is>
      </x:c>
      <x:c r="J3950" s="3" t="inlineStr">
        <x:is>
          <x:t xml:space="preserve">浙江省杭州市富阳区东洲街道五星路8号</x:t>
        </x:is>
      </x:c>
      <x:c r="K3950" s="12" t="str">
        <x:f>LEFT("91330183679858889H",18)</x:f>
        <x:v>91330183679858889H</x:v>
      </x:c>
    </x:row>
    <x:row r="3951">
      <x:c r="A3951" s="4" t="n">
        <x:v>3950</x:v>
      </x:c>
      <x:c r="B3951" s="4" t="inlineStr">
        <x:is>
          <x:t xml:space="preserve">301056</x:t>
        </x:is>
      </x:c>
      <x:c r="C3951" s="5" t="inlineStr">
        <x:is>
          <x:t xml:space="preserve">森赫股份</x:t>
        </x:is>
      </x:c>
      <x:c r="D3951" s="5" t="inlineStr">
        <x:is>
          <x:t xml:space="preserve">森赫电梯股份有限公司</x:t>
        </x:is>
      </x:c>
      <x:c r="E3951" s="4" t="inlineStr">
        <x:is>
          <x:t xml:space="preserve">浙江省</x:t>
        </x:is>
      </x:c>
      <x:c r="F3951" s="4" t="inlineStr">
        <x:is>
          <x:t xml:space="preserve">湖州市</x:t>
        </x:is>
      </x:c>
      <x:c r="G3951" s="5" t="inlineStr">
        <x:is>
          <x:t xml:space="preserve">浙江省-湖州市</x:t>
        </x:is>
      </x:c>
      <x:c r="H3951" s="4" t="inlineStr">
        <x:is>
          <x:t xml:space="preserve">专用设备</x:t>
        </x:is>
      </x:c>
      <x:c r="I3951" s="4" t="inlineStr">
        <x:is>
          <x:t xml:space="preserve">2021-09-07</x:t>
        </x:is>
      </x:c>
      <x:c r="J3951" s="5" t="inlineStr">
        <x:is>
          <x:t xml:space="preserve">浙江省湖州市南浔区练市工业园区森赫大道1号</x:t>
        </x:is>
      </x:c>
      <x:c r="K3951" s="12" t="str">
        <x:f>LEFT("913305006691654997",18)</x:f>
        <x:v>913305006691655000</x:v>
      </x:c>
    </x:row>
    <x:row r="3952">
      <x:c r="A3952" s="2" t="n">
        <x:v>3951</x:v>
      </x:c>
      <x:c r="B3952" s="2" t="inlineStr">
        <x:is>
          <x:t xml:space="preserve">301057</x:t>
        </x:is>
      </x:c>
      <x:c r="C3952" s="3" t="inlineStr">
        <x:is>
          <x:t xml:space="preserve">汇隆新材</x:t>
        </x:is>
      </x:c>
      <x:c r="D3952" s="3" t="inlineStr">
        <x:is>
          <x:t xml:space="preserve">浙江汇隆新材料股份有限公司</x:t>
        </x:is>
      </x:c>
      <x:c r="E3952" s="2" t="inlineStr">
        <x:is>
          <x:t xml:space="preserve">浙江省</x:t>
        </x:is>
      </x:c>
      <x:c r="F3952" s="2" t="inlineStr">
        <x:is>
          <x:t xml:space="preserve">湖州市</x:t>
        </x:is>
      </x:c>
      <x:c r="G3952" s="3" t="inlineStr">
        <x:is>
          <x:t xml:space="preserve">浙江省-湖州市</x:t>
        </x:is>
      </x:c>
      <x:c r="H3952" s="2" t="inlineStr">
        <x:is>
          <x:t xml:space="preserve">化纤行业</x:t>
        </x:is>
      </x:c>
      <x:c r="I3952" s="2" t="inlineStr">
        <x:is>
          <x:t xml:space="preserve">2021-09-09</x:t>
        </x:is>
      </x:c>
      <x:c r="J3952" s="3" t="inlineStr">
        <x:is>
          <x:t xml:space="preserve">浙江省德清县禹越镇杭海路</x:t>
        </x:is>
      </x:c>
      <x:c r="K3952" s="12" t="str">
        <x:f>LEFT("91330500763900410B",18)</x:f>
        <x:v>91330500763900410B</x:v>
      </x:c>
    </x:row>
    <x:row r="3953">
      <x:c r="A3953" s="4" t="n">
        <x:v>3952</x:v>
      </x:c>
      <x:c r="B3953" s="4" t="inlineStr">
        <x:is>
          <x:t xml:space="preserve">301065</x:t>
        </x:is>
      </x:c>
      <x:c r="C3953" s="5" t="inlineStr">
        <x:is>
          <x:t xml:space="preserve">本立科技</x:t>
        </x:is>
      </x:c>
      <x:c r="D3953" s="5" t="inlineStr">
        <x:is>
          <x:t xml:space="preserve">浙江本立科技股份有限公司</x:t>
        </x:is>
      </x:c>
      <x:c r="E3953" s="4" t="inlineStr">
        <x:is>
          <x:t xml:space="preserve">浙江省</x:t>
        </x:is>
      </x:c>
      <x:c r="F3953" s="4" t="inlineStr">
        <x:is>
          <x:t xml:space="preserve">连云港市</x:t>
        </x:is>
      </x:c>
      <x:c r="G3953" s="5" t="inlineStr">
        <x:is>
          <x:t xml:space="preserve">浙江省-连云港市</x:t>
        </x:is>
      </x:c>
      <x:c r="H3953" s="4" t="inlineStr">
        <x:is>
          <x:t xml:space="preserve">化学原料</x:t>
        </x:is>
      </x:c>
      <x:c r="I3953" s="4" t="inlineStr">
        <x:is>
          <x:t xml:space="preserve">2021-09-14</x:t>
        </x:is>
      </x:c>
      <x:c r="J3953" s="5" t="inlineStr">
        <x:is>
          <x:t xml:space="preserve">浙江省临海头门港新区东海第六大道15号</x:t>
        </x:is>
      </x:c>
      <x:c r="K3953" s="12" t="str">
        <x:f>LEFT("913310005753258189",18)</x:f>
        <x:v>913310005753258200</x:v>
      </x:c>
    </x:row>
    <x:row r="3954">
      <x:c r="A3954" s="2" t="n">
        <x:v>3953</x:v>
      </x:c>
      <x:c r="B3954" s="2" t="inlineStr">
        <x:is>
          <x:t xml:space="preserve">301066</x:t>
        </x:is>
      </x:c>
      <x:c r="C3954" s="3" t="inlineStr">
        <x:is>
          <x:t xml:space="preserve">万事利</x:t>
        </x:is>
      </x:c>
      <x:c r="D3954" s="3" t="inlineStr">
        <x:is>
          <x:t xml:space="preserve">杭州万事利丝绸文化股份有限公司</x:t>
        </x:is>
      </x:c>
      <x:c r="E3954" s="2" t="inlineStr">
        <x:is>
          <x:t xml:space="preserve">浙江省</x:t>
        </x:is>
      </x:c>
      <x:c r="F3954" s="2" t="inlineStr">
        <x:is>
          <x:t xml:space="preserve">杭州市</x:t>
        </x:is>
      </x:c>
      <x:c r="G3954" s="3" t="inlineStr">
        <x:is>
          <x:t xml:space="preserve">浙江省-杭州市</x:t>
        </x:is>
      </x:c>
      <x:c r="H3954" s="2" t="inlineStr">
        <x:is>
          <x:t xml:space="preserve">纺织服装</x:t>
        </x:is>
      </x:c>
      <x:c r="I3954" s="2" t="inlineStr">
        <x:is>
          <x:t xml:space="preserve">2021-09-22</x:t>
        </x:is>
      </x:c>
      <x:c r="J3954" s="3" t="inlineStr">
        <x:is>
          <x:t xml:space="preserve">浙江省杭州市天城路68号(万事利科技大厦)2幢5楼501室</x:t>
        </x:is>
      </x:c>
      <x:c r="K3954" s="12" t="str">
        <x:f>LEFT("91330100665235517C",18)</x:f>
        <x:v>91330100665235517C</x:v>
      </x:c>
    </x:row>
    <x:row r="3955">
      <x:c r="A3955" s="4" t="n">
        <x:v>3954</x:v>
      </x:c>
      <x:c r="B3955" s="4" t="inlineStr">
        <x:is>
          <x:t xml:space="preserve">301068</x:t>
        </x:is>
      </x:c>
      <x:c r="C3955" s="5" t="inlineStr">
        <x:is>
          <x:t xml:space="preserve">大地海洋</x:t>
        </x:is>
      </x:c>
      <x:c r="D3955" s="5" t="inlineStr">
        <x:is>
          <x:t xml:space="preserve">杭州大地海洋环保股份有限公司</x:t>
        </x:is>
      </x:c>
      <x:c r="E3955" s="4" t="inlineStr">
        <x:is>
          <x:t xml:space="preserve">浙江省</x:t>
        </x:is>
      </x:c>
      <x:c r="F3955" s="4" t="inlineStr">
        <x:is>
          <x:t xml:space="preserve">杭州市</x:t>
        </x:is>
      </x:c>
      <x:c r="G3955" s="5" t="inlineStr">
        <x:is>
          <x:t xml:space="preserve">浙江省-杭州市</x:t>
        </x:is>
      </x:c>
      <x:c r="H3955" s="4" t="inlineStr">
        <x:is>
          <x:t xml:space="preserve">环保工程</x:t>
        </x:is>
      </x:c>
      <x:c r="I3955" s="4" t="inlineStr">
        <x:is>
          <x:t xml:space="preserve">2021-09-28</x:t>
        </x:is>
      </x:c>
      <x:c r="J3955" s="5" t="inlineStr">
        <x:is>
          <x:t xml:space="preserve">浙江省杭州市余杭区仁和街道临港路111号</x:t>
        </x:is>
      </x:c>
      <x:c r="K3955" s="12" t="str">
        <x:f>LEFT("913301107494973628",18)</x:f>
        <x:v>913301107494973600</x:v>
      </x:c>
    </x:row>
    <x:row r="3956">
      <x:c r="A3956" s="2" t="n">
        <x:v>3955</x:v>
      </x:c>
      <x:c r="B3956" s="2" t="inlineStr">
        <x:is>
          <x:t xml:space="preserve">301073</x:t>
        </x:is>
      </x:c>
      <x:c r="C3956" s="3" t="inlineStr">
        <x:is>
          <x:t xml:space="preserve">君亭酒店</x:t>
        </x:is>
      </x:c>
      <x:c r="D3956" s="3" t="inlineStr">
        <x:is>
          <x:t xml:space="preserve">君亭酒店集团股份有限公司</x:t>
        </x:is>
      </x:c>
      <x:c r="E3956" s="2" t="inlineStr">
        <x:is>
          <x:t xml:space="preserve">浙江省</x:t>
        </x:is>
      </x:c>
      <x:c r="F3956" s="2" t="inlineStr">
        <x:is>
          <x:t xml:space="preserve">杭州市</x:t>
        </x:is>
      </x:c>
      <x:c r="G3956" s="3" t="inlineStr">
        <x:is>
          <x:t xml:space="preserve">浙江省-杭州市</x:t>
        </x:is>
      </x:c>
      <x:c r="H3956" s="2" t="inlineStr">
        <x:is>
          <x:t xml:space="preserve">旅游酒店</x:t>
        </x:is>
      </x:c>
      <x:c r="I3956" s="2" t="inlineStr">
        <x:is>
          <x:t xml:space="preserve">2021-09-30</x:t>
        </x:is>
      </x:c>
      <x:c r="J3956" s="3" t="inlineStr">
        <x:is>
          <x:t xml:space="preserve">浙江省杭州市西湖区学院路29号</x:t>
        </x:is>
      </x:c>
      <x:c r="K3956" s="12" t="str">
        <x:f>LEFT("91330100665212665U",18)</x:f>
        <x:v>91330100665212665U</x:v>
      </x:c>
    </x:row>
    <x:row r="3957">
      <x:c r="A3957" s="4" t="n">
        <x:v>3956</x:v>
      </x:c>
      <x:c r="B3957" s="4" t="inlineStr">
        <x:is>
          <x:t xml:space="preserve">301077</x:t>
        </x:is>
      </x:c>
      <x:c r="C3957" s="5" t="inlineStr">
        <x:is>
          <x:t xml:space="preserve">星华新材</x:t>
        </x:is>
      </x:c>
      <x:c r="D3957" s="5" t="inlineStr">
        <x:is>
          <x:t xml:space="preserve">浙江星华新材料集团股份有限公司</x:t>
        </x:is>
      </x:c>
      <x:c r="E3957" s="4" t="inlineStr">
        <x:is>
          <x:t xml:space="preserve">浙江省</x:t>
        </x:is>
      </x:c>
      <x:c r="F3957" s="4" t="inlineStr">
        <x:is>
          <x:t xml:space="preserve">杭州市</x:t>
        </x:is>
      </x:c>
      <x:c r="G3957" s="5" t="inlineStr">
        <x:is>
          <x:t xml:space="preserve">浙江省-杭州市</x:t>
        </x:is>
      </x:c>
      <x:c r="H3957" s="4" t="inlineStr">
        <x:is>
          <x:t xml:space="preserve">化学制品</x:t>
        </x:is>
      </x:c>
      <x:c r="I3957" s="4" t="inlineStr">
        <x:is>
          <x:t xml:space="preserve">2021-09-30</x:t>
        </x:is>
      </x:c>
      <x:c r="J3957" s="5" t="inlineStr">
        <x:is>
          <x:t xml:space="preserve">浙江省杭州市余杭区径山镇后村桥路2号</x:t>
        </x:is>
      </x:c>
      <x:c r="K3957" s="12" t="str">
        <x:f>LEFT("91330100747192063J",18)</x:f>
        <x:v>91330100747192063J</x:v>
      </x:c>
    </x:row>
    <x:row r="3958">
      <x:c r="A3958" s="2" t="n">
        <x:v>3957</x:v>
      </x:c>
      <x:c r="B3958" s="2" t="inlineStr">
        <x:is>
          <x:t xml:space="preserve">301081</x:t>
        </x:is>
      </x:c>
      <x:c r="C3958" s="3" t="inlineStr">
        <x:is>
          <x:t xml:space="preserve">严牌股份</x:t>
        </x:is>
      </x:c>
      <x:c r="D3958" s="3" t="inlineStr">
        <x:is>
          <x:t xml:space="preserve">浙江严牌过滤技术股份有限公司</x:t>
        </x:is>
      </x:c>
      <x:c r="E3958" s="2" t="inlineStr">
        <x:is>
          <x:t xml:space="preserve">浙江省</x:t>
        </x:is>
      </x:c>
      <x:c r="F3958" s="2" t="inlineStr">
        <x:is>
          <x:t xml:space="preserve">台州市</x:t>
        </x:is>
      </x:c>
      <x:c r="G3958" s="3" t="inlineStr">
        <x:is>
          <x:t xml:space="preserve">浙江省-台州市</x:t>
        </x:is>
      </x:c>
      <x:c r="H3958" s="2" t="inlineStr">
        <x:is>
          <x:t xml:space="preserve">环保工程</x:t>
        </x:is>
      </x:c>
      <x:c r="I3958" s="2" t="inlineStr">
        <x:is>
          <x:t xml:space="preserve">2021-10-20</x:t>
        </x:is>
      </x:c>
      <x:c r="J3958" s="3" t="inlineStr">
        <x:is>
          <x:t xml:space="preserve">天台县始丰街道永兴路1号</x:t>
        </x:is>
      </x:c>
      <x:c r="K3958" s="12" t="str">
        <x:f>LEFT("91331000307584995H",18)</x:f>
        <x:v>91331000307584995H</x:v>
      </x:c>
    </x:row>
    <x:row r="3959">
      <x:c r="A3959" s="4" t="n">
        <x:v>3958</x:v>
      </x:c>
      <x:c r="B3959" s="4" t="inlineStr">
        <x:is>
          <x:t xml:space="preserve">301082</x:t>
        </x:is>
      </x:c>
      <x:c r="C3959" s="5" t="inlineStr">
        <x:is>
          <x:t xml:space="preserve">久盛电气</x:t>
        </x:is>
      </x:c>
      <x:c r="D3959" s="5" t="inlineStr">
        <x:is>
          <x:t xml:space="preserve">久盛电气股份有限公司</x:t>
        </x:is>
      </x:c>
      <x:c r="E3959" s="4" t="inlineStr">
        <x:is>
          <x:t xml:space="preserve">浙江省</x:t>
        </x:is>
      </x:c>
      <x:c r="F3959" s="4" t="inlineStr">
        <x:is>
          <x:t xml:space="preserve">湖州市</x:t>
        </x:is>
      </x:c>
      <x:c r="G3959" s="5" t="inlineStr">
        <x:is>
          <x:t xml:space="preserve">浙江省-湖州市</x:t>
        </x:is>
      </x:c>
      <x:c r="H3959" s="4" t="inlineStr">
        <x:is>
          <x:t xml:space="preserve">输配电气</x:t>
        </x:is>
      </x:c>
      <x:c r="I3959" s="4" t="inlineStr">
        <x:is>
          <x:t xml:space="preserve">2021-10-27</x:t>
        </x:is>
      </x:c>
      <x:c r="J3959" s="5" t="inlineStr">
        <x:is>
          <x:t xml:space="preserve">湖州市经济技术开发区西凤路1000号</x:t>
        </x:is>
      </x:c>
      <x:c r="K3959" s="12" t="str">
        <x:f>LEFT("913305007613310584",18)</x:f>
        <x:v>913305007613310600</x:v>
      </x:c>
    </x:row>
    <x:row r="3960">
      <x:c r="A3960" s="2" t="n">
        <x:v>3959</x:v>
      </x:c>
      <x:c r="B3960" s="2" t="inlineStr">
        <x:is>
          <x:t xml:space="preserve">301092</x:t>
        </x:is>
      </x:c>
      <x:c r="C3960" s="3" t="inlineStr">
        <x:is>
          <x:t xml:space="preserve">争光股份</x:t>
        </x:is>
      </x:c>
      <x:c r="D3960" s="3" t="inlineStr">
        <x:is>
          <x:t xml:space="preserve">浙江争光实业股份有限公司</x:t>
        </x:is>
      </x:c>
      <x:c r="E3960" s="2" t="inlineStr">
        <x:is>
          <x:t xml:space="preserve">浙江省</x:t>
        </x:is>
      </x:c>
      <x:c r="F3960" s="2" t="inlineStr">
        <x:is>
          <x:t xml:space="preserve">杭州市</x:t>
        </x:is>
      </x:c>
      <x:c r="G3960" s="3" t="inlineStr">
        <x:is>
          <x:t xml:space="preserve">浙江省-杭州市</x:t>
        </x:is>
      </x:c>
      <x:c r="H3960" s="2" t="inlineStr">
        <x:is>
          <x:t xml:space="preserve">化工行业</x:t>
        </x:is>
      </x:c>
      <x:c r="I3960" s="2" t="inlineStr">
        <x:is>
          <x:t xml:space="preserve">2021-11-02</x:t>
        </x:is>
      </x:c>
      <x:c r="J3960" s="3" t="inlineStr">
        <x:is>
          <x:t xml:space="preserve">浙江省杭州市临平区东湖街道龙船坞路96号3幢1楼132室</x:t>
        </x:is>
      </x:c>
      <x:c r="K3960" s="12" t="str">
        <x:f>LEFT("91330000143906141R",18)</x:f>
        <x:v>91330000143906141R</x:v>
      </x:c>
    </x:row>
    <x:row r="3961">
      <x:c r="A3961" s="4" t="n">
        <x:v>3960</x:v>
      </x:c>
      <x:c r="B3961" s="4" t="inlineStr">
        <x:is>
          <x:t xml:space="preserve">301095</x:t>
        </x:is>
      </x:c>
      <x:c r="C3961" s="5" t="inlineStr">
        <x:is>
          <x:t xml:space="preserve">广立微</x:t>
        </x:is>
      </x:c>
      <x:c r="D3961" s="5" t="inlineStr">
        <x:is>
          <x:t xml:space="preserve">杭州广立微电子股份有限公司</x:t>
        </x:is>
      </x:c>
      <x:c r="E3961" s="4" t="inlineStr">
        <x:is>
          <x:t xml:space="preserve">浙江省</x:t>
        </x:is>
      </x:c>
      <x:c r="F3961" s="4" t="inlineStr">
        <x:is>
          <x:t xml:space="preserve">杭州市</x:t>
        </x:is>
      </x:c>
      <x:c r="G3961" s="5" t="inlineStr">
        <x:is>
          <x:t xml:space="preserve">浙江省-杭州市</x:t>
        </x:is>
      </x:c>
      <x:c r="H3961" s="4" t="inlineStr">
        <x:is>
          <x:t xml:space="preserve">半导体</x:t>
        </x:is>
      </x:c>
      <x:c r="I3961" s="4" t="inlineStr">
        <x:is>
          <x:t xml:space="preserve">2022-08-05</x:t>
        </x:is>
      </x:c>
      <x:c r="J3961" s="5" t="inlineStr">
        <x:is>
          <x:t xml:space="preserve">浙江省杭州市滨江区浦沿街道潮涌路1095号10层</x:t>
        </x:is>
      </x:c>
      <x:c r="K3961" s="12" t="str">
        <x:f>LEFT("91330108751731859U",18)</x:f>
        <x:v>91330108751731859U</x:v>
      </x:c>
    </x:row>
    <x:row r="3962">
      <x:c r="A3962" s="2" t="n">
        <x:v>3961</x:v>
      </x:c>
      <x:c r="B3962" s="2" t="inlineStr">
        <x:is>
          <x:t xml:space="preserve">301096</x:t>
        </x:is>
      </x:c>
      <x:c r="C3962" s="3" t="inlineStr">
        <x:is>
          <x:t xml:space="preserve">百诚医药</x:t>
        </x:is>
      </x:c>
      <x:c r="D3962" s="3" t="inlineStr">
        <x:is>
          <x:t xml:space="preserve">杭州百诚医药科技股份有限公司</x:t>
        </x:is>
      </x:c>
      <x:c r="E3962" s="2" t="inlineStr">
        <x:is>
          <x:t xml:space="preserve">浙江省</x:t>
        </x:is>
      </x:c>
      <x:c r="F3962" s="2" t="inlineStr">
        <x:is>
          <x:t xml:space="preserve">杭州市</x:t>
        </x:is>
      </x:c>
      <x:c r="G3962" s="3" t="inlineStr">
        <x:is>
          <x:t xml:space="preserve">浙江省-杭州市</x:t>
        </x:is>
      </x:c>
      <x:c r="H3962" s="2" t="inlineStr">
        <x:is>
          <x:t xml:space="preserve">医疗服务</x:t>
        </x:is>
      </x:c>
      <x:c r="I3962" s="2" t="inlineStr">
        <x:is>
          <x:t xml:space="preserve">2021-12-20</x:t>
        </x:is>
      </x:c>
      <x:c r="J3962" s="3" t="inlineStr">
        <x:is>
          <x:t xml:space="preserve">浙江省杭州市临平区临平街道绿洲路159号</x:t>
        </x:is>
      </x:c>
      <x:c r="K3962" s="12" t="str">
        <x:f>LEFT("91330108577318224J",18)</x:f>
        <x:v>91330108577318224J</x:v>
      </x:c>
    </x:row>
    <x:row r="3963">
      <x:c r="A3963" s="4" t="n">
        <x:v>3962</x:v>
      </x:c>
      <x:c r="B3963" s="4" t="inlineStr">
        <x:is>
          <x:t xml:space="preserve">301097</x:t>
        </x:is>
      </x:c>
      <x:c r="C3963" s="5" t="inlineStr">
        <x:is>
          <x:t xml:space="preserve">天益医疗</x:t>
        </x:is>
      </x:c>
      <x:c r="D3963" s="5" t="inlineStr">
        <x:is>
          <x:t xml:space="preserve">宁波天益医疗器械股份有限公司</x:t>
        </x:is>
      </x:c>
      <x:c r="E3963" s="4" t="inlineStr">
        <x:is>
          <x:t xml:space="preserve">浙江省</x:t>
        </x:is>
      </x:c>
      <x:c r="F3963" s="4" t="inlineStr">
        <x:is>
          <x:t xml:space="preserve">宁波市</x:t>
        </x:is>
      </x:c>
      <x:c r="G3963" s="5" t="inlineStr">
        <x:is>
          <x:t xml:space="preserve">浙江省-宁波市</x:t>
        </x:is>
      </x:c>
      <x:c r="H3963" s="4" t="inlineStr">
        <x:is>
          <x:t xml:space="preserve">医疗器械</x:t>
        </x:is>
      </x:c>
      <x:c r="I3963" s="4" t="inlineStr">
        <x:is>
          <x:t xml:space="preserve">2022-04-07</x:t>
        </x:is>
      </x:c>
      <x:c r="J3963" s="5" t="inlineStr">
        <x:is>
          <x:t xml:space="preserve">浙江省宁波市东钱湖旅游度假区莫枝北路788号</x:t>
        </x:is>
      </x:c>
      <x:c r="K3963" s="12" t="str">
        <x:f>LEFT("9133020170480869XQ",18)</x:f>
        <x:v>9133020170480869XQ</x:v>
      </x:c>
    </x:row>
    <x:row r="3964">
      <x:c r="A3964" s="2" t="n">
        <x:v>3963</x:v>
      </x:c>
      <x:c r="B3964" s="2" t="inlineStr">
        <x:is>
          <x:t xml:space="preserve">301113</x:t>
        </x:is>
      </x:c>
      <x:c r="C3964" s="3" t="inlineStr">
        <x:is>
          <x:t xml:space="preserve">雅艺科技</x:t>
        </x:is>
      </x:c>
      <x:c r="D3964" s="3" t="inlineStr">
        <x:is>
          <x:t xml:space="preserve">浙江雅艺金属科技股份有限公司</x:t>
        </x:is>
      </x:c>
      <x:c r="E3964" s="2" t="inlineStr">
        <x:is>
          <x:t xml:space="preserve">浙江省</x:t>
        </x:is>
      </x:c>
      <x:c r="F3964" s="2" t="inlineStr">
        <x:is>
          <x:t xml:space="preserve">金华市</x:t>
        </x:is>
      </x:c>
      <x:c r="G3964" s="3" t="inlineStr">
        <x:is>
          <x:t xml:space="preserve">浙江省-金华市</x:t>
        </x:is>
      </x:c>
      <x:c r="H3964" s="2" t="inlineStr">
        <x:is>
          <x:t xml:space="preserve">装修装饰</x:t>
        </x:is>
      </x:c>
      <x:c r="I3964" s="2" t="inlineStr">
        <x:is>
          <x:t xml:space="preserve">2021-12-22</x:t>
        </x:is>
      </x:c>
      <x:c r="J3964" s="3" t="inlineStr">
        <x:is>
          <x:t xml:space="preserve">浙江省金华市武义县茭道镇蒋马洞村内白1号</x:t>
        </x:is>
      </x:c>
      <x:c r="K3964" s="12" t="str">
        <x:f>LEFT("91330700776454800N",18)</x:f>
        <x:v>91330700776454800N</x:v>
      </x:c>
    </x:row>
    <x:row r="3965">
      <x:c r="A3965" s="4" t="n">
        <x:v>3964</x:v>
      </x:c>
      <x:c r="B3965" s="4" t="inlineStr">
        <x:is>
          <x:t xml:space="preserve">301119</x:t>
        </x:is>
      </x:c>
      <x:c r="C3965" s="5" t="inlineStr">
        <x:is>
          <x:t xml:space="preserve">正强股份</x:t>
        </x:is>
      </x:c>
      <x:c r="D3965" s="5" t="inlineStr">
        <x:is>
          <x:t xml:space="preserve">杭州正强传动股份有限公司</x:t>
        </x:is>
      </x:c>
      <x:c r="E3965" s="4" t="inlineStr">
        <x:is>
          <x:t xml:space="preserve">浙江省</x:t>
        </x:is>
      </x:c>
      <x:c r="F3965" s="4" t="inlineStr">
        <x:is>
          <x:t xml:space="preserve">杭州市</x:t>
        </x:is>
      </x:c>
      <x:c r="G3965" s="5" t="inlineStr">
        <x:is>
          <x:t xml:space="preserve">浙江省-杭州市</x:t>
        </x:is>
      </x:c>
      <x:c r="H3965" s="4" t="inlineStr">
        <x:is>
          <x:t xml:space="preserve">汽车行业</x:t>
        </x:is>
      </x:c>
      <x:c r="I3965" s="4" t="inlineStr">
        <x:is>
          <x:t xml:space="preserve">2021-11-22</x:t>
        </x:is>
      </x:c>
      <x:c r="J3965" s="5" t="inlineStr">
        <x:is>
          <x:t xml:space="preserve">浙江省萧山蜀山街道章潘桥村(犁头金)</x:t>
        </x:is>
      </x:c>
      <x:c r="K3965" s="12" t="str">
        <x:f>LEFT("91330109255783406A",18)</x:f>
        <x:v>91330109255783406A</x:v>
      </x:c>
    </x:row>
    <x:row r="3966">
      <x:c r="A3966" s="2" t="n">
        <x:v>3965</x:v>
      </x:c>
      <x:c r="B3966" s="2" t="inlineStr">
        <x:is>
          <x:t xml:space="preserve">301141</x:t>
        </x:is>
      </x:c>
      <x:c r="C3966" s="3" t="inlineStr">
        <x:is>
          <x:t xml:space="preserve">中科磁业</x:t>
        </x:is>
      </x:c>
      <x:c r="D3966" s="3" t="inlineStr">
        <x:is>
          <x:t xml:space="preserve">浙江中科磁业股份有限公司</x:t>
        </x:is>
      </x:c>
      <x:c r="E3966" s="2" t="inlineStr">
        <x:is>
          <x:t xml:space="preserve">浙江省</x:t>
        </x:is>
      </x:c>
      <x:c r="F3966" s="2" t="inlineStr">
        <x:is>
          <x:t xml:space="preserve">江省东阳市</x:t>
        </x:is>
      </x:c>
      <x:c r="G3966" s="3" t="inlineStr">
        <x:is>
          <x:t xml:space="preserve">浙江省-江省东阳市</x:t>
        </x:is>
      </x:c>
      <x:c r="H3966" s="2" t="inlineStr">
        <x:is>
          <x:t xml:space="preserve">小金属</x:t>
        </x:is>
      </x:c>
      <x:c r="I3966" s="2" t="inlineStr">
        <x:is>
          <x:t xml:space="preserve">2023-04-03</x:t>
        </x:is>
      </x:c>
      <x:c r="J3966" s="3" t="inlineStr">
        <x:is>
          <x:t xml:space="preserve">浙江省东阳市横店工业园区</x:t>
        </x:is>
      </x:c>
      <x:c r="K3966" s="12" t="str">
        <x:f>LEFT("91330783552855277N",18)</x:f>
        <x:v>91330783552855277N</x:v>
      </x:c>
    </x:row>
    <x:row r="3967">
      <x:c r="A3967" s="4" t="n">
        <x:v>3966</x:v>
      </x:c>
      <x:c r="B3967" s="4" t="inlineStr">
        <x:is>
          <x:t xml:space="preserve">301157</x:t>
        </x:is>
      </x:c>
      <x:c r="C3967" s="5" t="inlineStr">
        <x:is>
          <x:t xml:space="preserve">华塑科技</x:t>
        </x:is>
      </x:c>
      <x:c r="D3967" s="5" t="inlineStr">
        <x:is>
          <x:t xml:space="preserve">杭州华塑科技股份有限公司</x:t>
        </x:is>
      </x:c>
      <x:c r="E3967" s="4" t="inlineStr">
        <x:is>
          <x:t xml:space="preserve">浙江省</x:t>
        </x:is>
      </x:c>
      <x:c r="F3967" s="4" t="inlineStr">
        <x:is>
          <x:t xml:space="preserve">杭州市</x:t>
        </x:is>
      </x:c>
      <x:c r="G3967" s="5" t="inlineStr">
        <x:is>
          <x:t xml:space="preserve">浙江省-杭州市</x:t>
        </x:is>
      </x:c>
      <x:c r="H3967" s="4" t="inlineStr">
        <x:is>
          <x:t xml:space="preserve">计算机设备</x:t>
        </x:is>
      </x:c>
      <x:c r="I3967" s="4" t="inlineStr">
        <x:is>
          <x:t xml:space="preserve">2023-03-09</x:t>
        </x:is>
      </x:c>
      <x:c r="J3967" s="5" t="inlineStr">
        <x:is>
          <x:t xml:space="preserve">浙江省杭州市莫干山路1418-50号3幢2、3层(上城科技工业基地)</x:t>
        </x:is>
      </x:c>
      <x:c r="K3967" s="12" t="str">
        <x:f>LEFT("91330106782371163N",18)</x:f>
        <x:v>91330106782371163N</x:v>
      </x:c>
    </x:row>
    <x:row r="3968">
      <x:c r="A3968" s="2" t="n">
        <x:v>3967</x:v>
      </x:c>
      <x:c r="B3968" s="2" t="inlineStr">
        <x:is>
          <x:t xml:space="preserve">301193</x:t>
        </x:is>
      </x:c>
      <x:c r="C3968" s="3" t="inlineStr">
        <x:is>
          <x:t xml:space="preserve">家联科技</x:t>
        </x:is>
      </x:c>
      <x:c r="D3968" s="3" t="inlineStr">
        <x:is>
          <x:t xml:space="preserve">宁波家联科技股份有限公司</x:t>
        </x:is>
      </x:c>
      <x:c r="E3968" s="2" t="inlineStr">
        <x:is>
          <x:t xml:space="preserve">浙江省</x:t>
        </x:is>
      </x:c>
      <x:c r="F3968" s="2" t="inlineStr">
        <x:is>
          <x:t xml:space="preserve">宁波市</x:t>
        </x:is>
      </x:c>
      <x:c r="G3968" s="3" t="inlineStr">
        <x:is>
          <x:t xml:space="preserve">浙江省-宁波市</x:t>
        </x:is>
      </x:c>
      <x:c r="H3968" s="2" t="inlineStr">
        <x:is>
          <x:t xml:space="preserve">塑料制品</x:t>
        </x:is>
      </x:c>
      <x:c r="I3968" s="2" t="inlineStr">
        <x:is>
          <x:t xml:space="preserve">2021-12-09</x:t>
        </x:is>
      </x:c>
      <x:c r="J3968" s="3" t="inlineStr">
        <x:is>
          <x:t xml:space="preserve">浙江省宁波市镇海区澥浦镇兴浦路296号</x:t>
        </x:is>
      </x:c>
      <x:c r="K3968" s="12" t="str">
        <x:f>LEFT("913302116913859571",18)</x:f>
        <x:v>913302116913859600</x:v>
      </x:c>
    </x:row>
    <x:row r="3969">
      <x:c r="A3969" s="4" t="n">
        <x:v>3968</x:v>
      </x:c>
      <x:c r="B3969" s="4" t="inlineStr">
        <x:is>
          <x:t xml:space="preserve">301198</x:t>
        </x:is>
      </x:c>
      <x:c r="C3969" s="5" t="inlineStr">
        <x:is>
          <x:t xml:space="preserve">喜悦智行</x:t>
        </x:is>
      </x:c>
      <x:c r="D3969" s="5" t="inlineStr">
        <x:is>
          <x:t xml:space="preserve">宁波喜悦智行科技股份有限公司</x:t>
        </x:is>
      </x:c>
      <x:c r="E3969" s="4" t="inlineStr">
        <x:is>
          <x:t xml:space="preserve">浙江省</x:t>
        </x:is>
      </x:c>
      <x:c r="F3969" s="4" t="inlineStr">
        <x:is>
          <x:t xml:space="preserve">江省慈溪市</x:t>
        </x:is>
      </x:c>
      <x:c r="G3969" s="5" t="inlineStr">
        <x:is>
          <x:t xml:space="preserve">浙江省-江省慈溪市</x:t>
        </x:is>
      </x:c>
      <x:c r="H3969" s="4" t="inlineStr">
        <x:is>
          <x:t xml:space="preserve">塑料制品</x:t>
        </x:is>
      </x:c>
      <x:c r="I3969" s="4" t="inlineStr">
        <x:is>
          <x:t xml:space="preserve">2021-12-02</x:t>
        </x:is>
      </x:c>
      <x:c r="J3969" s="5" t="inlineStr">
        <x:is>
          <x:t xml:space="preserve">浙江省慈溪市桥头镇吴山南路1111号</x:t>
        </x:is>
      </x:c>
      <x:c r="K3969" s="12" t="str">
        <x:f>LEFT("91330282768537876J",18)</x:f>
        <x:v>91330282768537876J</x:v>
      </x:c>
    </x:row>
    <x:row r="3970">
      <x:c r="A3970" s="2" t="n">
        <x:v>3969</x:v>
      </x:c>
      <x:c r="B3970" s="2" t="inlineStr">
        <x:is>
          <x:t xml:space="preserve">301201</x:t>
        </x:is>
      </x:c>
      <x:c r="C3970" s="3" t="inlineStr">
        <x:is>
          <x:t xml:space="preserve">诚达药业</x:t>
        </x:is>
      </x:c>
      <x:c r="D3970" s="3" t="inlineStr">
        <x:is>
          <x:t xml:space="preserve">诚达药业股份有限公司</x:t>
        </x:is>
      </x:c>
      <x:c r="E3970" s="2" t="inlineStr">
        <x:is>
          <x:t xml:space="preserve">浙江省</x:t>
        </x:is>
      </x:c>
      <x:c r="F3970" s="2" t="inlineStr">
        <x:is>
          <x:t xml:space="preserve">嘉兴市</x:t>
        </x:is>
      </x:c>
      <x:c r="G3970" s="3" t="inlineStr">
        <x:is>
          <x:t xml:space="preserve">浙江省-嘉兴市</x:t>
        </x:is>
      </x:c>
      <x:c r="H3970" s="2" t="inlineStr">
        <x:is>
          <x:t xml:space="preserve">医疗服务</x:t>
        </x:is>
      </x:c>
      <x:c r="I3970" s="2" t="inlineStr">
        <x:is>
          <x:t xml:space="preserve">2022-01-20</x:t>
        </x:is>
      </x:c>
      <x:c r="J3970" s="3" t="inlineStr">
        <x:is>
          <x:t xml:space="preserve">浙江省嘉兴市嘉善县惠民街道黄河路36号</x:t>
        </x:is>
      </x:c>
      <x:c r="K3970" s="12" t="str">
        <x:f>LEFT("913300007044199935",18)</x:f>
        <x:v>913300007044200000</x:v>
      </x:c>
    </x:row>
    <x:row r="3971">
      <x:c r="A3971" s="4" t="n">
        <x:v>3970</x:v>
      </x:c>
      <x:c r="B3971" s="4" t="inlineStr">
        <x:is>
          <x:t xml:space="preserve">301203</x:t>
        </x:is>
      </x:c>
      <x:c r="C3971" s="5" t="inlineStr">
        <x:is>
          <x:t xml:space="preserve">国泰环保</x:t>
        </x:is>
      </x:c>
      <x:c r="D3971" s="5" t="inlineStr">
        <x:is>
          <x:t xml:space="preserve">杭州国泰环保科技股份有限公司</x:t>
        </x:is>
      </x:c>
      <x:c r="E3971" s="4" t="inlineStr">
        <x:is>
          <x:t xml:space="preserve">浙江省</x:t>
        </x:is>
      </x:c>
      <x:c r="F3971" s="4" t="inlineStr">
        <x:is>
          <x:t xml:space="preserve">杭州市</x:t>
        </x:is>
      </x:c>
      <x:c r="G3971" s="5" t="inlineStr">
        <x:is>
          <x:t xml:space="preserve">浙江省-杭州市</x:t>
        </x:is>
      </x:c>
      <x:c r="H3971" s="4" t="inlineStr">
        <x:is>
          <x:t xml:space="preserve">环保行业</x:t>
        </x:is>
      </x:c>
      <x:c r="I3971" s="4" t="inlineStr">
        <x:is>
          <x:t xml:space="preserve">2023-04-04</x:t>
        </x:is>
      </x:c>
      <x:c r="J3971" s="5" t="inlineStr">
        <x:is>
          <x:t xml:space="preserve">浙江省杭州市萧山区萧山经济技术开发区启迪路198号B座3层</x:t>
        </x:is>
      </x:c>
      <x:c r="K3971" s="12" t="str">
        <x:f>LEFT("91330100730325819L",18)</x:f>
        <x:v>91330100730325819L</x:v>
      </x:c>
    </x:row>
    <x:row r="3972">
      <x:c r="A3972" s="2" t="n">
        <x:v>3971</x:v>
      </x:c>
      <x:c r="B3972" s="2" t="inlineStr">
        <x:is>
          <x:t xml:space="preserve">301212</x:t>
        </x:is>
      </x:c>
      <x:c r="C3972" s="3" t="inlineStr">
        <x:is>
          <x:t xml:space="preserve">联盛化学</x:t>
        </x:is>
      </x:c>
      <x:c r="D3972" s="3" t="inlineStr">
        <x:is>
          <x:t xml:space="preserve">浙江联盛化学股份有限公司</x:t>
        </x:is>
      </x:c>
      <x:c r="E3972" s="2" t="inlineStr">
        <x:is>
          <x:t xml:space="preserve">浙江省</x:t>
        </x:is>
      </x:c>
      <x:c r="F3972" s="2" t="inlineStr">
        <x:is>
          <x:t xml:space="preserve">台州市</x:t>
        </x:is>
      </x:c>
      <x:c r="G3972" s="3" t="inlineStr">
        <x:is>
          <x:t xml:space="preserve">浙江省-台州市</x:t>
        </x:is>
      </x:c>
      <x:c r="H3972" s="2" t="inlineStr">
        <x:is>
          <x:t xml:space="preserve">化学制品</x:t>
        </x:is>
      </x:c>
      <x:c r="I3972" s="2" t="inlineStr">
        <x:is>
          <x:t xml:space="preserve">2022-04-19</x:t>
        </x:is>
      </x:c>
      <x:c r="J3972" s="3" t="inlineStr">
        <x:is>
          <x:t xml:space="preserve">浙江省台州市临海市台州湾经济技术开发区东海第三大道9号</x:t>
        </x:is>
      </x:c>
      <x:c r="K3972" s="12" t="str">
        <x:f>LEFT("913310826683250245",18)</x:f>
        <x:v>913310826683250300</x:v>
      </x:c>
    </x:row>
    <x:row r="3973">
      <x:c r="A3973" s="4" t="n">
        <x:v>3972</x:v>
      </x:c>
      <x:c r="B3973" s="4" t="inlineStr">
        <x:is>
          <x:t xml:space="preserve">301216</x:t>
        </x:is>
      </x:c>
      <x:c r="C3973" s="5" t="inlineStr">
        <x:is>
          <x:t xml:space="preserve">万凯新材</x:t>
        </x:is>
      </x:c>
      <x:c r="D3973" s="5" t="inlineStr">
        <x:is>
          <x:t xml:space="preserve">万凯新材料股份有限公司</x:t>
        </x:is>
      </x:c>
      <x:c r="E3973" s="4" t="inlineStr">
        <x:is>
          <x:t xml:space="preserve">浙江省</x:t>
        </x:is>
      </x:c>
      <x:c r="F3973" s="4" t="inlineStr">
        <x:is>
          <x:t xml:space="preserve">嘉兴市</x:t>
        </x:is>
      </x:c>
      <x:c r="G3973" s="5" t="inlineStr">
        <x:is>
          <x:t xml:space="preserve">浙江省-嘉兴市</x:t>
        </x:is>
      </x:c>
      <x:c r="H3973" s="4" t="inlineStr">
        <x:is>
          <x:t xml:space="preserve">化学制品</x:t>
        </x:is>
      </x:c>
      <x:c r="I3973" s="4" t="inlineStr">
        <x:is>
          <x:t xml:space="preserve">2022-03-29</x:t>
        </x:is>
      </x:c>
      <x:c r="J3973" s="5" t="inlineStr">
        <x:is>
          <x:t xml:space="preserve">浙江省嘉兴市海宁市尖山新区闻澜路15号</x:t>
        </x:is>
      </x:c>
      <x:c r="K3973" s="12" t="str">
        <x:f>LEFT("91330481673858589X",18)</x:f>
        <x:v>91330481673858589X</x:v>
      </x:c>
    </x:row>
    <x:row r="3974">
      <x:c r="A3974" s="2" t="n">
        <x:v>3973</x:v>
      </x:c>
      <x:c r="B3974" s="2" t="inlineStr">
        <x:is>
          <x:t xml:space="preserve">301218</x:t>
        </x:is>
      </x:c>
      <x:c r="C3974" s="3" t="inlineStr">
        <x:is>
          <x:t xml:space="preserve">华是科技</x:t>
        </x:is>
      </x:c>
      <x:c r="D3974" s="3" t="inlineStr">
        <x:is>
          <x:t xml:space="preserve">浙江华是科技股份有限公司</x:t>
        </x:is>
      </x:c>
      <x:c r="E3974" s="2" t="inlineStr">
        <x:is>
          <x:t xml:space="preserve">浙江省</x:t>
        </x:is>
      </x:c>
      <x:c r="F3974" s="2" t="inlineStr">
        <x:is>
          <x:t xml:space="preserve">杭州市</x:t>
        </x:is>
      </x:c>
      <x:c r="G3974" s="3" t="inlineStr">
        <x:is>
          <x:t xml:space="preserve">浙江省-杭州市</x:t>
        </x:is>
      </x:c>
      <x:c r="H3974" s="2" t="inlineStr">
        <x:is>
          <x:t xml:space="preserve">软件开发</x:t>
        </x:is>
      </x:c>
      <x:c r="I3974" s="2" t="inlineStr">
        <x:is>
          <x:t xml:space="preserve">2022-03-07</x:t>
        </x:is>
      </x:c>
      <x:c r="J3974" s="3" t="inlineStr">
        <x:is>
          <x:t xml:space="preserve">浙江省杭州市余杭区闲林街道嘉企路16号3幢1楼</x:t>
        </x:is>
      </x:c>
      <x:c r="K3974" s="12" t="str">
        <x:f>LEFT("913300007042039575",18)</x:f>
        <x:v>913300007042039600</x:v>
      </x:c>
    </x:row>
    <x:row r="3975">
      <x:c r="A3975" s="4" t="n">
        <x:v>3974</x:v>
      </x:c>
      <x:c r="B3975" s="4" t="inlineStr">
        <x:is>
          <x:t xml:space="preserve">301222</x:t>
        </x:is>
      </x:c>
      <x:c r="C3975" s="5" t="inlineStr">
        <x:is>
          <x:t xml:space="preserve">浙江恒威</x:t>
        </x:is>
      </x:c>
      <x:c r="D3975" s="5" t="inlineStr">
        <x:is>
          <x:t xml:space="preserve">浙江恒威电池股份有限公司</x:t>
        </x:is>
      </x:c>
      <x:c r="E3975" s="4" t="inlineStr">
        <x:is>
          <x:t xml:space="preserve">浙江省</x:t>
        </x:is>
      </x:c>
      <x:c r="F3975" s="4" t="inlineStr">
        <x:is>
          <x:t xml:space="preserve">嘉兴市</x:t>
        </x:is>
      </x:c>
      <x:c r="G3975" s="5" t="inlineStr">
        <x:is>
          <x:t xml:space="preserve">浙江省-嘉兴市</x:t>
        </x:is>
      </x:c>
      <x:c r="H3975" s="4" t="inlineStr">
        <x:is>
          <x:t xml:space="preserve">电池</x:t>
        </x:is>
      </x:c>
      <x:c r="I3975" s="4" t="inlineStr">
        <x:is>
          <x:t xml:space="preserve">2022-03-09</x:t>
        </x:is>
      </x:c>
      <x:c r="J3975" s="5" t="inlineStr">
        <x:is>
          <x:t xml:space="preserve">浙江省嘉兴市秀洲区油车港正阳西路77号</x:t>
        </x:is>
      </x:c>
      <x:c r="K3975" s="12" t="str">
        <x:f>LEFT("91330400747729414J",18)</x:f>
        <x:v>91330400747729414J</x:v>
      </x:c>
    </x:row>
    <x:row r="3976">
      <x:c r="A3976" s="2" t="n">
        <x:v>3975</x:v>
      </x:c>
      <x:c r="B3976" s="2" t="inlineStr">
        <x:is>
          <x:t xml:space="preserve">301225</x:t>
        </x:is>
      </x:c>
      <x:c r="C3976" s="3" t="inlineStr">
        <x:is>
          <x:t xml:space="preserve">恒勃股份</x:t>
        </x:is>
      </x:c>
      <x:c r="D3976" s="3" t="inlineStr">
        <x:is>
          <x:t xml:space="preserve">恒勃控股股份有限公司</x:t>
        </x:is>
      </x:c>
      <x:c r="E3976" s="2" t="inlineStr">
        <x:is>
          <x:t xml:space="preserve">浙江省</x:t>
        </x:is>
      </x:c>
      <x:c r="F3976" s="2" t="inlineStr">
        <x:is>
          <x:t xml:space="preserve">台州市</x:t>
        </x:is>
      </x:c>
      <x:c r="G3976" s="3" t="inlineStr">
        <x:is>
          <x:t xml:space="preserve">浙江省-台州市</x:t>
        </x:is>
      </x:c>
      <x:c r="H3976" s="2" t="inlineStr">
        <x:is>
          <x:t xml:space="preserve">汽车零部件</x:t>
        </x:is>
      </x:c>
      <x:c r="I3976" s="2" t="inlineStr">
        <x:is>
          <x:t xml:space="preserve">2023-06-16</x:t>
        </x:is>
      </x:c>
      <x:c r="J3976" s="3" t="inlineStr">
        <x:is>
          <x:t xml:space="preserve">浙江省台州市海昌路1500号</x:t>
        </x:is>
      </x:c>
      <x:c r="K3976" s="12" t="str">
        <x:f>LEFT("91331000780498777Y",18)</x:f>
        <x:v>91331000780498777Y</x:v>
      </x:c>
    </x:row>
    <x:row r="3977">
      <x:c r="A3977" s="4" t="n">
        <x:v>3976</x:v>
      </x:c>
      <x:c r="B3977" s="4" t="inlineStr">
        <x:is>
          <x:t xml:space="preserve">301237</x:t>
        </x:is>
      </x:c>
      <x:c r="C3977" s="5" t="inlineStr">
        <x:is>
          <x:t xml:space="preserve">和顺科技</x:t>
        </x:is>
      </x:c>
      <x:c r="D3977" s="5" t="inlineStr">
        <x:is>
          <x:t xml:space="preserve">杭州和顺科技股份有限公司</x:t>
        </x:is>
      </x:c>
      <x:c r="E3977" s="4" t="inlineStr">
        <x:is>
          <x:t xml:space="preserve">浙江省</x:t>
        </x:is>
      </x:c>
      <x:c r="F3977" s="4" t="inlineStr">
        <x:is>
          <x:t xml:space="preserve">杭州市</x:t>
        </x:is>
      </x:c>
      <x:c r="G3977" s="5" t="inlineStr">
        <x:is>
          <x:t xml:space="preserve">浙江省-杭州市</x:t>
        </x:is>
      </x:c>
      <x:c r="H3977" s="4" t="inlineStr">
        <x:is>
          <x:t xml:space="preserve">塑料制品</x:t>
        </x:is>
      </x:c>
      <x:c r="I3977" s="4" t="inlineStr">
        <x:is>
          <x:t xml:space="preserve">2022-03-23</x:t>
        </x:is>
      </x:c>
      <x:c r="J3977" s="5" t="inlineStr">
        <x:is>
          <x:t xml:space="preserve">浙江省杭州市余杭区仁和街道獐湾路16号</x:t>
        </x:is>
      </x:c>
      <x:c r="K3977" s="12" t="str">
        <x:f>LEFT("91330100749494479F",18)</x:f>
        <x:v>91330100749494479F</x:v>
      </x:c>
    </x:row>
    <x:row r="3978">
      <x:c r="A3978" s="2" t="n">
        <x:v>3977</x:v>
      </x:c>
      <x:c r="B3978" s="2" t="inlineStr">
        <x:is>
          <x:t xml:space="preserve">301252</x:t>
        </x:is>
      </x:c>
      <x:c r="C3978" s="3" t="inlineStr">
        <x:is>
          <x:t xml:space="preserve">同星科技</x:t>
        </x:is>
      </x:c>
      <x:c r="D3978" s="3" t="inlineStr">
        <x:is>
          <x:t xml:space="preserve">浙江同星科技股份有限公司</x:t>
        </x:is>
      </x:c>
      <x:c r="E3978" s="2" t="inlineStr">
        <x:is>
          <x:t xml:space="preserve">浙江省</x:t>
        </x:is>
      </x:c>
      <x:c r="F3978" s="2" t="inlineStr">
        <x:is>
          <x:t xml:space="preserve">绍兴市</x:t>
        </x:is>
      </x:c>
      <x:c r="G3978" s="3" t="inlineStr">
        <x:is>
          <x:t xml:space="preserve">浙江省-绍兴市</x:t>
        </x:is>
      </x:c>
      <x:c r="H3978" s="2" t="inlineStr">
        <x:is>
          <x:t xml:space="preserve">通用设备</x:t>
        </x:is>
      </x:c>
      <x:c r="I3978" s="2" t="inlineStr">
        <x:is>
          <x:t xml:space="preserve">2023-05-25</x:t>
        </x:is>
      </x:c>
      <x:c r="J3978" s="3" t="inlineStr">
        <x:is>
          <x:t xml:space="preserve">浙江省新昌县新昌大道东路889号</x:t>
        </x:is>
      </x:c>
      <x:c r="K3978" s="12" t="str">
        <x:f>LEFT("913306247265987348",18)</x:f>
        <x:v>913306247265987300</x:v>
      </x:c>
    </x:row>
    <x:row r="3979">
      <x:c r="A3979" s="4" t="n">
        <x:v>3978</x:v>
      </x:c>
      <x:c r="B3979" s="4" t="inlineStr">
        <x:is>
          <x:t xml:space="preserve">301255</x:t>
        </x:is>
      </x:c>
      <x:c r="C3979" s="5" t="inlineStr">
        <x:is>
          <x:t xml:space="preserve">通力科技</x:t>
        </x:is>
      </x:c>
      <x:c r="D3979" s="5" t="inlineStr">
        <x:is>
          <x:t xml:space="preserve">浙江通力传动科技股份有限公司</x:t>
        </x:is>
      </x:c>
      <x:c r="E3979" s="4" t="inlineStr">
        <x:is>
          <x:t xml:space="preserve">浙江省</x:t>
        </x:is>
      </x:c>
      <x:c r="F3979" s="4" t="inlineStr">
        <x:is>
          <x:t xml:space="preserve">江省瑞安市</x:t>
        </x:is>
      </x:c>
      <x:c r="G3979" s="5" t="inlineStr">
        <x:is>
          <x:t xml:space="preserve">浙江省-江省瑞安市</x:t>
        </x:is>
      </x:c>
      <x:c r="H3979" s="4" t="inlineStr">
        <x:is>
          <x:t xml:space="preserve">通用设备</x:t>
        </x:is>
      </x:c>
      <x:c r="I3979" s="4" t="inlineStr">
        <x:is>
          <x:t xml:space="preserve">2022-12-27</x:t>
        </x:is>
      </x:c>
      <x:c r="J3979" s="5" t="inlineStr">
        <x:is>
          <x:t xml:space="preserve">浙江省瑞安市江南大道3801号</x:t>
        </x:is>
      </x:c>
      <x:c r="K3979" s="12" t="str">
        <x:f>LEFT("91330300681666245N",18)</x:f>
        <x:v>91330300681666245N</x:v>
      </x:c>
    </x:row>
    <x:row r="3980">
      <x:c r="A3980" s="2" t="n">
        <x:v>3979</x:v>
      </x:c>
      <x:c r="B3980" s="2" t="inlineStr">
        <x:is>
          <x:t xml:space="preserve">301275</x:t>
        </x:is>
      </x:c>
      <x:c r="C3980" s="3" t="inlineStr">
        <x:is>
          <x:t xml:space="preserve">汉朔科技</x:t>
        </x:is>
      </x:c>
      <x:c r="D3980" s="3" t="inlineStr">
        <x:is>
          <x:t xml:space="preserve">汉朔科技股份有限公司</x:t>
        </x:is>
      </x:c>
      <x:c r="E3980" s="2" t="inlineStr">
        <x:is>
          <x:t xml:space="preserve">浙江省</x:t>
        </x:is>
      </x:c>
      <x:c r="F3980" s="2" t="inlineStr">
        <x:is>
          <x:t xml:space="preserve">嘉兴市</x:t>
        </x:is>
      </x:c>
      <x:c r="G3980" s="3" t="inlineStr">
        <x:is>
          <x:t xml:space="preserve">浙江省-嘉兴市</x:t>
        </x:is>
      </x:c>
      <x:c r="H3980" s="2" t="inlineStr">
        <x:is>
          <x:t xml:space="preserve">通信设备</x:t>
        </x:is>
      </x:c>
      <x:c r="I3980" s="2" t="inlineStr">
        <x:is>
          <x:t xml:space="preserve">2025-03-11</x:t>
        </x:is>
      </x:c>
      <x:c r="J3980" s="3" t="inlineStr">
        <x:is>
          <x:t xml:space="preserve">浙江省嘉兴市秀洲区康和路1288号嘉兴光伏科创园1号楼1层裙楼和4层、5号楼7层</x:t>
        </x:is>
      </x:c>
      <x:c r="K3980" s="12" t="str">
        <x:f>LEFT("913304110542237527",18)</x:f>
        <x:v>913304110542237600</x:v>
      </x:c>
    </x:row>
    <x:row r="3981">
      <x:c r="A3981" s="4" t="n">
        <x:v>3980</x:v>
      </x:c>
      <x:c r="B3981" s="4" t="inlineStr">
        <x:is>
          <x:t xml:space="preserve">301279</x:t>
        </x:is>
      </x:c>
      <x:c r="C3981" s="5" t="inlineStr">
        <x:is>
          <x:t xml:space="preserve">金道科技</x:t>
        </x:is>
      </x:c>
      <x:c r="D3981" s="5" t="inlineStr">
        <x:is>
          <x:t xml:space="preserve">浙江金道科技股份有限公司</x:t>
        </x:is>
      </x:c>
      <x:c r="E3981" s="4" t="inlineStr">
        <x:is>
          <x:t xml:space="preserve">浙江省</x:t>
        </x:is>
      </x:c>
      <x:c r="F3981" s="4" t="inlineStr">
        <x:is>
          <x:t xml:space="preserve">绍兴市</x:t>
        </x:is>
      </x:c>
      <x:c r="G3981" s="5" t="inlineStr">
        <x:is>
          <x:t xml:space="preserve">浙江省-绍兴市</x:t>
        </x:is>
      </x:c>
      <x:c r="H3981" s="4" t="inlineStr">
        <x:is>
          <x:t xml:space="preserve">通用设备</x:t>
        </x:is>
      </x:c>
      <x:c r="I3981" s="4" t="inlineStr">
        <x:is>
          <x:t xml:space="preserve">2022-04-13</x:t>
        </x:is>
      </x:c>
      <x:c r="J3981" s="5" t="inlineStr">
        <x:is>
          <x:t xml:space="preserve">浙江省绍兴市柯桥区步锦路689号</x:t>
        </x:is>
      </x:c>
      <x:c r="K3981" s="12" t="str">
        <x:f>LEFT("91330600753964306M",18)</x:f>
        <x:v>91330600753964306M</x:v>
      </x:c>
    </x:row>
    <x:row r="3982">
      <x:c r="A3982" s="2" t="n">
        <x:v>3981</x:v>
      </x:c>
      <x:c r="B3982" s="2" t="inlineStr">
        <x:is>
          <x:t xml:space="preserve">301280</x:t>
        </x:is>
      </x:c>
      <x:c r="C3982" s="3" t="inlineStr">
        <x:is>
          <x:t xml:space="preserve">珠城科技</x:t>
        </x:is>
      </x:c>
      <x:c r="D3982" s="3" t="inlineStr">
        <x:is>
          <x:t xml:space="preserve">浙江珠城科技股份有限公司</x:t>
        </x:is>
      </x:c>
      <x:c r="E3982" s="2" t="inlineStr">
        <x:is>
          <x:t xml:space="preserve">浙江省</x:t>
        </x:is>
      </x:c>
      <x:c r="F3982" s="2" t="inlineStr">
        <x:is>
          <x:t xml:space="preserve">温州市</x:t>
        </x:is>
      </x:c>
      <x:c r="G3982" s="3" t="inlineStr">
        <x:is>
          <x:t xml:space="preserve">浙江省-温州市</x:t>
        </x:is>
      </x:c>
      <x:c r="H3982" s="2" t="inlineStr">
        <x:is>
          <x:t xml:space="preserve">电子元件</x:t>
        </x:is>
      </x:c>
      <x:c r="I3982" s="2" t="inlineStr">
        <x:is>
          <x:t xml:space="preserve">2022-12-26</x:t>
        </x:is>
      </x:c>
      <x:c r="J3982" s="3" t="inlineStr">
        <x:is>
          <x:t xml:space="preserve">浙江省乐清经济开发区纬十五路201号</x:t>
        </x:is>
      </x:c>
      <x:c r="K3982" s="12" t="str">
        <x:f>LEFT("91330300145574611C",18)</x:f>
        <x:v>91330300145574611C</x:v>
      </x:c>
    </x:row>
    <x:row r="3983">
      <x:c r="A3983" s="4" t="n">
        <x:v>3982</x:v>
      </x:c>
      <x:c r="B3983" s="4" t="inlineStr">
        <x:is>
          <x:t xml:space="preserve">301295</x:t>
        </x:is>
      </x:c>
      <x:c r="C3983" s="5" t="inlineStr">
        <x:is>
          <x:t xml:space="preserve">美硕科技</x:t>
        </x:is>
      </x:c>
      <x:c r="D3983" s="5" t="inlineStr">
        <x:is>
          <x:t xml:space="preserve">浙江美硕电气科技股份有限公司</x:t>
        </x:is>
      </x:c>
      <x:c r="E3983" s="4" t="inlineStr">
        <x:is>
          <x:t xml:space="preserve">浙江省</x:t>
        </x:is>
      </x:c>
      <x:c r="F3983" s="4" t="inlineStr">
        <x:is>
          <x:t xml:space="preserve">江省乐清市</x:t>
        </x:is>
      </x:c>
      <x:c r="G3983" s="5" t="inlineStr">
        <x:is>
          <x:t xml:space="preserve">浙江省-江省乐清市</x:t>
        </x:is>
      </x:c>
      <x:c r="H3983" s="4" t="inlineStr">
        <x:is>
          <x:t xml:space="preserve">电网设备</x:t>
        </x:is>
      </x:c>
      <x:c r="I3983" s="4" t="inlineStr">
        <x:is>
          <x:t xml:space="preserve">2023-06-28</x:t>
        </x:is>
      </x:c>
      <x:c r="J3983" s="5" t="inlineStr">
        <x:is>
          <x:t xml:space="preserve">浙江省乐清市乐清经济开发区纬十二路158号</x:t>
        </x:is>
      </x:c>
      <x:c r="K3983" s="12" t="str">
        <x:f>LEFT("91330382798578417A",18)</x:f>
        <x:v>91330382798578417A</x:v>
      </x:c>
    </x:row>
    <x:row r="3984">
      <x:c r="A3984" s="2" t="n">
        <x:v>3983</x:v>
      </x:c>
      <x:c r="B3984" s="2" t="inlineStr">
        <x:is>
          <x:t xml:space="preserve">301309</x:t>
        </x:is>
      </x:c>
      <x:c r="C3984" s="3" t="inlineStr">
        <x:is>
          <x:t xml:space="preserve">万得凯</x:t>
        </x:is>
      </x:c>
      <x:c r="D3984" s="3" t="inlineStr">
        <x:is>
          <x:t xml:space="preserve">浙江万得凯流体设备科技股份有限公司</x:t>
        </x:is>
      </x:c>
      <x:c r="E3984" s="2" t="inlineStr">
        <x:is>
          <x:t xml:space="preserve">浙江省</x:t>
        </x:is>
      </x:c>
      <x:c r="F3984" s="2" t="inlineStr">
        <x:is>
          <x:t xml:space="preserve">江省玉环市</x:t>
        </x:is>
      </x:c>
      <x:c r="G3984" s="3" t="inlineStr">
        <x:is>
          <x:t xml:space="preserve">浙江省-江省玉环市</x:t>
        </x:is>
      </x:c>
      <x:c r="H3984" s="2" t="inlineStr">
        <x:is>
          <x:t xml:space="preserve">通用设备</x:t>
        </x:is>
      </x:c>
      <x:c r="I3984" s="2" t="inlineStr">
        <x:is>
          <x:t xml:space="preserve">2022-09-19</x:t>
        </x:is>
      </x:c>
      <x:c r="J3984" s="3" t="inlineStr">
        <x:is>
          <x:t xml:space="preserve">浙江省玉环市龙溪镇东港村渔业</x:t>
        </x:is>
      </x:c>
      <x:c r="K3984" s="12" t="str">
        <x:f>LEFT("91331000MA28GTU648",18)</x:f>
        <x:v>91331000MA28GTU648</x:v>
      </x:c>
    </x:row>
    <x:row r="3985">
      <x:c r="A3985" s="4" t="n">
        <x:v>3984</x:v>
      </x:c>
      <x:c r="B3985" s="4" t="inlineStr">
        <x:is>
          <x:t xml:space="preserve">301316</x:t>
        </x:is>
      </x:c>
      <x:c r="C3985" s="5" t="inlineStr">
        <x:is>
          <x:t xml:space="preserve">慧博云通</x:t>
        </x:is>
      </x:c>
      <x:c r="D3985" s="5" t="inlineStr">
        <x:is>
          <x:t xml:space="preserve">慧博云通科技股份有限公司</x:t>
        </x:is>
      </x:c>
      <x:c r="E3985" s="4" t="inlineStr">
        <x:is>
          <x:t xml:space="preserve">浙江省</x:t>
        </x:is>
      </x:c>
      <x:c r="F3985" s="4" t="inlineStr">
        <x:is>
          <x:t xml:space="preserve">杭州市</x:t>
        </x:is>
      </x:c>
      <x:c r="G3985" s="5" t="inlineStr">
        <x:is>
          <x:t xml:space="preserve">浙江省-杭州市</x:t>
        </x:is>
      </x:c>
      <x:c r="H3985" s="4" t="inlineStr">
        <x:is>
          <x:t xml:space="preserve">软件开发</x:t>
        </x:is>
      </x:c>
      <x:c r="I3985" s="4" t="inlineStr">
        <x:is>
          <x:t xml:space="preserve">2022-10-13</x:t>
        </x:is>
      </x:c>
      <x:c r="J3985" s="5" t="inlineStr">
        <x:is>
          <x:t xml:space="preserve">浙江省杭州市余杭区仁和街道粮站路11号1幢3楼309室</x:t>
        </x:is>
      </x:c>
      <x:c r="K3985" s="12" t="str">
        <x:f>LEFT("911101056876404680",18)</x:f>
        <x:v>911101056876404700</x:v>
      </x:c>
    </x:row>
    <x:row r="3986">
      <x:c r="A3986" s="2" t="n">
        <x:v>3985</x:v>
      </x:c>
      <x:c r="B3986" s="2" t="inlineStr">
        <x:is>
          <x:t xml:space="preserve">301317</x:t>
        </x:is>
      </x:c>
      <x:c r="C3986" s="3" t="inlineStr">
        <x:is>
          <x:t xml:space="preserve">鑫磊股份</x:t>
        </x:is>
      </x:c>
      <x:c r="D3986" s="3" t="inlineStr">
        <x:is>
          <x:t xml:space="preserve">鑫磊压缩机股份有限公司</x:t>
        </x:is>
      </x:c>
      <x:c r="E3986" s="2" t="inlineStr">
        <x:is>
          <x:t xml:space="preserve">浙江省</x:t>
        </x:is>
      </x:c>
      <x:c r="F3986" s="2" t="inlineStr">
        <x:is>
          <x:t xml:space="preserve">台州市</x:t>
        </x:is>
      </x:c>
      <x:c r="G3986" s="3" t="inlineStr">
        <x:is>
          <x:t xml:space="preserve">浙江省-台州市</x:t>
        </x:is>
      </x:c>
      <x:c r="H3986" s="2" t="inlineStr">
        <x:is>
          <x:t xml:space="preserve">通用设备</x:t>
        </x:is>
      </x:c>
      <x:c r="I3986" s="2" t="inlineStr">
        <x:is>
          <x:t xml:space="preserve">2023-01-19</x:t>
        </x:is>
      </x:c>
      <x:c r="J3986" s="3" t="inlineStr">
        <x:is>
          <x:t xml:space="preserve">浙江省台州市温岭市工业城</x:t>
        </x:is>
      </x:c>
      <x:c r="K3986" s="12" t="str">
        <x:f>LEFT("91331081797615327C",18)</x:f>
        <x:v>91331081797615327C</x:v>
      </x:c>
    </x:row>
    <x:row r="3987">
      <x:c r="A3987" s="4" t="n">
        <x:v>3986</x:v>
      </x:c>
      <x:c r="B3987" s="4" t="inlineStr">
        <x:is>
          <x:t xml:space="preserve">301335</x:t>
        </x:is>
      </x:c>
      <x:c r="C3987" s="5" t="inlineStr">
        <x:is>
          <x:t xml:space="preserve">天元宠物</x:t>
        </x:is>
      </x:c>
      <x:c r="D3987" s="5" t="inlineStr">
        <x:is>
          <x:t xml:space="preserve">杭州天元宠物用品股份有限公司</x:t>
        </x:is>
      </x:c>
      <x:c r="E3987" s="4" t="inlineStr">
        <x:is>
          <x:t xml:space="preserve">浙江省</x:t>
        </x:is>
      </x:c>
      <x:c r="F3987" s="4" t="inlineStr">
        <x:is>
          <x:t xml:space="preserve">杭州市</x:t>
        </x:is>
      </x:c>
      <x:c r="G3987" s="5" t="inlineStr">
        <x:is>
          <x:t xml:space="preserve">浙江省-杭州市</x:t>
        </x:is>
      </x:c>
      <x:c r="H3987" s="4" t="inlineStr">
        <x:is>
          <x:t xml:space="preserve">家用轻工</x:t>
        </x:is>
      </x:c>
      <x:c r="I3987" s="4" t="inlineStr">
        <x:is>
          <x:t xml:space="preserve">2022-11-18</x:t>
        </x:is>
      </x:c>
      <x:c r="J3987" s="5" t="inlineStr">
        <x:is>
          <x:t xml:space="preserve">浙江省杭州市临平区星桥街道星灵街10-1号</x:t>
        </x:is>
      </x:c>
      <x:c r="K3987" s="12" t="str">
        <x:f>LEFT("91330110749489434P",18)</x:f>
        <x:v>91330110749489434P</x:v>
      </x:c>
    </x:row>
    <x:row r="3988">
      <x:c r="A3988" s="2" t="n">
        <x:v>3987</x:v>
      </x:c>
      <x:c r="B3988" s="2" t="inlineStr">
        <x:is>
          <x:t xml:space="preserve">301345</x:t>
        </x:is>
      </x:c>
      <x:c r="C3988" s="3" t="inlineStr">
        <x:is>
          <x:t xml:space="preserve">涛涛车业</x:t>
        </x:is>
      </x:c>
      <x:c r="D3988" s="3" t="inlineStr">
        <x:is>
          <x:t xml:space="preserve">浙江涛涛车业股份有限公司</x:t>
        </x:is>
      </x:c>
      <x:c r="E3988" s="2" t="inlineStr">
        <x:is>
          <x:t xml:space="preserve">浙江省</x:t>
        </x:is>
      </x:c>
      <x:c r="F3988" s="2" t="inlineStr">
        <x:is>
          <x:t xml:space="preserve">丽水市</x:t>
        </x:is>
      </x:c>
      <x:c r="G3988" s="3" t="inlineStr">
        <x:is>
          <x:t xml:space="preserve">浙江省-丽水市</x:t>
        </x:is>
      </x:c>
      <x:c r="H3988" s="2" t="inlineStr">
        <x:is>
          <x:t xml:space="preserve">交运设备</x:t>
        </x:is>
      </x:c>
      <x:c r="I3988" s="2" t="inlineStr">
        <x:is>
          <x:t xml:space="preserve">2023-03-21</x:t>
        </x:is>
      </x:c>
      <x:c r="J3988" s="3" t="inlineStr">
        <x:is>
          <x:t xml:space="preserve">浙江省丽水市缙云县新碧街道新元路10号</x:t>
        </x:is>
      </x:c>
      <x:c r="K3988" s="12" t="str">
        <x:f>LEFT("9133110035546965XU",18)</x:f>
        <x:v>9133110035546965XU</x:v>
      </x:c>
    </x:row>
    <x:row r="3989">
      <x:c r="A3989" s="4" t="n">
        <x:v>3988</x:v>
      </x:c>
      <x:c r="B3989" s="4" t="inlineStr">
        <x:is>
          <x:t xml:space="preserve">301353</x:t>
        </x:is>
      </x:c>
      <x:c r="C3989" s="5" t="inlineStr">
        <x:is>
          <x:t xml:space="preserve">普莱得</x:t>
        </x:is>
      </x:c>
      <x:c r="D3989" s="5" t="inlineStr">
        <x:is>
          <x:t xml:space="preserve">浙江普莱得电器股份有限公司</x:t>
        </x:is>
      </x:c>
      <x:c r="E3989" s="4" t="inlineStr">
        <x:is>
          <x:t xml:space="preserve">浙江省</x:t>
        </x:is>
      </x:c>
      <x:c r="F3989" s="4" t="inlineStr">
        <x:is>
          <x:t xml:space="preserve">金华市</x:t>
        </x:is>
      </x:c>
      <x:c r="G3989" s="5" t="inlineStr">
        <x:is>
          <x:t xml:space="preserve">浙江省-金华市</x:t>
        </x:is>
      </x:c>
      <x:c r="H3989" s="4" t="inlineStr">
        <x:is>
          <x:t xml:space="preserve">通用设备</x:t>
        </x:is>
      </x:c>
      <x:c r="I3989" s="4" t="inlineStr">
        <x:is>
          <x:t xml:space="preserve">2023-05-30</x:t>
        </x:is>
      </x:c>
      <x:c r="J3989" s="5" t="inlineStr">
        <x:is>
          <x:t xml:space="preserve">浙江省金华市金东区孝顺镇工业开发区</x:t>
        </x:is>
      </x:c>
      <x:c r="K3989" s="12" t="str">
        <x:f>LEFT("91330703781824255T",18)</x:f>
        <x:v>91330703781824255T</x:v>
      </x:c>
    </x:row>
    <x:row r="3990">
      <x:c r="A3990" s="2" t="n">
        <x:v>3989</x:v>
      </x:c>
      <x:c r="B3990" s="2" t="inlineStr">
        <x:is>
          <x:t xml:space="preserve">301356</x:t>
        </x:is>
      </x:c>
      <x:c r="C3990" s="3" t="inlineStr">
        <x:is>
          <x:t xml:space="preserve">天振股份</x:t>
        </x:is>
      </x:c>
      <x:c r="D3990" s="3" t="inlineStr">
        <x:is>
          <x:t xml:space="preserve">浙江天振科技股份有限公司</x:t>
        </x:is>
      </x:c>
      <x:c r="E3990" s="2" t="inlineStr">
        <x:is>
          <x:t xml:space="preserve">浙江省</x:t>
        </x:is>
      </x:c>
      <x:c r="F3990" s="2" t="inlineStr">
        <x:is>
          <x:t xml:space="preserve">湖州市</x:t>
        </x:is>
      </x:c>
      <x:c r="G3990" s="3" t="inlineStr">
        <x:is>
          <x:t xml:space="preserve">浙江省-湖州市</x:t>
        </x:is>
      </x:c>
      <x:c r="H3990" s="2" t="inlineStr">
        <x:is>
          <x:t xml:space="preserve">塑料制品</x:t>
        </x:is>
      </x:c>
      <x:c r="I3990" s="2" t="inlineStr">
        <x:is>
          <x:t xml:space="preserve">2022-11-14</x:t>
        </x:is>
      </x:c>
      <x:c r="J3990" s="3" t="inlineStr">
        <x:is>
          <x:t xml:space="preserve">浙江省安吉经济开发区健康产业园</x:t>
        </x:is>
      </x:c>
      <x:c r="K3990" s="12" t="str">
        <x:f>LEFT("91330523746336790G",18)</x:f>
        <x:v>91330523746336790G</x:v>
      </x:c>
    </x:row>
    <x:row r="3991">
      <x:c r="A3991" s="4" t="n">
        <x:v>3990</x:v>
      </x:c>
      <x:c r="B3991" s="4" t="inlineStr">
        <x:is>
          <x:t xml:space="preserve">301359</x:t>
        </x:is>
      </x:c>
      <x:c r="C3991" s="5" t="inlineStr">
        <x:is>
          <x:t xml:space="preserve">东南电子</x:t>
        </x:is>
      </x:c>
      <x:c r="D3991" s="5" t="inlineStr">
        <x:is>
          <x:t xml:space="preserve">东南电子股份有限公司</x:t>
        </x:is>
      </x:c>
      <x:c r="E3991" s="4" t="inlineStr">
        <x:is>
          <x:t xml:space="preserve">浙江省</x:t>
        </x:is>
      </x:c>
      <x:c r="F3991" s="4" t="inlineStr">
        <x:is>
          <x:t xml:space="preserve">温州市</x:t>
        </x:is>
      </x:c>
      <x:c r="G3991" s="5" t="inlineStr">
        <x:is>
          <x:t xml:space="preserve">浙江省-温州市</x:t>
        </x:is>
      </x:c>
      <x:c r="H3991" s="4" t="inlineStr">
        <x:is>
          <x:t xml:space="preserve">电子元件</x:t>
        </x:is>
      </x:c>
      <x:c r="I3991" s="4" t="inlineStr">
        <x:is>
          <x:t xml:space="preserve">2022-11-09</x:t>
        </x:is>
      </x:c>
      <x:c r="J3991" s="5" t="inlineStr">
        <x:is>
          <x:t xml:space="preserve">浙江省乐清经济开发区纬十一路218号</x:t>
        </x:is>
      </x:c>
      <x:c r="K3991" s="12" t="str">
        <x:f>LEFT("91330382256027960X",18)</x:f>
        <x:v>91330382256027960X</x:v>
      </x:c>
    </x:row>
    <x:row r="3992">
      <x:c r="A3992" s="2" t="n">
        <x:v>3991</x:v>
      </x:c>
      <x:c r="B3992" s="2" t="inlineStr">
        <x:is>
          <x:t xml:space="preserve">301368</x:t>
        </x:is>
      </x:c>
      <x:c r="C3992" s="3" t="inlineStr">
        <x:is>
          <x:t xml:space="preserve">丰立智能</x:t>
        </x:is>
      </x:c>
      <x:c r="D3992" s="3" t="inlineStr">
        <x:is>
          <x:t xml:space="preserve">浙江丰立智能科技股份有限公司</x:t>
        </x:is>
      </x:c>
      <x:c r="E3992" s="2" t="inlineStr">
        <x:is>
          <x:t xml:space="preserve">浙江省</x:t>
        </x:is>
      </x:c>
      <x:c r="F3992" s="2" t="inlineStr">
        <x:is>
          <x:t xml:space="preserve">台州市</x:t>
        </x:is>
      </x:c>
      <x:c r="G3992" s="3" t="inlineStr">
        <x:is>
          <x:t xml:space="preserve">浙江省-台州市</x:t>
        </x:is>
      </x:c>
      <x:c r="H3992" s="2" t="inlineStr">
        <x:is>
          <x:t xml:space="preserve">通用设备</x:t>
        </x:is>
      </x:c>
      <x:c r="I3992" s="2" t="inlineStr">
        <x:is>
          <x:t xml:space="preserve">2022-12-15</x:t>
        </x:is>
      </x:c>
      <x:c r="J3992" s="3" t="inlineStr">
        <x:is>
          <x:t xml:space="preserve">浙江省台州市黄岩区院桥镇高洋路9号</x:t>
        </x:is>
      </x:c>
      <x:c r="K3992" s="12" t="str">
        <x:f>LEFT("913310031482131095",18)</x:f>
        <x:v>913310031482131100</x:v>
      </x:c>
    </x:row>
    <x:row r="3993">
      <x:c r="A3993" s="4" t="n">
        <x:v>3992</x:v>
      </x:c>
      <x:c r="B3993" s="4" t="inlineStr">
        <x:is>
          <x:t xml:space="preserve">301388</x:t>
        </x:is>
      </x:c>
      <x:c r="C3993" s="5" t="inlineStr">
        <x:is>
          <x:t xml:space="preserve">欣灵电气</x:t>
        </x:is>
      </x:c>
      <x:c r="D3993" s="5" t="inlineStr">
        <x:is>
          <x:t xml:space="preserve">欣灵电气股份有限公司</x:t>
        </x:is>
      </x:c>
      <x:c r="E3993" s="4" t="inlineStr">
        <x:is>
          <x:t xml:space="preserve">浙江省</x:t>
        </x:is>
      </x:c>
      <x:c r="F3993" s="4" t="inlineStr">
        <x:is>
          <x:t xml:space="preserve">温州市</x:t>
        </x:is>
      </x:c>
      <x:c r="G3993" s="5" t="inlineStr">
        <x:is>
          <x:t xml:space="preserve">浙江省-温州市</x:t>
        </x:is>
      </x:c>
      <x:c r="H3993" s="4" t="inlineStr">
        <x:is>
          <x:t xml:space="preserve">电网设备</x:t>
        </x:is>
      </x:c>
      <x:c r="I3993" s="4" t="inlineStr">
        <x:is>
          <x:t xml:space="preserve">2022-11-09</x:t>
        </x:is>
      </x:c>
      <x:c r="J3993" s="5" t="inlineStr">
        <x:is>
          <x:t xml:space="preserve">浙江省乐清经济开发区纬十九路328号</x:t>
        </x:is>
      </x:c>
      <x:c r="K3993" s="12" t="str">
        <x:f>LEFT("91330300145498305G",18)</x:f>
        <x:v>91330300145498305G</x:v>
      </x:c>
    </x:row>
    <x:row r="3994">
      <x:c r="A3994" s="2" t="n">
        <x:v>3993</x:v>
      </x:c>
      <x:c r="B3994" s="2" t="inlineStr">
        <x:is>
          <x:t xml:space="preserve">301390</x:t>
        </x:is>
      </x:c>
      <x:c r="C3994" s="3" t="inlineStr">
        <x:is>
          <x:t xml:space="preserve">经纬股份</x:t>
        </x:is>
      </x:c>
      <x:c r="D3994" s="3" t="inlineStr">
        <x:is>
          <x:t xml:space="preserve">杭州经纬信息技术股份有限公司</x:t>
        </x:is>
      </x:c>
      <x:c r="E3994" s="2" t="inlineStr">
        <x:is>
          <x:t xml:space="preserve">浙江省</x:t>
        </x:is>
      </x:c>
      <x:c r="F3994" s="2" t="inlineStr">
        <x:is>
          <x:t xml:space="preserve">杭州市</x:t>
        </x:is>
      </x:c>
      <x:c r="G3994" s="3" t="inlineStr">
        <x:is>
          <x:t xml:space="preserve">浙江省-杭州市</x:t>
        </x:is>
      </x:c>
      <x:c r="H3994" s="2" t="inlineStr">
        <x:is>
          <x:t xml:space="preserve">电网设备</x:t>
        </x:is>
      </x:c>
      <x:c r="I3994" s="2" t="inlineStr">
        <x:is>
          <x:t xml:space="preserve">2023-05-08</x:t>
        </x:is>
      </x:c>
      <x:c r="J3994" s="3" t="inlineStr">
        <x:is>
          <x:t xml:space="preserve">浙江省杭州市余杭区良渚街道虹良巷1号2幢1楼</x:t>
        </x:is>
      </x:c>
      <x:c r="K3994" s="12" t="str">
        <x:f>LEFT("91330110747165364L",18)</x:f>
        <x:v>91330110747165364L</x:v>
      </x:c>
    </x:row>
    <x:row r="3995">
      <x:c r="A3995" s="4" t="n">
        <x:v>3994</x:v>
      </x:c>
      <x:c r="B3995" s="4" t="inlineStr">
        <x:is>
          <x:t xml:space="preserve">301398</x:t>
        </x:is>
      </x:c>
      <x:c r="C3995" s="5" t="inlineStr">
        <x:is>
          <x:t xml:space="preserve">星源卓镁</x:t>
        </x:is>
      </x:c>
      <x:c r="D3995" s="5" t="inlineStr">
        <x:is>
          <x:t xml:space="preserve">宁波星源卓镁技术股份有限公司</x:t>
        </x:is>
      </x:c>
      <x:c r="E3995" s="4" t="inlineStr">
        <x:is>
          <x:t xml:space="preserve">浙江省</x:t>
        </x:is>
      </x:c>
      <x:c r="F3995" s="4" t="inlineStr">
        <x:is>
          <x:t xml:space="preserve">宁波市</x:t>
        </x:is>
      </x:c>
      <x:c r="G3995" s="5" t="inlineStr">
        <x:is>
          <x:t xml:space="preserve">浙江省-宁波市</x:t>
        </x:is>
      </x:c>
      <x:c r="H3995" s="4" t="inlineStr">
        <x:is>
          <x:t xml:space="preserve">汽车零部件</x:t>
        </x:is>
      </x:c>
      <x:c r="I3995" s="4" t="inlineStr">
        <x:is>
          <x:t xml:space="preserve">2022-12-15</x:t>
        </x:is>
      </x:c>
      <x:c r="J3995" s="5" t="inlineStr">
        <x:is>
          <x:t xml:space="preserve">浙江省宁波市北仑区大碶璎珞河路139号1幢1号、2幢1号</x:t>
        </x:is>
      </x:c>
      <x:c r="K3995" s="12" t="str">
        <x:f>LEFT("91330206750382896C",18)</x:f>
        <x:v>91330206750382896C</x:v>
      </x:c>
    </x:row>
    <x:row r="3996">
      <x:c r="A3996" s="2" t="n">
        <x:v>3995</x:v>
      </x:c>
      <x:c r="B3996" s="2" t="inlineStr">
        <x:is>
          <x:t xml:space="preserve">301399</x:t>
        </x:is>
      </x:c>
      <x:c r="C3996" s="3" t="inlineStr">
        <x:is>
          <x:t xml:space="preserve">英特科技</x:t>
        </x:is>
      </x:c>
      <x:c r="D3996" s="3" t="inlineStr">
        <x:is>
          <x:t xml:space="preserve">浙江英特科技股份有限公司</x:t>
        </x:is>
      </x:c>
      <x:c r="E3996" s="2" t="inlineStr">
        <x:is>
          <x:t xml:space="preserve">浙江省</x:t>
        </x:is>
      </x:c>
      <x:c r="F3996" s="2" t="inlineStr">
        <x:is>
          <x:t xml:space="preserve">湖州市</x:t>
        </x:is>
      </x:c>
      <x:c r="G3996" s="3" t="inlineStr">
        <x:is>
          <x:t xml:space="preserve">浙江省-湖州市</x:t>
        </x:is>
      </x:c>
      <x:c r="H3996" s="2" t="inlineStr">
        <x:is>
          <x:t xml:space="preserve">通用设备</x:t>
        </x:is>
      </x:c>
      <x:c r="I3996" s="2" t="inlineStr">
        <x:is>
          <x:t xml:space="preserve">2023-05-23</x:t>
        </x:is>
      </x:c>
      <x:c r="J3996" s="3" t="inlineStr">
        <x:is>
          <x:t xml:space="preserve">浙江省湖州市安吉县递铺街道环岛东路1369号</x:t>
        </x:is>
      </x:c>
      <x:c r="K3996" s="12" t="str">
        <x:f>LEFT("913305007686509836",18)</x:f>
        <x:v>913305007686509800</x:v>
      </x:c>
    </x:row>
    <x:row r="3997">
      <x:c r="A3997" s="4" t="n">
        <x:v>3996</x:v>
      </x:c>
      <x:c r="B3997" s="4" t="inlineStr">
        <x:is>
          <x:t xml:space="preserve">301448</x:t>
        </x:is>
      </x:c>
      <x:c r="C3997" s="5" t="inlineStr">
        <x:is>
          <x:t xml:space="preserve">开创电气</x:t>
        </x:is>
      </x:c>
      <x:c r="D3997" s="5" t="inlineStr">
        <x:is>
          <x:t xml:space="preserve">浙江开创电气股份有限公司</x:t>
        </x:is>
      </x:c>
      <x:c r="E3997" s="4" t="inlineStr">
        <x:is>
          <x:t xml:space="preserve">浙江省</x:t>
        </x:is>
      </x:c>
      <x:c r="F3997" s="4" t="inlineStr">
        <x:is>
          <x:t xml:space="preserve">金华市</x:t>
        </x:is>
      </x:c>
      <x:c r="G3997" s="5" t="inlineStr">
        <x:is>
          <x:t xml:space="preserve">浙江省-金华市</x:t>
        </x:is>
      </x:c>
      <x:c r="H3997" s="4" t="inlineStr">
        <x:is>
          <x:t xml:space="preserve">通用设备</x:t>
        </x:is>
      </x:c>
      <x:c r="I3997" s="4" t="inlineStr">
        <x:is>
          <x:t xml:space="preserve">2023-06-19</x:t>
        </x:is>
      </x:c>
      <x:c r="J3997" s="5" t="inlineStr">
        <x:is>
          <x:t xml:space="preserve">浙江省金华市婺城区龙乾南街1158号</x:t>
        </x:is>
      </x:c>
      <x:c r="K3997" s="12" t="str">
        <x:f>LEFT("91330700MA28D81151",18)</x:f>
        <x:v>91330700MA28D81151</x:v>
      </x:c>
    </x:row>
    <x:row r="3998">
      <x:c r="A3998" s="2" t="n">
        <x:v>3997</x:v>
      </x:c>
      <x:c r="B3998" s="2" t="inlineStr">
        <x:is>
          <x:t xml:space="preserve">301459</x:t>
        </x:is>
      </x:c>
      <x:c r="C3998" s="3" t="inlineStr">
        <x:is>
          <x:t xml:space="preserve">丰茂股份</x:t>
        </x:is>
      </x:c>
      <x:c r="D3998" s="3" t="inlineStr">
        <x:is>
          <x:t xml:space="preserve">浙江丰茂科技股份有限公司</x:t>
        </x:is>
      </x:c>
      <x:c r="E3998" s="2" t="inlineStr">
        <x:is>
          <x:t xml:space="preserve">浙江省</x:t>
        </x:is>
      </x:c>
      <x:c r="F3998" s="2" t="inlineStr">
        <x:is>
          <x:t xml:space="preserve">江省余姚市</x:t>
        </x:is>
      </x:c>
      <x:c r="G3998" s="3" t="inlineStr">
        <x:is>
          <x:t xml:space="preserve">浙江省-江省余姚市</x:t>
        </x:is>
      </x:c>
      <x:c r="H3998" s="2" t="inlineStr">
        <x:is>
          <x:t xml:space="preserve">橡胶制品</x:t>
        </x:is>
      </x:c>
      <x:c r="I3998" s="2" t="inlineStr">
        <x:is>
          <x:t xml:space="preserve">2023-12-13</x:t>
        </x:is>
      </x:c>
      <x:c r="J3998" s="3" t="inlineStr">
        <x:is>
          <x:t xml:space="preserve">浙江省余姚市锦凤路22号</x:t>
        </x:is>
      </x:c>
      <x:c r="K3998" s="12" t="str">
        <x:f>LEFT("91330281739493034B",18)</x:f>
        <x:v>91330281739493034B</x:v>
      </x:c>
    </x:row>
    <x:row r="3999">
      <x:c r="A3999" s="4" t="n">
        <x:v>3998</x:v>
      </x:c>
      <x:c r="B3999" s="4" t="inlineStr">
        <x:is>
          <x:t xml:space="preserve">301469</x:t>
        </x:is>
      </x:c>
      <x:c r="C3999" s="5" t="inlineStr">
        <x:is>
          <x:t xml:space="preserve">恒达新材</x:t>
        </x:is>
      </x:c>
      <x:c r="D3999" s="5" t="inlineStr">
        <x:is>
          <x:t xml:space="preserve">浙江恒达新材料股份有限公司</x:t>
        </x:is>
      </x:c>
      <x:c r="E3999" s="4" t="inlineStr">
        <x:is>
          <x:t xml:space="preserve">浙江省</x:t>
        </x:is>
      </x:c>
      <x:c r="F3999" s="4" t="inlineStr">
        <x:is>
          <x:t xml:space="preserve">衢州市</x:t>
        </x:is>
      </x:c>
      <x:c r="G3999" s="5" t="inlineStr">
        <x:is>
          <x:t xml:space="preserve">浙江省-衢州市</x:t>
        </x:is>
      </x:c>
      <x:c r="H3999" s="4" t="inlineStr">
        <x:is>
          <x:t xml:space="preserve">造纸印刷</x:t>
        </x:is>
      </x:c>
      <x:c r="I3999" s="4" t="inlineStr">
        <x:is>
          <x:t xml:space="preserve">2023-08-22</x:t>
        </x:is>
      </x:c>
      <x:c r="J3999" s="5" t="inlineStr">
        <x:is>
          <x:t xml:space="preserve">浙江省衢州市龙游县湖镇镇工业园区大明路8号</x:t>
        </x:is>
      </x:c>
      <x:c r="K3999" s="12" t="str">
        <x:f>LEFT("913308007392199400",18)</x:f>
        <x:v>913308007392199400</x:v>
      </x:c>
    </x:row>
    <x:row r="4000">
      <x:c r="A4000" s="2" t="n">
        <x:v>3999</x:v>
      </x:c>
      <x:c r="B4000" s="2" t="inlineStr">
        <x:is>
          <x:t xml:space="preserve">301507</x:t>
        </x:is>
      </x:c>
      <x:c r="C4000" s="3" t="inlineStr">
        <x:is>
          <x:t xml:space="preserve">民生健康</x:t>
        </x:is>
      </x:c>
      <x:c r="D4000" s="3" t="inlineStr">
        <x:is>
          <x:t xml:space="preserve">杭州民生健康药业股份有限公司</x:t>
        </x:is>
      </x:c>
      <x:c r="E4000" s="2" t="inlineStr">
        <x:is>
          <x:t xml:space="preserve">浙江省</x:t>
        </x:is>
      </x:c>
      <x:c r="F4000" s="2" t="inlineStr">
        <x:is>
          <x:t xml:space="preserve">杭州市</x:t>
        </x:is>
      </x:c>
      <x:c r="G4000" s="3" t="inlineStr">
        <x:is>
          <x:t xml:space="preserve">浙江省-杭州市</x:t>
        </x:is>
      </x:c>
      <x:c r="H4000" s="2" t="inlineStr">
        <x:is>
          <x:t xml:space="preserve">化学制药</x:t>
        </x:is>
      </x:c>
      <x:c r="I4000" s="2" t="inlineStr">
        <x:is>
          <x:t xml:space="preserve">2023-09-05</x:t>
        </x:is>
      </x:c>
      <x:c r="J4000" s="3" t="inlineStr">
        <x:is>
          <x:t xml:space="preserve">浙江省杭州市临平区东湖街道新天路101号</x:t>
        </x:is>
      </x:c>
      <x:c r="K4000" s="12" t="str">
        <x:f>LEFT("913301006970843976",18)</x:f>
        <x:v>913301006970844000</x:v>
      </x:c>
    </x:row>
    <x:row r="4001">
      <x:c r="A4001" s="4" t="n">
        <x:v>4000</x:v>
      </x:c>
      <x:c r="B4001" s="4" t="inlineStr">
        <x:is>
          <x:t xml:space="preserve">301535</x:t>
        </x:is>
      </x:c>
      <x:c r="C4001" s="5" t="inlineStr">
        <x:is>
          <x:t xml:space="preserve">浙江华远</x:t>
        </x:is>
      </x:c>
      <x:c r="D4001" s="5" t="inlineStr">
        <x:is>
          <x:t xml:space="preserve">浙江华远汽车科技股份有限公司</x:t>
        </x:is>
      </x:c>
      <x:c r="E4001" s="4" t="inlineStr">
        <x:is>
          <x:t xml:space="preserve">浙江省</x:t>
        </x:is>
      </x:c>
      <x:c r="F4001" s="4" t="inlineStr">
        <x:is>
          <x:t xml:space="preserve">温州市</x:t>
        </x:is>
      </x:c>
      <x:c r="G4001" s="5" t="inlineStr">
        <x:is>
          <x:t xml:space="preserve">浙江省-温州市</x:t>
        </x:is>
      </x:c>
      <x:c r="H4001" s="4" t="inlineStr">
        <x:is>
          <x:t xml:space="preserve">汽车零部件</x:t>
        </x:is>
      </x:c>
      <x:c r="I4001" s="4" t="inlineStr">
        <x:is>
          <x:t xml:space="preserve">2025-03-27</x:t>
        </x:is>
      </x:c>
      <x:c r="J4001" s="5" t="inlineStr">
        <x:is>
          <x:t xml:space="preserve">浙江省温州市温州湾新区星海街道金海二道636号</x:t>
        </x:is>
      </x:c>
      <x:c r="K4001" s="12" t="str">
        <x:f>LEFT("91330301735250975C",18)</x:f>
        <x:v>91330301735250975C</x:v>
      </x:c>
    </x:row>
    <x:row r="4002">
      <x:c r="A4002" s="2" t="n">
        <x:v>4001</x:v>
      </x:c>
      <x:c r="B4002" s="2" t="inlineStr">
        <x:is>
          <x:t xml:space="preserve">301539</x:t>
        </x:is>
      </x:c>
      <x:c r="C4002" s="3" t="inlineStr">
        <x:is>
          <x:t xml:space="preserve">宏鑫科技</x:t>
        </x:is>
      </x:c>
      <x:c r="D4002" s="3" t="inlineStr">
        <x:is>
          <x:t xml:space="preserve">浙江宏鑫科技股份有限公司</x:t>
        </x:is>
      </x:c>
      <x:c r="E4002" s="2" t="inlineStr">
        <x:is>
          <x:t xml:space="preserve">浙江省</x:t>
        </x:is>
      </x:c>
      <x:c r="F4002" s="2" t="inlineStr">
        <x:is>
          <x:t xml:space="preserve">台州市</x:t>
        </x:is>
      </x:c>
      <x:c r="G4002" s="3" t="inlineStr">
        <x:is>
          <x:t xml:space="preserve">浙江省-台州市</x:t>
        </x:is>
      </x:c>
      <x:c r="H4002" s="2" t="inlineStr">
        <x:is>
          <x:t xml:space="preserve">汽车零部件</x:t>
        </x:is>
      </x:c>
      <x:c r="I4002" s="2" t="inlineStr">
        <x:is>
          <x:t xml:space="preserve">2024-04-15</x:t>
        </x:is>
      </x:c>
      <x:c r="J4002" s="3" t="inlineStr">
        <x:is>
          <x:t xml:space="preserve">浙江省台州市黄岩区江口街道德俭路75号1幢</x:t>
        </x:is>
      </x:c>
      <x:c r="K4002" s="12" t="str">
        <x:f>LEFT("913310037844316251",18)</x:f>
        <x:v>913310037844316300</x:v>
      </x:c>
    </x:row>
    <x:row r="4003">
      <x:c r="A4003" s="4" t="n">
        <x:v>4002</x:v>
      </x:c>
      <x:c r="B4003" s="4" t="inlineStr">
        <x:is>
          <x:t xml:space="preserve">301550</x:t>
        </x:is>
      </x:c>
      <x:c r="C4003" s="5" t="inlineStr">
        <x:is>
          <x:t xml:space="preserve">斯菱股份</x:t>
        </x:is>
      </x:c>
      <x:c r="D4003" s="5" t="inlineStr">
        <x:is>
          <x:t xml:space="preserve">浙江斯菱智能驱动集团股份有限公司</x:t>
        </x:is>
      </x:c>
      <x:c r="E4003" s="4" t="inlineStr">
        <x:is>
          <x:t xml:space="preserve">浙江省</x:t>
        </x:is>
      </x:c>
      <x:c r="F4003" s="4" t="inlineStr">
        <x:is>
          <x:t xml:space="preserve">绍兴市</x:t>
        </x:is>
      </x:c>
      <x:c r="G4003" s="5" t="inlineStr">
        <x:is>
          <x:t xml:space="preserve">浙江省-绍兴市</x:t>
        </x:is>
      </x:c>
      <x:c r="H4003" s="4" t="inlineStr">
        <x:is>
          <x:t xml:space="preserve">汽车零部件</x:t>
        </x:is>
      </x:c>
      <x:c r="I4003" s="4" t="inlineStr">
        <x:is>
          <x:t xml:space="preserve">2023-09-15</x:t>
        </x:is>
      </x:c>
      <x:c r="J4003" s="5" t="inlineStr">
        <x:is>
          <x:t xml:space="preserve">浙江省新昌县澄潭街道江东路3号</x:t>
        </x:is>
      </x:c>
      <x:c r="K4003" s="12" t="str">
        <x:f>LEFT("91330600768695065F",18)</x:f>
        <x:v>91330600768695065F</x:v>
      </x:c>
    </x:row>
    <x:row r="4004">
      <x:c r="A4004" s="2" t="n">
        <x:v>4003</x:v>
      </x:c>
      <x:c r="B4004" s="2" t="inlineStr">
        <x:is>
          <x:t xml:space="preserve">301556</x:t>
        </x:is>
      </x:c>
      <x:c r="C4004" s="3" t="inlineStr">
        <x:is>
          <x:t xml:space="preserve">托普云农</x:t>
        </x:is>
      </x:c>
      <x:c r="D4004" s="3" t="inlineStr">
        <x:is>
          <x:t xml:space="preserve">浙江托普云农科技股份有限公司</x:t>
        </x:is>
      </x:c>
      <x:c r="E4004" s="2" t="inlineStr">
        <x:is>
          <x:t xml:space="preserve">浙江省</x:t>
        </x:is>
      </x:c>
      <x:c r="F4004" s="2" t="inlineStr">
        <x:is>
          <x:t xml:space="preserve">杭州市</x:t>
        </x:is>
      </x:c>
      <x:c r="G4004" s="3" t="inlineStr">
        <x:is>
          <x:t xml:space="preserve">浙江省-杭州市</x:t>
        </x:is>
      </x:c>
      <x:c r="H4004" s="2" t="inlineStr">
        <x:is>
          <x:t xml:space="preserve">软件开发</x:t>
        </x:is>
      </x:c>
      <x:c r="I4004" s="2" t="inlineStr">
        <x:is>
          <x:t xml:space="preserve">2024-10-17</x:t>
        </x:is>
      </x:c>
      <x:c r="J4004" s="3" t="inlineStr">
        <x:is>
          <x:t xml:space="preserve">浙江省杭州市拱墅区上塘街道溪居路182号18楼1801室</x:t>
        </x:is>
      </x:c>
      <x:c r="K4004" s="12" t="str">
        <x:f>LEFT("9133000067387196XE",18)</x:f>
        <x:v>9133000067387196XE</x:v>
      </x:c>
    </x:row>
    <x:row r="4005">
      <x:c r="A4005" s="4" t="n">
        <x:v>4004</x:v>
      </x:c>
      <x:c r="B4005" s="4" t="inlineStr">
        <x:is>
          <x:t xml:space="preserve">301567</x:t>
        </x:is>
      </x:c>
      <x:c r="C4005" s="5" t="inlineStr">
        <x:is>
          <x:t xml:space="preserve">贝隆精密</x:t>
        </x:is>
      </x:c>
      <x:c r="D4005" s="5" t="inlineStr">
        <x:is>
          <x:t xml:space="preserve">贝隆精密科技股份有限公司</x:t>
        </x:is>
      </x:c>
      <x:c r="E4005" s="4" t="inlineStr">
        <x:is>
          <x:t xml:space="preserve">浙江省</x:t>
        </x:is>
      </x:c>
      <x:c r="F4005" s="4" t="inlineStr">
        <x:is>
          <x:t xml:space="preserve">江省余姚市</x:t>
        </x:is>
      </x:c>
      <x:c r="G4005" s="5" t="inlineStr">
        <x:is>
          <x:t xml:space="preserve">浙江省-江省余姚市</x:t>
        </x:is>
      </x:c>
      <x:c r="H4005" s="4" t="inlineStr">
        <x:is>
          <x:t xml:space="preserve">消费电子</x:t>
        </x:is>
      </x:c>
      <x:c r="I4005" s="4" t="inlineStr">
        <x:is>
          <x:t xml:space="preserve">2024-01-16</x:t>
        </x:is>
      </x:c>
      <x:c r="J4005" s="5" t="inlineStr">
        <x:is>
          <x:t xml:space="preserve">浙江省余姚市舜宇西路184号</x:t>
        </x:is>
      </x:c>
      <x:c r="K4005" s="12" t="str">
        <x:f>LEFT("913302816684631605",18)</x:f>
        <x:v>913302816684631600</x:v>
      </x:c>
    </x:row>
    <x:row r="4006">
      <x:c r="A4006" s="2" t="n">
        <x:v>4005</x:v>
      </x:c>
      <x:c r="B4006" s="2" t="inlineStr">
        <x:is>
          <x:t xml:space="preserve">301585</x:t>
        </x:is>
      </x:c>
      <x:c r="C4006" s="3" t="inlineStr">
        <x:is>
          <x:t xml:space="preserve">蓝宇股份</x:t>
        </x:is>
      </x:c>
      <x:c r="D4006" s="3" t="inlineStr">
        <x:is>
          <x:t xml:space="preserve">浙江蓝宇数码科技股份有限公司</x:t>
        </x:is>
      </x:c>
      <x:c r="E4006" s="2" t="inlineStr">
        <x:is>
          <x:t xml:space="preserve">浙江省</x:t>
        </x:is>
      </x:c>
      <x:c r="F4006" s="2" t="inlineStr">
        <x:is>
          <x:t xml:space="preserve">义乌市</x:t>
        </x:is>
      </x:c>
      <x:c r="G4006" s="3" t="inlineStr">
        <x:is>
          <x:t xml:space="preserve">浙江省-义乌市</x:t>
        </x:is>
      </x:c>
      <x:c r="H4006" s="2" t="inlineStr">
        <x:is>
          <x:t xml:space="preserve">化学制品</x:t>
        </x:is>
      </x:c>
      <x:c r="I4006" s="2" t="inlineStr">
        <x:is>
          <x:t xml:space="preserve">2024-12-20</x:t>
        </x:is>
      </x:c>
      <x:c r="J4006" s="3" t="inlineStr">
        <x:is>
          <x:t xml:space="preserve">浙江省义乌市佛堂镇剡溪路601号</x:t>
        </x:is>
      </x:c>
      <x:c r="K4006" s="12" t="str">
        <x:f>LEFT("91330700566991114R",18)</x:f>
        <x:v>91330700566991114R</x:v>
      </x:c>
    </x:row>
    <x:row r="4007">
      <x:c r="A4007" s="4" t="n">
        <x:v>4006</x:v>
      </x:c>
      <x:c r="B4007" s="4" t="inlineStr">
        <x:is>
          <x:t xml:space="preserve">301607</x:t>
        </x:is>
      </x:c>
      <x:c r="C4007" s="5" t="inlineStr">
        <x:is>
          <x:t xml:space="preserve">富特科技</x:t>
        </x:is>
      </x:c>
      <x:c r="D4007" s="5" t="inlineStr">
        <x:is>
          <x:t xml:space="preserve">浙江富特科技股份有限公司</x:t>
        </x:is>
      </x:c>
      <x:c r="E4007" s="4" t="inlineStr">
        <x:is>
          <x:t xml:space="preserve">浙江省</x:t>
        </x:is>
      </x:c>
      <x:c r="F4007" s="4" t="inlineStr">
        <x:is>
          <x:t xml:space="preserve">湖州市</x:t>
        </x:is>
      </x:c>
      <x:c r="G4007" s="5" t="inlineStr">
        <x:is>
          <x:t xml:space="preserve">浙江省-湖州市</x:t>
        </x:is>
      </x:c>
      <x:c r="H4007" s="4" t="inlineStr">
        <x:is>
          <x:t xml:space="preserve">汽车零部件</x:t>
        </x:is>
      </x:c>
      <x:c r="I4007" s="4" t="inlineStr">
        <x:is>
          <x:t xml:space="preserve">2024-09-04</x:t>
        </x:is>
      </x:c>
      <x:c r="J4007" s="5" t="inlineStr">
        <x:is>
          <x:t xml:space="preserve">浙江省湖州市安吉县递铺街道文昌路505号</x:t>
        </x:is>
      </x:c>
      <x:c r="K4007" s="12" t="str">
        <x:f>LEFT("91330106580258541J",18)</x:f>
        <x:v>91330106580258541J</x:v>
      </x:c>
    </x:row>
    <x:row r="4008">
      <x:c r="A4008" s="2" t="n">
        <x:v>4007</x:v>
      </x:c>
      <x:c r="B4008" s="2" t="inlineStr">
        <x:is>
          <x:t xml:space="preserve">301616</x:t>
        </x:is>
      </x:c>
      <x:c r="C4008" s="3" t="inlineStr">
        <x:is>
          <x:t xml:space="preserve">浙江华业</x:t>
        </x:is>
      </x:c>
      <x:c r="D4008" s="3" t="inlineStr">
        <x:is>
          <x:t xml:space="preserve">浙江华业塑料机械股份有限公司</x:t>
        </x:is>
      </x:c>
      <x:c r="E4008" s="2" t="inlineStr">
        <x:is>
          <x:t xml:space="preserve">浙江省</x:t>
        </x:is>
      </x:c>
      <x:c r="F4008" s="2" t="inlineStr">
        <x:is>
          <x:t xml:space="preserve">舟山市</x:t>
        </x:is>
      </x:c>
      <x:c r="G4008" s="3" t="inlineStr">
        <x:is>
          <x:t xml:space="preserve">浙江省-舟山市</x:t>
        </x:is>
      </x:c>
      <x:c r="H4008" s="2" t="inlineStr">
        <x:is>
          <x:t xml:space="preserve">通用设备</x:t>
        </x:is>
      </x:c>
      <x:c r="I4008" s="2" t="inlineStr">
        <x:is>
          <x:t xml:space="preserve">2025-03-27</x:t>
        </x:is>
      </x:c>
      <x:c r="J4008" s="3" t="inlineStr">
        <x:is>
          <x:t xml:space="preserve">浙江省舟山市定海区金塘镇西堠工业集聚区沥港路1号</x:t>
        </x:is>
      </x:c>
      <x:c r="K4008" s="12" t="str">
        <x:f>LEFT("91330901148752305X",18)</x:f>
        <x:v>91330901148752305X</x:v>
      </x:c>
    </x:row>
    <x:row r="4009">
      <x:c r="A4009" s="4" t="n">
        <x:v>4008</x:v>
      </x:c>
      <x:c r="B4009" s="4" t="inlineStr">
        <x:is>
          <x:t xml:space="preserve">301667</x:t>
        </x:is>
      </x:c>
      <x:c r="C4009" s="5" t="inlineStr">
        <x:is>
          <x:t xml:space="preserve">纳百川</x:t>
        </x:is>
      </x:c>
      <x:c r="D4009" s="5" t="inlineStr">
        <x:is>
          <x:t xml:space="preserve">纳百川新能源股份有限公司</x:t>
        </x:is>
      </x:c>
      <x:c r="E4009" s="4" t="inlineStr">
        <x:is>
          <x:t xml:space="preserve">浙江省</x:t>
        </x:is>
      </x:c>
      <x:c r="F4009" s="4" t="inlineStr">
        <x:is>
          <x:t xml:space="preserve">温州市</x:t>
        </x:is>
      </x:c>
      <x:c r="G4009" s="5" t="inlineStr">
        <x:is>
          <x:t xml:space="preserve">浙江省-温州市</x:t>
        </x:is>
      </x:c>
      <x:c r="H4009" s="4" t="inlineStr">
        <x:is>
          <x:t xml:space="preserve">汽车零部件</x:t>
        </x:is>
      </x:c>
      <x:c r="I4009" s="4" t="inlineStr">
        <x:is>
          <x:t xml:space="preserve">2025-12-23</x:t>
        </x:is>
      </x:c>
      <x:c r="J4009" s="5" t="inlineStr">
        <x:is>
          <x:t xml:space="preserve">浙江省泰顺县月湖工业区分泰路59号</x:t>
        </x:is>
      </x:c>
      <x:c r="K4009" s="12" t="str">
        <x:f>LEFT("91330329668332179W",18)</x:f>
        <x:v>91330329668332179W</x:v>
      </x:c>
    </x:row>
    <x:row r="4010">
      <x:c r="A4010" s="2" t="n">
        <x:v>4009</x:v>
      </x:c>
      <x:c r="B4010" s="2" t="inlineStr">
        <x:is>
          <x:t xml:space="preserve">600023</x:t>
        </x:is>
      </x:c>
      <x:c r="C4010" s="3" t="inlineStr">
        <x:is>
          <x:t xml:space="preserve">浙能电力</x:t>
        </x:is>
      </x:c>
      <x:c r="D4010" s="3" t="inlineStr">
        <x:is>
          <x:t xml:space="preserve">浙江浙能电力股份有限公司</x:t>
        </x:is>
      </x:c>
      <x:c r="E4010" s="2" t="inlineStr">
        <x:is>
          <x:t xml:space="preserve">浙江省</x:t>
        </x:is>
      </x:c>
      <x:c r="F4010" s="2" t="inlineStr">
        <x:is>
          <x:t xml:space="preserve">杭州市</x:t>
        </x:is>
      </x:c>
      <x:c r="G4010" s="3" t="inlineStr">
        <x:is>
          <x:t xml:space="preserve">浙江省-杭州市</x:t>
        </x:is>
      </x:c>
      <x:c r="H4010" s="2" t="inlineStr">
        <x:is>
          <x:t xml:space="preserve">电力行业</x:t>
        </x:is>
      </x:c>
      <x:c r="I4010" s="2" t="inlineStr">
        <x:is>
          <x:t xml:space="preserve">2013-12-19</x:t>
        </x:is>
      </x:c>
      <x:c r="J4010" s="3" t="inlineStr">
        <x:is>
          <x:t xml:space="preserve">浙江省杭州市天目山路152号浙能大厦</x:t>
        </x:is>
      </x:c>
      <x:c r="K4010" s="12" t="str">
        <x:f>LEFT("913300001429120051",18)</x:f>
        <x:v>913300001429120000</x:v>
      </x:c>
    </x:row>
    <x:row r="4011">
      <x:c r="A4011" s="4" t="n">
        <x:v>4010</x:v>
      </x:c>
      <x:c r="B4011" s="4" t="inlineStr">
        <x:is>
          <x:t xml:space="preserve">600032</x:t>
        </x:is>
      </x:c>
      <x:c r="C4011" s="5" t="inlineStr">
        <x:is>
          <x:t xml:space="preserve">浙江新能</x:t>
        </x:is>
      </x:c>
      <x:c r="D4011" s="5" t="inlineStr">
        <x:is>
          <x:t xml:space="preserve">浙江省新能源投资集团股份有限公司</x:t>
        </x:is>
      </x:c>
      <x:c r="E4011" s="4" t="inlineStr">
        <x:is>
          <x:t xml:space="preserve">浙江省</x:t>
        </x:is>
      </x:c>
      <x:c r="F4011" s="4" t="inlineStr">
        <x:is>
          <x:t xml:space="preserve">杭州市</x:t>
        </x:is>
      </x:c>
      <x:c r="G4011" s="5" t="inlineStr">
        <x:is>
          <x:t xml:space="preserve">浙江省-杭州市</x:t>
        </x:is>
      </x:c>
      <x:c r="H4011" s="4" t="inlineStr">
        <x:is>
          <x:t xml:space="preserve">电力行业</x:t>
        </x:is>
      </x:c>
      <x:c r="I4011" s="4" t="inlineStr">
        <x:is>
          <x:t xml:space="preserve">2021-05-25</x:t>
        </x:is>
      </x:c>
      <x:c r="J4011" s="5" t="inlineStr">
        <x:is>
          <x:t xml:space="preserve">浙江省杭州市上城区凯旋街道凤起东路8号</x:t>
        </x:is>
      </x:c>
      <x:c r="K4011" s="12" t="str">
        <x:f>LEFT("9133000074200262XL",18)</x:f>
        <x:v>9133000074200262XL</x:v>
      </x:c>
    </x:row>
    <x:row r="4012">
      <x:c r="A4012" s="2" t="n">
        <x:v>4011</x:v>
      </x:c>
      <x:c r="B4012" s="2" t="inlineStr">
        <x:is>
          <x:t xml:space="preserve">600051</x:t>
        </x:is>
      </x:c>
      <x:c r="C4012" s="3" t="inlineStr">
        <x:is>
          <x:t xml:space="preserve">宁波联合</x:t>
        </x:is>
      </x:c>
      <x:c r="D4012" s="3" t="inlineStr">
        <x:is>
          <x:t xml:space="preserve">宁波联合集团股份有限公司</x:t>
        </x:is>
      </x:c>
      <x:c r="E4012" s="2" t="inlineStr">
        <x:is>
          <x:t xml:space="preserve">浙江省</x:t>
        </x:is>
      </x:c>
      <x:c r="F4012" s="2" t="inlineStr">
        <x:is>
          <x:t xml:space="preserve">宁波市</x:t>
        </x:is>
      </x:c>
      <x:c r="G4012" s="3" t="inlineStr">
        <x:is>
          <x:t xml:space="preserve">浙江省-宁波市</x:t>
        </x:is>
      </x:c>
      <x:c r="H4012" s="2" t="inlineStr">
        <x:is>
          <x:t xml:space="preserve">综合行业</x:t>
        </x:is>
      </x:c>
      <x:c r="I4012" s="2" t="inlineStr">
        <x:is>
          <x:t xml:space="preserve">1997-04-10</x:t>
        </x:is>
      </x:c>
      <x:c r="J4012" s="3" t="inlineStr">
        <x:is>
          <x:t xml:space="preserve">浙江省宁波经济技术开发区东海路1号联合大厦</x:t>
        </x:is>
      </x:c>
      <x:c r="K4012" s="12" t="str">
        <x:f>LEFT("9133020025410108X4",18)</x:f>
        <x:v>9133020025410108X4</x:v>
      </x:c>
    </x:row>
    <x:row r="4013">
      <x:c r="A4013" s="4" t="n">
        <x:v>4012</x:v>
      </x:c>
      <x:c r="B4013" s="4" t="inlineStr">
        <x:is>
          <x:t xml:space="preserve">600052</x:t>
        </x:is>
      </x:c>
      <x:c r="C4013" s="5" t="inlineStr">
        <x:is>
          <x:t xml:space="preserve">东望时代</x:t>
        </x:is>
      </x:c>
      <x:c r="D4013" s="5" t="inlineStr">
        <x:is>
          <x:t xml:space="preserve">浙江东望时代科技股份有限公司</x:t>
        </x:is>
      </x:c>
      <x:c r="E4013" s="4" t="inlineStr">
        <x:is>
          <x:t xml:space="preserve">浙江省</x:t>
        </x:is>
      </x:c>
      <x:c r="F4013" s="4" t="inlineStr">
        <x:is>
          <x:t xml:space="preserve">江省东阳市</x:t>
        </x:is>
      </x:c>
      <x:c r="G4013" s="5" t="inlineStr">
        <x:is>
          <x:t xml:space="preserve">浙江省-江省东阳市</x:t>
        </x:is>
      </x:c>
      <x:c r="H4013" s="4" t="inlineStr">
        <x:is>
          <x:t xml:space="preserve">公用事业</x:t>
        </x:is>
      </x:c>
      <x:c r="I4013" s="4" t="inlineStr">
        <x:is>
          <x:t xml:space="preserve">1997-04-15</x:t>
        </x:is>
      </x:c>
      <x:c r="J4013" s="5" t="inlineStr">
        <x:is>
          <x:t xml:space="preserve">浙江省东阳市江北街道江滨北街10号</x:t>
        </x:is>
      </x:c>
      <x:c r="K4013" s="12" t="str">
        <x:f>LEFT("91330000704206103U",18)</x:f>
        <x:v>91330000704206103U</x:v>
      </x:c>
    </x:row>
    <x:row r="4014">
      <x:c r="A4014" s="2" t="n">
        <x:v>4013</x:v>
      </x:c>
      <x:c r="B4014" s="2" t="inlineStr">
        <x:is>
          <x:t xml:space="preserve">600059</x:t>
        </x:is>
      </x:c>
      <x:c r="C4014" s="3" t="inlineStr">
        <x:is>
          <x:t xml:space="preserve">古越龙山</x:t>
        </x:is>
      </x:c>
      <x:c r="D4014" s="3" t="inlineStr">
        <x:is>
          <x:t xml:space="preserve">浙江古越龙山绍兴酒股份有限公司</x:t>
        </x:is>
      </x:c>
      <x:c r="E4014" s="2" t="inlineStr">
        <x:is>
          <x:t xml:space="preserve">浙江省</x:t>
        </x:is>
      </x:c>
      <x:c r="F4014" s="2" t="inlineStr">
        <x:is>
          <x:t xml:space="preserve">绍兴市</x:t>
        </x:is>
      </x:c>
      <x:c r="G4014" s="3" t="inlineStr">
        <x:is>
          <x:t xml:space="preserve">浙江省-绍兴市</x:t>
        </x:is>
      </x:c>
      <x:c r="H4014" s="2" t="inlineStr">
        <x:is>
          <x:t xml:space="preserve">酿酒行业</x:t>
        </x:is>
      </x:c>
      <x:c r="I4014" s="2" t="inlineStr">
        <x:is>
          <x:t xml:space="preserve">1997-05-16</x:t>
        </x:is>
      </x:c>
      <x:c r="J4014" s="3" t="inlineStr">
        <x:is>
          <x:t xml:space="preserve">浙江省绍兴市北海桥</x:t>
        </x:is>
      </x:c>
      <x:c r="K4014" s="12" t="str">
        <x:f>LEFT("91330000142943303A",18)</x:f>
        <x:v>91330000142943303A</x:v>
      </x:c>
    </x:row>
    <x:row r="4015">
      <x:c r="A4015" s="4" t="n">
        <x:v>4014</x:v>
      </x:c>
      <x:c r="B4015" s="4" t="inlineStr">
        <x:is>
          <x:t xml:space="preserve">600113</x:t>
        </x:is>
      </x:c>
      <x:c r="C4015" s="5" t="inlineStr">
        <x:is>
          <x:t xml:space="preserve">浙江东日</x:t>
        </x:is>
      </x:c>
      <x:c r="D4015" s="5" t="inlineStr">
        <x:is>
          <x:t xml:space="preserve">浙江东日股份有限公司</x:t>
        </x:is>
      </x:c>
      <x:c r="E4015" s="4" t="inlineStr">
        <x:is>
          <x:t xml:space="preserve">浙江省</x:t>
        </x:is>
      </x:c>
      <x:c r="F4015" s="4" t="inlineStr">
        <x:is>
          <x:t xml:space="preserve">温州市</x:t>
        </x:is>
      </x:c>
      <x:c r="G4015" s="5" t="inlineStr">
        <x:is>
          <x:t xml:space="preserve">浙江省-温州市</x:t>
        </x:is>
      </x:c>
      <x:c r="H4015" s="4" t="inlineStr">
        <x:is>
          <x:t xml:space="preserve">综合行业</x:t>
        </x:is>
      </x:c>
      <x:c r="I4015" s="4" t="inlineStr">
        <x:is>
          <x:t xml:space="preserve">1997-10-21</x:t>
        </x:is>
      </x:c>
      <x:c r="J4015" s="5" t="inlineStr">
        <x:is>
          <x:t xml:space="preserve">浙江省温州市鹿城区市府路168号合众大厦1101-1室</x:t>
        </x:is>
      </x:c>
      <x:c r="K4015" s="12" t="str">
        <x:f>LEFT("9133000071095874X3",18)</x:f>
        <x:v>9133000071095874X3</x:v>
      </x:c>
    </x:row>
    <x:row r="4016">
      <x:c r="A4016" s="2" t="n">
        <x:v>4015</x:v>
      </x:c>
      <x:c r="B4016" s="2" t="inlineStr">
        <x:is>
          <x:t xml:space="preserve">600114</x:t>
        </x:is>
      </x:c>
      <x:c r="C4016" s="3" t="inlineStr">
        <x:is>
          <x:t xml:space="preserve">东睦股份</x:t>
        </x:is>
      </x:c>
      <x:c r="D4016" s="3" t="inlineStr">
        <x:is>
          <x:t xml:space="preserve">东睦新材料集团股份有限公司</x:t>
        </x:is>
      </x:c>
      <x:c r="E4016" s="2" t="inlineStr">
        <x:is>
          <x:t xml:space="preserve">浙江省</x:t>
        </x:is>
      </x:c>
      <x:c r="F4016" s="2" t="inlineStr">
        <x:is>
          <x:t xml:space="preserve">宁波市</x:t>
        </x:is>
      </x:c>
      <x:c r="G4016" s="3" t="inlineStr">
        <x:is>
          <x:t xml:space="preserve">浙江省-宁波市</x:t>
        </x:is>
      </x:c>
      <x:c r="H4016" s="2" t="inlineStr">
        <x:is>
          <x:t xml:space="preserve">通用设备</x:t>
        </x:is>
      </x:c>
      <x:c r="I4016" s="2" t="inlineStr">
        <x:is>
          <x:t xml:space="preserve">2004-05-11</x:t>
        </x:is>
      </x:c>
      <x:c r="J4016" s="3" t="inlineStr">
        <x:is>
          <x:t xml:space="preserve">浙江省宁波市鄞州工业园区景江路1508号</x:t>
        </x:is>
      </x:c>
      <x:c r="K4016" s="12" t="str">
        <x:f>LEFT("91330200610271537C",18)</x:f>
        <x:v>91330200610271537C</x:v>
      </x:c>
    </x:row>
    <x:row r="4017">
      <x:c r="A4017" s="4" t="n">
        <x:v>4016</x:v>
      </x:c>
      <x:c r="B4017" s="4" t="inlineStr">
        <x:is>
          <x:t xml:space="preserve">600120</x:t>
        </x:is>
      </x:c>
      <x:c r="C4017" s="5" t="inlineStr">
        <x:is>
          <x:t xml:space="preserve">浙江东方</x:t>
        </x:is>
      </x:c>
      <x:c r="D4017" s="5" t="inlineStr">
        <x:is>
          <x:t xml:space="preserve">浙江东方控股集团股份有限公司</x:t>
        </x:is>
      </x:c>
      <x:c r="E4017" s="4" t="inlineStr">
        <x:is>
          <x:t xml:space="preserve">浙江省</x:t>
        </x:is>
      </x:c>
      <x:c r="F4017" s="4" t="inlineStr">
        <x:is>
          <x:t xml:space="preserve">杭州市</x:t>
        </x:is>
      </x:c>
      <x:c r="G4017" s="5" t="inlineStr">
        <x:is>
          <x:t xml:space="preserve">浙江省-杭州市</x:t>
        </x:is>
      </x:c>
      <x:c r="H4017" s="4" t="inlineStr">
        <x:is>
          <x:t xml:space="preserve">多元金融</x:t>
        </x:is>
      </x:c>
      <x:c r="I4017" s="4" t="inlineStr">
        <x:is>
          <x:t xml:space="preserve">1997-12-01</x:t>
        </x:is>
      </x:c>
      <x:c r="J4017" s="5" t="inlineStr">
        <x:is>
          <x:t xml:space="preserve">浙江省杭州市上城区香樟街39号国贸金融大厦31-33层</x:t>
        </x:is>
      </x:c>
      <x:c r="K4017" s="12" t="str">
        <x:f>LEFT("91330000142927960N",18)</x:f>
        <x:v>91330000142927960N</x:v>
      </x:c>
    </x:row>
    <x:row r="4018">
      <x:c r="A4018" s="2" t="n">
        <x:v>4017</x:v>
      </x:c>
      <x:c r="B4018" s="2" t="inlineStr">
        <x:is>
          <x:t xml:space="preserve">600126</x:t>
        </x:is>
      </x:c>
      <x:c r="C4018" s="3" t="inlineStr">
        <x:is>
          <x:t xml:space="preserve">杭钢股份</x:t>
        </x:is>
      </x:c>
      <x:c r="D4018" s="3" t="inlineStr">
        <x:is>
          <x:t xml:space="preserve">杭州钢铁股份有限公司</x:t>
        </x:is>
      </x:c>
      <x:c r="E4018" s="2" t="inlineStr">
        <x:is>
          <x:t xml:space="preserve">浙江省</x:t>
        </x:is>
      </x:c>
      <x:c r="F4018" s="2" t="inlineStr">
        <x:is>
          <x:t xml:space="preserve">杭州市</x:t>
        </x:is>
      </x:c>
      <x:c r="G4018" s="3" t="inlineStr">
        <x:is>
          <x:t xml:space="preserve">浙江省-杭州市</x:t>
        </x:is>
      </x:c>
      <x:c r="H4018" s="2" t="inlineStr">
        <x:is>
          <x:t xml:space="preserve">钢铁行业</x:t>
        </x:is>
      </x:c>
      <x:c r="I4018" s="2" t="inlineStr">
        <x:is>
          <x:t xml:space="preserve">1998-03-11</x:t>
        </x:is>
      </x:c>
      <x:c r="J4018" s="3" t="inlineStr">
        <x:is>
          <x:t xml:space="preserve">浙江省杭州市拱墅区半山路178号</x:t>
        </x:is>
      </x:c>
      <x:c r="K4018" s="12" t="str">
        <x:f>LEFT("913300007042008605",18)</x:f>
        <x:v>913300007042008600</x:v>
      </x:c>
    </x:row>
    <x:row r="4019">
      <x:c r="A4019" s="4" t="n">
        <x:v>4018</x:v>
      </x:c>
      <x:c r="B4019" s="4" t="inlineStr">
        <x:is>
          <x:t xml:space="preserve">600130</x:t>
        </x:is>
      </x:c>
      <x:c r="C4019" s="5" t="inlineStr">
        <x:is>
          <x:t xml:space="preserve">波导股份</x:t>
        </x:is>
      </x:c>
      <x:c r="D4019" s="5" t="inlineStr">
        <x:is>
          <x:t xml:space="preserve">宁波波导股份有限公司</x:t>
        </x:is>
      </x:c>
      <x:c r="E4019" s="4" t="inlineStr">
        <x:is>
          <x:t xml:space="preserve">浙江省</x:t>
        </x:is>
      </x:c>
      <x:c r="F4019" s="4" t="inlineStr">
        <x:is>
          <x:t xml:space="preserve">宁波市</x:t>
        </x:is>
      </x:c>
      <x:c r="G4019" s="5" t="inlineStr">
        <x:is>
          <x:t xml:space="preserve">浙江省-宁波市</x:t>
        </x:is>
      </x:c>
      <x:c r="H4019" s="4" t="inlineStr">
        <x:is>
          <x:t xml:space="preserve">消费电子</x:t>
        </x:is>
      </x:c>
      <x:c r="I4019" s="4" t="inlineStr">
        <x:is>
          <x:t xml:space="preserve">2000-07-06</x:t>
        </x:is>
      </x:c>
      <x:c r="J4019" s="5" t="inlineStr">
        <x:is>
          <x:t xml:space="preserve">浙江省宁波市奉化区大成东路999号</x:t>
        </x:is>
      </x:c>
      <x:c r="K4019" s="12" t="str">
        <x:f>LEFT("913302007133263773",18)</x:f>
        <x:v>913302007133263700</x:v>
      </x:c>
    </x:row>
    <x:row r="4020">
      <x:c r="A4020" s="2" t="n">
        <x:v>4019</x:v>
      </x:c>
      <x:c r="B4020" s="2" t="inlineStr">
        <x:is>
          <x:t xml:space="preserve">600152</x:t>
        </x:is>
      </x:c>
      <x:c r="C4020" s="3" t="inlineStr">
        <x:is>
          <x:t xml:space="preserve">维科技术</x:t>
        </x:is>
      </x:c>
      <x:c r="D4020" s="3" t="inlineStr">
        <x:is>
          <x:t xml:space="preserve">维科技术股份有限公司</x:t>
        </x:is>
      </x:c>
      <x:c r="E4020" s="2" t="inlineStr">
        <x:is>
          <x:t xml:space="preserve">浙江省</x:t>
        </x:is>
      </x:c>
      <x:c r="F4020" s="2" t="inlineStr">
        <x:is>
          <x:t xml:space="preserve">宁波市</x:t>
        </x:is>
      </x:c>
      <x:c r="G4020" s="3" t="inlineStr">
        <x:is>
          <x:t xml:space="preserve">浙江省-宁波市</x:t>
        </x:is>
      </x:c>
      <x:c r="H4020" s="2" t="inlineStr">
        <x:is>
          <x:t xml:space="preserve">电池</x:t>
        </x:is>
      </x:c>
      <x:c r="I4020" s="2" t="inlineStr">
        <x:is>
          <x:t xml:space="preserve">1998-06-09</x:t>
        </x:is>
      </x:c>
      <x:c r="J4020" s="3" t="inlineStr">
        <x:is>
          <x:t xml:space="preserve">宁波市海曙区和义路99号(一照多址)</x:t>
        </x:is>
      </x:c>
      <x:c r="K4020" s="12" t="str">
        <x:f>LEFT("91330200144069541X",18)</x:f>
        <x:v>91330200144069541X</x:v>
      </x:c>
    </x:row>
    <x:row r="4021">
      <x:c r="A4021" s="4" t="n">
        <x:v>4020</x:v>
      </x:c>
      <x:c r="B4021" s="4" t="inlineStr">
        <x:is>
          <x:t xml:space="preserve">600160</x:t>
        </x:is>
      </x:c>
      <x:c r="C4021" s="5" t="inlineStr">
        <x:is>
          <x:t xml:space="preserve">巨化股份</x:t>
        </x:is>
      </x:c>
      <x:c r="D4021" s="5" t="inlineStr">
        <x:is>
          <x:t xml:space="preserve">浙江巨化股份有限公司</x:t>
        </x:is>
      </x:c>
      <x:c r="E4021" s="4" t="inlineStr">
        <x:is>
          <x:t xml:space="preserve">浙江省</x:t>
        </x:is>
      </x:c>
      <x:c r="F4021" s="4" t="inlineStr">
        <x:is>
          <x:t xml:space="preserve">衢州市</x:t>
        </x:is>
      </x:c>
      <x:c r="G4021" s="5" t="inlineStr">
        <x:is>
          <x:t xml:space="preserve">浙江省-衢州市</x:t>
        </x:is>
      </x:c>
      <x:c r="H4021" s="4" t="inlineStr">
        <x:is>
          <x:t xml:space="preserve">化工行业</x:t>
        </x:is>
      </x:c>
      <x:c r="I4021" s="4" t="inlineStr">
        <x:is>
          <x:t xml:space="preserve">1998-06-26</x:t>
        </x:is>
      </x:c>
      <x:c r="J4021" s="5" t="inlineStr">
        <x:is>
          <x:t xml:space="preserve">浙江省衢州市柯城区</x:t>
        </x:is>
      </x:c>
      <x:c r="K4021" s="12" t="str">
        <x:f>LEFT("91330000704204554C",18)</x:f>
        <x:v>91330000704204554C</x:v>
      </x:c>
    </x:row>
    <x:row r="4022">
      <x:c r="A4022" s="2" t="n">
        <x:v>4021</x:v>
      </x:c>
      <x:c r="B4022" s="2" t="inlineStr">
        <x:is>
          <x:t xml:space="preserve">600173</x:t>
        </x:is>
      </x:c>
      <x:c r="C4022" s="3" t="inlineStr">
        <x:is>
          <x:t xml:space="preserve">卧龙地产</x:t>
        </x:is>
      </x:c>
      <x:c r="D4022" s="3" t="inlineStr">
        <x:is>
          <x:t xml:space="preserve">卧龙新能源集团股份有限公司</x:t>
        </x:is>
      </x:c>
      <x:c r="E4022" s="2" t="inlineStr">
        <x:is>
          <x:t xml:space="preserve">浙江省</x:t>
        </x:is>
      </x:c>
      <x:c r="F4022" s="2" t="inlineStr">
        <x:is>
          <x:t xml:space="preserve">绍兴市</x:t>
        </x:is>
      </x:c>
      <x:c r="G4022" s="3" t="inlineStr">
        <x:is>
          <x:t xml:space="preserve">浙江省-绍兴市</x:t>
        </x:is>
      </x:c>
      <x:c r="H4022" s="2" t="inlineStr">
        <x:is>
          <x:t xml:space="preserve">房地产</x:t>
        </x:is>
      </x:c>
      <x:c r="I4022" s="2" t="inlineStr">
        <x:is>
          <x:t xml:space="preserve">1999-04-15</x:t>
        </x:is>
      </x:c>
      <x:c r="J4022" s="3" t="inlineStr">
        <x:is>
          <x:t xml:space="preserve">浙江省绍兴市上虞区曹娥街道复兴西路555号</x:t>
        </x:is>
      </x:c>
      <x:c r="K4022" s="12" t="str">
        <x:f>LEFT("91330000668325921R",18)</x:f>
        <x:v>91330000668325921R</x:v>
      </x:c>
    </x:row>
    <x:row r="4023">
      <x:c r="A4023" s="4" t="n">
        <x:v>4022</x:v>
      </x:c>
      <x:c r="B4023" s="4" t="inlineStr">
        <x:is>
          <x:t xml:space="preserve">600176</x:t>
        </x:is>
      </x:c>
      <x:c r="C4023" s="5" t="inlineStr">
        <x:is>
          <x:t xml:space="preserve">中国巨石</x:t>
        </x:is>
      </x:c>
      <x:c r="D4023" s="5" t="inlineStr">
        <x:is>
          <x:t xml:space="preserve">中国巨石股份有限公司</x:t>
        </x:is>
      </x:c>
      <x:c r="E4023" s="4" t="inlineStr">
        <x:is>
          <x:t xml:space="preserve">浙江省</x:t>
        </x:is>
      </x:c>
      <x:c r="F4023" s="4" t="inlineStr">
        <x:is>
          <x:t xml:space="preserve">江省桐乡市</x:t>
        </x:is>
      </x:c>
      <x:c r="G4023" s="5" t="inlineStr">
        <x:is>
          <x:t xml:space="preserve">浙江省-江省桐乡市</x:t>
        </x:is>
      </x:c>
      <x:c r="H4023" s="4" t="inlineStr">
        <x:is>
          <x:t xml:space="preserve">玻璃陶瓷</x:t>
        </x:is>
      </x:c>
      <x:c r="I4023" s="4" t="inlineStr">
        <x:is>
          <x:t xml:space="preserve">1999-04-22</x:t>
        </x:is>
      </x:c>
      <x:c r="J4023" s="5" t="inlineStr">
        <x:is>
          <x:t xml:space="preserve">浙江省桐乡市梧桐街道文华南路669号</x:t>
        </x:is>
      </x:c>
      <x:c r="K4023" s="12" t="str">
        <x:f>LEFT("91330000710924531U",18)</x:f>
        <x:v>91330000710924531U</x:v>
      </x:c>
    </x:row>
    <x:row r="4024">
      <x:c r="A4024" s="2" t="n">
        <x:v>4023</x:v>
      </x:c>
      <x:c r="B4024" s="2" t="inlineStr">
        <x:is>
          <x:t xml:space="preserve">600177</x:t>
        </x:is>
      </x:c>
      <x:c r="C4024" s="3" t="inlineStr">
        <x:is>
          <x:t xml:space="preserve">雅戈尔</x:t>
        </x:is>
      </x:c>
      <x:c r="D4024" s="3" t="inlineStr">
        <x:is>
          <x:t xml:space="preserve">雅戈尔时尚股份有限公司</x:t>
        </x:is>
      </x:c>
      <x:c r="E4024" s="2" t="inlineStr">
        <x:is>
          <x:t xml:space="preserve">浙江省</x:t>
        </x:is>
      </x:c>
      <x:c r="F4024" s="2" t="inlineStr">
        <x:is>
          <x:t xml:space="preserve">宁波市</x:t>
        </x:is>
      </x:c>
      <x:c r="G4024" s="3" t="inlineStr">
        <x:is>
          <x:t xml:space="preserve">浙江省-宁波市</x:t>
        </x:is>
      </x:c>
      <x:c r="H4024" s="2" t="inlineStr">
        <x:is>
          <x:t xml:space="preserve">纺织服装</x:t>
        </x:is>
      </x:c>
      <x:c r="I4024" s="2" t="inlineStr">
        <x:is>
          <x:t xml:space="preserve">1998-11-19</x:t>
        </x:is>
      </x:c>
      <x:c r="J4024" s="3" t="inlineStr">
        <x:is>
          <x:t xml:space="preserve">浙江省宁波市海曙区鄞县大道西段2号</x:t>
        </x:is>
      </x:c>
      <x:c r="K4024" s="12" t="str">
        <x:f>LEFT("91330200704800698F",18)</x:f>
        <x:v>91330200704800698F</x:v>
      </x:c>
    </x:row>
    <x:row r="4025">
      <x:c r="A4025" s="4" t="n">
        <x:v>4024</x:v>
      </x:c>
      <x:c r="B4025" s="4" t="inlineStr">
        <x:is>
          <x:t xml:space="preserve">600208</x:t>
        </x:is>
      </x:c>
      <x:c r="C4025" s="5" t="inlineStr">
        <x:is>
          <x:t xml:space="preserve">衢州发展</x:t>
        </x:is>
      </x:c>
      <x:c r="D4025" s="5" t="inlineStr">
        <x:is>
          <x:t xml:space="preserve">衢州信安发展股份有限公司</x:t>
        </x:is>
      </x:c>
      <x:c r="E4025" s="4" t="inlineStr">
        <x:is>
          <x:t xml:space="preserve">浙江省</x:t>
        </x:is>
      </x:c>
      <x:c r="F4025" s="4" t="inlineStr">
        <x:is>
          <x:t xml:space="preserve">衢州市</x:t>
        </x:is>
      </x:c>
      <x:c r="G4025" s="5" t="inlineStr">
        <x:is>
          <x:t xml:space="preserve">浙江省-衢州市</x:t>
        </x:is>
      </x:c>
      <x:c r="H4025" s="4" t="inlineStr">
        <x:is>
          <x:t xml:space="preserve">房地产</x:t>
        </x:is>
      </x:c>
      <x:c r="I4025" s="4" t="inlineStr">
        <x:is>
          <x:t xml:space="preserve">1999-06-23</x:t>
        </x:is>
      </x:c>
      <x:c r="J4025" s="5" t="inlineStr">
        <x:is>
          <x:t xml:space="preserve">浙江省衢州市世纪大道677号601室</x:t>
        </x:is>
      </x:c>
      <x:c r="K4025" s="12" t="str">
        <x:f>LEFT("91330000142941287T",18)</x:f>
        <x:v>91330000142941287T</x:v>
      </x:c>
    </x:row>
    <x:row r="4026">
      <x:c r="A4026" s="2" t="n">
        <x:v>4025</x:v>
      </x:c>
      <x:c r="B4026" s="2" t="inlineStr">
        <x:is>
          <x:t xml:space="preserve">600216</x:t>
        </x:is>
      </x:c>
      <x:c r="C4026" s="3" t="inlineStr">
        <x:is>
          <x:t xml:space="preserve">浙江医药</x:t>
        </x:is>
      </x:c>
      <x:c r="D4026" s="3" t="inlineStr">
        <x:is>
          <x:t xml:space="preserve">浙江医药股份有限公司</x:t>
        </x:is>
      </x:c>
      <x:c r="E4026" s="2" t="inlineStr">
        <x:is>
          <x:t xml:space="preserve">浙江省</x:t>
        </x:is>
      </x:c>
      <x:c r="F4026" s="2" t="inlineStr">
        <x:is>
          <x:t xml:space="preserve">绍兴市</x:t>
        </x:is>
      </x:c>
      <x:c r="G4026" s="3" t="inlineStr">
        <x:is>
          <x:t xml:space="preserve">浙江省-绍兴市</x:t>
        </x:is>
      </x:c>
      <x:c r="H4026" s="2" t="inlineStr">
        <x:is>
          <x:t xml:space="preserve">医药制造</x:t>
        </x:is>
      </x:c>
      <x:c r="I4026" s="2" t="inlineStr">
        <x:is>
          <x:t xml:space="preserve">1999-10-21</x:t>
        </x:is>
      </x:c>
      <x:c r="J4026" s="3" t="inlineStr">
        <x:is>
          <x:t xml:space="preserve">浙江省绍兴滨海新城致远中大道168号</x:t>
        </x:is>
      </x:c>
      <x:c r="K4026" s="12" t="str">
        <x:f>LEFT("91330000142943469Q",18)</x:f>
        <x:v>91330000142943469Q</x:v>
      </x:c>
    </x:row>
    <x:row r="4027">
      <x:c r="A4027" s="4" t="n">
        <x:v>4026</x:v>
      </x:c>
      <x:c r="B4027" s="4" t="inlineStr">
        <x:is>
          <x:t xml:space="preserve">600226</x:t>
        </x:is>
      </x:c>
      <x:c r="C4027" s="5" t="inlineStr">
        <x:is>
          <x:t xml:space="preserve">亨通股份</x:t>
        </x:is>
      </x:c>
      <x:c r="D4027" s="5" t="inlineStr">
        <x:is>
          <x:t xml:space="preserve">浙江亨通控股股份有限公司</x:t>
        </x:is>
      </x:c>
      <x:c r="E4027" s="4" t="inlineStr">
        <x:is>
          <x:t xml:space="preserve">浙江省</x:t>
        </x:is>
      </x:c>
      <x:c r="F4027" s="4" t="inlineStr">
        <x:is>
          <x:t xml:space="preserve">湖州市</x:t>
        </x:is>
      </x:c>
      <x:c r="G4027" s="5" t="inlineStr">
        <x:is>
          <x:t xml:space="preserve">浙江省-湖州市</x:t>
        </x:is>
      </x:c>
      <x:c r="H4027" s="4" t="inlineStr">
        <x:is>
          <x:t xml:space="preserve">农药兽药</x:t>
        </x:is>
      </x:c>
      <x:c r="I4027" s="4" t="inlineStr">
        <x:is>
          <x:t xml:space="preserve">1999-11-16</x:t>
        </x:is>
      </x:c>
      <x:c r="J4027" s="5" t="inlineStr">
        <x:is>
          <x:t xml:space="preserve">浙江省湖州市德清县钟管工业区</x:t>
        </x:is>
      </x:c>
      <x:c r="K4027" s="12" t="str">
        <x:f>LEFT("913300001471207528",18)</x:f>
        <x:v>913300001471207600</x:v>
      </x:c>
    </x:row>
    <x:row r="4028">
      <x:c r="A4028" s="2" t="n">
        <x:v>4027</x:v>
      </x:c>
      <x:c r="B4028" s="2" t="inlineStr">
        <x:is>
          <x:t xml:space="preserve">600232</x:t>
        </x:is>
      </x:c>
      <x:c r="C4028" s="3" t="inlineStr">
        <x:is>
          <x:t xml:space="preserve">金鹰股份</x:t>
        </x:is>
      </x:c>
      <x:c r="D4028" s="3" t="inlineStr">
        <x:is>
          <x:t xml:space="preserve">浙江金鹰股份有限公司</x:t>
        </x:is>
      </x:c>
      <x:c r="E4028" s="2" t="inlineStr">
        <x:is>
          <x:t xml:space="preserve">浙江省</x:t>
        </x:is>
      </x:c>
      <x:c r="F4028" s="2" t="inlineStr">
        <x:is>
          <x:t xml:space="preserve">舟山市</x:t>
        </x:is>
      </x:c>
      <x:c r="G4028" s="3" t="inlineStr">
        <x:is>
          <x:t xml:space="preserve">浙江省-舟山市</x:t>
        </x:is>
      </x:c>
      <x:c r="H4028" s="2" t="inlineStr">
        <x:is>
          <x:t xml:space="preserve">纺织服装</x:t>
        </x:is>
      </x:c>
      <x:c r="I4028" s="2" t="inlineStr">
        <x:is>
          <x:t xml:space="preserve">2000-06-02</x:t>
        </x:is>
      </x:c>
      <x:c r="J4028" s="3" t="inlineStr">
        <x:is>
          <x:t xml:space="preserve">浙江省舟山市定海区小沙街道</x:t>
        </x:is>
      </x:c>
      <x:c r="K4028" s="12" t="str">
        <x:f>LEFT("9133000014871793XM",18)</x:f>
        <x:v>9133000014871793XM</x:v>
      </x:c>
    </x:row>
    <x:row r="4029">
      <x:c r="A4029" s="4" t="n">
        <x:v>4028</x:v>
      </x:c>
      <x:c r="B4029" s="4" t="inlineStr">
        <x:is>
          <x:t xml:space="preserve">600235</x:t>
        </x:is>
      </x:c>
      <x:c r="C4029" s="5" t="inlineStr">
        <x:is>
          <x:t xml:space="preserve">民丰特纸</x:t>
        </x:is>
      </x:c>
      <x:c r="D4029" s="5" t="inlineStr">
        <x:is>
          <x:t xml:space="preserve">民丰特种纸股份有限公司</x:t>
        </x:is>
      </x:c>
      <x:c r="E4029" s="4" t="inlineStr">
        <x:is>
          <x:t xml:space="preserve">浙江省</x:t>
        </x:is>
      </x:c>
      <x:c r="F4029" s="4" t="inlineStr">
        <x:is>
          <x:t xml:space="preserve">嘉兴市</x:t>
        </x:is>
      </x:c>
      <x:c r="G4029" s="5" t="inlineStr">
        <x:is>
          <x:t xml:space="preserve">浙江省-嘉兴市</x:t>
        </x:is>
      </x:c>
      <x:c r="H4029" s="4" t="inlineStr">
        <x:is>
          <x:t xml:space="preserve">造纸印刷</x:t>
        </x:is>
      </x:c>
      <x:c r="I4029" s="4" t="inlineStr">
        <x:is>
          <x:t xml:space="preserve">2000-06-15</x:t>
        </x:is>
      </x:c>
      <x:c r="J4029" s="5" t="inlineStr">
        <x:is>
          <x:t xml:space="preserve">浙江省嘉兴市海盐县沈荡镇永康路288号</x:t>
        </x:is>
      </x:c>
      <x:c r="K4029" s="12" t="str">
        <x:f>LEFT("91330000710959275N",18)</x:f>
        <x:v>91330000710959275N</x:v>
      </x:c>
    </x:row>
    <x:row r="4030">
      <x:c r="A4030" s="2" t="n">
        <x:v>4029</x:v>
      </x:c>
      <x:c r="B4030" s="2" t="inlineStr">
        <x:is>
          <x:t xml:space="preserve">600261</x:t>
        </x:is>
      </x:c>
      <x:c r="C4030" s="3" t="inlineStr">
        <x:is>
          <x:t xml:space="preserve">阳光照明</x:t>
        </x:is>
      </x:c>
      <x:c r="D4030" s="3" t="inlineStr">
        <x:is>
          <x:t xml:space="preserve">浙江阳光照明电器集团股份有限公司</x:t>
        </x:is>
      </x:c>
      <x:c r="E4030" s="2" t="inlineStr">
        <x:is>
          <x:t xml:space="preserve">浙江省</x:t>
        </x:is>
      </x:c>
      <x:c r="F4030" s="2" t="inlineStr">
        <x:is>
          <x:t xml:space="preserve">绍兴市</x:t>
        </x:is>
      </x:c>
      <x:c r="G4030" s="3" t="inlineStr">
        <x:is>
          <x:t xml:space="preserve">浙江省-绍兴市</x:t>
        </x:is>
      </x:c>
      <x:c r="H4030" s="2" t="inlineStr">
        <x:is>
          <x:t xml:space="preserve">家电行业</x:t>
        </x:is>
      </x:c>
      <x:c r="I4030" s="2" t="inlineStr">
        <x:is>
          <x:t xml:space="preserve">2000-07-20</x:t>
        </x:is>
      </x:c>
      <x:c r="J4030" s="3" t="inlineStr">
        <x:is>
          <x:t xml:space="preserve">浙江省绍兴市上虞区曹娥街道人民大道西段568号</x:t>
        </x:is>
      </x:c>
      <x:c r="K4030" s="12" t="str">
        <x:f>LEFT("91330000146150706G",18)</x:f>
        <x:v>91330000146150706G</x:v>
      </x:c>
    </x:row>
    <x:row r="4031">
      <x:c r="A4031" s="4" t="n">
        <x:v>4030</x:v>
      </x:c>
      <x:c r="B4031" s="4" t="inlineStr">
        <x:is>
          <x:t xml:space="preserve">600267</x:t>
        </x:is>
      </x:c>
      <x:c r="C4031" s="5" t="inlineStr">
        <x:is>
          <x:t xml:space="preserve">海正药业</x:t>
        </x:is>
      </x:c>
      <x:c r="D4031" s="5" t="inlineStr">
        <x:is>
          <x:t xml:space="preserve">浙江海正药业股份有限公司</x:t>
        </x:is>
      </x:c>
      <x:c r="E4031" s="4" t="inlineStr">
        <x:is>
          <x:t xml:space="preserve">浙江省</x:t>
        </x:is>
      </x:c>
      <x:c r="F4031" s="4" t="inlineStr">
        <x:is>
          <x:t xml:space="preserve">台州市</x:t>
        </x:is>
      </x:c>
      <x:c r="G4031" s="5" t="inlineStr">
        <x:is>
          <x:t xml:space="preserve">浙江省-台州市</x:t>
        </x:is>
      </x:c>
      <x:c r="H4031" s="4" t="inlineStr">
        <x:is>
          <x:t xml:space="preserve">医药制造</x:t>
        </x:is>
      </x:c>
      <x:c r="I4031" s="4" t="inlineStr">
        <x:is>
          <x:t xml:space="preserve">2000-07-25</x:t>
        </x:is>
      </x:c>
      <x:c r="J4031" s="5" t="inlineStr">
        <x:is>
          <x:t xml:space="preserve">浙江省台州市椒江区外沙路46号</x:t>
        </x:is>
      </x:c>
      <x:c r="K4031" s="12" t="str">
        <x:f>LEFT("91330000704676287N",18)</x:f>
        <x:v>91330000704676287N</x:v>
      </x:c>
    </x:row>
    <x:row r="4032">
      <x:c r="A4032" s="2" t="n">
        <x:v>4031</x:v>
      </x:c>
      <x:c r="B4032" s="2" t="inlineStr">
        <x:is>
          <x:t xml:space="preserve">600273</x:t>
        </x:is>
      </x:c>
      <x:c r="C4032" s="3" t="inlineStr">
        <x:is>
          <x:t xml:space="preserve">嘉化能源</x:t>
        </x:is>
      </x:c>
      <x:c r="D4032" s="3" t="inlineStr">
        <x:is>
          <x:t xml:space="preserve">浙江嘉化能源化工股份有限公司</x:t>
        </x:is>
      </x:c>
      <x:c r="E4032" s="2" t="inlineStr">
        <x:is>
          <x:t xml:space="preserve">浙江省</x:t>
        </x:is>
      </x:c>
      <x:c r="F4032" s="2" t="inlineStr">
        <x:is>
          <x:t xml:space="preserve">嘉兴市</x:t>
        </x:is>
      </x:c>
      <x:c r="G4032" s="3" t="inlineStr">
        <x:is>
          <x:t xml:space="preserve">浙江省-嘉兴市</x:t>
        </x:is>
      </x:c>
      <x:c r="H4032" s="2" t="inlineStr">
        <x:is>
          <x:t xml:space="preserve">化工行业</x:t>
        </x:is>
      </x:c>
      <x:c r="I4032" s="2" t="inlineStr">
        <x:is>
          <x:t xml:space="preserve">2003-06-27</x:t>
        </x:is>
      </x:c>
      <x:c r="J4032" s="3" t="inlineStr">
        <x:is>
          <x:t xml:space="preserve">浙江省嘉兴市乍浦滨海大道2288号</x:t>
        </x:is>
      </x:c>
      <x:c r="K4032" s="12" t="str">
        <x:f>LEFT("913300007463411432",18)</x:f>
        <x:v>913300007463411500</x:v>
      </x:c>
    </x:row>
    <x:row r="4033">
      <x:c r="A4033" s="4" t="n">
        <x:v>4032</x:v>
      </x:c>
      <x:c r="B4033" s="4" t="inlineStr">
        <x:is>
          <x:t xml:space="preserve">600283</x:t>
        </x:is>
      </x:c>
      <x:c r="C4033" s="5" t="inlineStr">
        <x:is>
          <x:t xml:space="preserve">钱江水利</x:t>
        </x:is>
      </x:c>
      <x:c r="D4033" s="5" t="inlineStr">
        <x:is>
          <x:t xml:space="preserve">钱江水利开发股份有限公司</x:t>
        </x:is>
      </x:c>
      <x:c r="E4033" s="4" t="inlineStr">
        <x:is>
          <x:t xml:space="preserve">浙江省</x:t>
        </x:is>
      </x:c>
      <x:c r="F4033" s="4" t="inlineStr">
        <x:is>
          <x:t xml:space="preserve">杭州市</x:t>
        </x:is>
      </x:c>
      <x:c r="G4033" s="5" t="inlineStr">
        <x:is>
          <x:t xml:space="preserve">浙江省-杭州市</x:t>
        </x:is>
      </x:c>
      <x:c r="H4033" s="4" t="inlineStr">
        <x:is>
          <x:t xml:space="preserve">公用事业</x:t>
        </x:is>
      </x:c>
      <x:c r="I4033" s="4" t="inlineStr">
        <x:is>
          <x:t xml:space="preserve">2000-10-18</x:t>
        </x:is>
      </x:c>
      <x:c r="J4033" s="5" t="inlineStr">
        <x:is>
          <x:t xml:space="preserve">浙江省杭州市三台山路3号</x:t>
        </x:is>
      </x:c>
      <x:c r="K4033" s="12" t="str">
        <x:f>LEFT("9133000071255815X4",18)</x:f>
        <x:v>9133000071255815X4</x:v>
      </x:c>
    </x:row>
    <x:row r="4034">
      <x:c r="A4034" s="2" t="n">
        <x:v>4033</x:v>
      </x:c>
      <x:c r="B4034" s="2" t="inlineStr">
        <x:is>
          <x:t xml:space="preserve">600330</x:t>
        </x:is>
      </x:c>
      <x:c r="C4034" s="3" t="inlineStr">
        <x:is>
          <x:t xml:space="preserve">天通股份</x:t>
        </x:is>
      </x:c>
      <x:c r="D4034" s="3" t="inlineStr">
        <x:is>
          <x:t xml:space="preserve">天通控股股份有限公司</x:t>
        </x:is>
      </x:c>
      <x:c r="E4034" s="2" t="inlineStr">
        <x:is>
          <x:t xml:space="preserve">浙江省</x:t>
        </x:is>
      </x:c>
      <x:c r="F4034" s="2" t="inlineStr">
        <x:is>
          <x:t xml:space="preserve">江省海宁市</x:t>
        </x:is>
      </x:c>
      <x:c r="G4034" s="3" t="inlineStr">
        <x:is>
          <x:t xml:space="preserve">浙江省-江省海宁市</x:t>
        </x:is>
      </x:c>
      <x:c r="H4034" s="2" t="inlineStr">
        <x:is>
          <x:t xml:space="preserve">非金属材料</x:t>
        </x:is>
      </x:c>
      <x:c r="I4034" s="2" t="inlineStr">
        <x:is>
          <x:t xml:space="preserve">2001-01-18</x:t>
        </x:is>
      </x:c>
      <x:c r="J4034" s="3" t="inlineStr">
        <x:is>
          <x:t xml:space="preserve">浙江省海宁市盐官镇建设路1号</x:t>
        </x:is>
      </x:c>
      <x:c r="K4034" s="12" t="str">
        <x:f>LEFT("91330000710969078C",18)</x:f>
        <x:v>91330000710969078C</x:v>
      </x:c>
    </x:row>
    <x:row r="4035">
      <x:c r="A4035" s="4" t="n">
        <x:v>4034</x:v>
      </x:c>
      <x:c r="B4035" s="4" t="inlineStr">
        <x:is>
          <x:t xml:space="preserve">600352</x:t>
        </x:is>
      </x:c>
      <x:c r="C4035" s="5" t="inlineStr">
        <x:is>
          <x:t xml:space="preserve">浙江龙盛</x:t>
        </x:is>
      </x:c>
      <x:c r="D4035" s="5" t="inlineStr">
        <x:is>
          <x:t xml:space="preserve">浙江龙盛集团股份有限公司</x:t>
        </x:is>
      </x:c>
      <x:c r="E4035" s="4" t="inlineStr">
        <x:is>
          <x:t xml:space="preserve">浙江省</x:t>
        </x:is>
      </x:c>
      <x:c r="F4035" s="4" t="inlineStr">
        <x:is>
          <x:t xml:space="preserve">杭州市</x:t>
        </x:is>
      </x:c>
      <x:c r="G4035" s="5" t="inlineStr">
        <x:is>
          <x:t xml:space="preserve">浙江省-杭州市</x:t>
        </x:is>
      </x:c>
      <x:c r="H4035" s="4" t="inlineStr">
        <x:is>
          <x:t xml:space="preserve">化工行业</x:t>
        </x:is>
      </x:c>
      <x:c r="I4035" s="4" t="inlineStr">
        <x:is>
          <x:t xml:space="preserve">2003-08-01</x:t>
        </x:is>
      </x:c>
      <x:c r="J4035" s="5" t="inlineStr">
        <x:is>
          <x:t xml:space="preserve">浙江省杭州湾上虞经济技术开发区东一区至远路2号</x:t>
        </x:is>
      </x:c>
      <x:c r="K4035" s="12" t="str">
        <x:f>LEFT("91330000704202137E",18)</x:f>
        <x:v>91330000704202137E</x:v>
      </x:c>
    </x:row>
    <x:row r="4036">
      <x:c r="A4036" s="2" t="n">
        <x:v>4035</x:v>
      </x:c>
      <x:c r="B4036" s="2" t="inlineStr">
        <x:is>
          <x:t xml:space="preserve">600366</x:t>
        </x:is>
      </x:c>
      <x:c r="C4036" s="3" t="inlineStr">
        <x:is>
          <x:t xml:space="preserve">宁波韵升</x:t>
        </x:is>
      </x:c>
      <x:c r="D4036" s="3" t="inlineStr">
        <x:is>
          <x:t xml:space="preserve">宁波韵升股份有限公司</x:t>
        </x:is>
      </x:c>
      <x:c r="E4036" s="2" t="inlineStr">
        <x:is>
          <x:t xml:space="preserve">浙江省</x:t>
        </x:is>
      </x:c>
      <x:c r="F4036" s="2" t="inlineStr">
        <x:is>
          <x:t xml:space="preserve">宁波市</x:t>
        </x:is>
      </x:c>
      <x:c r="G4036" s="3" t="inlineStr">
        <x:is>
          <x:t xml:space="preserve">浙江省-宁波市</x:t>
        </x:is>
      </x:c>
      <x:c r="H4036" s="2" t="inlineStr">
        <x:is>
          <x:t xml:space="preserve">小金属</x:t>
        </x:is>
      </x:c>
      <x:c r="I4036" s="2" t="inlineStr">
        <x:is>
          <x:t xml:space="preserve">2000-10-30</x:t>
        </x:is>
      </x:c>
      <x:c r="J4036" s="3" t="inlineStr">
        <x:is>
          <x:t xml:space="preserve">浙江省宁波市鄞州区民安路348号</x:t>
        </x:is>
      </x:c>
      <x:c r="K4036" s="12" t="str">
        <x:f>LEFT("91330200711150195X",18)</x:f>
        <x:v>91330200711150195X</x:v>
      </x:c>
    </x:row>
    <x:row r="4037">
      <x:c r="A4037" s="4" t="n">
        <x:v>4036</x:v>
      </x:c>
      <x:c r="B4037" s="4" t="inlineStr">
        <x:is>
          <x:t xml:space="preserve">600415</x:t>
        </x:is>
      </x:c>
      <x:c r="C4037" s="5" t="inlineStr">
        <x:is>
          <x:t xml:space="preserve">小商品城</x:t>
        </x:is>
      </x:c>
      <x:c r="D4037" s="5" t="inlineStr">
        <x:is>
          <x:t xml:space="preserve">浙江中国小商品城集团股份有限公司</x:t>
        </x:is>
      </x:c>
      <x:c r="E4037" s="4" t="inlineStr">
        <x:is>
          <x:t xml:space="preserve">浙江省</x:t>
        </x:is>
      </x:c>
      <x:c r="F4037" s="4" t="inlineStr">
        <x:is>
          <x:t xml:space="preserve">金华市</x:t>
        </x:is>
      </x:c>
      <x:c r="G4037" s="5" t="inlineStr">
        <x:is>
          <x:t xml:space="preserve">浙江省-金华市</x:t>
        </x:is>
      </x:c>
      <x:c r="H4037" s="4" t="inlineStr">
        <x:is>
          <x:t xml:space="preserve">商业百货</x:t>
        </x:is>
      </x:c>
      <x:c r="I4037" s="4" t="inlineStr">
        <x:is>
          <x:t xml:space="preserve">2002-05-09</x:t>
        </x:is>
      </x:c>
      <x:c r="J4037" s="5" t="inlineStr">
        <x:is>
          <x:t xml:space="preserve">浙江省金华市义乌市福田街道银海路567号</x:t>
        </x:is>
      </x:c>
      <x:c r="K4037" s="12" t="str">
        <x:f>LEFT("91330000147641689Y",18)</x:f>
        <x:v>91330000147641689Y</x:v>
      </x:c>
    </x:row>
    <x:row r="4038">
      <x:c r="A4038" s="2" t="n">
        <x:v>4037</x:v>
      </x:c>
      <x:c r="B4038" s="2" t="inlineStr">
        <x:is>
          <x:t xml:space="preserve">600460</x:t>
        </x:is>
      </x:c>
      <x:c r="C4038" s="3" t="inlineStr">
        <x:is>
          <x:t xml:space="preserve">士兰微</x:t>
        </x:is>
      </x:c>
      <x:c r="D4038" s="3" t="inlineStr">
        <x:is>
          <x:t xml:space="preserve">杭州士兰微电子股份有限公司</x:t>
        </x:is>
      </x:c>
      <x:c r="E4038" s="2" t="inlineStr">
        <x:is>
          <x:t xml:space="preserve">浙江省</x:t>
        </x:is>
      </x:c>
      <x:c r="F4038" s="2" t="inlineStr">
        <x:is>
          <x:t xml:space="preserve">杭州市</x:t>
        </x:is>
      </x:c>
      <x:c r="G4038" s="3" t="inlineStr">
        <x:is>
          <x:t xml:space="preserve">浙江省-杭州市</x:t>
        </x:is>
      </x:c>
      <x:c r="H4038" s="2" t="inlineStr">
        <x:is>
          <x:t xml:space="preserve">半导体</x:t>
        </x:is>
      </x:c>
      <x:c r="I4038" s="2" t="inlineStr">
        <x:is>
          <x:t xml:space="preserve">2003-03-11</x:t>
        </x:is>
      </x:c>
      <x:c r="J4038" s="3" t="inlineStr">
        <x:is>
          <x:t xml:space="preserve">浙江省杭州市黄姑山路4号</x:t>
        </x:is>
      </x:c>
      <x:c r="K4038" s="12" t="str">
        <x:f>LEFT("91330000253933976Q",18)</x:f>
        <x:v>91330000253933976Q</x:v>
      </x:c>
    </x:row>
    <x:row r="4039">
      <x:c r="A4039" s="4" t="n">
        <x:v>4038</x:v>
      </x:c>
      <x:c r="B4039" s="4" t="inlineStr">
        <x:is>
          <x:t xml:space="preserve">600477</x:t>
        </x:is>
      </x:c>
      <x:c r="C4039" s="5" t="inlineStr">
        <x:is>
          <x:t xml:space="preserve">杭萧钢构</x:t>
        </x:is>
      </x:c>
      <x:c r="D4039" s="5" t="inlineStr">
        <x:is>
          <x:t xml:space="preserve">杭萧钢构股份有限公司</x:t>
        </x:is>
      </x:c>
      <x:c r="E4039" s="4" t="inlineStr">
        <x:is>
          <x:t xml:space="preserve">浙江省</x:t>
        </x:is>
      </x:c>
      <x:c r="F4039" s="4" t="inlineStr">
        <x:is>
          <x:t xml:space="preserve">杭州市</x:t>
        </x:is>
      </x:c>
      <x:c r="G4039" s="5" t="inlineStr">
        <x:is>
          <x:t xml:space="preserve">浙江省-杭州市</x:t>
        </x:is>
      </x:c>
      <x:c r="H4039" s="4" t="inlineStr">
        <x:is>
          <x:t xml:space="preserve">水泥建材</x:t>
        </x:is>
      </x:c>
      <x:c r="I4039" s="4" t="inlineStr">
        <x:is>
          <x:t xml:space="preserve">2003-11-10</x:t>
        </x:is>
      </x:c>
      <x:c r="J4039" s="5" t="inlineStr">
        <x:is>
          <x:t xml:space="preserve">浙江省杭州市萧山经济技术开发区</x:t>
        </x:is>
      </x:c>
      <x:c r="K4039" s="12" t="str">
        <x:f>LEFT("91330000143587443U",18)</x:f>
        <x:v>91330000143587443U</x:v>
      </x:c>
    </x:row>
    <x:row r="4040">
      <x:c r="A4040" s="2" t="n">
        <x:v>4039</x:v>
      </x:c>
      <x:c r="B4040" s="2" t="inlineStr">
        <x:is>
          <x:t xml:space="preserve">600491</x:t>
        </x:is>
      </x:c>
      <x:c r="C4040" s="3" t="inlineStr">
        <x:is>
          <x:t xml:space="preserve">龙元建设</x:t>
        </x:is>
      </x:c>
      <x:c r="D4040" s="3" t="inlineStr">
        <x:is>
          <x:t xml:space="preserve">龙元建设集团股份有限公司</x:t>
        </x:is>
      </x:c>
      <x:c r="E4040" s="2" t="inlineStr">
        <x:is>
          <x:t xml:space="preserve">浙江省</x:t>
        </x:is>
      </x:c>
      <x:c r="F4040" s="2" t="inlineStr">
        <x:is>
          <x:t xml:space="preserve">宁波市</x:t>
        </x:is>
      </x:c>
      <x:c r="G4040" s="3" t="inlineStr">
        <x:is>
          <x:t xml:space="preserve">浙江省-宁波市</x:t>
        </x:is>
      </x:c>
      <x:c r="H4040" s="2" t="inlineStr">
        <x:is>
          <x:t xml:space="preserve">工程建设</x:t>
        </x:is>
      </x:c>
      <x:c r="I4040" s="2" t="inlineStr">
        <x:is>
          <x:t xml:space="preserve">2004-05-24</x:t>
        </x:is>
      </x:c>
      <x:c r="J4040" s="3" t="inlineStr">
        <x:is>
          <x:t xml:space="preserve">浙江省象山县丹城新丰路165号</x:t>
        </x:is>
      </x:c>
      <x:c r="K4040" s="12" t="str">
        <x:f>LEFT("91330000704203949A",18)</x:f>
        <x:v>91330000704203949A</x:v>
      </x:c>
    </x:row>
    <x:row r="4041">
      <x:c r="A4041" s="4" t="n">
        <x:v>4040</x:v>
      </x:c>
      <x:c r="B4041" s="4" t="inlineStr">
        <x:is>
          <x:t xml:space="preserve">600512</x:t>
        </x:is>
      </x:c>
      <x:c r="C4041" s="5" t="inlineStr">
        <x:is>
          <x:t xml:space="preserve">腾达建设</x:t>
        </x:is>
      </x:c>
      <x:c r="D4041" s="5" t="inlineStr">
        <x:is>
          <x:t xml:space="preserve">腾达建设集团股份有限公司</x:t>
        </x:is>
      </x:c>
      <x:c r="E4041" s="4" t="inlineStr">
        <x:is>
          <x:t xml:space="preserve">浙江省</x:t>
        </x:is>
      </x:c>
      <x:c r="F4041" s="4" t="inlineStr">
        <x:is>
          <x:t xml:space="preserve">台州市</x:t>
        </x:is>
      </x:c>
      <x:c r="G4041" s="5" t="inlineStr">
        <x:is>
          <x:t xml:space="preserve">浙江省-台州市</x:t>
        </x:is>
      </x:c>
      <x:c r="H4041" s="4" t="inlineStr">
        <x:is>
          <x:t xml:space="preserve">工程建设</x:t>
        </x:is>
      </x:c>
      <x:c r="I4041" s="4" t="inlineStr">
        <x:is>
          <x:t xml:space="preserve">2002-12-26</x:t>
        </x:is>
      </x:c>
      <x:c r="J4041" s="5" t="inlineStr">
        <x:is>
          <x:t xml:space="preserve">浙江省台州市路桥区路桥大道东一号</x:t>
        </x:is>
      </x:c>
      <x:c r="K4041" s="12" t="str">
        <x:f>LEFT("9133000070469053XT",18)</x:f>
        <x:v>9133000070469053XT</x:v>
      </x:c>
    </x:row>
    <x:row r="4042">
      <x:c r="A4042" s="2" t="n">
        <x:v>4041</x:v>
      </x:c>
      <x:c r="B4042" s="2" t="inlineStr">
        <x:is>
          <x:t xml:space="preserve">600521</x:t>
        </x:is>
      </x:c>
      <x:c r="C4042" s="3" t="inlineStr">
        <x:is>
          <x:t xml:space="preserve">华海药业</x:t>
        </x:is>
      </x:c>
      <x:c r="D4042" s="3" t="inlineStr">
        <x:is>
          <x:t xml:space="preserve">浙江华海药业股份有限公司</x:t>
        </x:is>
      </x:c>
      <x:c r="E4042" s="2" t="inlineStr">
        <x:is>
          <x:t xml:space="preserve">浙江省</x:t>
        </x:is>
      </x:c>
      <x:c r="F4042" s="2" t="inlineStr">
        <x:is>
          <x:t xml:space="preserve">江省临海市</x:t>
        </x:is>
      </x:c>
      <x:c r="G4042" s="3" t="inlineStr">
        <x:is>
          <x:t xml:space="preserve">浙江省-江省临海市</x:t>
        </x:is>
      </x:c>
      <x:c r="H4042" s="2" t="inlineStr">
        <x:is>
          <x:t xml:space="preserve">医药制造</x:t>
        </x:is>
      </x:c>
      <x:c r="I4042" s="2" t="inlineStr">
        <x:is>
          <x:t xml:space="preserve">2003-03-04</x:t>
        </x:is>
      </x:c>
      <x:c r="J4042" s="3" t="inlineStr">
        <x:is>
          <x:t xml:space="preserve">浙江省临海市汛桥</x:t>
        </x:is>
      </x:c>
      <x:c r="K4042" s="12" t="str">
        <x:f>LEFT("91330000147968817N",18)</x:f>
        <x:v>91330000147968817N</x:v>
      </x:c>
    </x:row>
    <x:row r="4043">
      <x:c r="A4043" s="4" t="n">
        <x:v>4042</x:v>
      </x:c>
      <x:c r="B4043" s="4" t="inlineStr">
        <x:is>
          <x:t xml:space="preserve">600526</x:t>
        </x:is>
      </x:c>
      <x:c r="C4043" s="5" t="inlineStr">
        <x:is>
          <x:t xml:space="preserve">菲达环保</x:t>
        </x:is>
      </x:c>
      <x:c r="D4043" s="5" t="inlineStr">
        <x:is>
          <x:t xml:space="preserve">浙江菲达环保科技股份有限公司</x:t>
        </x:is>
      </x:c>
      <x:c r="E4043" s="4" t="inlineStr">
        <x:is>
          <x:t xml:space="preserve">浙江省</x:t>
        </x:is>
      </x:c>
      <x:c r="F4043" s="4" t="inlineStr">
        <x:is>
          <x:t xml:space="preserve">江省诸暨市</x:t>
        </x:is>
      </x:c>
      <x:c r="G4043" s="5" t="inlineStr">
        <x:is>
          <x:t xml:space="preserve">浙江省-江省诸暨市</x:t>
        </x:is>
      </x:c>
      <x:c r="H4043" s="4" t="inlineStr">
        <x:is>
          <x:t xml:space="preserve">环保行业</x:t>
        </x:is>
      </x:c>
      <x:c r="I4043" s="4" t="inlineStr">
        <x:is>
          <x:t xml:space="preserve">2002-07-22</x:t>
        </x:is>
      </x:c>
      <x:c r="J4043" s="5" t="inlineStr">
        <x:is>
          <x:t xml:space="preserve">浙江省诸暨市望云路88号</x:t>
        </x:is>
      </x:c>
      <x:c r="K4043" s="12" t="str">
        <x:f>LEFT("91330000720084441G",18)</x:f>
        <x:v>91330000720084441G</x:v>
      </x:c>
    </x:row>
    <x:row r="4044">
      <x:c r="A4044" s="2" t="n">
        <x:v>4043</x:v>
      </x:c>
      <x:c r="B4044" s="2" t="inlineStr">
        <x:is>
          <x:t xml:space="preserve">600537</x:t>
        </x:is>
      </x:c>
      <x:c r="C4044" s="3" t="inlineStr">
        <x:is>
          <x:t xml:space="preserve">亿晶光电</x:t>
        </x:is>
      </x:c>
      <x:c r="D4044" s="3" t="inlineStr">
        <x:is>
          <x:t xml:space="preserve">亿晶光电科技股份有限公司</x:t>
        </x:is>
      </x:c>
      <x:c r="E4044" s="2" t="inlineStr">
        <x:is>
          <x:t xml:space="preserve">浙江省</x:t>
        </x:is>
      </x:c>
      <x:c r="F4044" s="2" t="inlineStr">
        <x:is>
          <x:t xml:space="preserve">江省慈溪市</x:t>
        </x:is>
      </x:c>
      <x:c r="G4044" s="3" t="inlineStr">
        <x:is>
          <x:t xml:space="preserve">浙江省-江省慈溪市</x:t>
        </x:is>
      </x:c>
      <x:c r="H4044" s="2" t="inlineStr">
        <x:is>
          <x:t xml:space="preserve">光伏设备</x:t>
        </x:is>
      </x:c>
      <x:c r="I4044" s="2" t="inlineStr">
        <x:is>
          <x:t xml:space="preserve">2003-01-23</x:t>
        </x:is>
      </x:c>
      <x:c r="J4044" s="3" t="inlineStr">
        <x:is>
          <x:t xml:space="preserve">浙江省慈溪市海通路528号</x:t>
        </x:is>
      </x:c>
      <x:c r="K4044" s="12" t="str">
        <x:f>LEFT("91330200144730651E",18)</x:f>
        <x:v>91330200144730651E</x:v>
      </x:c>
    </x:row>
    <x:row r="4045">
      <x:c r="A4045" s="4" t="n">
        <x:v>4044</x:v>
      </x:c>
      <x:c r="B4045" s="4" t="inlineStr">
        <x:is>
          <x:t xml:space="preserve">600570</x:t>
        </x:is>
      </x:c>
      <x:c r="C4045" s="5" t="inlineStr">
        <x:is>
          <x:t xml:space="preserve">恒生电子</x:t>
        </x:is>
      </x:c>
      <x:c r="D4045" s="5" t="inlineStr">
        <x:is>
          <x:t xml:space="preserve">恒生电子股份有限公司</x:t>
        </x:is>
      </x:c>
      <x:c r="E4045" s="4" t="inlineStr">
        <x:is>
          <x:t xml:space="preserve">浙江省</x:t>
        </x:is>
      </x:c>
      <x:c r="F4045" s="4" t="inlineStr">
        <x:is>
          <x:t xml:space="preserve">杭州市</x:t>
        </x:is>
      </x:c>
      <x:c r="G4045" s="5" t="inlineStr">
        <x:is>
          <x:t xml:space="preserve">浙江省-杭州市</x:t>
        </x:is>
      </x:c>
      <x:c r="H4045" s="4" t="inlineStr">
        <x:is>
          <x:t xml:space="preserve">软件服务</x:t>
        </x:is>
      </x:c>
      <x:c r="I4045" s="4" t="inlineStr">
        <x:is>
          <x:t xml:space="preserve">2003-12-16</x:t>
        </x:is>
      </x:c>
      <x:c r="J4045" s="5" t="inlineStr">
        <x:is>
          <x:t xml:space="preserve">杭州市滨江区滨兴路1888号43层</x:t>
        </x:is>
      </x:c>
      <x:c r="K4045" s="12" t="str">
        <x:f>LEFT("913300002539329145",18)</x:f>
        <x:v>913300002539329200</x:v>
      </x:c>
    </x:row>
    <x:row r="4046">
      <x:c r="A4046" s="2" t="n">
        <x:v>4045</x:v>
      </x:c>
      <x:c r="B4046" s="2" t="inlineStr">
        <x:is>
          <x:t xml:space="preserve">600571</x:t>
        </x:is>
      </x:c>
      <x:c r="C4046" s="3" t="inlineStr">
        <x:is>
          <x:t xml:space="preserve">信雅达</x:t>
        </x:is>
      </x:c>
      <x:c r="D4046" s="3" t="inlineStr">
        <x:is>
          <x:t xml:space="preserve">信雅达科技股份有限公司</x:t>
        </x:is>
      </x:c>
      <x:c r="E4046" s="2" t="inlineStr">
        <x:is>
          <x:t xml:space="preserve">浙江省</x:t>
        </x:is>
      </x:c>
      <x:c r="F4046" s="2" t="inlineStr">
        <x:is>
          <x:t xml:space="preserve">杭州市</x:t>
        </x:is>
      </x:c>
      <x:c r="G4046" s="3" t="inlineStr">
        <x:is>
          <x:t xml:space="preserve">浙江省-杭州市</x:t>
        </x:is>
      </x:c>
      <x:c r="H4046" s="2" t="inlineStr">
        <x:is>
          <x:t xml:space="preserve">互联网服务</x:t>
        </x:is>
      </x:c>
      <x:c r="I4046" s="2" t="inlineStr">
        <x:is>
          <x:t xml:space="preserve">2002-11-01</x:t>
        </x:is>
      </x:c>
      <x:c r="J4046" s="3" t="inlineStr">
        <x:is>
          <x:t xml:space="preserve">杭州市滨江区江南大道3888号</x:t>
        </x:is>
      </x:c>
      <x:c r="K4046" s="12" t="str">
        <x:f>LEFT("91330000253917765N",18)</x:f>
        <x:v>91330000253917765N</x:v>
      </x:c>
    </x:row>
    <x:row r="4047">
      <x:c r="A4047" s="4" t="n">
        <x:v>4046</x:v>
      </x:c>
      <x:c r="B4047" s="4" t="inlineStr">
        <x:is>
          <x:t xml:space="preserve">600572</x:t>
        </x:is>
      </x:c>
      <x:c r="C4047" s="5" t="inlineStr">
        <x:is>
          <x:t xml:space="preserve">康恩贝</x:t>
        </x:is>
      </x:c>
      <x:c r="D4047" s="5" t="inlineStr">
        <x:is>
          <x:t xml:space="preserve">浙江康恩贝制药股份有限公司</x:t>
        </x:is>
      </x:c>
      <x:c r="E4047" s="4" t="inlineStr">
        <x:is>
          <x:t xml:space="preserve">浙江省</x:t>
        </x:is>
      </x:c>
      <x:c r="F4047" s="4" t="inlineStr">
        <x:is>
          <x:t xml:space="preserve">江省兰溪市</x:t>
        </x:is>
      </x:c>
      <x:c r="G4047" s="5" t="inlineStr">
        <x:is>
          <x:t xml:space="preserve">浙江省-江省兰溪市</x:t>
        </x:is>
      </x:c>
      <x:c r="H4047" s="4" t="inlineStr">
        <x:is>
          <x:t xml:space="preserve">中药</x:t>
        </x:is>
      </x:c>
      <x:c r="I4047" s="4" t="inlineStr">
        <x:is>
          <x:t xml:space="preserve">2004-04-12</x:t>
        </x:is>
      </x:c>
      <x:c r="J4047" s="5" t="inlineStr">
        <x:is>
          <x:t xml:space="preserve">浙江省兰溪市康恩贝大道1号</x:t>
        </x:is>
      </x:c>
      <x:c r="K4047" s="12" t="str">
        <x:f>LEFT("91330000142924161N",18)</x:f>
        <x:v>91330000142924161N</x:v>
      </x:c>
    </x:row>
    <x:row r="4048">
      <x:c r="A4048" s="2" t="n">
        <x:v>4047</x:v>
      </x:c>
      <x:c r="B4048" s="2" t="inlineStr">
        <x:is>
          <x:t xml:space="preserve">600576</x:t>
        </x:is>
      </x:c>
      <x:c r="C4048" s="3" t="inlineStr">
        <x:is>
          <x:t xml:space="preserve">祥源文旅</x:t>
        </x:is>
      </x:c>
      <x:c r="D4048" s="3" t="inlineStr">
        <x:is>
          <x:t xml:space="preserve">浙江祥源文旅股份有限公司</x:t>
        </x:is>
      </x:c>
      <x:c r="E4048" s="2" t="inlineStr">
        <x:is>
          <x:t xml:space="preserve">浙江省</x:t>
        </x:is>
      </x:c>
      <x:c r="F4048" s="2" t="inlineStr">
        <x:is>
          <x:t xml:space="preserve">杭州市</x:t>
        </x:is>
      </x:c>
      <x:c r="G4048" s="3" t="inlineStr">
        <x:is>
          <x:t xml:space="preserve">浙江省-杭州市</x:t>
        </x:is>
      </x:c>
      <x:c r="H4048" s="2" t="inlineStr">
        <x:is>
          <x:t xml:space="preserve">旅游酒店</x:t>
        </x:is>
      </x:c>
      <x:c r="I4048" s="2" t="inlineStr">
        <x:is>
          <x:t xml:space="preserve">2003-02-20</x:t>
        </x:is>
      </x:c>
      <x:c r="J4048" s="3" t="inlineStr">
        <x:is>
          <x:t xml:space="preserve">浙江省杭州市密渡桥路1号白马大厦12楼</x:t>
        </x:is>
      </x:c>
      <x:c r="K4048" s="12" t="str">
        <x:f>LEFT("91330000607911599B",18)</x:f>
        <x:v>91330000607911599B</x:v>
      </x:c>
    </x:row>
    <x:row r="4049">
      <x:c r="A4049" s="4" t="n">
        <x:v>4048</x:v>
      </x:c>
      <x:c r="B4049" s="4" t="inlineStr">
        <x:is>
          <x:t xml:space="preserve">600580</x:t>
        </x:is>
      </x:c>
      <x:c r="C4049" s="5" t="inlineStr">
        <x:is>
          <x:t xml:space="preserve">卧龙电驱</x:t>
        </x:is>
      </x:c>
      <x:c r="D4049" s="5" t="inlineStr">
        <x:is>
          <x:t xml:space="preserve">卧龙电气驱动集团股份有限公司</x:t>
        </x:is>
      </x:c>
      <x:c r="E4049" s="4" t="inlineStr">
        <x:is>
          <x:t xml:space="preserve">浙江省</x:t>
        </x:is>
      </x:c>
      <x:c r="F4049" s="4" t="inlineStr">
        <x:is>
          <x:t xml:space="preserve">绍兴市</x:t>
        </x:is>
      </x:c>
      <x:c r="G4049" s="5" t="inlineStr">
        <x:is>
          <x:t xml:space="preserve">浙江省-绍兴市</x:t>
        </x:is>
      </x:c>
      <x:c r="H4049" s="4" t="inlineStr">
        <x:is>
          <x:t xml:space="preserve">电机</x:t>
        </x:is>
      </x:c>
      <x:c r="I4049" s="4" t="inlineStr">
        <x:is>
          <x:t xml:space="preserve">2002-06-06</x:t>
        </x:is>
      </x:c>
      <x:c r="J4049" s="5" t="inlineStr">
        <x:is>
          <x:t xml:space="preserve">浙江省绍兴市上虞区曹娥街道复兴西路580号一楼</x:t>
        </x:is>
      </x:c>
      <x:c r="K4049" s="12" t="str">
        <x:f>LEFT("913300001461463526",18)</x:f>
        <x:v>913300001461463600</x:v>
      </x:c>
    </x:row>
    <x:row r="4050">
      <x:c r="A4050" s="2" t="n">
        <x:v>4049</x:v>
      </x:c>
      <x:c r="B4050" s="2" t="inlineStr">
        <x:is>
          <x:t xml:space="preserve">600596</x:t>
        </x:is>
      </x:c>
      <x:c r="C4050" s="3" t="inlineStr">
        <x:is>
          <x:t xml:space="preserve">新安股份</x:t>
        </x:is>
      </x:c>
      <x:c r="D4050" s="3" t="inlineStr">
        <x:is>
          <x:t xml:space="preserve">浙江新安化工集团股份有限公司</x:t>
        </x:is>
      </x:c>
      <x:c r="E4050" s="2" t="inlineStr">
        <x:is>
          <x:t xml:space="preserve">浙江省</x:t>
        </x:is>
      </x:c>
      <x:c r="F4050" s="2" t="inlineStr">
        <x:is>
          <x:t xml:space="preserve">江省建德市</x:t>
        </x:is>
      </x:c>
      <x:c r="G4050" s="3" t="inlineStr">
        <x:is>
          <x:t xml:space="preserve">浙江省-江省建德市</x:t>
        </x:is>
      </x:c>
      <x:c r="H4050" s="2" t="inlineStr">
        <x:is>
          <x:t xml:space="preserve">农药兽药</x:t>
        </x:is>
      </x:c>
      <x:c r="I4050" s="2" t="inlineStr">
        <x:is>
          <x:t xml:space="preserve">2001-09-06</x:t>
        </x:is>
      </x:c>
      <x:c r="J4050" s="3" t="inlineStr">
        <x:is>
          <x:t xml:space="preserve">浙江省建德市新安江镇</x:t>
        </x:is>
      </x:c>
      <x:c r="K4050" s="12" t="str">
        <x:f>LEFT("913300001429192743",18)</x:f>
        <x:v>913300001429192700</x:v>
      </x:c>
    </x:row>
    <x:row r="4051">
      <x:c r="A4051" s="4" t="n">
        <x:v>4050</x:v>
      </x:c>
      <x:c r="B4051" s="4" t="inlineStr">
        <x:is>
          <x:t xml:space="preserve">600633</x:t>
        </x:is>
      </x:c>
      <x:c r="C4051" s="5" t="inlineStr">
        <x:is>
          <x:t xml:space="preserve">浙数文化</x:t>
        </x:is>
      </x:c>
      <x:c r="D4051" s="5" t="inlineStr">
        <x:is>
          <x:t xml:space="preserve">浙报数字文化集团股份有限公司</x:t>
        </x:is>
      </x:c>
      <x:c r="E4051" s="4" t="inlineStr">
        <x:is>
          <x:t xml:space="preserve">浙江省</x:t>
        </x:is>
      </x:c>
      <x:c r="F4051" s="4" t="inlineStr">
        <x:is>
          <x:t xml:space="preserve">杭州市</x:t>
        </x:is>
      </x:c>
      <x:c r="G4051" s="5" t="inlineStr">
        <x:is>
          <x:t xml:space="preserve">浙江省-杭州市</x:t>
        </x:is>
      </x:c>
      <x:c r="H4051" s="4" t="inlineStr">
        <x:is>
          <x:t xml:space="preserve">游戏</x:t>
        </x:is>
      </x:c>
      <x:c r="I4051" s="4" t="inlineStr">
        <x:is>
          <x:t xml:space="preserve">1993-03-04</x:t>
        </x:is>
      </x:c>
      <x:c r="J4051" s="5" t="inlineStr">
        <x:is>
          <x:t xml:space="preserve">浙江省杭州市拱墅区储鑫路15号浙数科技中心2幢1701室</x:t>
        </x:is>
      </x:c>
      <x:c r="K4051" s="12" t="str">
        <x:f>LEFT("91330000132211766N",18)</x:f>
        <x:v>91330000132211766N</x:v>
      </x:c>
    </x:row>
    <x:row r="4052">
      <x:c r="A4052" s="2" t="n">
        <x:v>4051</x:v>
      </x:c>
      <x:c r="B4052" s="2" t="inlineStr">
        <x:is>
          <x:t xml:space="preserve">600668</x:t>
        </x:is>
      </x:c>
      <x:c r="C4052" s="3" t="inlineStr">
        <x:is>
          <x:t xml:space="preserve">尖峰集团</x:t>
        </x:is>
      </x:c>
      <x:c r="D4052" s="3" t="inlineStr">
        <x:is>
          <x:t xml:space="preserve">浙江尖峰集团股份有限公司</x:t>
        </x:is>
      </x:c>
      <x:c r="E4052" s="2" t="inlineStr">
        <x:is>
          <x:t xml:space="preserve">浙江省</x:t>
        </x:is>
      </x:c>
      <x:c r="F4052" s="2" t="inlineStr">
        <x:is>
          <x:t xml:space="preserve">金华市</x:t>
        </x:is>
      </x:c>
      <x:c r="G4052" s="3" t="inlineStr">
        <x:is>
          <x:t xml:space="preserve">浙江省-金华市</x:t>
        </x:is>
      </x:c>
      <x:c r="H4052" s="2" t="inlineStr">
        <x:is>
          <x:t xml:space="preserve">水泥建材</x:t>
        </x:is>
      </x:c>
      <x:c r="I4052" s="2" t="inlineStr">
        <x:is>
          <x:t xml:space="preserve">1993-07-28</x:t>
        </x:is>
      </x:c>
      <x:c r="J4052" s="3" t="inlineStr">
        <x:is>
          <x:t xml:space="preserve">浙江省金华市婺江东路88号</x:t>
        </x:is>
      </x:c>
      <x:c r="K4052" s="12" t="str">
        <x:f>LEFT("91330000704202954L",18)</x:f>
        <x:v>91330000704202954L</x:v>
      </x:c>
    </x:row>
    <x:row r="4053">
      <x:c r="A4053" s="4" t="n">
        <x:v>4052</x:v>
      </x:c>
      <x:c r="B4053" s="4" t="inlineStr">
        <x:is>
          <x:t xml:space="preserve">600671</x:t>
        </x:is>
      </x:c>
      <x:c r="C4053" s="5" t="inlineStr">
        <x:is>
          <x:t xml:space="preserve">天目药业</x:t>
        </x:is>
      </x:c>
      <x:c r="D4053" s="5" t="inlineStr">
        <x:is>
          <x:t xml:space="preserve">杭州天目山药业股份有限公司</x:t>
        </x:is>
      </x:c>
      <x:c r="E4053" s="4" t="inlineStr">
        <x:is>
          <x:t xml:space="preserve">浙江省</x:t>
        </x:is>
      </x:c>
      <x:c r="F4053" s="4" t="inlineStr">
        <x:is>
          <x:t xml:space="preserve">杭州市</x:t>
        </x:is>
      </x:c>
      <x:c r="G4053" s="5" t="inlineStr">
        <x:is>
          <x:t xml:space="preserve">浙江省-杭州市</x:t>
        </x:is>
      </x:c>
      <x:c r="H4053" s="4" t="inlineStr">
        <x:is>
          <x:t xml:space="preserve">中药</x:t>
        </x:is>
      </x:c>
      <x:c r="I4053" s="4" t="inlineStr">
        <x:is>
          <x:t xml:space="preserve">1993-08-23</x:t>
        </x:is>
      </x:c>
      <x:c r="J4053" s="5" t="inlineStr">
        <x:is>
          <x:t xml:space="preserve">浙江省杭州市临安区锦南街道上杨路18号</x:t>
        </x:is>
      </x:c>
      <x:c r="K4053" s="12" t="str">
        <x:f>LEFT("91330000253930812T",18)</x:f>
        <x:v>91330000253930812T</x:v>
      </x:c>
    </x:row>
    <x:row r="4054">
      <x:c r="A4054" s="2" t="n">
        <x:v>4053</x:v>
      </x:c>
      <x:c r="B4054" s="2" t="inlineStr">
        <x:is>
          <x:t xml:space="preserve">600683</x:t>
        </x:is>
      </x:c>
      <x:c r="C4054" s="3" t="inlineStr">
        <x:is>
          <x:t xml:space="preserve">京投发展</x:t>
        </x:is>
      </x:c>
      <x:c r="D4054" s="3" t="inlineStr">
        <x:is>
          <x:t xml:space="preserve">京投发展股份有限公司</x:t>
        </x:is>
      </x:c>
      <x:c r="E4054" s="2" t="inlineStr">
        <x:is>
          <x:t xml:space="preserve">浙江省</x:t>
        </x:is>
      </x:c>
      <x:c r="F4054" s="2" t="inlineStr">
        <x:is>
          <x:t xml:space="preserve">宁波市</x:t>
        </x:is>
      </x:c>
      <x:c r="G4054" s="3" t="inlineStr">
        <x:is>
          <x:t xml:space="preserve">浙江省-宁波市</x:t>
        </x:is>
      </x:c>
      <x:c r="H4054" s="2" t="inlineStr">
        <x:is>
          <x:t xml:space="preserve">房地产</x:t>
        </x:is>
      </x:c>
      <x:c r="I4054" s="2" t="inlineStr">
        <x:is>
          <x:t xml:space="preserve">1993-10-25</x:t>
        </x:is>
      </x:c>
      <x:c r="J4054" s="3" t="inlineStr">
        <x:is>
          <x:t xml:space="preserve">宁波市海曙中山东路238号</x:t>
        </x:is>
      </x:c>
      <x:c r="K4054" s="12" t="str">
        <x:f>LEFT("91330200144052096U",18)</x:f>
        <x:v>91330200144052096U</x:v>
      </x:c>
    </x:row>
    <x:row r="4055">
      <x:c r="A4055" s="4" t="n">
        <x:v>4054</x:v>
      </x:c>
      <x:c r="B4055" s="4" t="inlineStr">
        <x:is>
          <x:t xml:space="preserve">600699</x:t>
        </x:is>
      </x:c>
      <x:c r="C4055" s="5" t="inlineStr">
        <x:is>
          <x:t xml:space="preserve">均胜电子</x:t>
        </x:is>
      </x:c>
      <x:c r="D4055" s="5" t="inlineStr">
        <x:is>
          <x:t xml:space="preserve">宁波均胜电子股份有限公司</x:t>
        </x:is>
      </x:c>
      <x:c r="E4055" s="4" t="inlineStr">
        <x:is>
          <x:t xml:space="preserve">浙江省</x:t>
        </x:is>
      </x:c>
      <x:c r="F4055" s="4" t="inlineStr">
        <x:is>
          <x:t xml:space="preserve">宁波市</x:t>
        </x:is>
      </x:c>
      <x:c r="G4055" s="5" t="inlineStr">
        <x:is>
          <x:t xml:space="preserve">浙江省-宁波市</x:t>
        </x:is>
      </x:c>
      <x:c r="H4055" s="4" t="inlineStr">
        <x:is>
          <x:t xml:space="preserve">汽车行业</x:t>
        </x:is>
      </x:c>
      <x:c r="I4055" s="4" t="inlineStr">
        <x:is>
          <x:t xml:space="preserve">1993-12-06</x:t>
        </x:is>
      </x:c>
      <x:c r="J4055" s="5" t="inlineStr">
        <x:is>
          <x:t xml:space="preserve">浙江省宁波市高新区清逸路99号</x:t>
        </x:is>
      </x:c>
      <x:c r="K4055" s="12" t="str">
        <x:f>LEFT("9133020060543096X6",18)</x:f>
        <x:v>9133020060543096X6</x:v>
      </x:c>
    </x:row>
    <x:row r="4056">
      <x:c r="A4056" s="2" t="n">
        <x:v>4055</x:v>
      </x:c>
      <x:c r="B4056" s="2" t="inlineStr">
        <x:is>
          <x:t xml:space="preserve">600704</x:t>
        </x:is>
      </x:c>
      <x:c r="C4056" s="3" t="inlineStr">
        <x:is>
          <x:t xml:space="preserve">物产中大</x:t>
        </x:is>
      </x:c>
      <x:c r="D4056" s="3" t="inlineStr">
        <x:is>
          <x:t xml:space="preserve">物产中大集团股份有限公司</x:t>
        </x:is>
      </x:c>
      <x:c r="E4056" s="2" t="inlineStr">
        <x:is>
          <x:t xml:space="preserve">浙江省</x:t>
        </x:is>
      </x:c>
      <x:c r="F4056" s="2" t="inlineStr">
        <x:is>
          <x:t xml:space="preserve">杭州市</x:t>
        </x:is>
      </x:c>
      <x:c r="G4056" s="3" t="inlineStr">
        <x:is>
          <x:t xml:space="preserve">浙江省-杭州市</x:t>
        </x:is>
      </x:c>
      <x:c r="H4056" s="2" t="inlineStr">
        <x:is>
          <x:t xml:space="preserve">物流行业</x:t>
        </x:is>
      </x:c>
      <x:c r="I4056" s="2" t="inlineStr">
        <x:is>
          <x:t xml:space="preserve">1996-06-06</x:t>
        </x:is>
      </x:c>
      <x:c r="J4056" s="3" t="inlineStr">
        <x:is>
          <x:t xml:space="preserve">杭州市环城西路56号</x:t>
        </x:is>
      </x:c>
      <x:c r="K4056" s="12" t="str">
        <x:f>LEFT("913300001429101221",18)</x:f>
        <x:v>913300001429101200</x:v>
      </x:c>
    </x:row>
    <x:row r="4057">
      <x:c r="A4057" s="4" t="n">
        <x:v>4056</x:v>
      </x:c>
      <x:c r="B4057" s="4" t="inlineStr">
        <x:is>
          <x:t xml:space="preserve">600724</x:t>
        </x:is>
      </x:c>
      <x:c r="C4057" s="5" t="inlineStr">
        <x:is>
          <x:t xml:space="preserve">宁波富达</x:t>
        </x:is>
      </x:c>
      <x:c r="D4057" s="5" t="inlineStr">
        <x:is>
          <x:t xml:space="preserve">宁波富达股份有限公司</x:t>
        </x:is>
      </x:c>
      <x:c r="E4057" s="4" t="inlineStr">
        <x:is>
          <x:t xml:space="preserve">浙江省</x:t>
        </x:is>
      </x:c>
      <x:c r="F4057" s="4" t="inlineStr">
        <x:is>
          <x:t xml:space="preserve">江省余姚市</x:t>
        </x:is>
      </x:c>
      <x:c r="G4057" s="5" t="inlineStr">
        <x:is>
          <x:t xml:space="preserve">浙江省-江省余姚市</x:t>
        </x:is>
      </x:c>
      <x:c r="H4057" s="4" t="inlineStr">
        <x:is>
          <x:t xml:space="preserve">房地产开发</x:t>
        </x:is>
      </x:c>
      <x:c r="I4057" s="4" t="inlineStr">
        <x:is>
          <x:t xml:space="preserve">1996-07-16</x:t>
        </x:is>
      </x:c>
      <x:c r="J4057" s="5" t="inlineStr">
        <x:is>
          <x:t xml:space="preserve">浙江省余姚市城区南雷南路2号余姚商会大厦1302室</x:t>
        </x:is>
      </x:c>
      <x:c r="K4057" s="12" t="str">
        <x:f>LEFT("91330200704845351P",18)</x:f>
        <x:v>91330200704845351P</x:v>
      </x:c>
    </x:row>
    <x:row r="4058">
      <x:c r="A4058" s="2" t="n">
        <x:v>4057</x:v>
      </x:c>
      <x:c r="B4058" s="2" t="inlineStr">
        <x:is>
          <x:t xml:space="preserve">600763</x:t>
        </x:is>
      </x:c>
      <x:c r="C4058" s="3" t="inlineStr">
        <x:is>
          <x:t xml:space="preserve">通策医疗</x:t>
        </x:is>
      </x:c>
      <x:c r="D4058" s="3" t="inlineStr">
        <x:is>
          <x:t xml:space="preserve">通策医疗股份有限公司</x:t>
        </x:is>
      </x:c>
      <x:c r="E4058" s="2" t="inlineStr">
        <x:is>
          <x:t xml:space="preserve">浙江省</x:t>
        </x:is>
      </x:c>
      <x:c r="F4058" s="2" t="inlineStr">
        <x:is>
          <x:t xml:space="preserve">杭州市</x:t>
        </x:is>
      </x:c>
      <x:c r="G4058" s="3" t="inlineStr">
        <x:is>
          <x:t xml:space="preserve">浙江省-杭州市</x:t>
        </x:is>
      </x:c>
      <x:c r="H4058" s="2" t="inlineStr">
        <x:is>
          <x:t xml:space="preserve">医疗行业</x:t>
        </x:is>
      </x:c>
      <x:c r="I4058" s="2" t="inlineStr">
        <x:is>
          <x:t xml:space="preserve">1996-10-30</x:t>
        </x:is>
      </x:c>
      <x:c r="J4058" s="3" t="inlineStr">
        <x:is>
          <x:t xml:space="preserve">杭州市上城区平海路57号</x:t>
        </x:is>
      </x:c>
      <x:c r="K4058" s="12" t="str">
        <x:f>LEFT("91330000102930559P",18)</x:f>
        <x:v>91330000102930559P</x:v>
      </x:c>
    </x:row>
    <x:row r="4059">
      <x:c r="A4059" s="4" t="n">
        <x:v>4058</x:v>
      </x:c>
      <x:c r="B4059" s="4" t="inlineStr">
        <x:is>
          <x:t xml:space="preserve">600768</x:t>
        </x:is>
      </x:c>
      <x:c r="C4059" s="5" t="inlineStr">
        <x:is>
          <x:t xml:space="preserve">宁波富邦</x:t>
        </x:is>
      </x:c>
      <x:c r="D4059" s="5" t="inlineStr">
        <x:is>
          <x:t xml:space="preserve">宁波富邦精业集团股份有限公司</x:t>
        </x:is>
      </x:c>
      <x:c r="E4059" s="4" t="inlineStr">
        <x:is>
          <x:t xml:space="preserve">浙江省</x:t>
        </x:is>
      </x:c>
      <x:c r="F4059" s="4" t="inlineStr">
        <x:is>
          <x:t xml:space="preserve">宁波市</x:t>
        </x:is>
      </x:c>
      <x:c r="G4059" s="5" t="inlineStr">
        <x:is>
          <x:t xml:space="preserve">浙江省-宁波市</x:t>
        </x:is>
      </x:c>
      <x:c r="H4059" s="4" t="inlineStr">
        <x:is>
          <x:t xml:space="preserve">有色金属</x:t>
        </x:is>
      </x:c>
      <x:c r="I4059" s="4" t="inlineStr">
        <x:is>
          <x:t xml:space="preserve">1996-11-11</x:t>
        </x:is>
      </x:c>
      <x:c r="J4059" s="5" t="inlineStr">
        <x:is>
          <x:t xml:space="preserve">宁波市镇海骆驼机电工业园区</x:t>
        </x:is>
      </x:c>
      <x:c r="K4059" s="12" t="str">
        <x:f>LEFT("91330200144053689D",18)</x:f>
        <x:v>91330200144053689D</x:v>
      </x:c>
    </x:row>
    <x:row r="4060">
      <x:c r="A4060" s="2" t="n">
        <x:v>4059</x:v>
      </x:c>
      <x:c r="B4060" s="2" t="inlineStr">
        <x:is>
          <x:t xml:space="preserve">600776</x:t>
        </x:is>
      </x:c>
      <x:c r="C4060" s="3" t="inlineStr">
        <x:is>
          <x:t xml:space="preserve">东方通信</x:t>
        </x:is>
      </x:c>
      <x:c r="D4060" s="3" t="inlineStr">
        <x:is>
          <x:t xml:space="preserve">东方通信股份有限公司</x:t>
        </x:is>
      </x:c>
      <x:c r="E4060" s="2" t="inlineStr">
        <x:is>
          <x:t xml:space="preserve">浙江省</x:t>
        </x:is>
      </x:c>
      <x:c r="F4060" s="2" t="inlineStr">
        <x:is>
          <x:t xml:space="preserve">杭州市</x:t>
        </x:is>
      </x:c>
      <x:c r="G4060" s="3" t="inlineStr">
        <x:is>
          <x:t xml:space="preserve">浙江省-杭州市</x:t>
        </x:is>
      </x:c>
      <x:c r="H4060" s="2" t="inlineStr">
        <x:is>
          <x:t xml:space="preserve">通讯行业</x:t>
        </x:is>
      </x:c>
      <x:c r="I4060" s="2" t="inlineStr">
        <x:is>
          <x:t xml:space="preserve">1996-11-26</x:t>
        </x:is>
      </x:c>
      <x:c r="J4060" s="3" t="inlineStr">
        <x:is>
          <x:t xml:space="preserve">中国浙江省杭州市滨江区东信大道66号</x:t>
        </x:is>
      </x:c>
      <x:c r="K4060" s="12" t="str">
        <x:f>LEFT("9133000014293866XE",18)</x:f>
        <x:v>9133000014293866XE</x:v>
      </x:c>
    </x:row>
    <x:row r="4061">
      <x:c r="A4061" s="4" t="n">
        <x:v>4060</x:v>
      </x:c>
      <x:c r="B4061" s="4" t="inlineStr">
        <x:is>
          <x:t xml:space="preserve">600790</x:t>
        </x:is>
      </x:c>
      <x:c r="C4061" s="5" t="inlineStr">
        <x:is>
          <x:t xml:space="preserve">轻纺城</x:t>
        </x:is>
      </x:c>
      <x:c r="D4061" s="5" t="inlineStr">
        <x:is>
          <x:t xml:space="preserve">浙江中国轻纺城集团股份有限公司</x:t>
        </x:is>
      </x:c>
      <x:c r="E4061" s="4" t="inlineStr">
        <x:is>
          <x:t xml:space="preserve">浙江省</x:t>
        </x:is>
      </x:c>
      <x:c r="F4061" s="4" t="inlineStr">
        <x:is>
          <x:t xml:space="preserve">绍兴市</x:t>
        </x:is>
      </x:c>
      <x:c r="G4061" s="5" t="inlineStr">
        <x:is>
          <x:t xml:space="preserve">浙江省-绍兴市</x:t>
        </x:is>
      </x:c>
      <x:c r="H4061" s="4" t="inlineStr">
        <x:is>
          <x:t xml:space="preserve">商业百货</x:t>
        </x:is>
      </x:c>
      <x:c r="I4061" s="4" t="inlineStr">
        <x:is>
          <x:t xml:space="preserve">1997-02-28</x:t>
        </x:is>
      </x:c>
      <x:c r="J4061" s="5" t="inlineStr">
        <x:is>
          <x:t xml:space="preserve">浙江省绍兴市柯桥区柯桥街道鉴湖路1号中轻大厦</x:t>
        </x:is>
      </x:c>
      <x:c r="K4061" s="12" t="str">
        <x:f>LEFT("913300001460375783",18)</x:f>
        <x:v>913300001460375800</x:v>
      </x:c>
    </x:row>
    <x:row r="4062">
      <x:c r="A4062" s="2" t="n">
        <x:v>4061</x:v>
      </x:c>
      <x:c r="B4062" s="2" t="inlineStr">
        <x:is>
          <x:t xml:space="preserve">600796</x:t>
        </x:is>
      </x:c>
      <x:c r="C4062" s="3" t="inlineStr">
        <x:is>
          <x:t xml:space="preserve">钱江生化</x:t>
        </x:is>
      </x:c>
      <x:c r="D4062" s="3" t="inlineStr">
        <x:is>
          <x:t xml:space="preserve">浙江钱江生物化学股份有限公司</x:t>
        </x:is>
      </x:c>
      <x:c r="E4062" s="2" t="inlineStr">
        <x:is>
          <x:t xml:space="preserve">浙江省</x:t>
        </x:is>
      </x:c>
      <x:c r="F4062" s="2" t="inlineStr">
        <x:is>
          <x:t xml:space="preserve">江省海宁市</x:t>
        </x:is>
      </x:c>
      <x:c r="G4062" s="3" t="inlineStr">
        <x:is>
          <x:t xml:space="preserve">浙江省-江省海宁市</x:t>
        </x:is>
      </x:c>
      <x:c r="H4062" s="2" t="inlineStr">
        <x:is>
          <x:t xml:space="preserve">环保行业</x:t>
        </x:is>
      </x:c>
      <x:c r="I4062" s="2" t="inlineStr">
        <x:is>
          <x:t xml:space="preserve">1997-04-08</x:t>
        </x:is>
      </x:c>
      <x:c r="J4062" s="3" t="inlineStr">
        <x:is>
          <x:t xml:space="preserve">浙江省海宁市海洲街道钱江西路178号钱江大厦19-21层</x:t>
        </x:is>
      </x:c>
      <x:c r="K4062" s="12" t="str">
        <x:f>LEFT("913300001429396622",18)</x:f>
        <x:v>913300001429396600</x:v>
      </x:c>
    </x:row>
    <x:row r="4063">
      <x:c r="A4063" s="4" t="n">
        <x:v>4062</x:v>
      </x:c>
      <x:c r="B4063" s="4" t="inlineStr">
        <x:is>
          <x:t xml:space="preserve">600797</x:t>
        </x:is>
      </x:c>
      <x:c r="C4063" s="5" t="inlineStr">
        <x:is>
          <x:t xml:space="preserve">浙大网新</x:t>
        </x:is>
      </x:c>
      <x:c r="D4063" s="5" t="inlineStr">
        <x:is>
          <x:t xml:space="preserve">浙大网新科技股份有限公司</x:t>
        </x:is>
      </x:c>
      <x:c r="E4063" s="4" t="inlineStr">
        <x:is>
          <x:t xml:space="preserve">浙江省</x:t>
        </x:is>
      </x:c>
      <x:c r="F4063" s="4" t="inlineStr">
        <x:is>
          <x:t xml:space="preserve">杭州市</x:t>
        </x:is>
      </x:c>
      <x:c r="G4063" s="5" t="inlineStr">
        <x:is>
          <x:t xml:space="preserve">浙江省-杭州市</x:t>
        </x:is>
      </x:c>
      <x:c r="H4063" s="4" t="inlineStr">
        <x:is>
          <x:t xml:space="preserve">电子信息</x:t>
        </x:is>
      </x:c>
      <x:c r="I4063" s="4" t="inlineStr">
        <x:is>
          <x:t xml:space="preserve">1997-04-18</x:t>
        </x:is>
      </x:c>
      <x:c r="J4063" s="5" t="inlineStr">
        <x:is>
          <x:t xml:space="preserve">浙江省杭州市西湖区三墩镇西园八路1号4号楼1501室</x:t>
        </x:is>
      </x:c>
      <x:c r="K4063" s="12" t="str">
        <x:f>LEFT("91330000143002679X",18)</x:f>
        <x:v>91330000143002679X</x:v>
      </x:c>
    </x:row>
    <x:row r="4064">
      <x:c r="A4064" s="2" t="n">
        <x:v>4063</x:v>
      </x:c>
      <x:c r="B4064" s="2" t="inlineStr">
        <x:is>
          <x:t xml:space="preserve">600798</x:t>
        </x:is>
      </x:c>
      <x:c r="C4064" s="3" t="inlineStr">
        <x:is>
          <x:t xml:space="preserve">宁波海运</x:t>
        </x:is>
      </x:c>
      <x:c r="D4064" s="3" t="inlineStr">
        <x:is>
          <x:t xml:space="preserve">宁波海运股份有限公司</x:t>
        </x:is>
      </x:c>
      <x:c r="E4064" s="2" t="inlineStr">
        <x:is>
          <x:t xml:space="preserve">浙江省</x:t>
        </x:is>
      </x:c>
      <x:c r="F4064" s="2" t="inlineStr">
        <x:is>
          <x:t xml:space="preserve">宁波市</x:t>
        </x:is>
      </x:c>
      <x:c r="G4064" s="3" t="inlineStr">
        <x:is>
          <x:t xml:space="preserve">浙江省-宁波市</x:t>
        </x:is>
      </x:c>
      <x:c r="H4064" s="2" t="inlineStr">
        <x:is>
          <x:t xml:space="preserve">港口水运</x:t>
        </x:is>
      </x:c>
      <x:c r="I4064" s="2" t="inlineStr">
        <x:is>
          <x:t xml:space="preserve">1997-04-23</x:t>
        </x:is>
      </x:c>
      <x:c r="J4064" s="3" t="inlineStr">
        <x:is>
          <x:t xml:space="preserve">宁波市北岸财富中心1幢</x:t>
        </x:is>
      </x:c>
      <x:c r="K4064" s="12" t="str">
        <x:f>LEFT("91330200254106251R",18)</x:f>
        <x:v>91330200254106251R</x:v>
      </x:c>
    </x:row>
    <x:row r="4065">
      <x:c r="A4065" s="4" t="n">
        <x:v>4064</x:v>
      </x:c>
      <x:c r="B4065" s="4" t="inlineStr">
        <x:is>
          <x:t xml:space="preserve">600814</x:t>
        </x:is>
      </x:c>
      <x:c r="C4065" s="5" t="inlineStr">
        <x:is>
          <x:t xml:space="preserve">杭州解百</x:t>
        </x:is>
      </x:c>
      <x:c r="D4065" s="5" t="inlineStr">
        <x:is>
          <x:t xml:space="preserve">杭州解百集团股份有限公司</x:t>
        </x:is>
      </x:c>
      <x:c r="E4065" s="4" t="inlineStr">
        <x:is>
          <x:t xml:space="preserve">浙江省</x:t>
        </x:is>
      </x:c>
      <x:c r="F4065" s="4" t="inlineStr">
        <x:is>
          <x:t xml:space="preserve">杭州市</x:t>
        </x:is>
      </x:c>
      <x:c r="G4065" s="5" t="inlineStr">
        <x:is>
          <x:t xml:space="preserve">浙江省-杭州市</x:t>
        </x:is>
      </x:c>
      <x:c r="H4065" s="4" t="inlineStr">
        <x:is>
          <x:t xml:space="preserve">商业百货</x:t>
        </x:is>
      </x:c>
      <x:c r="I4065" s="4" t="inlineStr">
        <x:is>
          <x:t xml:space="preserve">1994-01-14</x:t>
        </x:is>
      </x:c>
      <x:c r="J4065" s="5" t="inlineStr">
        <x:is>
          <x:t xml:space="preserve">浙江省杭州市上城区解放路251号</x:t>
        </x:is>
      </x:c>
      <x:c r="K4065" s="12" t="str">
        <x:f>LEFT("91330000143045249Q",18)</x:f>
        <x:v>91330000143045249Q</x:v>
      </x:c>
    </x:row>
    <x:row r="4066">
      <x:c r="A4066" s="2" t="n">
        <x:v>4065</x:v>
      </x:c>
      <x:c r="B4066" s="2" t="inlineStr">
        <x:is>
          <x:t xml:space="preserve">600830</x:t>
        </x:is>
      </x:c>
      <x:c r="C4066" s="3" t="inlineStr">
        <x:is>
          <x:t xml:space="preserve">香溢融通</x:t>
        </x:is>
      </x:c>
      <x:c r="D4066" s="3" t="inlineStr">
        <x:is>
          <x:t xml:space="preserve">香溢融通控股集团股份有限公司</x:t>
        </x:is>
      </x:c>
      <x:c r="E4066" s="2" t="inlineStr">
        <x:is>
          <x:t xml:space="preserve">浙江省</x:t>
        </x:is>
      </x:c>
      <x:c r="F4066" s="2" t="inlineStr">
        <x:is>
          <x:t xml:space="preserve">宁波市</x:t>
        </x:is>
      </x:c>
      <x:c r="G4066" s="3" t="inlineStr">
        <x:is>
          <x:t xml:space="preserve">浙江省-宁波市</x:t>
        </x:is>
      </x:c>
      <x:c r="H4066" s="2" t="inlineStr">
        <x:is>
          <x:t xml:space="preserve">多元金融</x:t>
        </x:is>
      </x:c>
      <x:c r="I4066" s="2" t="inlineStr">
        <x:is>
          <x:t xml:space="preserve">1994-02-24</x:t>
        </x:is>
      </x:c>
      <x:c r="J4066" s="3" t="inlineStr">
        <x:is>
          <x:t xml:space="preserve">中国浙江省宁波市和义路109号2层、11-12层</x:t>
        </x:is>
      </x:c>
      <x:c r="K4066" s="12" t="str">
        <x:f>LEFT("91330200704803899K",18)</x:f>
        <x:v>91330200704803899K</x:v>
      </x:c>
    </x:row>
    <x:row r="4067">
      <x:c r="A4067" s="4" t="n">
        <x:v>4066</x:v>
      </x:c>
      <x:c r="B4067" s="4" t="inlineStr">
        <x:is>
          <x:t xml:space="preserve">600857</x:t>
        </x:is>
      </x:c>
      <x:c r="C4067" s="5" t="inlineStr">
        <x:is>
          <x:t xml:space="preserve">宁波中百</x:t>
        </x:is>
      </x:c>
      <x:c r="D4067" s="5" t="inlineStr">
        <x:is>
          <x:t xml:space="preserve">宁波中百股份有限公司</x:t>
        </x:is>
      </x:c>
      <x:c r="E4067" s="4" t="inlineStr">
        <x:is>
          <x:t xml:space="preserve">浙江省</x:t>
        </x:is>
      </x:c>
      <x:c r="F4067" s="4" t="inlineStr">
        <x:is>
          <x:t xml:space="preserve">宁波市</x:t>
        </x:is>
      </x:c>
      <x:c r="G4067" s="5" t="inlineStr">
        <x:is>
          <x:t xml:space="preserve">浙江省-宁波市</x:t>
        </x:is>
      </x:c>
      <x:c r="H4067" s="4" t="inlineStr">
        <x:is>
          <x:t xml:space="preserve">商业百货</x:t>
        </x:is>
      </x:c>
      <x:c r="I4067" s="4" t="inlineStr">
        <x:is>
          <x:t xml:space="preserve">1994-04-25</x:t>
        </x:is>
      </x:c>
      <x:c r="J4067" s="5" t="inlineStr">
        <x:is>
          <x:t xml:space="preserve">浙江省宁波市海曙区和义路77号21层</x:t>
        </x:is>
      </x:c>
      <x:c r="K4067" s="12" t="str">
        <x:f>LEFT("91330200144054104G",18)</x:f>
        <x:v>91330200144054104G</x:v>
      </x:c>
    </x:row>
    <x:row r="4068">
      <x:c r="A4068" s="2" t="n">
        <x:v>4067</x:v>
      </x:c>
      <x:c r="B4068" s="2" t="inlineStr">
        <x:is>
          <x:t xml:space="preserve">600865</x:t>
        </x:is>
      </x:c>
      <x:c r="C4068" s="3" t="inlineStr">
        <x:is>
          <x:t xml:space="preserve">百大集团</x:t>
        </x:is>
      </x:c>
      <x:c r="D4068" s="3" t="inlineStr">
        <x:is>
          <x:t xml:space="preserve">百大集团股份有限公司</x:t>
        </x:is>
      </x:c>
      <x:c r="E4068" s="2" t="inlineStr">
        <x:is>
          <x:t xml:space="preserve">浙江省</x:t>
        </x:is>
      </x:c>
      <x:c r="F4068" s="2" t="inlineStr">
        <x:is>
          <x:t xml:space="preserve">杭州市</x:t>
        </x:is>
      </x:c>
      <x:c r="G4068" s="3" t="inlineStr">
        <x:is>
          <x:t xml:space="preserve">浙江省-杭州市</x:t>
        </x:is>
      </x:c>
      <x:c r="H4068" s="2" t="inlineStr">
        <x:is>
          <x:t xml:space="preserve">商业百货</x:t>
        </x:is>
      </x:c>
      <x:c r="I4068" s="2" t="inlineStr">
        <x:is>
          <x:t xml:space="preserve">1994-08-09</x:t>
        </x:is>
      </x:c>
      <x:c r="J4068" s="3" t="inlineStr">
        <x:is>
          <x:t xml:space="preserve">浙江省杭州市拱墅区延安路546号</x:t>
        </x:is>
      </x:c>
      <x:c r="K4068" s="12" t="str">
        <x:f>LEFT("91330000143044537B",18)</x:f>
        <x:v>91330000143044537B</x:v>
      </x:c>
    </x:row>
    <x:row r="4069">
      <x:c r="A4069" s="4" t="n">
        <x:v>4068</x:v>
      </x:c>
      <x:c r="B4069" s="4" t="inlineStr">
        <x:is>
          <x:t xml:space="preserve">600884</x:t>
        </x:is>
      </x:c>
      <x:c r="C4069" s="5" t="inlineStr">
        <x:is>
          <x:t xml:space="preserve">杉杉股份</x:t>
        </x:is>
      </x:c>
      <x:c r="D4069" s="5" t="inlineStr">
        <x:is>
          <x:t xml:space="preserve">宁波杉杉股份有限公司</x:t>
        </x:is>
      </x:c>
      <x:c r="E4069" s="4" t="inlineStr">
        <x:is>
          <x:t xml:space="preserve">浙江省</x:t>
        </x:is>
      </x:c>
      <x:c r="F4069" s="4" t="inlineStr">
        <x:is>
          <x:t xml:space="preserve">宁波市</x:t>
        </x:is>
      </x:c>
      <x:c r="G4069" s="5" t="inlineStr">
        <x:is>
          <x:t xml:space="preserve">浙江省-宁波市</x:t>
        </x:is>
      </x:c>
      <x:c r="H4069" s="4" t="inlineStr">
        <x:is>
          <x:t xml:space="preserve">电子元件</x:t>
        </x:is>
      </x:c>
      <x:c r="I4069" s="4" t="inlineStr">
        <x:is>
          <x:t xml:space="preserve">1996-01-30</x:t>
        </x:is>
      </x:c>
      <x:c r="J4069" s="5" t="inlineStr">
        <x:is>
          <x:t xml:space="preserve">宁波市鄞州区首南街道日丽中路777号(杉杉大厦)801室</x:t>
        </x:is>
      </x:c>
      <x:c r="K4069" s="12" t="str">
        <x:f>LEFT("91330200704803055M",18)</x:f>
        <x:v>91330200704803055M</x:v>
      </x:c>
    </x:row>
    <x:row r="4070">
      <x:c r="A4070" s="2" t="n">
        <x:v>4069</x:v>
      </x:c>
      <x:c r="B4070" s="2" t="inlineStr">
        <x:is>
          <x:t xml:space="preserve">600926</x:t>
        </x:is>
      </x:c>
      <x:c r="C4070" s="3" t="inlineStr">
        <x:is>
          <x:t xml:space="preserve">杭州银行</x:t>
        </x:is>
      </x:c>
      <x:c r="D4070" s="3" t="inlineStr">
        <x:is>
          <x:t xml:space="preserve">杭州银行股份有限公司</x:t>
        </x:is>
      </x:c>
      <x:c r="E4070" s="2" t="inlineStr">
        <x:is>
          <x:t xml:space="preserve">浙江省</x:t>
        </x:is>
      </x:c>
      <x:c r="F4070" s="2" t="inlineStr">
        <x:is>
          <x:t xml:space="preserve">杭州市</x:t>
        </x:is>
      </x:c>
      <x:c r="G4070" s="3" t="inlineStr">
        <x:is>
          <x:t xml:space="preserve">浙江省-杭州市</x:t>
        </x:is>
      </x:c>
      <x:c r="H4070" s="2" t="inlineStr">
        <x:is>
          <x:t xml:space="preserve">银行</x:t>
        </x:is>
      </x:c>
      <x:c r="I4070" s="2" t="inlineStr">
        <x:is>
          <x:t xml:space="preserve">2016-10-27</x:t>
        </x:is>
      </x:c>
      <x:c r="J4070" s="3" t="inlineStr">
        <x:is>
          <x:t xml:space="preserve">浙江省杭州市上城区解放东路168号</x:t>
        </x:is>
      </x:c>
      <x:c r="K4070" s="12" t="str">
        <x:f>LEFT("91330000253924826D",18)</x:f>
        <x:v>91330000253924826D</x:v>
      </x:c>
    </x:row>
    <x:row r="4071">
      <x:c r="A4071" s="4" t="n">
        <x:v>4070</x:v>
      </x:c>
      <x:c r="B4071" s="4" t="inlineStr">
        <x:is>
          <x:t xml:space="preserve">600927</x:t>
        </x:is>
      </x:c>
      <x:c r="C4071" s="5" t="inlineStr">
        <x:is>
          <x:t xml:space="preserve">永安期货</x:t>
        </x:is>
      </x:c>
      <x:c r="D4071" s="5" t="inlineStr">
        <x:is>
          <x:t xml:space="preserve">永安期货股份有限公司</x:t>
        </x:is>
      </x:c>
      <x:c r="E4071" s="4" t="inlineStr">
        <x:is>
          <x:t xml:space="preserve">浙江省</x:t>
        </x:is>
      </x:c>
      <x:c r="F4071" s="4" t="inlineStr">
        <x:is>
          <x:t xml:space="preserve">杭州市</x:t>
        </x:is>
      </x:c>
      <x:c r="G4071" s="5" t="inlineStr">
        <x:is>
          <x:t xml:space="preserve">浙江省-杭州市</x:t>
        </x:is>
      </x:c>
      <x:c r="H4071" s="4" t="inlineStr">
        <x:is>
          <x:t xml:space="preserve">多元金融</x:t>
        </x:is>
      </x:c>
      <x:c r="I4071" s="4" t="inlineStr">
        <x:is>
          <x:t xml:space="preserve">2021-12-23</x:t>
        </x:is>
      </x:c>
      <x:c r="J4071" s="5" t="inlineStr">
        <x:is>
          <x:t xml:space="preserve">浙江省杭州市上城区东霞巷126号(永安国富大厦)14-15层</x:t>
        </x:is>
      </x:c>
      <x:c r="K4071" s="12" t="str">
        <x:f>LEFT("9133000010002099X5",18)</x:f>
        <x:v>9133000010002099X5</x:v>
      </x:c>
    </x:row>
    <x:row r="4072">
      <x:c r="A4072" s="2" t="n">
        <x:v>4071</x:v>
      </x:c>
      <x:c r="B4072" s="2" t="inlineStr">
        <x:is>
          <x:t xml:space="preserve">600933</x:t>
        </x:is>
      </x:c>
      <x:c r="C4072" s="3" t="inlineStr">
        <x:is>
          <x:t xml:space="preserve">爱柯迪</x:t>
        </x:is>
      </x:c>
      <x:c r="D4072" s="3" t="inlineStr">
        <x:is>
          <x:t xml:space="preserve">爱柯迪股份有限公司</x:t>
        </x:is>
      </x:c>
      <x:c r="E4072" s="2" t="inlineStr">
        <x:is>
          <x:t xml:space="preserve">浙江省</x:t>
        </x:is>
      </x:c>
      <x:c r="F4072" s="2" t="inlineStr">
        <x:is>
          <x:t xml:space="preserve">宁波市</x:t>
        </x:is>
      </x:c>
      <x:c r="G4072" s="3" t="inlineStr">
        <x:is>
          <x:t xml:space="preserve">浙江省-宁波市</x:t>
        </x:is>
      </x:c>
      <x:c r="H4072" s="2" t="inlineStr">
        <x:is>
          <x:t xml:space="preserve">汽车行业</x:t>
        </x:is>
      </x:c>
      <x:c r="I4072" s="2" t="inlineStr">
        <x:is>
          <x:t xml:space="preserve">2017-11-17</x:t>
        </x:is>
      </x:c>
      <x:c r="J4072" s="3" t="inlineStr">
        <x:is>
          <x:t xml:space="preserve">宁波市江北区金山路588号</x:t>
        </x:is>
      </x:c>
      <x:c r="K4072" s="12" t="str">
        <x:f>LEFT("91330200756264225T",18)</x:f>
        <x:v>91330200756264225T</x:v>
      </x:c>
    </x:row>
    <x:row r="4073">
      <x:c r="A4073" s="4" t="n">
        <x:v>4072</x:v>
      </x:c>
      <x:c r="B4073" s="4" t="inlineStr">
        <x:is>
          <x:t xml:space="preserve">600982</x:t>
        </x:is>
      </x:c>
      <x:c r="C4073" s="5" t="inlineStr">
        <x:is>
          <x:t xml:space="preserve">宁波能源</x:t>
        </x:is>
      </x:c>
      <x:c r="D4073" s="5" t="inlineStr">
        <x:is>
          <x:t xml:space="preserve">宁波能源集团股份有限公司</x:t>
        </x:is>
      </x:c>
      <x:c r="E4073" s="4" t="inlineStr">
        <x:is>
          <x:t xml:space="preserve">浙江省</x:t>
        </x:is>
      </x:c>
      <x:c r="F4073" s="4" t="inlineStr">
        <x:is>
          <x:t xml:space="preserve">宁波市</x:t>
        </x:is>
      </x:c>
      <x:c r="G4073" s="5" t="inlineStr">
        <x:is>
          <x:t xml:space="preserve">浙江省-宁波市</x:t>
        </x:is>
      </x:c>
      <x:c r="H4073" s="4" t="inlineStr">
        <x:is>
          <x:t xml:space="preserve">电力行业</x:t>
        </x:is>
      </x:c>
      <x:c r="I4073" s="4" t="inlineStr">
        <x:is>
          <x:t xml:space="preserve">2004-07-06</x:t>
        </x:is>
      </x:c>
      <x:c r="J4073" s="5" t="inlineStr">
        <x:is>
          <x:t xml:space="preserve">宁波经济技术开发区大港工业城</x:t>
        </x:is>
      </x:c>
      <x:c r="K4073" s="12" t="str">
        <x:f>LEFT("9133020061026285X3",18)</x:f>
        <x:v>9133020061026285X3</x:v>
      </x:c>
    </x:row>
    <x:row r="4074">
      <x:c r="A4074" s="2" t="n">
        <x:v>4073</x:v>
      </x:c>
      <x:c r="B4074" s="2" t="inlineStr">
        <x:is>
          <x:t xml:space="preserve">600986</x:t>
        </x:is>
      </x:c>
      <x:c r="C4074" s="3" t="inlineStr">
        <x:is>
          <x:t xml:space="preserve">浙文互联</x:t>
        </x:is>
      </x:c>
      <x:c r="D4074" s="3" t="inlineStr">
        <x:is>
          <x:t xml:space="preserve">浙文互联集团股份有限公司</x:t>
        </x:is>
      </x:c>
      <x:c r="E4074" s="2" t="inlineStr">
        <x:is>
          <x:t xml:space="preserve">浙江省</x:t>
        </x:is>
      </x:c>
      <x:c r="F4074" s="2" t="inlineStr">
        <x:is>
          <x:t xml:space="preserve">杭州市</x:t>
        </x:is>
      </x:c>
      <x:c r="G4074" s="3" t="inlineStr">
        <x:is>
          <x:t xml:space="preserve">浙江省-杭州市</x:t>
        </x:is>
      </x:c>
      <x:c r="H4074" s="2" t="inlineStr">
        <x:is>
          <x:t xml:space="preserve">文化传媒</x:t>
        </x:is>
      </x:c>
      <x:c r="I4074" s="2" t="inlineStr">
        <x:is>
          <x:t xml:space="preserve">2004-04-26</x:t>
        </x:is>
      </x:c>
      <x:c r="J4074" s="3" t="inlineStr">
        <x:is>
          <x:t xml:space="preserve">浙江省杭州市临安区锦南街道九州街88号</x:t>
        </x:is>
      </x:c>
      <x:c r="K4074" s="12" t="str">
        <x:f>LEFT("91370000164960593R",18)</x:f>
        <x:v>91370000164960593R</x:v>
      </x:c>
    </x:row>
    <x:row r="4075">
      <x:c r="A4075" s="4" t="n">
        <x:v>4074</x:v>
      </x:c>
      <x:c r="B4075" s="4" t="inlineStr">
        <x:is>
          <x:t xml:space="preserve">600987</x:t>
        </x:is>
      </x:c>
      <x:c r="C4075" s="5" t="inlineStr">
        <x:is>
          <x:t xml:space="preserve">航民股份</x:t>
        </x:is>
      </x:c>
      <x:c r="D4075" s="5" t="inlineStr">
        <x:is>
          <x:t xml:space="preserve">浙江航民股份有限公司</x:t>
        </x:is>
      </x:c>
      <x:c r="E4075" s="4" t="inlineStr">
        <x:is>
          <x:t xml:space="preserve">浙江省</x:t>
        </x:is>
      </x:c>
      <x:c r="F4075" s="4" t="inlineStr">
        <x:is>
          <x:t xml:space="preserve">杭州市</x:t>
        </x:is>
      </x:c>
      <x:c r="G4075" s="5" t="inlineStr">
        <x:is>
          <x:t xml:space="preserve">浙江省-杭州市</x:t>
        </x:is>
      </x:c>
      <x:c r="H4075" s="4" t="inlineStr">
        <x:is>
          <x:t xml:space="preserve">纺织服装</x:t>
        </x:is>
      </x:c>
      <x:c r="I4075" s="4" t="inlineStr">
        <x:is>
          <x:t xml:space="preserve">2004-08-09</x:t>
        </x:is>
      </x:c>
      <x:c r="J4075" s="5" t="inlineStr">
        <x:is>
          <x:t xml:space="preserve">浙江省杭州市萧山区瓜沥镇航民村</x:t>
        </x:is>
      </x:c>
      <x:c r="K4075" s="12" t="str">
        <x:f>LEFT("91330000704277796X",18)</x:f>
        <x:v>91330000704277796X</x:v>
      </x:c>
    </x:row>
    <x:row r="4076">
      <x:c r="A4076" s="2" t="n">
        <x:v>4075</x:v>
      </x:c>
      <x:c r="B4076" s="2" t="inlineStr">
        <x:is>
          <x:t xml:space="preserve">601002</x:t>
        </x:is>
      </x:c>
      <x:c r="C4076" s="3" t="inlineStr">
        <x:is>
          <x:t xml:space="preserve">晋亿实业</x:t>
        </x:is>
      </x:c>
      <x:c r="D4076" s="3" t="inlineStr">
        <x:is>
          <x:t xml:space="preserve">晋亿实业股份有限公司</x:t>
        </x:is>
      </x:c>
      <x:c r="E4076" s="2" t="inlineStr">
        <x:is>
          <x:t xml:space="preserve">浙江省</x:t>
        </x:is>
      </x:c>
      <x:c r="F4076" s="2" t="inlineStr">
        <x:is>
          <x:t xml:space="preserve">嘉兴市</x:t>
        </x:is>
      </x:c>
      <x:c r="G4076" s="3" t="inlineStr">
        <x:is>
          <x:t xml:space="preserve">浙江省-嘉兴市</x:t>
        </x:is>
      </x:c>
      <x:c r="H4076" s="2" t="inlineStr">
        <x:is>
          <x:t xml:space="preserve">机械行业</x:t>
        </x:is>
      </x:c>
      <x:c r="I4076" s="2" t="inlineStr">
        <x:is>
          <x:t xml:space="preserve">2007-01-26</x:t>
        </x:is>
      </x:c>
      <x:c r="J4076" s="3" t="inlineStr">
        <x:is>
          <x:t xml:space="preserve">浙江省嘉善经济开发区晋亿大道8号</x:t>
        </x:is>
      </x:c>
      <x:c r="K4076" s="12" t="str">
        <x:f>LEFT("913300006094582496",18)</x:f>
        <x:v>913300006094582500</x:v>
      </x:c>
    </x:row>
    <x:row r="4077">
      <x:c r="A4077" s="4" t="n">
        <x:v>4076</x:v>
      </x:c>
      <x:c r="B4077" s="4" t="inlineStr">
        <x:is>
          <x:t xml:space="preserve">601018</x:t>
        </x:is>
      </x:c>
      <x:c r="C4077" s="5" t="inlineStr">
        <x:is>
          <x:t xml:space="preserve">宁波港</x:t>
        </x:is>
      </x:c>
      <x:c r="D4077" s="5" t="inlineStr">
        <x:is>
          <x:t xml:space="preserve">宁波舟山港股份有限公司</x:t>
        </x:is>
      </x:c>
      <x:c r="E4077" s="4" t="inlineStr">
        <x:is>
          <x:t xml:space="preserve">浙江省</x:t>
        </x:is>
      </x:c>
      <x:c r="F4077" s="4" t="inlineStr">
        <x:is>
          <x:t xml:space="preserve">宁波市</x:t>
        </x:is>
      </x:c>
      <x:c r="G4077" s="5" t="inlineStr">
        <x:is>
          <x:t xml:space="preserve">浙江省-宁波市</x:t>
        </x:is>
      </x:c>
      <x:c r="H4077" s="4" t="inlineStr">
        <x:is>
          <x:t xml:space="preserve">港口水运</x:t>
        </x:is>
      </x:c>
      <x:c r="I4077" s="4" t="inlineStr">
        <x:is>
          <x:t xml:space="preserve">2010-09-28</x:t>
        </x:is>
      </x:c>
      <x:c r="J4077" s="5" t="inlineStr">
        <x:is>
          <x:t xml:space="preserve">浙江省宁波市鄞州区宁东路269号宁波环球航运广场第1-4层(除2-2)、第40-46层</x:t>
        </x:is>
      </x:c>
      <x:c r="K4077" s="12" t="str">
        <x:f>LEFT("91330200717882426P",18)</x:f>
        <x:v>91330200717882426P</x:v>
      </x:c>
    </x:row>
    <x:row r="4078">
      <x:c r="A4078" s="2" t="n">
        <x:v>4077</x:v>
      </x:c>
      <x:c r="B4078" s="2" t="inlineStr">
        <x:is>
          <x:t xml:space="preserve">601022</x:t>
        </x:is>
      </x:c>
      <x:c r="C4078" s="3" t="inlineStr">
        <x:is>
          <x:t xml:space="preserve">宁波远洋</x:t>
        </x:is>
      </x:c>
      <x:c r="D4078" s="3" t="inlineStr">
        <x:is>
          <x:t xml:space="preserve">宁波远洋运输股份有限公司</x:t>
        </x:is>
      </x:c>
      <x:c r="E4078" s="2" t="inlineStr">
        <x:is>
          <x:t xml:space="preserve">浙江省</x:t>
        </x:is>
      </x:c>
      <x:c r="F4078" s="2" t="inlineStr">
        <x:is>
          <x:t xml:space="preserve">宁波市</x:t>
        </x:is>
      </x:c>
      <x:c r="G4078" s="3" t="inlineStr">
        <x:is>
          <x:t xml:space="preserve">浙江省-宁波市</x:t>
        </x:is>
      </x:c>
      <x:c r="H4078" s="2" t="inlineStr">
        <x:is>
          <x:t xml:space="preserve">航运港口</x:t>
        </x:is>
      </x:c>
      <x:c r="I4078" s="2" t="inlineStr">
        <x:is>
          <x:t xml:space="preserve">2022-12-08</x:t>
        </x:is>
      </x:c>
      <x:c r="J4078" s="3" t="inlineStr">
        <x:is>
          <x:t xml:space="preserve">浙江省宁波市江北区北岸财富中心2幢</x:t>
        </x:is>
      </x:c>
      <x:c r="K4078" s="12" t="str">
        <x:f>LEFT("91330200144071334Q",18)</x:f>
        <x:v>91330200144071334Q</x:v>
      </x:c>
    </x:row>
    <x:row r="4079">
      <x:c r="A4079" s="4" t="n">
        <x:v>4078</x:v>
      </x:c>
      <x:c r="B4079" s="4" t="inlineStr">
        <x:is>
          <x:t xml:space="preserve">601108</x:t>
        </x:is>
      </x:c>
      <x:c r="C4079" s="5" t="inlineStr">
        <x:is>
          <x:t xml:space="preserve">财通证券</x:t>
        </x:is>
      </x:c>
      <x:c r="D4079" s="5" t="inlineStr">
        <x:is>
          <x:t xml:space="preserve">财通证券股份有限公司</x:t>
        </x:is>
      </x:c>
      <x:c r="E4079" s="4" t="inlineStr">
        <x:is>
          <x:t xml:space="preserve">浙江省</x:t>
        </x:is>
      </x:c>
      <x:c r="F4079" s="4" t="inlineStr">
        <x:is>
          <x:t xml:space="preserve">杭州市</x:t>
        </x:is>
      </x:c>
      <x:c r="G4079" s="5" t="inlineStr">
        <x:is>
          <x:t xml:space="preserve">浙江省-杭州市</x:t>
        </x:is>
      </x:c>
      <x:c r="H4079" s="4" t="inlineStr">
        <x:is>
          <x:t xml:space="preserve">券商信托</x:t>
        </x:is>
      </x:c>
      <x:c r="I4079" s="4" t="inlineStr">
        <x:is>
          <x:t xml:space="preserve">2017-10-24</x:t>
        </x:is>
      </x:c>
      <x:c r="J4079" s="5" t="inlineStr">
        <x:is>
          <x:t xml:space="preserve">浙江省杭州市西湖区天目山路198号财通双冠大厦西楼</x:t>
        </x:is>
      </x:c>
      <x:c r="K4079" s="12" t="str">
        <x:f>LEFT("913300007519241679",18)</x:f>
        <x:v>913300007519241700</x:v>
      </x:c>
    </x:row>
    <x:row r="4080">
      <x:c r="A4080" s="2" t="n">
        <x:v>4079</x:v>
      </x:c>
      <x:c r="B4080" s="2" t="inlineStr">
        <x:is>
          <x:t xml:space="preserve">601112</x:t>
        </x:is>
      </x:c>
      <x:c r="C4080" s="3" t="inlineStr">
        <x:is>
          <x:t xml:space="preserve">振石股份</x:t>
        </x:is>
      </x:c>
      <x:c r="D4080" s="3" t="inlineStr">
        <x:is>
          <x:t xml:space="preserve">浙江振石新材料股份有限公司</x:t>
        </x:is>
      </x:c>
      <x:c r="E4080" s="2" t="inlineStr">
        <x:is>
          <x:t xml:space="preserve">浙江省</x:t>
        </x:is>
      </x:c>
      <x:c r="F4080" s="2" t="inlineStr">
        <x:is>
          <x:t xml:space="preserve">嘉兴市</x:t>
        </x:is>
      </x:c>
      <x:c r="G4080" s="3" t="inlineStr">
        <x:is>
          <x:t xml:space="preserve">浙江省-嘉兴市</x:t>
        </x:is>
      </x:c>
      <x:c r="H4080" s="2" t="inlineStr">
        <x:is>
          <x:t xml:space="preserve">--</x:t>
        </x:is>
      </x:c>
      <x:c r="I4080" s="2" t="inlineStr">
        <x:is>
          <x:t xml:space="preserve">2026-01-29</x:t>
        </x:is>
      </x:c>
      <x:c r="J4080" s="3" t="inlineStr">
        <x:is>
          <x:t xml:space="preserve">浙江省嘉兴市桐乡市凤鸣街道文华南路3060号1幢2层201室(一照多址)</x:t>
        </x:is>
      </x:c>
      <x:c r="K4080" s="12" t="str">
        <x:f>LEFT("91330400724506437W",18)</x:f>
        <x:v>91330400724506437W</x:v>
      </x:c>
    </x:row>
    <x:row r="4081">
      <x:c r="A4081" s="4" t="n">
        <x:v>4080</x:v>
      </x:c>
      <x:c r="B4081" s="4" t="inlineStr">
        <x:is>
          <x:t xml:space="preserve">601113</x:t>
        </x:is>
      </x:c>
      <x:c r="C4081" s="5" t="inlineStr">
        <x:is>
          <x:t xml:space="preserve">华鼎股份</x:t>
        </x:is>
      </x:c>
      <x:c r="D4081" s="5" t="inlineStr">
        <x:is>
          <x:t xml:space="preserve">义乌华鼎锦纶股份有限公司</x:t>
        </x:is>
      </x:c>
      <x:c r="E4081" s="4" t="inlineStr">
        <x:is>
          <x:t xml:space="preserve">浙江省</x:t>
        </x:is>
      </x:c>
      <x:c r="F4081" s="4" t="inlineStr">
        <x:is>
          <x:t xml:space="preserve">义乌市</x:t>
        </x:is>
      </x:c>
      <x:c r="G4081" s="5" t="inlineStr">
        <x:is>
          <x:t xml:space="preserve">浙江省-义乌市</x:t>
        </x:is>
      </x:c>
      <x:c r="H4081" s="4" t="inlineStr">
        <x:is>
          <x:t xml:space="preserve">化纤行业</x:t>
        </x:is>
      </x:c>
      <x:c r="I4081" s="4" t="inlineStr">
        <x:is>
          <x:t xml:space="preserve">2011-05-09</x:t>
        </x:is>
      </x:c>
      <x:c r="J4081" s="5" t="inlineStr">
        <x:is>
          <x:t xml:space="preserve">浙江省义乌市北苑街道雪峰西路751号</x:t>
        </x:is>
      </x:c>
      <x:c r="K4081" s="12" t="str">
        <x:f>LEFT("91330000745826157T",18)</x:f>
        <x:v>91330000745826157T</x:v>
      </x:c>
    </x:row>
    <x:row r="4082">
      <x:c r="A4082" s="2" t="n">
        <x:v>4081</x:v>
      </x:c>
      <x:c r="B4082" s="2" t="inlineStr">
        <x:is>
          <x:t xml:space="preserve">601116</x:t>
        </x:is>
      </x:c>
      <x:c r="C4082" s="3" t="inlineStr">
        <x:is>
          <x:t xml:space="preserve">三江购物</x:t>
        </x:is>
      </x:c>
      <x:c r="D4082" s="3" t="inlineStr">
        <x:is>
          <x:t xml:space="preserve">三江购物俱乐部股份有限公司</x:t>
        </x:is>
      </x:c>
      <x:c r="E4082" s="2" t="inlineStr">
        <x:is>
          <x:t xml:space="preserve">浙江省</x:t>
        </x:is>
      </x:c>
      <x:c r="F4082" s="2" t="inlineStr">
        <x:is>
          <x:t xml:space="preserve">宁波市</x:t>
        </x:is>
      </x:c>
      <x:c r="G4082" s="3" t="inlineStr">
        <x:is>
          <x:t xml:space="preserve">浙江省-宁波市</x:t>
        </x:is>
      </x:c>
      <x:c r="H4082" s="2" t="inlineStr">
        <x:is>
          <x:t xml:space="preserve">商业百货</x:t>
        </x:is>
      </x:c>
      <x:c r="I4082" s="2" t="inlineStr">
        <x:is>
          <x:t xml:space="preserve">2011-03-02</x:t>
        </x:is>
      </x:c>
      <x:c r="J4082" s="3" t="inlineStr">
        <x:is>
          <x:t xml:space="preserve">宁波市大榭开发区邻里中心</x:t>
        </x:is>
      </x:c>
      <x:c r="K4082" s="12" t="str">
        <x:f>LEFT("91330200704881846L",18)</x:f>
        <x:v>91330200704881846L</x:v>
      </x:c>
    </x:row>
    <x:row r="4083">
      <x:c r="A4083" s="4" t="n">
        <x:v>4082</x:v>
      </x:c>
      <x:c r="B4083" s="4" t="inlineStr">
        <x:is>
          <x:t xml:space="preserve">601137</x:t>
        </x:is>
      </x:c>
      <x:c r="C4083" s="5" t="inlineStr">
        <x:is>
          <x:t xml:space="preserve">博威合金</x:t>
        </x:is>
      </x:c>
      <x:c r="D4083" s="5" t="inlineStr">
        <x:is>
          <x:t xml:space="preserve">宁波博威合金材料股份有限公司</x:t>
        </x:is>
      </x:c>
      <x:c r="E4083" s="4" t="inlineStr">
        <x:is>
          <x:t xml:space="preserve">浙江省</x:t>
        </x:is>
      </x:c>
      <x:c r="F4083" s="4" t="inlineStr">
        <x:is>
          <x:t xml:space="preserve">宁波市</x:t>
        </x:is>
      </x:c>
      <x:c r="G4083" s="5" t="inlineStr">
        <x:is>
          <x:t xml:space="preserve">浙江省-宁波市</x:t>
        </x:is>
      </x:c>
      <x:c r="H4083" s="4" t="inlineStr">
        <x:is>
          <x:t xml:space="preserve">有色金属</x:t>
        </x:is>
      </x:c>
      <x:c r="I4083" s="4" t="inlineStr">
        <x:is>
          <x:t xml:space="preserve">2011-01-27</x:t>
        </x:is>
      </x:c>
      <x:c r="J4083" s="5" t="inlineStr">
        <x:is>
          <x:t xml:space="preserve">浙江省宁波市鄞州区云龙镇太平桥</x:t>
        </x:is>
      </x:c>
      <x:c r="K4083" s="12" t="str">
        <x:f>LEFT("913302001445520238",18)</x:f>
        <x:v>913302001445520300</x:v>
      </x:c>
    </x:row>
    <x:row r="4084">
      <x:c r="A4084" s="2" t="n">
        <x:v>4083</x:v>
      </x:c>
      <x:c r="B4084" s="2" t="inlineStr">
        <x:is>
          <x:t xml:space="preserve">601177</x:t>
        </x:is>
      </x:c>
      <x:c r="C4084" s="3" t="inlineStr">
        <x:is>
          <x:t xml:space="preserve">杭齿前进</x:t>
        </x:is>
      </x:c>
      <x:c r="D4084" s="3" t="inlineStr">
        <x:is>
          <x:t xml:space="preserve">杭州前进齿轮箱集团股份有限公司</x:t>
        </x:is>
      </x:c>
      <x:c r="E4084" s="2" t="inlineStr">
        <x:is>
          <x:t xml:space="preserve">浙江省</x:t>
        </x:is>
      </x:c>
      <x:c r="F4084" s="2" t="inlineStr">
        <x:is>
          <x:t xml:space="preserve">杭州市</x:t>
        </x:is>
      </x:c>
      <x:c r="G4084" s="3" t="inlineStr">
        <x:is>
          <x:t xml:space="preserve">浙江省-杭州市</x:t>
        </x:is>
      </x:c>
      <x:c r="H4084" s="2" t="inlineStr">
        <x:is>
          <x:t xml:space="preserve">机械行业</x:t>
        </x:is>
      </x:c>
      <x:c r="I4084" s="2" t="inlineStr">
        <x:is>
          <x:t xml:space="preserve">2010-10-11</x:t>
        </x:is>
      </x:c>
      <x:c r="J4084" s="3" t="inlineStr">
        <x:is>
          <x:t xml:space="preserve">浙江省杭州市萧山区萧金路45号</x:t>
        </x:is>
      </x:c>
      <x:c r="K4084" s="12" t="str">
        <x:f>LEFT("91330000704277673W",18)</x:f>
        <x:v>91330000704277673W</x:v>
      </x:c>
    </x:row>
    <x:row r="4085">
      <x:c r="A4085" s="4" t="n">
        <x:v>4084</x:v>
      </x:c>
      <x:c r="B4085" s="4" t="inlineStr">
        <x:is>
          <x:t xml:space="preserve">601233</x:t>
        </x:is>
      </x:c>
      <x:c r="C4085" s="5" t="inlineStr">
        <x:is>
          <x:t xml:space="preserve">桐昆股份</x:t>
        </x:is>
      </x:c>
      <x:c r="D4085" s="5" t="inlineStr">
        <x:is>
          <x:t xml:space="preserve">桐昆集团股份有限公司</x:t>
        </x:is>
      </x:c>
      <x:c r="E4085" s="4" t="inlineStr">
        <x:is>
          <x:t xml:space="preserve">浙江省</x:t>
        </x:is>
      </x:c>
      <x:c r="F4085" s="4" t="inlineStr">
        <x:is>
          <x:t xml:space="preserve">江省桐乡市</x:t>
        </x:is>
      </x:c>
      <x:c r="G4085" s="5" t="inlineStr">
        <x:is>
          <x:t xml:space="preserve">浙江省-江省桐乡市</x:t>
        </x:is>
      </x:c>
      <x:c r="H4085" s="4" t="inlineStr">
        <x:is>
          <x:t xml:space="preserve">化纤行业</x:t>
        </x:is>
      </x:c>
      <x:c r="I4085" s="4" t="inlineStr">
        <x:is>
          <x:t xml:space="preserve">2011-05-18</x:t>
        </x:is>
      </x:c>
      <x:c r="J4085" s="5" t="inlineStr">
        <x:is>
          <x:t xml:space="preserve">浙江省桐乡市洲泉镇德胜路1号12幢</x:t>
        </x:is>
      </x:c>
      <x:c r="K4085" s="12" t="str">
        <x:f>LEFT("91330000146846252J",18)</x:f>
        <x:v>91330000146846252J</x:v>
      </x:c>
    </x:row>
    <x:row r="4086">
      <x:c r="A4086" s="2" t="n">
        <x:v>4085</x:v>
      </x:c>
      <x:c r="B4086" s="2" t="inlineStr">
        <x:is>
          <x:t xml:space="preserve">601339</x:t>
        </x:is>
      </x:c>
      <x:c r="C4086" s="3" t="inlineStr">
        <x:is>
          <x:t xml:space="preserve">百隆东方</x:t>
        </x:is>
      </x:c>
      <x:c r="D4086" s="3" t="inlineStr">
        <x:is>
          <x:t xml:space="preserve">百隆东方股份有限公司</x:t>
        </x:is>
      </x:c>
      <x:c r="E4086" s="2" t="inlineStr">
        <x:is>
          <x:t xml:space="preserve">浙江省</x:t>
        </x:is>
      </x:c>
      <x:c r="F4086" s="2" t="inlineStr">
        <x:is>
          <x:t xml:space="preserve">宁波市</x:t>
        </x:is>
      </x:c>
      <x:c r="G4086" s="3" t="inlineStr">
        <x:is>
          <x:t xml:space="preserve">浙江省-宁波市</x:t>
        </x:is>
      </x:c>
      <x:c r="H4086" s="2" t="inlineStr">
        <x:is>
          <x:t xml:space="preserve">纺织服装</x:t>
        </x:is>
      </x:c>
      <x:c r="I4086" s="2" t="inlineStr">
        <x:is>
          <x:t xml:space="preserve">2012-06-12</x:t>
        </x:is>
      </x:c>
      <x:c r="J4086" s="3" t="inlineStr">
        <x:is>
          <x:t xml:space="preserve">浙江省宁波市镇海区骆驼街道南二东路1号</x:t>
        </x:is>
      </x:c>
      <x:c r="K4086" s="12" t="str">
        <x:f>LEFT("913302007614542424",18)</x:f>
        <x:v>913302007614542500</x:v>
      </x:c>
    </x:row>
    <x:row r="4087">
      <x:c r="A4087" s="4" t="n">
        <x:v>4086</x:v>
      </x:c>
      <x:c r="B4087" s="4" t="inlineStr">
        <x:is>
          <x:t xml:space="preserve">601515</x:t>
        </x:is>
      </x:c>
      <x:c r="C4087" s="5" t="inlineStr">
        <x:is>
          <x:t xml:space="preserve">衢州东峰</x:t>
        </x:is>
      </x:c>
      <x:c r="D4087" s="5" t="inlineStr">
        <x:is>
          <x:t xml:space="preserve">衢州东峰新材料集团股份有限公司</x:t>
        </x:is>
      </x:c>
      <x:c r="E4087" s="4" t="inlineStr">
        <x:is>
          <x:t xml:space="preserve">浙江省</x:t>
        </x:is>
      </x:c>
      <x:c r="F4087" s="4" t="inlineStr">
        <x:is>
          <x:t xml:space="preserve">衢州市</x:t>
        </x:is>
      </x:c>
      <x:c r="G4087" s="5" t="inlineStr">
        <x:is>
          <x:t xml:space="preserve">浙江省-衢州市</x:t>
        </x:is>
      </x:c>
      <x:c r="H4087" s="4" t="inlineStr">
        <x:is>
          <x:t xml:space="preserve">包装材料</x:t>
        </x:is>
      </x:c>
      <x:c r="I4087" s="4" t="inlineStr">
        <x:is>
          <x:t xml:space="preserve">2012-02-16</x:t>
        </x:is>
      </x:c>
      <x:c r="J4087" s="5" t="inlineStr">
        <x:is>
          <x:t xml:space="preserve">浙江省衢州市柯城区新新街道世纪大道677号602室</x:t>
        </x:is>
      </x:c>
      <x:c r="K4087" s="12" t="str">
        <x:f>LEFT("914405001928763487",18)</x:f>
        <x:v>914405001928763500</x:v>
      </x:c>
    </x:row>
    <x:row r="4088">
      <x:c r="A4088" s="2" t="n">
        <x:v>4087</x:v>
      </x:c>
      <x:c r="B4088" s="2" t="inlineStr">
        <x:is>
          <x:t xml:space="preserve">601528</x:t>
        </x:is>
      </x:c>
      <x:c r="C4088" s="3" t="inlineStr">
        <x:is>
          <x:t xml:space="preserve">瑞丰银行</x:t>
        </x:is>
      </x:c>
      <x:c r="D4088" s="3" t="inlineStr">
        <x:is>
          <x:t xml:space="preserve">浙江绍兴瑞丰农村商业银行股份有限公司</x:t>
        </x:is>
      </x:c>
      <x:c r="E4088" s="2" t="inlineStr">
        <x:is>
          <x:t xml:space="preserve">浙江省</x:t>
        </x:is>
      </x:c>
      <x:c r="F4088" s="2" t="inlineStr">
        <x:is>
          <x:t xml:space="preserve">绍兴市</x:t>
        </x:is>
      </x:c>
      <x:c r="G4088" s="3" t="inlineStr">
        <x:is>
          <x:t xml:space="preserve">浙江省-绍兴市</x:t>
        </x:is>
      </x:c>
      <x:c r="H4088" s="2" t="inlineStr">
        <x:is>
          <x:t xml:space="preserve">银行</x:t>
        </x:is>
      </x:c>
      <x:c r="I4088" s="2" t="inlineStr">
        <x:is>
          <x:t xml:space="preserve">2021-06-25</x:t>
        </x:is>
      </x:c>
      <x:c r="J4088" s="3" t="inlineStr">
        <x:is>
          <x:t xml:space="preserve">浙江省绍兴市柯桥区柯桥笛扬路1363号</x:t>
        </x:is>
      </x:c>
      <x:c r="K4088" s="12" t="str">
        <x:f>LEFT("91330600145965997H",18)</x:f>
        <x:v>91330600145965997H</x:v>
      </x:c>
    </x:row>
    <x:row r="4089">
      <x:c r="A4089" s="4" t="n">
        <x:v>4088</x:v>
      </x:c>
      <x:c r="B4089" s="4" t="inlineStr">
        <x:is>
          <x:t xml:space="preserve">601567</x:t>
        </x:is>
      </x:c>
      <x:c r="C4089" s="5" t="inlineStr">
        <x:is>
          <x:t xml:space="preserve">三星医疗</x:t>
        </x:is>
      </x:c>
      <x:c r="D4089" s="5" t="inlineStr">
        <x:is>
          <x:t xml:space="preserve">宁波三星医疗电气股份有限公司</x:t>
        </x:is>
      </x:c>
      <x:c r="E4089" s="4" t="inlineStr">
        <x:is>
          <x:t xml:space="preserve">浙江省</x:t>
        </x:is>
      </x:c>
      <x:c r="F4089" s="4" t="inlineStr">
        <x:is>
          <x:t xml:space="preserve">宁波市</x:t>
        </x:is>
      </x:c>
      <x:c r="G4089" s="5" t="inlineStr">
        <x:is>
          <x:t xml:space="preserve">浙江省-宁波市</x:t>
        </x:is>
      </x:c>
      <x:c r="H4089" s="4" t="inlineStr">
        <x:is>
          <x:t xml:space="preserve">电网设备</x:t>
        </x:is>
      </x:c>
      <x:c r="I4089" s="4" t="inlineStr">
        <x:is>
          <x:t xml:space="preserve">2011-06-15</x:t>
        </x:is>
      </x:c>
      <x:c r="J4089" s="5" t="inlineStr">
        <x:is>
          <x:t xml:space="preserve">宁波市鄞州工业园区(宁波市鄞州区姜山镇)</x:t>
        </x:is>
      </x:c>
      <x:c r="K4089" s="12" t="str">
        <x:f>LEFT("9133020079603386X0",18)</x:f>
        <x:v>9133020079603386X0</x:v>
      </x:c>
    </x:row>
    <x:row r="4090">
      <x:c r="A4090" s="2" t="n">
        <x:v>4089</x:v>
      </x:c>
      <x:c r="B4090" s="2" t="inlineStr">
        <x:is>
          <x:t xml:space="preserve">601579</x:t>
        </x:is>
      </x:c>
      <x:c r="C4090" s="3" t="inlineStr">
        <x:is>
          <x:t xml:space="preserve">会稽山</x:t>
        </x:is>
      </x:c>
      <x:c r="D4090" s="3" t="inlineStr">
        <x:is>
          <x:t xml:space="preserve">会稽山绍兴酒股份有限公司</x:t>
        </x:is>
      </x:c>
      <x:c r="E4090" s="2" t="inlineStr">
        <x:is>
          <x:t xml:space="preserve">浙江省</x:t>
        </x:is>
      </x:c>
      <x:c r="F4090" s="2" t="inlineStr">
        <x:is>
          <x:t xml:space="preserve">绍兴市</x:t>
        </x:is>
      </x:c>
      <x:c r="G4090" s="3" t="inlineStr">
        <x:is>
          <x:t xml:space="preserve">浙江省-绍兴市</x:t>
        </x:is>
      </x:c>
      <x:c r="H4090" s="2" t="inlineStr">
        <x:is>
          <x:t xml:space="preserve">酿酒行业</x:t>
        </x:is>
      </x:c>
      <x:c r="I4090" s="2" t="inlineStr">
        <x:is>
          <x:t xml:space="preserve">2014-08-25</x:t>
        </x:is>
      </x:c>
      <x:c r="J4090" s="3" t="inlineStr">
        <x:is>
          <x:t xml:space="preserve">浙江省绍兴市柯桥区湖塘街道杨绍路2579号</x:t>
        </x:is>
      </x:c>
      <x:c r="K4090" s="12" t="str">
        <x:f>LEFT("91330000609661933L",18)</x:f>
        <x:v>91330000609661933L</x:v>
      </x:c>
    </x:row>
    <x:row r="4091">
      <x:c r="A4091" s="4" t="n">
        <x:v>4090</x:v>
      </x:c>
      <x:c r="B4091" s="4" t="inlineStr">
        <x:is>
          <x:t xml:space="preserve">601599</x:t>
        </x:is>
      </x:c>
      <x:c r="C4091" s="5" t="inlineStr">
        <x:is>
          <x:t xml:space="preserve">浙文影业</x:t>
        </x:is>
      </x:c>
      <x:c r="D4091" s="5" t="inlineStr">
        <x:is>
          <x:t xml:space="preserve">浙文影业集团股份有限公司</x:t>
        </x:is>
      </x:c>
      <x:c r="E4091" s="4" t="inlineStr">
        <x:is>
          <x:t xml:space="preserve">浙江省</x:t>
        </x:is>
      </x:c>
      <x:c r="F4091" s="4" t="inlineStr">
        <x:is>
          <x:t xml:space="preserve">杭州市</x:t>
        </x:is>
      </x:c>
      <x:c r="G4091" s="5" t="inlineStr">
        <x:is>
          <x:t xml:space="preserve">浙江省-杭州市</x:t>
        </x:is>
      </x:c>
      <x:c r="H4091" s="4" t="inlineStr">
        <x:is>
          <x:t xml:space="preserve">纺织服装</x:t>
        </x:is>
      </x:c>
      <x:c r="I4091" s="4" t="inlineStr">
        <x:is>
          <x:t xml:space="preserve">2011-05-27</x:t>
        </x:is>
      </x:c>
      <x:c r="J4091" s="5" t="inlineStr">
        <x:is>
          <x:t xml:space="preserve">浙江省杭州市上城区白云路16号102室</x:t>
        </x:is>
      </x:c>
      <x:c r="K4091" s="12" t="str">
        <x:f>LEFT("91320500746203699Q",18)</x:f>
        <x:v>91320500746203699Q</x:v>
      </x:c>
    </x:row>
    <x:row r="4092">
      <x:c r="A4092" s="2" t="n">
        <x:v>4091</x:v>
      </x:c>
      <x:c r="B4092" s="2" t="inlineStr">
        <x:is>
          <x:t xml:space="preserve">601609</x:t>
        </x:is>
      </x:c>
      <x:c r="C4092" s="3" t="inlineStr">
        <x:is>
          <x:t xml:space="preserve">金田股份</x:t>
        </x:is>
      </x:c>
      <x:c r="D4092" s="3" t="inlineStr">
        <x:is>
          <x:t xml:space="preserve">宁波金田铜业(集团)股份有限公司</x:t>
        </x:is>
      </x:c>
      <x:c r="E4092" s="2" t="inlineStr">
        <x:is>
          <x:t xml:space="preserve">浙江省</x:t>
        </x:is>
      </x:c>
      <x:c r="F4092" s="2" t="inlineStr">
        <x:is>
          <x:t xml:space="preserve">宁波市</x:t>
        </x:is>
      </x:c>
      <x:c r="G4092" s="3" t="inlineStr">
        <x:is>
          <x:t xml:space="preserve">浙江省-宁波市</x:t>
        </x:is>
      </x:c>
      <x:c r="H4092" s="2" t="inlineStr">
        <x:is>
          <x:t xml:space="preserve">有色金属</x:t>
        </x:is>
      </x:c>
      <x:c r="I4092" s="2" t="inlineStr">
        <x:is>
          <x:t xml:space="preserve">2020-04-22</x:t>
        </x:is>
      </x:c>
      <x:c r="J4092" s="3" t="inlineStr">
        <x:is>
          <x:t xml:space="preserve">浙江省宁波市慈城镇城西西路1号</x:t>
        </x:is>
      </x:c>
      <x:c r="K4092" s="12" t="str">
        <x:f>LEFT("91330200144229592C",18)</x:f>
        <x:v>91330200144229592C</x:v>
      </x:c>
    </x:row>
    <x:row r="4093">
      <x:c r="A4093" s="4" t="n">
        <x:v>4092</x:v>
      </x:c>
      <x:c r="B4093" s="4" t="inlineStr">
        <x:is>
          <x:t xml:space="preserve">601689</x:t>
        </x:is>
      </x:c>
      <x:c r="C4093" s="5" t="inlineStr">
        <x:is>
          <x:t xml:space="preserve">拓普集团</x:t>
        </x:is>
      </x:c>
      <x:c r="D4093" s="5" t="inlineStr">
        <x:is>
          <x:t xml:space="preserve">宁波拓普集团股份有限公司</x:t>
        </x:is>
      </x:c>
      <x:c r="E4093" s="4" t="inlineStr">
        <x:is>
          <x:t xml:space="preserve">浙江省</x:t>
        </x:is>
      </x:c>
      <x:c r="F4093" s="4" t="inlineStr">
        <x:is>
          <x:t xml:space="preserve">宁波市</x:t>
        </x:is>
      </x:c>
      <x:c r="G4093" s="5" t="inlineStr">
        <x:is>
          <x:t xml:space="preserve">浙江省-宁波市</x:t>
        </x:is>
      </x:c>
      <x:c r="H4093" s="4" t="inlineStr">
        <x:is>
          <x:t xml:space="preserve">汽车行业</x:t>
        </x:is>
      </x:c>
      <x:c r="I4093" s="4" t="inlineStr">
        <x:is>
          <x:t xml:space="preserve">2015-03-19</x:t>
        </x:is>
      </x:c>
      <x:c r="J4093" s="5" t="inlineStr">
        <x:is>
          <x:t xml:space="preserve">浙江省宁波市北仑区大碶街道育王山路268号</x:t>
        </x:is>
      </x:c>
      <x:c r="K4093" s="12" t="str">
        <x:f>LEFT("91330200761450380T",18)</x:f>
        <x:v>91330200761450380T</x:v>
      </x:c>
    </x:row>
    <x:row r="4094">
      <x:c r="A4094" s="2" t="n">
        <x:v>4093</x:v>
      </x:c>
      <x:c r="B4094" s="2" t="inlineStr">
        <x:is>
          <x:t xml:space="preserve">601789</x:t>
        </x:is>
      </x:c>
      <x:c r="C4094" s="3" t="inlineStr">
        <x:is>
          <x:t xml:space="preserve">宁波建工</x:t>
        </x:is>
      </x:c>
      <x:c r="D4094" s="3" t="inlineStr">
        <x:is>
          <x:t xml:space="preserve">宁波建工股份有限公司</x:t>
        </x:is>
      </x:c>
      <x:c r="E4094" s="2" t="inlineStr">
        <x:is>
          <x:t xml:space="preserve">浙江省</x:t>
        </x:is>
      </x:c>
      <x:c r="F4094" s="2" t="inlineStr">
        <x:is>
          <x:t xml:space="preserve">宁波市</x:t>
        </x:is>
      </x:c>
      <x:c r="G4094" s="3" t="inlineStr">
        <x:is>
          <x:t xml:space="preserve">浙江省-宁波市</x:t>
        </x:is>
      </x:c>
      <x:c r="H4094" s="2" t="inlineStr">
        <x:is>
          <x:t xml:space="preserve">工程建设</x:t>
        </x:is>
      </x:c>
      <x:c r="I4094" s="2" t="inlineStr">
        <x:is>
          <x:t xml:space="preserve">2011-08-16</x:t>
        </x:is>
      </x:c>
      <x:c r="J4094" s="3" t="inlineStr">
        <x:is>
          <x:t xml:space="preserve">浙江省宁波市鄞州区兴宁路46号</x:t>
        </x:is>
      </x:c>
      <x:c r="K4094" s="12" t="str">
        <x:f>LEFT("91330200768520599R",18)</x:f>
        <x:v>91330200768520599R</x:v>
      </x:c>
    </x:row>
    <x:row r="4095">
      <x:c r="A4095" s="4" t="n">
        <x:v>4094</x:v>
      </x:c>
      <x:c r="B4095" s="4" t="inlineStr">
        <x:is>
          <x:t xml:space="preserve">601865</x:t>
        </x:is>
      </x:c>
      <x:c r="C4095" s="5" t="inlineStr">
        <x:is>
          <x:t xml:space="preserve">福莱特</x:t>
        </x:is>
      </x:c>
      <x:c r="D4095" s="5" t="inlineStr">
        <x:is>
          <x:t xml:space="preserve">福莱特玻璃集团股份有限公司</x:t>
        </x:is>
      </x:c>
      <x:c r="E4095" s="4" t="inlineStr">
        <x:is>
          <x:t xml:space="preserve">浙江省</x:t>
        </x:is>
      </x:c>
      <x:c r="F4095" s="4" t="inlineStr">
        <x:is>
          <x:t xml:space="preserve">嘉兴市</x:t>
        </x:is>
      </x:c>
      <x:c r="G4095" s="5" t="inlineStr">
        <x:is>
          <x:t xml:space="preserve">浙江省-嘉兴市</x:t>
        </x:is>
      </x:c>
      <x:c r="H4095" s="4" t="inlineStr">
        <x:is>
          <x:t xml:space="preserve">光伏设备</x:t>
        </x:is>
      </x:c>
      <x:c r="I4095" s="4" t="inlineStr">
        <x:is>
          <x:t xml:space="preserve">2019-02-15</x:t>
        </x:is>
      </x:c>
      <x:c r="J4095" s="5" t="inlineStr">
        <x:is>
          <x:t xml:space="preserve">浙江省嘉兴市秀洲区运河路1999号</x:t>
        </x:is>
      </x:c>
      <x:c r="K4095" s="12" t="str">
        <x:f>LEFT("913300007044053729",18)</x:f>
        <x:v>913300007044053800</x:v>
      </x:c>
    </x:row>
    <x:row r="4096">
      <x:c r="A4096" s="2" t="n">
        <x:v>4095</x:v>
      </x:c>
      <x:c r="B4096" s="2" t="inlineStr">
        <x:is>
          <x:t xml:space="preserve">601877</x:t>
        </x:is>
      </x:c>
      <x:c r="C4096" s="3" t="inlineStr">
        <x:is>
          <x:t xml:space="preserve">正泰电器</x:t>
        </x:is>
      </x:c>
      <x:c r="D4096" s="3" t="inlineStr">
        <x:is>
          <x:t xml:space="preserve">浙江正泰电器股份有限公司</x:t>
        </x:is>
      </x:c>
      <x:c r="E4096" s="2" t="inlineStr">
        <x:is>
          <x:t xml:space="preserve">浙江省</x:t>
        </x:is>
      </x:c>
      <x:c r="F4096" s="2" t="inlineStr">
        <x:is>
          <x:t xml:space="preserve">江省乐清市</x:t>
        </x:is>
      </x:c>
      <x:c r="G4096" s="3" t="inlineStr">
        <x:is>
          <x:t xml:space="preserve">浙江省-江省乐清市</x:t>
        </x:is>
      </x:c>
      <x:c r="H4096" s="2" t="inlineStr">
        <x:is>
          <x:t xml:space="preserve">输配电气</x:t>
        </x:is>
      </x:c>
      <x:c r="I4096" s="2" t="inlineStr">
        <x:is>
          <x:t xml:space="preserve">2010-01-21</x:t>
        </x:is>
      </x:c>
      <x:c r="J4096" s="3" t="inlineStr">
        <x:is>
          <x:t xml:space="preserve">浙江省乐清市北白象镇正泰工业园区正泰路1号</x:t>
        </x:is>
      </x:c>
      <x:c r="K4096" s="12" t="str">
        <x:f>LEFT("91330000142944445H",18)</x:f>
        <x:v>91330000142944445H</x:v>
      </x:c>
    </x:row>
    <x:row r="4097">
      <x:c r="A4097" s="4" t="n">
        <x:v>4096</x:v>
      </x:c>
      <x:c r="B4097" s="4" t="inlineStr">
        <x:is>
          <x:t xml:space="preserve">601878</x:t>
        </x:is>
      </x:c>
      <x:c r="C4097" s="5" t="inlineStr">
        <x:is>
          <x:t xml:space="preserve">浙商证券</x:t>
        </x:is>
      </x:c>
      <x:c r="D4097" s="5" t="inlineStr">
        <x:is>
          <x:t xml:space="preserve">浙商证券股份有限公司</x:t>
        </x:is>
      </x:c>
      <x:c r="E4097" s="4" t="inlineStr">
        <x:is>
          <x:t xml:space="preserve">浙江省</x:t>
        </x:is>
      </x:c>
      <x:c r="F4097" s="4" t="inlineStr">
        <x:is>
          <x:t xml:space="preserve">杭州市</x:t>
        </x:is>
      </x:c>
      <x:c r="G4097" s="5" t="inlineStr">
        <x:is>
          <x:t xml:space="preserve">浙江省-杭州市</x:t>
        </x:is>
      </x:c>
      <x:c r="H4097" s="4" t="inlineStr">
        <x:is>
          <x:t xml:space="preserve">券商信托</x:t>
        </x:is>
      </x:c>
      <x:c r="I4097" s="4" t="inlineStr">
        <x:is>
          <x:t xml:space="preserve">2017-06-26</x:t>
        </x:is>
      </x:c>
      <x:c r="J4097" s="5" t="inlineStr">
        <x:is>
          <x:t xml:space="preserve">浙江省杭州市上城区五星路201号</x:t>
        </x:is>
      </x:c>
      <x:c r="K4097" s="12" t="str">
        <x:f>LEFT("91330000738442972K",18)</x:f>
        <x:v>91330000738442972K</x:v>
      </x:c>
    </x:row>
    <x:row r="4098">
      <x:c r="A4098" s="2" t="n">
        <x:v>4097</x:v>
      </x:c>
      <x:c r="B4098" s="2" t="inlineStr">
        <x:is>
          <x:t xml:space="preserve">601882</x:t>
        </x:is>
      </x:c>
      <x:c r="C4098" s="3" t="inlineStr">
        <x:is>
          <x:t xml:space="preserve">海天精工</x:t>
        </x:is>
      </x:c>
      <x:c r="D4098" s="3" t="inlineStr">
        <x:is>
          <x:t xml:space="preserve">宁波海天精工股份有限公司</x:t>
        </x:is>
      </x:c>
      <x:c r="E4098" s="2" t="inlineStr">
        <x:is>
          <x:t xml:space="preserve">浙江省</x:t>
        </x:is>
      </x:c>
      <x:c r="F4098" s="2" t="inlineStr">
        <x:is>
          <x:t xml:space="preserve">宁波市</x:t>
        </x:is>
      </x:c>
      <x:c r="G4098" s="3" t="inlineStr">
        <x:is>
          <x:t xml:space="preserve">浙江省-宁波市</x:t>
        </x:is>
      </x:c>
      <x:c r="H4098" s="2" t="inlineStr">
        <x:is>
          <x:t xml:space="preserve">机械行业</x:t>
        </x:is>
      </x:c>
      <x:c r="I4098" s="2" t="inlineStr">
        <x:is>
          <x:t xml:space="preserve">2016-11-07</x:t>
        </x:is>
      </x:c>
      <x:c r="J4098" s="3" t="inlineStr">
        <x:is>
          <x:t xml:space="preserve">宁波市北仑区黄山西路235号</x:t>
        </x:is>
      </x:c>
      <x:c r="K4098" s="12" t="str">
        <x:f>LEFT("91330200736960784B",18)</x:f>
        <x:v>91330200736960784B</x:v>
      </x:c>
    </x:row>
    <x:row r="4099">
      <x:c r="A4099" s="4" t="n">
        <x:v>4098</x:v>
      </x:c>
      <x:c r="B4099" s="4" t="inlineStr">
        <x:is>
          <x:t xml:space="preserve">601916</x:t>
        </x:is>
      </x:c>
      <x:c r="C4099" s="5" t="inlineStr">
        <x:is>
          <x:t xml:space="preserve">浙商银行</x:t>
        </x:is>
      </x:c>
      <x:c r="D4099" s="5" t="inlineStr">
        <x:is>
          <x:t xml:space="preserve">浙商银行股份有限公司</x:t>
        </x:is>
      </x:c>
      <x:c r="E4099" s="4" t="inlineStr">
        <x:is>
          <x:t xml:space="preserve">浙江省</x:t>
        </x:is>
      </x:c>
      <x:c r="F4099" s="4" t="inlineStr">
        <x:is>
          <x:t xml:space="preserve">杭州市</x:t>
        </x:is>
      </x:c>
      <x:c r="G4099" s="5" t="inlineStr">
        <x:is>
          <x:t xml:space="preserve">浙江省-杭州市</x:t>
        </x:is>
      </x:c>
      <x:c r="H4099" s="4" t="inlineStr">
        <x:is>
          <x:t xml:space="preserve">银行</x:t>
        </x:is>
      </x:c>
      <x:c r="I4099" s="4" t="inlineStr">
        <x:is>
          <x:t xml:space="preserve">2019-11-26</x:t>
        </x:is>
      </x:c>
      <x:c r="J4099" s="5" t="inlineStr">
        <x:is>
          <x:t xml:space="preserve">中国浙江省杭州市萧山区鸿宁路1788号</x:t>
        </x:is>
      </x:c>
      <x:c r="K4099" s="12" t="str">
        <x:f>LEFT("91330000761336668H",18)</x:f>
        <x:v>91330000761336668H</x:v>
      </x:c>
    </x:row>
    <x:row r="4100">
      <x:c r="A4100" s="2" t="n">
        <x:v>4099</x:v>
      </x:c>
      <x:c r="B4100" s="2" t="inlineStr">
        <x:is>
          <x:t xml:space="preserve">601921</x:t>
        </x:is>
      </x:c>
      <x:c r="C4100" s="3" t="inlineStr">
        <x:is>
          <x:t xml:space="preserve">浙版传媒</x:t>
        </x:is>
      </x:c>
      <x:c r="D4100" s="3" t="inlineStr">
        <x:is>
          <x:t xml:space="preserve">浙江出版传媒股份有限公司</x:t>
        </x:is>
      </x:c>
      <x:c r="E4100" s="2" t="inlineStr">
        <x:is>
          <x:t xml:space="preserve">浙江省</x:t>
        </x:is>
      </x:c>
      <x:c r="F4100" s="2" t="inlineStr">
        <x:is>
          <x:t xml:space="preserve">杭州市</x:t>
        </x:is>
      </x:c>
      <x:c r="G4100" s="3" t="inlineStr">
        <x:is>
          <x:t xml:space="preserve">浙江省-杭州市</x:t>
        </x:is>
      </x:c>
      <x:c r="H4100" s="2" t="inlineStr">
        <x:is>
          <x:t xml:space="preserve">文化传媒</x:t>
        </x:is>
      </x:c>
      <x:c r="I4100" s="2" t="inlineStr">
        <x:is>
          <x:t xml:space="preserve">2021-07-23</x:t>
        </x:is>
      </x:c>
      <x:c r="J4100" s="3" t="inlineStr">
        <x:is>
          <x:t xml:space="preserve">浙江省杭州市拱墅区环城北路177号浙江数字出版大楼1幢21层</x:t>
        </x:is>
      </x:c>
      <x:c r="K4100" s="12" t="str">
        <x:f>LEFT("91330000MA27U05D9C",18)</x:f>
        <x:v>91330000MA27U05D9C</x:v>
      </x:c>
    </x:row>
    <x:row r="4101">
      <x:c r="A4101" s="4" t="n">
        <x:v>4100</x:v>
      </x:c>
      <x:c r="B4101" s="4" t="inlineStr">
        <x:is>
          <x:t xml:space="preserve">603001</x:t>
        </x:is>
      </x:c>
      <x:c r="C4101" s="5" t="inlineStr">
        <x:is>
          <x:t xml:space="preserve">奥康国际</x:t>
        </x:is>
      </x:c>
      <x:c r="D4101" s="5" t="inlineStr">
        <x:is>
          <x:t xml:space="preserve">浙江奥康鞋业股份有限公司</x:t>
        </x:is>
      </x:c>
      <x:c r="E4101" s="4" t="inlineStr">
        <x:is>
          <x:t xml:space="preserve">浙江省</x:t>
        </x:is>
      </x:c>
      <x:c r="F4101" s="4" t="inlineStr">
        <x:is>
          <x:t xml:space="preserve">温州市</x:t>
        </x:is>
      </x:c>
      <x:c r="G4101" s="5" t="inlineStr">
        <x:is>
          <x:t xml:space="preserve">浙江省-温州市</x:t>
        </x:is>
      </x:c>
      <x:c r="H4101" s="4" t="inlineStr">
        <x:is>
          <x:t xml:space="preserve">纺织服装</x:t>
        </x:is>
      </x:c>
      <x:c r="I4101" s="4" t="inlineStr">
        <x:is>
          <x:t xml:space="preserve">2012-04-26</x:t>
        </x:is>
      </x:c>
      <x:c r="J4101" s="5" t="inlineStr">
        <x:is>
          <x:t xml:space="preserve">浙江省永嘉县瓯北镇东瓯工业区奥康工业园</x:t>
        </x:is>
      </x:c>
      <x:c r="K4101" s="12" t="str">
        <x:f>LEFT("9133000076251901XW",18)</x:f>
        <x:v>9133000076251901XW</x:v>
      </x:c>
    </x:row>
    <x:row r="4102">
      <x:c r="A4102" s="2" t="n">
        <x:v>4101</x:v>
      </x:c>
      <x:c r="B4102" s="2" t="inlineStr">
        <x:is>
          <x:t xml:space="preserve">603004</x:t>
        </x:is>
      </x:c>
      <x:c r="C4102" s="3" t="inlineStr">
        <x:is>
          <x:t xml:space="preserve">鼎龙科技</x:t>
        </x:is>
      </x:c>
      <x:c r="D4102" s="3" t="inlineStr">
        <x:is>
          <x:t xml:space="preserve">浙江鼎龙科技股份有限公司</x:t>
        </x:is>
      </x:c>
      <x:c r="E4102" s="2" t="inlineStr">
        <x:is>
          <x:t xml:space="preserve">浙江省</x:t>
        </x:is>
      </x:c>
      <x:c r="F4102" s="2" t="inlineStr">
        <x:is>
          <x:t xml:space="preserve">杭州市</x:t>
        </x:is>
      </x:c>
      <x:c r="G4102" s="3" t="inlineStr">
        <x:is>
          <x:t xml:space="preserve">浙江省-杭州市</x:t>
        </x:is>
      </x:c>
      <x:c r="H4102" s="2" t="inlineStr">
        <x:is>
          <x:t xml:space="preserve">化学原料</x:t>
        </x:is>
      </x:c>
      <x:c r="I4102" s="2" t="inlineStr">
        <x:is>
          <x:t xml:space="preserve">2023-12-27</x:t>
        </x:is>
      </x:c>
      <x:c r="J4102" s="3" t="inlineStr">
        <x:is>
          <x:t xml:space="preserve">浙江省杭州市钱塘区纬十路25号</x:t>
        </x:is>
      </x:c>
      <x:c r="K4102" s="12" t="str">
        <x:f>LEFT("91330100799653212H",18)</x:f>
        <x:v>91330100799653212H</x:v>
      </x:c>
    </x:row>
    <x:row r="4103">
      <x:c r="A4103" s="4" t="n">
        <x:v>4102</x:v>
      </x:c>
      <x:c r="B4103" s="4" t="inlineStr">
        <x:is>
          <x:t xml:space="preserve">603008</x:t>
        </x:is>
      </x:c>
      <x:c r="C4103" s="5" t="inlineStr">
        <x:is>
          <x:t xml:space="preserve">喜临门</x:t>
        </x:is>
      </x:c>
      <x:c r="D4103" s="5" t="inlineStr">
        <x:is>
          <x:t xml:space="preserve">喜临门健康睡眠科技股份公司</x:t>
        </x:is>
      </x:c>
      <x:c r="E4103" s="4" t="inlineStr">
        <x:is>
          <x:t xml:space="preserve">浙江省</x:t>
        </x:is>
      </x:c>
      <x:c r="F4103" s="4" t="inlineStr">
        <x:is>
          <x:t xml:space="preserve">绍兴市</x:t>
        </x:is>
      </x:c>
      <x:c r="G4103" s="5" t="inlineStr">
        <x:is>
          <x:t xml:space="preserve">浙江省-绍兴市</x:t>
        </x:is>
      </x:c>
      <x:c r="H4103" s="4" t="inlineStr">
        <x:is>
          <x:t xml:space="preserve">木业家具</x:t>
        </x:is>
      </x:c>
      <x:c r="I4103" s="4" t="inlineStr">
        <x:is>
          <x:t xml:space="preserve">2012-07-17</x:t>
        </x:is>
      </x:c>
      <x:c r="J4103" s="5" t="inlineStr">
        <x:is>
          <x:t xml:space="preserve">浙江省绍兴市越城区灵芝镇二环北路1号</x:t>
        </x:is>
      </x:c>
      <x:c r="K4103" s="12" t="str">
        <x:f>LEFT("91330000143011639A",18)</x:f>
        <x:v>91330000143011639A</x:v>
      </x:c>
    </x:row>
    <x:row r="4104">
      <x:c r="A4104" s="2" t="n">
        <x:v>4103</x:v>
      </x:c>
      <x:c r="B4104" s="2" t="inlineStr">
        <x:is>
          <x:t xml:space="preserve">603010</x:t>
        </x:is>
      </x:c>
      <x:c r="C4104" s="3" t="inlineStr">
        <x:is>
          <x:t xml:space="preserve">万盛股份</x:t>
        </x:is>
      </x:c>
      <x:c r="D4104" s="3" t="inlineStr">
        <x:is>
          <x:t xml:space="preserve">浙江万盛股份有限公司</x:t>
        </x:is>
      </x:c>
      <x:c r="E4104" s="2" t="inlineStr">
        <x:is>
          <x:t xml:space="preserve">浙江省</x:t>
        </x:is>
      </x:c>
      <x:c r="F4104" s="2" t="inlineStr">
        <x:is>
          <x:t xml:space="preserve">临海市</x:t>
        </x:is>
      </x:c>
      <x:c r="G4104" s="3" t="inlineStr">
        <x:is>
          <x:t xml:space="preserve">浙江省-临海市</x:t>
        </x:is>
      </x:c>
      <x:c r="H4104" s="2" t="inlineStr">
        <x:is>
          <x:t xml:space="preserve">化学制品</x:t>
        </x:is>
      </x:c>
      <x:c r="I4104" s="2" t="inlineStr">
        <x:is>
          <x:t xml:space="preserve">2014-10-10</x:t>
        </x:is>
      </x:c>
      <x:c r="J4104" s="3" t="inlineStr">
        <x:is>
          <x:t xml:space="preserve">临海市城关两水开发区</x:t>
        </x:is>
      </x:c>
      <x:c r="K4104" s="12" t="str">
        <x:f>LEFT("913300002552164796",18)</x:f>
        <x:v>913300002552164700</x:v>
      </x:c>
    </x:row>
    <x:row r="4105">
      <x:c r="A4105" s="4" t="n">
        <x:v>4104</x:v>
      </x:c>
      <x:c r="B4105" s="4" t="inlineStr">
        <x:is>
          <x:t xml:space="preserve">603015</x:t>
        </x:is>
      </x:c>
      <x:c r="C4105" s="5" t="inlineStr">
        <x:is>
          <x:t xml:space="preserve">弘讯科技</x:t>
        </x:is>
      </x:c>
      <x:c r="D4105" s="5" t="inlineStr">
        <x:is>
          <x:t xml:space="preserve">宁波弘讯科技股份有限公司</x:t>
        </x:is>
      </x:c>
      <x:c r="E4105" s="4" t="inlineStr">
        <x:is>
          <x:t xml:space="preserve">浙江省</x:t>
        </x:is>
      </x:c>
      <x:c r="F4105" s="4" t="inlineStr">
        <x:is>
          <x:t xml:space="preserve">宁波市</x:t>
        </x:is>
      </x:c>
      <x:c r="G4105" s="5" t="inlineStr">
        <x:is>
          <x:t xml:space="preserve">浙江省-宁波市</x:t>
        </x:is>
      </x:c>
      <x:c r="H4105" s="4" t="inlineStr">
        <x:is>
          <x:t xml:space="preserve">专用设备</x:t>
        </x:is>
      </x:c>
      <x:c r="I4105" s="4" t="inlineStr">
        <x:is>
          <x:t xml:space="preserve">2015-03-03</x:t>
        </x:is>
      </x:c>
      <x:c r="J4105" s="5" t="inlineStr">
        <x:is>
          <x:t xml:space="preserve">浙江省宁波市北仑区大港五路88号</x:t>
        </x:is>
      </x:c>
      <x:c r="K4105" s="12" t="str">
        <x:f>LEFT("91330200730181413W",18)</x:f>
        <x:v>91330200730181413W</x:v>
      </x:c>
    </x:row>
    <x:row r="4106">
      <x:c r="A4106" s="2" t="n">
        <x:v>4105</x:v>
      </x:c>
      <x:c r="B4106" s="2" t="inlineStr">
        <x:is>
          <x:t xml:space="preserve">603033</x:t>
        </x:is>
      </x:c>
      <x:c r="C4106" s="3" t="inlineStr">
        <x:is>
          <x:t xml:space="preserve">三维股份</x:t>
        </x:is>
      </x:c>
      <x:c r="D4106" s="3" t="inlineStr">
        <x:is>
          <x:t xml:space="preserve">三维控股集团股份有限公司</x:t>
        </x:is>
      </x:c>
      <x:c r="E4106" s="2" t="inlineStr">
        <x:is>
          <x:t xml:space="preserve">浙江省</x:t>
        </x:is>
      </x:c>
      <x:c r="F4106" s="2" t="inlineStr">
        <x:is>
          <x:t xml:space="preserve">台州市</x:t>
        </x:is>
      </x:c>
      <x:c r="G4106" s="3" t="inlineStr">
        <x:is>
          <x:t xml:space="preserve">浙江省-台州市</x:t>
        </x:is>
      </x:c>
      <x:c r="H4106" s="2" t="inlineStr">
        <x:is>
          <x:t xml:space="preserve">橡胶制品</x:t>
        </x:is>
      </x:c>
      <x:c r="I4106" s="2" t="inlineStr">
        <x:is>
          <x:t xml:space="preserve">2016-12-07</x:t>
        </x:is>
      </x:c>
      <x:c r="J4106" s="3" t="inlineStr">
        <x:is>
          <x:t xml:space="preserve">浙江省台州市三门县海游街道光明中路518号</x:t>
        </x:is>
      </x:c>
      <x:c r="K4106" s="12" t="str">
        <x:f>LEFT("9133100014812902XL",18)</x:f>
        <x:v>9133100014812902XL</x:v>
      </x:c>
    </x:row>
    <x:row r="4107">
      <x:c r="A4107" s="4" t="n">
        <x:v>4106</x:v>
      </x:c>
      <x:c r="B4107" s="4" t="inlineStr">
        <x:is>
          <x:t xml:space="preserve">603040</x:t>
        </x:is>
      </x:c>
      <x:c r="C4107" s="5" t="inlineStr">
        <x:is>
          <x:t xml:space="preserve">新坐标</x:t>
        </x:is>
      </x:c>
      <x:c r="D4107" s="5" t="inlineStr">
        <x:is>
          <x:t xml:space="preserve">杭州新坐标科技股份有限公司</x:t>
        </x:is>
      </x:c>
      <x:c r="E4107" s="4" t="inlineStr">
        <x:is>
          <x:t xml:space="preserve">浙江省</x:t>
        </x:is>
      </x:c>
      <x:c r="F4107" s="4" t="inlineStr">
        <x:is>
          <x:t xml:space="preserve">杭州市</x:t>
        </x:is>
      </x:c>
      <x:c r="G4107" s="5" t="inlineStr">
        <x:is>
          <x:t xml:space="preserve">浙江省-杭州市</x:t>
        </x:is>
      </x:c>
      <x:c r="H4107" s="4" t="inlineStr">
        <x:is>
          <x:t xml:space="preserve">汽车零部件</x:t>
        </x:is>
      </x:c>
      <x:c r="I4107" s="4" t="inlineStr">
        <x:is>
          <x:t xml:space="preserve">2017-02-09</x:t>
        </x:is>
      </x:c>
      <x:c r="J4107" s="5" t="inlineStr">
        <x:is>
          <x:t xml:space="preserve">浙江省杭州市余杭区仓前街道龙潭路18号1-5幢(一照多址)</x:t>
        </x:is>
      </x:c>
      <x:c r="K4107" s="12" t="str">
        <x:f>LEFT("91330100742001328G",18)</x:f>
        <x:v>91330100742001328G</x:v>
      </x:c>
    </x:row>
    <x:row r="4108">
      <x:c r="A4108" s="2" t="n">
        <x:v>4107</x:v>
      </x:c>
      <x:c r="B4108" s="2" t="inlineStr">
        <x:is>
          <x:t xml:space="preserve">603045</x:t>
        </x:is>
      </x:c>
      <x:c r="C4108" s="3" t="inlineStr">
        <x:is>
          <x:t xml:space="preserve">福达合金</x:t>
        </x:is>
      </x:c>
      <x:c r="D4108" s="3" t="inlineStr">
        <x:is>
          <x:t xml:space="preserve">福达合金材料股份有限公司</x:t>
        </x:is>
      </x:c>
      <x:c r="E4108" s="2" t="inlineStr">
        <x:is>
          <x:t xml:space="preserve">浙江省</x:t>
        </x:is>
      </x:c>
      <x:c r="F4108" s="2" t="inlineStr">
        <x:is>
          <x:t xml:space="preserve">温州市</x:t>
        </x:is>
      </x:c>
      <x:c r="G4108" s="3" t="inlineStr">
        <x:is>
          <x:t xml:space="preserve">浙江省-温州市</x:t>
        </x:is>
      </x:c>
      <x:c r="H4108" s="2" t="inlineStr">
        <x:is>
          <x:t xml:space="preserve">有色金属</x:t>
        </x:is>
      </x:c>
      <x:c r="I4108" s="2" t="inlineStr">
        <x:is>
          <x:t xml:space="preserve">2018-05-17</x:t>
        </x:is>
      </x:c>
      <x:c r="J4108" s="3" t="inlineStr">
        <x:is>
          <x:t xml:space="preserve">浙江省温州经济技术开发区滨海四道518号</x:t>
        </x:is>
      </x:c>
      <x:c r="K4108" s="12" t="str">
        <x:f>LEFT("9133000014556603XA",18)</x:f>
        <x:v>9133000014556603XA</x:v>
      </x:c>
    </x:row>
    <x:row r="4109">
      <x:c r="A4109" s="4" t="n">
        <x:v>4108</x:v>
      </x:c>
      <x:c r="B4109" s="4" t="inlineStr">
        <x:is>
          <x:t xml:space="preserve">603048</x:t>
        </x:is>
      </x:c>
      <x:c r="C4109" s="5" t="inlineStr">
        <x:is>
          <x:t xml:space="preserve">浙江黎明</x:t>
        </x:is>
      </x:c>
      <x:c r="D4109" s="5" t="inlineStr">
        <x:is>
          <x:t xml:space="preserve">浙江黎明智造股份有限公司</x:t>
        </x:is>
      </x:c>
      <x:c r="E4109" s="4" t="inlineStr">
        <x:is>
          <x:t xml:space="preserve">浙江省</x:t>
        </x:is>
      </x:c>
      <x:c r="F4109" s="4" t="inlineStr">
        <x:is>
          <x:t xml:space="preserve">舟山市</x:t>
        </x:is>
      </x:c>
      <x:c r="G4109" s="5" t="inlineStr">
        <x:is>
          <x:t xml:space="preserve">浙江省-舟山市</x:t>
        </x:is>
      </x:c>
      <x:c r="H4109" s="4" t="inlineStr">
        <x:is>
          <x:t xml:space="preserve">汽车行业</x:t>
        </x:is>
      </x:c>
      <x:c r="I4109" s="4" t="inlineStr">
        <x:is>
          <x:t xml:space="preserve">2021-11-16</x:t>
        </x:is>
      </x:c>
      <x:c r="J4109" s="5" t="inlineStr">
        <x:is>
          <x:t xml:space="preserve">浙江省舟山高新技术产业园区新港园区弘禄大道</x:t>
        </x:is>
      </x:c>
      <x:c r="K4109" s="12" t="str">
        <x:f>LEFT("91330901148716005T",18)</x:f>
        <x:v>91330901148716005T</x:v>
      </x:c>
    </x:row>
    <x:row r="4110">
      <x:c r="A4110" s="2" t="n">
        <x:v>4109</x:v>
      </x:c>
      <x:c r="B4110" s="2" t="inlineStr">
        <x:is>
          <x:t xml:space="preserve">603049</x:t>
        </x:is>
      </x:c>
      <x:c r="C4110" s="3" t="inlineStr">
        <x:is>
          <x:t xml:space="preserve">中策橡胶</x:t>
        </x:is>
      </x:c>
      <x:c r="D4110" s="3" t="inlineStr">
        <x:is>
          <x:t xml:space="preserve">中策橡胶集团股份有限公司</x:t>
        </x:is>
      </x:c>
      <x:c r="E4110" s="2" t="inlineStr">
        <x:is>
          <x:t xml:space="preserve">浙江省</x:t>
        </x:is>
      </x:c>
      <x:c r="F4110" s="2" t="inlineStr">
        <x:is>
          <x:t xml:space="preserve">杭州市</x:t>
        </x:is>
      </x:c>
      <x:c r="G4110" s="3" t="inlineStr">
        <x:is>
          <x:t xml:space="preserve">浙江省-杭州市</x:t>
        </x:is>
      </x:c>
      <x:c r="H4110" s="2" t="inlineStr">
        <x:is>
          <x:t xml:space="preserve">--</x:t>
        </x:is>
      </x:c>
      <x:c r="I4110" s="2" t="inlineStr">
        <x:is>
          <x:t xml:space="preserve">2025-06-05</x:t>
        </x:is>
      </x:c>
      <x:c r="J4110" s="3" t="inlineStr">
        <x:is>
          <x:t xml:space="preserve">浙江省杭州市钱塘区1号大街1号</x:t>
        </x:is>
      </x:c>
      <x:c r="K4110" s="12" t="str">
        <x:f>LEFT("9133010060912074XW",18)</x:f>
        <x:v>9133010060912074XW</x:v>
      </x:c>
    </x:row>
    <x:row r="4111">
      <x:c r="A4111" s="4" t="n">
        <x:v>4110</x:v>
      </x:c>
      <x:c r="B4111" s="4" t="inlineStr">
        <x:is>
          <x:t xml:space="preserve">603055</x:t>
        </x:is>
      </x:c>
      <x:c r="C4111" s="5" t="inlineStr">
        <x:is>
          <x:t xml:space="preserve">台华新材</x:t>
        </x:is>
      </x:c>
      <x:c r="D4111" s="5" t="inlineStr">
        <x:is>
          <x:t xml:space="preserve">浙江台华新材料集团股份有限公司</x:t>
        </x:is>
      </x:c>
      <x:c r="E4111" s="4" t="inlineStr">
        <x:is>
          <x:t xml:space="preserve">浙江省</x:t>
        </x:is>
      </x:c>
      <x:c r="F4111" s="4" t="inlineStr">
        <x:is>
          <x:t xml:space="preserve">嘉兴市</x:t>
        </x:is>
      </x:c>
      <x:c r="G4111" s="5" t="inlineStr">
        <x:is>
          <x:t xml:space="preserve">浙江省-嘉兴市</x:t>
        </x:is>
      </x:c>
      <x:c r="H4111" s="4" t="inlineStr">
        <x:is>
          <x:t xml:space="preserve">纺织服装</x:t>
        </x:is>
      </x:c>
      <x:c r="I4111" s="4" t="inlineStr">
        <x:is>
          <x:t xml:space="preserve">2017-09-21</x:t>
        </x:is>
      </x:c>
      <x:c r="J4111" s="5" t="inlineStr">
        <x:is>
          <x:t xml:space="preserve">浙江省嘉兴市秀洲区王店镇工业园区</x:t>
        </x:is>
      </x:c>
      <x:c r="K4111" s="12" t="str">
        <x:f>LEFT("9133000072527923XB",18)</x:f>
        <x:v>9133000072527923XB</x:v>
      </x:c>
    </x:row>
    <x:row r="4112">
      <x:c r="A4112" s="2" t="n">
        <x:v>4111</x:v>
      </x:c>
      <x:c r="B4112" s="2" t="inlineStr">
        <x:is>
          <x:t xml:space="preserve">603070</x:t>
        </x:is>
      </x:c>
      <x:c r="C4112" s="3" t="inlineStr">
        <x:is>
          <x:t xml:space="preserve">万控智造</x:t>
        </x:is>
      </x:c>
      <x:c r="D4112" s="3" t="inlineStr">
        <x:is>
          <x:t xml:space="preserve">万控智造股份有限公司</x:t>
        </x:is>
      </x:c>
      <x:c r="E4112" s="2" t="inlineStr">
        <x:is>
          <x:t xml:space="preserve">浙江省</x:t>
        </x:is>
      </x:c>
      <x:c r="F4112" s="2" t="inlineStr">
        <x:is>
          <x:t xml:space="preserve">温州市</x:t>
        </x:is>
      </x:c>
      <x:c r="G4112" s="3" t="inlineStr">
        <x:is>
          <x:t xml:space="preserve">浙江省-温州市</x:t>
        </x:is>
      </x:c>
      <x:c r="H4112" s="2" t="inlineStr">
        <x:is>
          <x:t xml:space="preserve">电网设备</x:t>
        </x:is>
      </x:c>
      <x:c r="I4112" s="2" t="inlineStr">
        <x:is>
          <x:t xml:space="preserve">2022-03-10</x:t>
        </x:is>
      </x:c>
      <x:c r="J4112" s="3" t="inlineStr">
        <x:is>
          <x:t xml:space="preserve">浙江省乐清市北白象镇温州大桥工业园区万控智造大楼</x:t>
        </x:is>
      </x:c>
      <x:c r="K4112" s="12" t="str">
        <x:f>LEFT("91330382MA28657U43",18)</x:f>
        <x:v>91330382MA28657U43</x:v>
      </x:c>
    </x:row>
    <x:row r="4113">
      <x:c r="A4113" s="4" t="n">
        <x:v>4112</x:v>
      </x:c>
      <x:c r="B4113" s="4" t="inlineStr">
        <x:is>
          <x:t xml:space="preserve">603071</x:t>
        </x:is>
      </x:c>
      <x:c r="C4113" s="5" t="inlineStr">
        <x:is>
          <x:t xml:space="preserve">物产环能</x:t>
        </x:is>
      </x:c>
      <x:c r="D4113" s="5" t="inlineStr">
        <x:is>
          <x:t xml:space="preserve">浙江物产环保能源股份有限公司</x:t>
        </x:is>
      </x:c>
      <x:c r="E4113" s="4" t="inlineStr">
        <x:is>
          <x:t xml:space="preserve">浙江省</x:t>
        </x:is>
      </x:c>
      <x:c r="F4113" s="4" t="inlineStr">
        <x:is>
          <x:t xml:space="preserve">杭州市</x:t>
        </x:is>
      </x:c>
      <x:c r="G4113" s="5" t="inlineStr">
        <x:is>
          <x:t xml:space="preserve">浙江省-杭州市</x:t>
        </x:is>
      </x:c>
      <x:c r="H4113" s="4" t="inlineStr">
        <x:is>
          <x:t xml:space="preserve">国际贸易</x:t>
        </x:is>
      </x:c>
      <x:c r="I4113" s="4" t="inlineStr">
        <x:is>
          <x:t xml:space="preserve">2021-12-16</x:t>
        </x:is>
      </x:c>
      <x:c r="J4113" s="5" t="inlineStr">
        <x:is>
          <x:t xml:space="preserve">浙江省杭州市庆春路137号</x:t>
        </x:is>
      </x:c>
      <x:c r="K4113" s="12" t="str">
        <x:f>LEFT("91330000142911467W",18)</x:f>
        <x:v>91330000142911467W</x:v>
      </x:c>
    </x:row>
    <x:row r="4114">
      <x:c r="A4114" s="2" t="n">
        <x:v>4113</x:v>
      </x:c>
      <x:c r="B4114" s="2" t="inlineStr">
        <x:is>
          <x:t xml:space="preserve">603073</x:t>
        </x:is>
      </x:c>
      <x:c r="C4114" s="3" t="inlineStr">
        <x:is>
          <x:t xml:space="preserve">彩蝶实业</x:t>
        </x:is>
      </x:c>
      <x:c r="D4114" s="3" t="inlineStr">
        <x:is>
          <x:t xml:space="preserve">浙江彩蝶实业股份有限公司</x:t>
        </x:is>
      </x:c>
      <x:c r="E4114" s="2" t="inlineStr">
        <x:is>
          <x:t xml:space="preserve">浙江省</x:t>
        </x:is>
      </x:c>
      <x:c r="F4114" s="2" t="inlineStr">
        <x:is>
          <x:t xml:space="preserve">湖州市</x:t>
        </x:is>
      </x:c>
      <x:c r="G4114" s="3" t="inlineStr">
        <x:is>
          <x:t xml:space="preserve">浙江省-湖州市</x:t>
        </x:is>
      </x:c>
      <x:c r="H4114" s="2" t="inlineStr">
        <x:is>
          <x:t xml:space="preserve">纺织服装</x:t>
        </x:is>
      </x:c>
      <x:c r="I4114" s="2" t="inlineStr">
        <x:is>
          <x:t xml:space="preserve">2023-03-16</x:t>
        </x:is>
      </x:c>
      <x:c r="J4114" s="3" t="inlineStr">
        <x:is>
          <x:t xml:space="preserve">浙江省湖州市南浔区练市镇练溪大道999号</x:t>
        </x:is>
      </x:c>
      <x:c r="K4114" s="12" t="str">
        <x:f>LEFT("91330503745844451F",18)</x:f>
        <x:v>91330503745844451F</x:v>
      </x:c>
    </x:row>
    <x:row r="4115">
      <x:c r="A4115" s="4" t="n">
        <x:v>4114</x:v>
      </x:c>
      <x:c r="B4115" s="4" t="inlineStr">
        <x:is>
          <x:t xml:space="preserve">603075</x:t>
        </x:is>
      </x:c>
      <x:c r="C4115" s="5" t="inlineStr">
        <x:is>
          <x:t xml:space="preserve">热威股份</x:t>
        </x:is>
      </x:c>
      <x:c r="D4115" s="5" t="inlineStr">
        <x:is>
          <x:t xml:space="preserve">杭州热威电热科技股份有限公司</x:t>
        </x:is>
      </x:c>
      <x:c r="E4115" s="4" t="inlineStr">
        <x:is>
          <x:t xml:space="preserve">浙江省</x:t>
        </x:is>
      </x:c>
      <x:c r="F4115" s="4" t="inlineStr">
        <x:is>
          <x:t xml:space="preserve">杭州市</x:t>
        </x:is>
      </x:c>
      <x:c r="G4115" s="5" t="inlineStr">
        <x:is>
          <x:t xml:space="preserve">浙江省-杭州市</x:t>
        </x:is>
      </x:c>
      <x:c r="H4115" s="4" t="inlineStr">
        <x:is>
          <x:t xml:space="preserve">家电行业</x:t>
        </x:is>
      </x:c>
      <x:c r="I4115" s="4" t="inlineStr">
        <x:is>
          <x:t xml:space="preserve">2023-09-11</x:t>
        </x:is>
      </x:c>
      <x:c r="J4115" s="5" t="inlineStr">
        <x:is>
          <x:t xml:space="preserve">浙江省杭州市滨江区长河街道建业路576号</x:t>
        </x:is>
      </x:c>
      <x:c r="K4115" s="12" t="str">
        <x:f>LEFT("91330108737792778U",18)</x:f>
        <x:v>91330108737792778U</x:v>
      </x:c>
    </x:row>
    <x:row r="4116">
      <x:c r="A4116" s="2" t="n">
        <x:v>4115</x:v>
      </x:c>
      <x:c r="B4116" s="2" t="inlineStr">
        <x:is>
          <x:t xml:space="preserve">603076</x:t>
        </x:is>
      </x:c>
      <x:c r="C4116" s="3" t="inlineStr">
        <x:is>
          <x:t xml:space="preserve">乐惠国际</x:t>
        </x:is>
      </x:c>
      <x:c r="D4116" s="3" t="inlineStr">
        <x:is>
          <x:t xml:space="preserve">宁波乐惠国际工程装备股份有限公司</x:t>
        </x:is>
      </x:c>
      <x:c r="E4116" s="2" t="inlineStr">
        <x:is>
          <x:t xml:space="preserve">浙江省</x:t>
        </x:is>
      </x:c>
      <x:c r="F4116" s="2" t="inlineStr">
        <x:is>
          <x:t xml:space="preserve">宁波市</x:t>
        </x:is>
      </x:c>
      <x:c r="G4116" s="3" t="inlineStr">
        <x:is>
          <x:t xml:space="preserve">浙江省-宁波市</x:t>
        </x:is>
      </x:c>
      <x:c r="H4116" s="2" t="inlineStr">
        <x:is>
          <x:t xml:space="preserve">专用设备</x:t>
        </x:is>
      </x:c>
      <x:c r="I4116" s="2" t="inlineStr">
        <x:is>
          <x:t xml:space="preserve">2017-11-13</x:t>
        </x:is>
      </x:c>
      <x:c r="J4116" s="3" t="inlineStr">
        <x:is>
          <x:t xml:space="preserve">浙江省宁波市象山县西周镇朝晖路1号</x:t>
        </x:is>
      </x:c>
      <x:c r="K4116" s="12" t="str">
        <x:f>LEFT("91330225711184811C",18)</x:f>
        <x:v>91330225711184811C</x:v>
      </x:c>
    </x:row>
    <x:row r="4117">
      <x:c r="A4117" s="4" t="n">
        <x:v>4116</x:v>
      </x:c>
      <x:c r="B4117" s="4" t="inlineStr">
        <x:is>
          <x:t xml:space="preserve">603079</x:t>
        </x:is>
      </x:c>
      <x:c r="C4117" s="5" t="inlineStr">
        <x:is>
          <x:t xml:space="preserve">圣达生物</x:t>
        </x:is>
      </x:c>
      <x:c r="D4117" s="5" t="inlineStr">
        <x:is>
          <x:t xml:space="preserve">浙江圣达生物药业股份有限公司</x:t>
        </x:is>
      </x:c>
      <x:c r="E4117" s="4" t="inlineStr">
        <x:is>
          <x:t xml:space="preserve">浙江省</x:t>
        </x:is>
      </x:c>
      <x:c r="F4117" s="4" t="inlineStr">
        <x:is>
          <x:t xml:space="preserve">台州市</x:t>
        </x:is>
      </x:c>
      <x:c r="G4117" s="5" t="inlineStr">
        <x:is>
          <x:t xml:space="preserve">浙江省-台州市</x:t>
        </x:is>
      </x:c>
      <x:c r="H4117" s="4" t="inlineStr">
        <x:is>
          <x:t xml:space="preserve">食品饮料</x:t>
        </x:is>
      </x:c>
      <x:c r="I4117" s="4" t="inlineStr">
        <x:is>
          <x:t xml:space="preserve">2017-08-23</x:t>
        </x:is>
      </x:c>
      <x:c r="J4117" s="5" t="inlineStr">
        <x:is>
          <x:t xml:space="preserve">浙江省天台县赤城街道人民东路789号</x:t>
        </x:is>
      </x:c>
      <x:c r="K4117" s="12" t="str">
        <x:f>LEFT("9133100070471153X3",18)</x:f>
        <x:v>9133100070471153X3</x:v>
      </x:c>
    </x:row>
    <x:row r="4118">
      <x:c r="A4118" s="2" t="n">
        <x:v>4117</x:v>
      </x:c>
      <x:c r="B4118" s="2" t="inlineStr">
        <x:is>
          <x:t xml:space="preserve">603081</x:t>
        </x:is>
      </x:c>
      <x:c r="C4118" s="3" t="inlineStr">
        <x:is>
          <x:t xml:space="preserve">大丰实业</x:t>
        </x:is>
      </x:c>
      <x:c r="D4118" s="3" t="inlineStr">
        <x:is>
          <x:t xml:space="preserve">浙江大丰实业股份有限公司</x:t>
        </x:is>
      </x:c>
      <x:c r="E4118" s="2" t="inlineStr">
        <x:is>
          <x:t xml:space="preserve">浙江省</x:t>
        </x:is>
      </x:c>
      <x:c r="F4118" s="2" t="inlineStr">
        <x:is>
          <x:t xml:space="preserve">余姚市</x:t>
        </x:is>
      </x:c>
      <x:c r="G4118" s="3" t="inlineStr">
        <x:is>
          <x:t xml:space="preserve">浙江省-余姚市</x:t>
        </x:is>
      </x:c>
      <x:c r="H4118" s="2" t="inlineStr">
        <x:is>
          <x:t xml:space="preserve">专用设备</x:t>
        </x:is>
      </x:c>
      <x:c r="I4118" s="2" t="inlineStr">
        <x:is>
          <x:t xml:space="preserve">2017-04-20</x:t>
        </x:is>
      </x:c>
      <x:c r="J4118" s="3" t="inlineStr">
        <x:is>
          <x:t xml:space="preserve">余姚市阳明科技工业园区新建北路737号</x:t>
        </x:is>
      </x:c>
      <x:c r="K4118" s="12" t="str">
        <x:f>LEFT("913302007342813661",18)</x:f>
        <x:v>913302007342813700</x:v>
      </x:c>
    </x:row>
    <x:row r="4119">
      <x:c r="A4119" s="4" t="n">
        <x:v>4118</x:v>
      </x:c>
      <x:c r="B4119" s="4" t="inlineStr">
        <x:is>
          <x:t xml:space="preserve">603085</x:t>
        </x:is>
      </x:c>
      <x:c r="C4119" s="5" t="inlineStr">
        <x:is>
          <x:t xml:space="preserve">天成自控</x:t>
        </x:is>
      </x:c>
      <x:c r="D4119" s="5" t="inlineStr">
        <x:is>
          <x:t xml:space="preserve">浙江天成自控股份有限公司</x:t>
        </x:is>
      </x:c>
      <x:c r="E4119" s="4" t="inlineStr">
        <x:is>
          <x:t xml:space="preserve">浙江省</x:t>
        </x:is>
      </x:c>
      <x:c r="F4119" s="4" t="inlineStr">
        <x:is>
          <x:t xml:space="preserve">台州市</x:t>
        </x:is>
      </x:c>
      <x:c r="G4119" s="5" t="inlineStr">
        <x:is>
          <x:t xml:space="preserve">浙江省-台州市</x:t>
        </x:is>
      </x:c>
      <x:c r="H4119" s="4" t="inlineStr">
        <x:is>
          <x:t xml:space="preserve">汽车零部件</x:t>
        </x:is>
      </x:c>
      <x:c r="I4119" s="4" t="inlineStr">
        <x:is>
          <x:t xml:space="preserve">2015-06-30</x:t>
        </x:is>
      </x:c>
      <x:c r="J4119" s="5" t="inlineStr">
        <x:is>
          <x:t xml:space="preserve">浙江省天台县西工业区</x:t>
        </x:is>
      </x:c>
      <x:c r="K4119" s="12" t="str">
        <x:f>LEFT("91330000704715960K",18)</x:f>
        <x:v>91330000704715960K</x:v>
      </x:c>
    </x:row>
    <x:row r="4120">
      <x:c r="A4120" s="2" t="n">
        <x:v>4119</x:v>
      </x:c>
      <x:c r="B4120" s="2" t="inlineStr">
        <x:is>
          <x:t xml:space="preserve">603088</x:t>
        </x:is>
      </x:c>
      <x:c r="C4120" s="3" t="inlineStr">
        <x:is>
          <x:t xml:space="preserve">宁波精达</x:t>
        </x:is>
      </x:c>
      <x:c r="D4120" s="3" t="inlineStr">
        <x:is>
          <x:t xml:space="preserve">宁波精达成形装备股份有限公司</x:t>
        </x:is>
      </x:c>
      <x:c r="E4120" s="2" t="inlineStr">
        <x:is>
          <x:t xml:space="preserve">浙江省</x:t>
        </x:is>
      </x:c>
      <x:c r="F4120" s="2" t="inlineStr">
        <x:is>
          <x:t xml:space="preserve">宁波市</x:t>
        </x:is>
      </x:c>
      <x:c r="G4120" s="3" t="inlineStr">
        <x:is>
          <x:t xml:space="preserve">浙江省-宁波市</x:t>
        </x:is>
      </x:c>
      <x:c r="H4120" s="2" t="inlineStr">
        <x:is>
          <x:t xml:space="preserve">通用设备</x:t>
        </x:is>
      </x:c>
      <x:c r="I4120" s="2" t="inlineStr">
        <x:is>
          <x:t xml:space="preserve">2014-11-11</x:t>
        </x:is>
      </x:c>
      <x:c r="J4120" s="3" t="inlineStr">
        <x:is>
          <x:t xml:space="preserve">浙江省宁波市江北投资创业园区</x:t>
        </x:is>
      </x:c>
      <x:c r="K4120" s="12" t="str">
        <x:f>LEFT("91330200742151748P",18)</x:f>
        <x:v>91330200742151748P</x:v>
      </x:c>
    </x:row>
    <x:row r="4121">
      <x:c r="A4121" s="4" t="n">
        <x:v>4120</x:v>
      </x:c>
      <x:c r="B4121" s="4" t="inlineStr">
        <x:is>
          <x:t xml:space="preserve">603089</x:t>
        </x:is>
      </x:c>
      <x:c r="C4121" s="5" t="inlineStr">
        <x:is>
          <x:t xml:space="preserve">正裕工业</x:t>
        </x:is>
      </x:c>
      <x:c r="D4121" s="5" t="inlineStr">
        <x:is>
          <x:t xml:space="preserve">浙江正裕工业股份有限公司</x:t>
        </x:is>
      </x:c>
      <x:c r="E4121" s="4" t="inlineStr">
        <x:is>
          <x:t xml:space="preserve">浙江省</x:t>
        </x:is>
      </x:c>
      <x:c r="F4121" s="4" t="inlineStr">
        <x:is>
          <x:t xml:space="preserve">江省玉环市</x:t>
        </x:is>
      </x:c>
      <x:c r="G4121" s="5" t="inlineStr">
        <x:is>
          <x:t xml:space="preserve">浙江省-江省玉环市</x:t>
        </x:is>
      </x:c>
      <x:c r="H4121" s="4" t="inlineStr">
        <x:is>
          <x:t xml:space="preserve">汽车行业</x:t>
        </x:is>
      </x:c>
      <x:c r="I4121" s="4" t="inlineStr">
        <x:is>
          <x:t xml:space="preserve">2017-01-26</x:t>
        </x:is>
      </x:c>
      <x:c r="J4121" s="5" t="inlineStr">
        <x:is>
          <x:t xml:space="preserve">浙江省玉环市经济开发区正裕路1号</x:t>
        </x:is>
      </x:c>
      <x:c r="K4121" s="12" t="str">
        <x:f>LEFT("913310001484027193",18)</x:f>
        <x:v>913310001484027100</x:v>
      </x:c>
    </x:row>
    <x:row r="4122">
      <x:c r="A4122" s="2" t="n">
        <x:v>4121</x:v>
      </x:c>
      <x:c r="B4122" s="2" t="inlineStr">
        <x:is>
          <x:t xml:space="preserve">603091</x:t>
        </x:is>
      </x:c>
      <x:c r="C4122" s="3" t="inlineStr">
        <x:is>
          <x:t xml:space="preserve">众鑫股份</x:t>
        </x:is>
      </x:c>
      <x:c r="D4122" s="3" t="inlineStr">
        <x:is>
          <x:t xml:space="preserve">浙江众鑫环保科技集团股份有限公司</x:t>
        </x:is>
      </x:c>
      <x:c r="E4122" s="2" t="inlineStr">
        <x:is>
          <x:t xml:space="preserve">浙江省</x:t>
        </x:is>
      </x:c>
      <x:c r="F4122" s="2" t="inlineStr">
        <x:is>
          <x:t xml:space="preserve">金华市</x:t>
        </x:is>
      </x:c>
      <x:c r="G4122" s="3" t="inlineStr">
        <x:is>
          <x:t xml:space="preserve">浙江省-金华市</x:t>
        </x:is>
      </x:c>
      <x:c r="H4122" s="2" t="inlineStr">
        <x:is>
          <x:t xml:space="preserve">家用轻工</x:t>
        </x:is>
      </x:c>
      <x:c r="I4122" s="2" t="inlineStr">
        <x:is>
          <x:t xml:space="preserve">2024-09-20</x:t>
        </x:is>
      </x:c>
      <x:c r="J4122" s="3" t="inlineStr">
        <x:is>
          <x:t xml:space="preserve">浙江省金华市兰溪市永昌街道永盛路1号</x:t>
        </x:is>
      </x:c>
      <x:c r="K4122" s="12" t="str">
        <x:f>LEFT("91330781MA28D9BJ99",18)</x:f>
        <x:v>91330781MA28D9BJ99</x:v>
      </x:c>
    </x:row>
    <x:row r="4123">
      <x:c r="A4123" s="4" t="n">
        <x:v>4122</x:v>
      </x:c>
      <x:c r="B4123" s="4" t="inlineStr">
        <x:is>
          <x:t xml:space="preserve">603093</x:t>
        </x:is>
      </x:c>
      <x:c r="C4123" s="5" t="inlineStr">
        <x:is>
          <x:t xml:space="preserve">南华期货</x:t>
        </x:is>
      </x:c>
      <x:c r="D4123" s="5" t="inlineStr">
        <x:is>
          <x:t xml:space="preserve">南华期货股份有限公司</x:t>
        </x:is>
      </x:c>
      <x:c r="E4123" s="4" t="inlineStr">
        <x:is>
          <x:t xml:space="preserve">浙江省</x:t>
        </x:is>
      </x:c>
      <x:c r="F4123" s="4" t="inlineStr">
        <x:is>
          <x:t xml:space="preserve">杭州市</x:t>
        </x:is>
      </x:c>
      <x:c r="G4123" s="5" t="inlineStr">
        <x:is>
          <x:t xml:space="preserve">浙江省-杭州市</x:t>
        </x:is>
      </x:c>
      <x:c r="H4123" s="4" t="inlineStr">
        <x:is>
          <x:t xml:space="preserve">多元金融</x:t>
        </x:is>
      </x:c>
      <x:c r="I4123" s="4" t="inlineStr">
        <x:is>
          <x:t xml:space="preserve">2019-08-30</x:t>
        </x:is>
      </x:c>
      <x:c r="J4123" s="5" t="inlineStr">
        <x:is>
          <x:t xml:space="preserve">浙江省杭州市上城区横店大厦301室、401室、501室、701室、901室、1001室、1101室、1201室</x:t>
        </x:is>
      </x:c>
      <x:c r="K4123" s="12" t="str">
        <x:f>LEFT("91330000100023242A",18)</x:f>
        <x:v>91330000100023242A</x:v>
      </x:c>
    </x:row>
    <x:row r="4124">
      <x:c r="A4124" s="2" t="n">
        <x:v>4123</x:v>
      </x:c>
      <x:c r="B4124" s="2" t="inlineStr">
        <x:is>
          <x:t xml:space="preserve">603095</x:t>
        </x:is>
      </x:c>
      <x:c r="C4124" s="3" t="inlineStr">
        <x:is>
          <x:t xml:space="preserve">越剑智能</x:t>
        </x:is>
      </x:c>
      <x:c r="D4124" s="3" t="inlineStr">
        <x:is>
          <x:t xml:space="preserve">浙江越剑智能装备股份有限公司</x:t>
        </x:is>
      </x:c>
      <x:c r="E4124" s="2" t="inlineStr">
        <x:is>
          <x:t xml:space="preserve">浙江省</x:t>
        </x:is>
      </x:c>
      <x:c r="F4124" s="2" t="inlineStr">
        <x:is>
          <x:t xml:space="preserve">绍兴市</x:t>
        </x:is>
      </x:c>
      <x:c r="G4124" s="3" t="inlineStr">
        <x:is>
          <x:t xml:space="preserve">浙江省-绍兴市</x:t>
        </x:is>
      </x:c>
      <x:c r="H4124" s="2" t="inlineStr">
        <x:is>
          <x:t xml:space="preserve">专用设备</x:t>
        </x:is>
      </x:c>
      <x:c r="I4124" s="2" t="inlineStr">
        <x:is>
          <x:t xml:space="preserve">2020-04-15</x:t>
        </x:is>
      </x:c>
      <x:c r="J4124" s="3" t="inlineStr">
        <x:is>
          <x:t xml:space="preserve">浙江省绍兴市柯桥区齐贤街道壶瓶山路688号</x:t>
        </x:is>
      </x:c>
      <x:c r="K4124" s="12" t="str">
        <x:f>LEFT("91330621721077606P",18)</x:f>
        <x:v>91330621721077606P</x:v>
      </x:c>
    </x:row>
    <x:row r="4125">
      <x:c r="A4125" s="4" t="n">
        <x:v>4124</x:v>
      </x:c>
      <x:c r="B4125" s="4" t="inlineStr">
        <x:is>
          <x:t xml:space="preserve">603103</x:t>
        </x:is>
      </x:c>
      <x:c r="C4125" s="5" t="inlineStr">
        <x:is>
          <x:t xml:space="preserve">横店影视</x:t>
        </x:is>
      </x:c>
      <x:c r="D4125" s="5" t="inlineStr">
        <x:is>
          <x:t xml:space="preserve">横店影视股份有限公司</x:t>
        </x:is>
      </x:c>
      <x:c r="E4125" s="4" t="inlineStr">
        <x:is>
          <x:t xml:space="preserve">浙江省</x:t>
        </x:is>
      </x:c>
      <x:c r="F4125" s="4" t="inlineStr">
        <x:is>
          <x:t xml:space="preserve">江省东阳市</x:t>
        </x:is>
      </x:c>
      <x:c r="G4125" s="5" t="inlineStr">
        <x:is>
          <x:t xml:space="preserve">浙江省-江省东阳市</x:t>
        </x:is>
      </x:c>
      <x:c r="H4125" s="4" t="inlineStr">
        <x:is>
          <x:t xml:space="preserve">文化传媒</x:t>
        </x:is>
      </x:c>
      <x:c r="I4125" s="4" t="inlineStr">
        <x:is>
          <x:t xml:space="preserve">2017-10-12</x:t>
        </x:is>
      </x:c>
      <x:c r="J4125" s="5" t="inlineStr">
        <x:is>
          <x:t xml:space="preserve">浙江省东阳市横店镇横店影视产业实验区商务楼</x:t>
        </x:is>
      </x:c>
      <x:c r="K4125" s="12" t="str">
        <x:f>LEFT("91330700681654885B",18)</x:f>
        <x:v>91330700681654885B</x:v>
      </x:c>
    </x:row>
    <x:row r="4126">
      <x:c r="A4126" s="2" t="n">
        <x:v>4125</x:v>
      </x:c>
      <x:c r="B4126" s="2" t="inlineStr">
        <x:is>
          <x:t xml:space="preserve">603105</x:t>
        </x:is>
      </x:c>
      <x:c r="C4126" s="3" t="inlineStr">
        <x:is>
          <x:t xml:space="preserve">芯能科技</x:t>
        </x:is>
      </x:c>
      <x:c r="D4126" s="3" t="inlineStr">
        <x:is>
          <x:t xml:space="preserve">浙江芯能光伏科技股份有限公司</x:t>
        </x:is>
      </x:c>
      <x:c r="E4126" s="2" t="inlineStr">
        <x:is>
          <x:t xml:space="preserve">浙江省</x:t>
        </x:is>
      </x:c>
      <x:c r="F4126" s="2" t="inlineStr">
        <x:is>
          <x:t xml:space="preserve">江省海宁市</x:t>
        </x:is>
      </x:c>
      <x:c r="G4126" s="3" t="inlineStr">
        <x:is>
          <x:t xml:space="preserve">浙江省-江省海宁市</x:t>
        </x:is>
      </x:c>
      <x:c r="H4126" s="2" t="inlineStr">
        <x:is>
          <x:t xml:space="preserve">光伏设备</x:t>
        </x:is>
      </x:c>
      <x:c r="I4126" s="2" t="inlineStr">
        <x:is>
          <x:t xml:space="preserve">2018-07-09</x:t>
        </x:is>
      </x:c>
      <x:c r="J4126" s="3" t="inlineStr">
        <x:is>
          <x:t xml:space="preserve">浙江省海宁市海昌街道施带路23号</x:t>
        </x:is>
      </x:c>
      <x:c r="K4126" s="12" t="str">
        <x:f>LEFT("91330400677231599U",18)</x:f>
        <x:v>91330400677231599U</x:v>
      </x:c>
    </x:row>
    <x:row r="4127">
      <x:c r="A4127" s="4" t="n">
        <x:v>4126</x:v>
      </x:c>
      <x:c r="B4127" s="4" t="inlineStr">
        <x:is>
          <x:t xml:space="preserve">603116</x:t>
        </x:is>
      </x:c>
      <x:c r="C4127" s="5" t="inlineStr">
        <x:is>
          <x:t xml:space="preserve">红蜻蜓</x:t>
        </x:is>
      </x:c>
      <x:c r="D4127" s="5" t="inlineStr">
        <x:is>
          <x:t xml:space="preserve">浙江红蜻蜓鞋业股份有限公司</x:t>
        </x:is>
      </x:c>
      <x:c r="E4127" s="4" t="inlineStr">
        <x:is>
          <x:t xml:space="preserve">浙江省</x:t>
        </x:is>
      </x:c>
      <x:c r="F4127" s="4" t="inlineStr">
        <x:is>
          <x:t xml:space="preserve">温州市</x:t>
        </x:is>
      </x:c>
      <x:c r="G4127" s="5" t="inlineStr">
        <x:is>
          <x:t xml:space="preserve">浙江省-温州市</x:t>
        </x:is>
      </x:c>
      <x:c r="H4127" s="4" t="inlineStr">
        <x:is>
          <x:t xml:space="preserve">纺织服装</x:t>
        </x:is>
      </x:c>
      <x:c r="I4127" s="4" t="inlineStr">
        <x:is>
          <x:t xml:space="preserve">2015-06-29</x:t>
        </x:is>
      </x:c>
      <x:c r="J4127" s="5" t="inlineStr">
        <x:is>
          <x:t xml:space="preserve">浙江省温州市永嘉县瓯北街道双塔路2357号</x:t>
        </x:is>
      </x:c>
      <x:c r="K4127" s="12" t="str">
        <x:f>LEFT("91330000667124503L",18)</x:f>
        <x:v>91330000667124503L</x:v>
      </x:c>
    </x:row>
    <x:row r="4128">
      <x:c r="A4128" s="2" t="n">
        <x:v>4127</x:v>
      </x:c>
      <x:c r="B4128" s="2" t="inlineStr">
        <x:is>
          <x:t xml:space="preserve">603119</x:t>
        </x:is>
      </x:c>
      <x:c r="C4128" s="3" t="inlineStr">
        <x:is>
          <x:t xml:space="preserve">浙江荣泰</x:t>
        </x:is>
      </x:c>
      <x:c r="D4128" s="3" t="inlineStr">
        <x:is>
          <x:t xml:space="preserve">浙江荣泰电工器材股份有限公司</x:t>
        </x:is>
      </x:c>
      <x:c r="E4128" s="2" t="inlineStr">
        <x:is>
          <x:t xml:space="preserve">浙江省</x:t>
        </x:is>
      </x:c>
      <x:c r="F4128" s="2" t="inlineStr">
        <x:is>
          <x:t xml:space="preserve">嘉兴市</x:t>
        </x:is>
      </x:c>
      <x:c r="G4128" s="3" t="inlineStr">
        <x:is>
          <x:t xml:space="preserve">浙江省-嘉兴市</x:t>
        </x:is>
      </x:c>
      <x:c r="H4128" s="2" t="inlineStr">
        <x:is>
          <x:t xml:space="preserve">非金属材料</x:t>
        </x:is>
      </x:c>
      <x:c r="I4128" s="2" t="inlineStr">
        <x:is>
          <x:t xml:space="preserve">2023-08-01</x:t>
        </x:is>
      </x:c>
      <x:c r="J4128" s="3" t="inlineStr">
        <x:is>
          <x:t xml:space="preserve">浙江省嘉兴市南湖区凤桥镇中兴路308号</x:t>
        </x:is>
      </x:c>
      <x:c r="K4128" s="12" t="str">
        <x:f>LEFT("91330402146568379P",18)</x:f>
        <x:v>91330402146568379P</x:v>
      </x:c>
    </x:row>
    <x:row r="4129">
      <x:c r="A4129" s="4" t="n">
        <x:v>4128</x:v>
      </x:c>
      <x:c r="B4129" s="4" t="inlineStr">
        <x:is>
          <x:t xml:space="preserve">603120</x:t>
        </x:is>
      </x:c>
      <x:c r="C4129" s="5" t="inlineStr">
        <x:is>
          <x:t xml:space="preserve">肯特催化</x:t>
        </x:is>
      </x:c>
      <x:c r="D4129" s="5" t="inlineStr">
        <x:is>
          <x:t xml:space="preserve">肯特催化材料股份有限公司</x:t>
        </x:is>
      </x:c>
      <x:c r="E4129" s="4" t="inlineStr">
        <x:is>
          <x:t xml:space="preserve">浙江省</x:t>
        </x:is>
      </x:c>
      <x:c r="F4129" s="4" t="inlineStr">
        <x:is>
          <x:t xml:space="preserve">台州市</x:t>
        </x:is>
      </x:c>
      <x:c r="G4129" s="5" t="inlineStr">
        <x:is>
          <x:t xml:space="preserve">浙江省-台州市</x:t>
        </x:is>
      </x:c>
      <x:c r="H4129" s="4" t="inlineStr">
        <x:is>
          <x:t xml:space="preserve">化学制品</x:t>
        </x:is>
      </x:c>
      <x:c r="I4129" s="4" t="inlineStr">
        <x:is>
          <x:t xml:space="preserve">2025-04-16</x:t>
        </x:is>
      </x:c>
      <x:c r="J4129" s="5" t="inlineStr">
        <x:is>
          <x:t xml:space="preserve">浙江省仙居县现代工业集聚区丰溪西路7号</x:t>
        </x:is>
      </x:c>
      <x:c r="K4129" s="12" t="str">
        <x:f>LEFT("91331024691297949N",18)</x:f>
        <x:v>91331024691297949N</x:v>
      </x:c>
    </x:row>
    <x:row r="4130">
      <x:c r="A4130" s="2" t="n">
        <x:v>4129</x:v>
      </x:c>
      <x:c r="B4130" s="2" t="inlineStr">
        <x:is>
          <x:t xml:space="preserve">603129</x:t>
        </x:is>
      </x:c>
      <x:c r="C4130" s="3" t="inlineStr">
        <x:is>
          <x:t xml:space="preserve">春风动力</x:t>
        </x:is>
      </x:c>
      <x:c r="D4130" s="3" t="inlineStr">
        <x:is>
          <x:t xml:space="preserve">浙江春风动力股份有限公司</x:t>
        </x:is>
      </x:c>
      <x:c r="E4130" s="2" t="inlineStr">
        <x:is>
          <x:t xml:space="preserve">浙江省</x:t>
        </x:is>
      </x:c>
      <x:c r="F4130" s="2" t="inlineStr">
        <x:is>
          <x:t xml:space="preserve">杭州市</x:t>
        </x:is>
      </x:c>
      <x:c r="G4130" s="3" t="inlineStr">
        <x:is>
          <x:t xml:space="preserve">浙江省-杭州市</x:t>
        </x:is>
      </x:c>
      <x:c r="H4130" s="2" t="inlineStr">
        <x:is>
          <x:t xml:space="preserve">交运设备</x:t>
        </x:is>
      </x:c>
      <x:c r="I4130" s="2" t="inlineStr">
        <x:is>
          <x:t xml:space="preserve">2017-08-18</x:t>
        </x:is>
      </x:c>
      <x:c r="J4130" s="3" t="inlineStr">
        <x:is>
          <x:t xml:space="preserve">浙江省杭州市临平区临平经济开发区五洲路116号</x:t>
        </x:is>
      </x:c>
      <x:c r="K4130" s="12" t="str">
        <x:f>LEFT("91330100757206158J",18)</x:f>
        <x:v>91330100757206158J</x:v>
      </x:c>
    </x:row>
    <x:row r="4131">
      <x:c r="A4131" s="4" t="n">
        <x:v>4130</x:v>
      </x:c>
      <x:c r="B4131" s="4" t="inlineStr">
        <x:is>
          <x:t xml:space="preserve">603130</x:t>
        </x:is>
      </x:c>
      <x:c r="C4131" s="5" t="inlineStr">
        <x:is>
          <x:t xml:space="preserve">云中马</x:t>
        </x:is>
      </x:c>
      <x:c r="D4131" s="5" t="inlineStr">
        <x:is>
          <x:t xml:space="preserve">浙江云中马股份有限公司</x:t>
        </x:is>
      </x:c>
      <x:c r="E4131" s="4" t="inlineStr">
        <x:is>
          <x:t xml:space="preserve">浙江省</x:t>
        </x:is>
      </x:c>
      <x:c r="F4131" s="4" t="inlineStr">
        <x:is>
          <x:t xml:space="preserve">丽水市</x:t>
        </x:is>
      </x:c>
      <x:c r="G4131" s="5" t="inlineStr">
        <x:is>
          <x:t xml:space="preserve">浙江省-丽水市</x:t>
        </x:is>
      </x:c>
      <x:c r="H4131" s="4" t="inlineStr">
        <x:is>
          <x:t xml:space="preserve">纺织服装</x:t>
        </x:is>
      </x:c>
      <x:c r="I4131" s="4" t="inlineStr">
        <x:is>
          <x:t xml:space="preserve">2022-11-18</x:t>
        </x:is>
      </x:c>
      <x:c r="J4131" s="5" t="inlineStr">
        <x:is>
          <x:t xml:space="preserve">浙江省丽水市松阳县望松街道王村工业区内</x:t>
        </x:is>
      </x:c>
      <x:c r="K4131" s="12" t="str">
        <x:f>LEFT("913311245623690963",18)</x:f>
        <x:v>913311245623691000</x:v>
      </x:c>
    </x:row>
    <x:row r="4132">
      <x:c r="A4132" s="2" t="n">
        <x:v>4131</x:v>
      </x:c>
      <x:c r="B4132" s="2" t="inlineStr">
        <x:is>
          <x:t xml:space="preserve">603165</x:t>
        </x:is>
      </x:c>
      <x:c r="C4132" s="3" t="inlineStr">
        <x:is>
          <x:t xml:space="preserve">荣晟环保</x:t>
        </x:is>
      </x:c>
      <x:c r="D4132" s="3" t="inlineStr">
        <x:is>
          <x:t xml:space="preserve">浙江荣晟环保纸业股份有限公司</x:t>
        </x:is>
      </x:c>
      <x:c r="E4132" s="2" t="inlineStr">
        <x:is>
          <x:t xml:space="preserve">浙江省</x:t>
        </x:is>
      </x:c>
      <x:c r="F4132" s="2" t="inlineStr">
        <x:is>
          <x:t xml:space="preserve">嘉兴市</x:t>
        </x:is>
      </x:c>
      <x:c r="G4132" s="3" t="inlineStr">
        <x:is>
          <x:t xml:space="preserve">浙江省-嘉兴市</x:t>
        </x:is>
      </x:c>
      <x:c r="H4132" s="2" t="inlineStr">
        <x:is>
          <x:t xml:space="preserve">造纸印刷</x:t>
        </x:is>
      </x:c>
      <x:c r="I4132" s="2" t="inlineStr">
        <x:is>
          <x:t xml:space="preserve">2017-01-17</x:t>
        </x:is>
      </x:c>
      <x:c r="J4132" s="3" t="inlineStr">
        <x:is>
          <x:t xml:space="preserve">浙江平湖经济开发区镇南东路588号</x:t>
        </x:is>
      </x:c>
      <x:c r="K4132" s="12" t="str">
        <x:f>LEFT("91330000710987081Q",18)</x:f>
        <x:v>91330000710987081Q</x:v>
      </x:c>
    </x:row>
    <x:row r="4133">
      <x:c r="A4133" s="4" t="n">
        <x:v>4132</x:v>
      </x:c>
      <x:c r="B4133" s="4" t="inlineStr">
        <x:is>
          <x:t xml:space="preserve">603168</x:t>
        </x:is>
      </x:c>
      <x:c r="C4133" s="5" t="inlineStr">
        <x:is>
          <x:t xml:space="preserve">莎普爱思</x:t>
        </x:is>
      </x:c>
      <x:c r="D4133" s="5" t="inlineStr">
        <x:is>
          <x:t xml:space="preserve">浙江莎普爱思药业股份有限公司</x:t>
        </x:is>
      </x:c>
      <x:c r="E4133" s="4" t="inlineStr">
        <x:is>
          <x:t xml:space="preserve">浙江省</x:t>
        </x:is>
      </x:c>
      <x:c r="F4133" s="4" t="inlineStr">
        <x:is>
          <x:t xml:space="preserve">江省平湖市</x:t>
        </x:is>
      </x:c>
      <x:c r="G4133" s="5" t="inlineStr">
        <x:is>
          <x:t xml:space="preserve">浙江省-江省平湖市</x:t>
        </x:is>
      </x:c>
      <x:c r="H4133" s="4" t="inlineStr">
        <x:is>
          <x:t xml:space="preserve">医药制造</x:t>
        </x:is>
      </x:c>
      <x:c r="I4133" s="4" t="inlineStr">
        <x:is>
          <x:t xml:space="preserve">2014-07-02</x:t>
        </x:is>
      </x:c>
      <x:c r="J4133" s="5" t="inlineStr">
        <x:is>
          <x:t xml:space="preserve">浙江省平湖市经济开发区新明路1588号</x:t>
        </x:is>
      </x:c>
      <x:c r="K4133" s="12" t="str">
        <x:f>LEFT("91330000146644116H",18)</x:f>
        <x:v>91330000146644116H</x:v>
      </x:c>
    </x:row>
    <x:row r="4134">
      <x:c r="A4134" s="2" t="n">
        <x:v>4133</x:v>
      </x:c>
      <x:c r="B4134" s="2" t="inlineStr">
        <x:is>
          <x:t xml:space="preserve">603171</x:t>
        </x:is>
      </x:c>
      <x:c r="C4134" s="3" t="inlineStr">
        <x:is>
          <x:t xml:space="preserve">税友股份</x:t>
        </x:is>
      </x:c>
      <x:c r="D4134" s="3" t="inlineStr">
        <x:is>
          <x:t xml:space="preserve">税友软件集团股份有限公司</x:t>
        </x:is>
      </x:c>
      <x:c r="E4134" s="2" t="inlineStr">
        <x:is>
          <x:t xml:space="preserve">浙江省</x:t>
        </x:is>
      </x:c>
      <x:c r="F4134" s="2" t="inlineStr">
        <x:is>
          <x:t xml:space="preserve">杭州市</x:t>
        </x:is>
      </x:c>
      <x:c r="G4134" s="3" t="inlineStr">
        <x:is>
          <x:t xml:space="preserve">浙江省-杭州市</x:t>
        </x:is>
      </x:c>
      <x:c r="H4134" s="2" t="inlineStr">
        <x:is>
          <x:t xml:space="preserve">互联网服务</x:t>
        </x:is>
      </x:c>
      <x:c r="I4134" s="2" t="inlineStr">
        <x:is>
          <x:t xml:space="preserve">2021-06-30</x:t>
        </x:is>
      </x:c>
      <x:c r="J4134" s="3" t="inlineStr">
        <x:is>
          <x:t xml:space="preserve">浙江省杭州市滨江区浦沿街道西浦路1015号</x:t>
        </x:is>
      </x:c>
      <x:c r="K4134" s="12" t="str">
        <x:f>LEFT("91330100719597557Y",18)</x:f>
        <x:v>91330100719597557Y</x:v>
      </x:c>
    </x:row>
    <x:row r="4135">
      <x:c r="A4135" s="4" t="n">
        <x:v>4134</x:v>
      </x:c>
      <x:c r="B4135" s="4" t="inlineStr">
        <x:is>
          <x:t xml:space="preserve">603172</x:t>
        </x:is>
      </x:c>
      <x:c r="C4135" s="5" t="inlineStr">
        <x:is>
          <x:t xml:space="preserve">万丰股份</x:t>
        </x:is>
      </x:c>
      <x:c r="D4135" s="5" t="inlineStr">
        <x:is>
          <x:t xml:space="preserve">浙江万丰化工股份有限公司</x:t>
        </x:is>
      </x:c>
      <x:c r="E4135" s="4" t="inlineStr">
        <x:is>
          <x:t xml:space="preserve">浙江省</x:t>
        </x:is>
      </x:c>
      <x:c r="F4135" s="4" t="inlineStr">
        <x:is>
          <x:t xml:space="preserve">绍兴市</x:t>
        </x:is>
      </x:c>
      <x:c r="G4135" s="5" t="inlineStr">
        <x:is>
          <x:t xml:space="preserve">浙江省-绍兴市</x:t>
        </x:is>
      </x:c>
      <x:c r="H4135" s="4" t="inlineStr">
        <x:is>
          <x:t xml:space="preserve">化学原料</x:t>
        </x:is>
      </x:c>
      <x:c r="I4135" s="4" t="inlineStr">
        <x:is>
          <x:t xml:space="preserve">2023-05-10</x:t>
        </x:is>
      </x:c>
      <x:c r="J4135" s="5" t="inlineStr">
        <x:is>
          <x:t xml:space="preserve">浙江省绍兴市柯桥区马鞍镇新二村</x:t>
        </x:is>
      </x:c>
      <x:c r="K4135" s="12" t="str">
        <x:f>LEFT("91330621755903566B",18)</x:f>
        <x:v>91330621755903566B</x:v>
      </x:c>
    </x:row>
    <x:row r="4136">
      <x:c r="A4136" s="2" t="n">
        <x:v>4135</x:v>
      </x:c>
      <x:c r="B4136" s="2" t="inlineStr">
        <x:is>
          <x:t xml:space="preserve">603173</x:t>
        </x:is>
      </x:c>
      <x:c r="C4136" s="3" t="inlineStr">
        <x:is>
          <x:t xml:space="preserve">福斯达</x:t>
        </x:is>
      </x:c>
      <x:c r="D4136" s="3" t="inlineStr">
        <x:is>
          <x:t xml:space="preserve">杭州福斯达深冷装备股份有限公司</x:t>
        </x:is>
      </x:c>
      <x:c r="E4136" s="2" t="inlineStr">
        <x:is>
          <x:t xml:space="preserve">浙江省</x:t>
        </x:is>
      </x:c>
      <x:c r="F4136" s="2" t="inlineStr">
        <x:is>
          <x:t xml:space="preserve">杭州市</x:t>
        </x:is>
      </x:c>
      <x:c r="G4136" s="3" t="inlineStr">
        <x:is>
          <x:t xml:space="preserve">浙江省-杭州市</x:t>
        </x:is>
      </x:c>
      <x:c r="H4136" s="2" t="inlineStr">
        <x:is>
          <x:t xml:space="preserve">通用设备</x:t>
        </x:is>
      </x:c>
      <x:c r="I4136" s="2" t="inlineStr">
        <x:is>
          <x:t xml:space="preserve">2023-01-30</x:t>
        </x:is>
      </x:c>
      <x:c r="J4136" s="3" t="inlineStr">
        <x:is>
          <x:t xml:space="preserve">浙江省杭州市临平区杭州临平经济技术开发区兴起路398号</x:t>
        </x:is>
      </x:c>
      <x:c r="K4136" s="12" t="str">
        <x:f>LEFT("91330100723604713X",18)</x:f>
        <x:v>91330100723604713X</x:v>
      </x:c>
    </x:row>
    <x:row r="4137">
      <x:c r="A4137" s="4" t="n">
        <x:v>4136</x:v>
      </x:c>
      <x:c r="B4137" s="4" t="inlineStr">
        <x:is>
          <x:t xml:space="preserve">603177</x:t>
        </x:is>
      </x:c>
      <x:c r="C4137" s="5" t="inlineStr">
        <x:is>
          <x:t xml:space="preserve">德创环保</x:t>
        </x:is>
      </x:c>
      <x:c r="D4137" s="5" t="inlineStr">
        <x:is>
          <x:t xml:space="preserve">浙江德创环保科技股份有限公司</x:t>
        </x:is>
      </x:c>
      <x:c r="E4137" s="4" t="inlineStr">
        <x:is>
          <x:t xml:space="preserve">浙江省</x:t>
        </x:is>
      </x:c>
      <x:c r="F4137" s="4" t="inlineStr">
        <x:is>
          <x:t xml:space="preserve">绍兴市</x:t>
        </x:is>
      </x:c>
      <x:c r="G4137" s="5" t="inlineStr">
        <x:is>
          <x:t xml:space="preserve">浙江省-绍兴市</x:t>
        </x:is>
      </x:c>
      <x:c r="H4137" s="4" t="inlineStr">
        <x:is>
          <x:t xml:space="preserve">环保工程</x:t>
        </x:is>
      </x:c>
      <x:c r="I4137" s="4" t="inlineStr">
        <x:is>
          <x:t xml:space="preserve">2017-02-07</x:t>
        </x:is>
      </x:c>
      <x:c r="J4137" s="5" t="inlineStr">
        <x:is>
          <x:t xml:space="preserve">绍兴袍江新区三江路以南</x:t>
        </x:is>
      </x:c>
      <x:c r="K4137" s="12" t="str">
        <x:f>LEFT("91330600779389434M",18)</x:f>
        <x:v>91330600779389434M</x:v>
      </x:c>
    </x:row>
    <x:row r="4138">
      <x:c r="A4138" s="2" t="n">
        <x:v>4137</x:v>
      </x:c>
      <x:c r="B4138" s="2" t="inlineStr">
        <x:is>
          <x:t xml:space="preserve">603178</x:t>
        </x:is>
      </x:c>
      <x:c r="C4138" s="3" t="inlineStr">
        <x:is>
          <x:t xml:space="preserve">圣龙股份</x:t>
        </x:is>
      </x:c>
      <x:c r="D4138" s="3" t="inlineStr">
        <x:is>
          <x:t xml:space="preserve">宁波圣龙汽车动力系统股份有限公司</x:t>
        </x:is>
      </x:c>
      <x:c r="E4138" s="2" t="inlineStr">
        <x:is>
          <x:t xml:space="preserve">浙江省</x:t>
        </x:is>
      </x:c>
      <x:c r="F4138" s="2" t="inlineStr">
        <x:is>
          <x:t xml:space="preserve">宁波市</x:t>
        </x:is>
      </x:c>
      <x:c r="G4138" s="3" t="inlineStr">
        <x:is>
          <x:t xml:space="preserve">浙江省-宁波市</x:t>
        </x:is>
      </x:c>
      <x:c r="H4138" s="2" t="inlineStr">
        <x:is>
          <x:t xml:space="preserve">汽车行业</x:t>
        </x:is>
      </x:c>
      <x:c r="I4138" s="2" t="inlineStr">
        <x:is>
          <x:t xml:space="preserve">2017-03-28</x:t>
        </x:is>
      </x:c>
      <x:c r="J4138" s="3" t="inlineStr">
        <x:is>
          <x:t xml:space="preserve">宁波市鄞州区工业园区金达路788号</x:t>
        </x:is>
      </x:c>
      <x:c r="K4138" s="12" t="str">
        <x:f>LEFT("91330200799535603U",18)</x:f>
        <x:v>91330200799535603U</x:v>
      </x:c>
    </x:row>
    <x:row r="4139">
      <x:c r="A4139" s="4" t="n">
        <x:v>4138</x:v>
      </x:c>
      <x:c r="B4139" s="4" t="inlineStr">
        <x:is>
          <x:t xml:space="preserve">603181</x:t>
        </x:is>
      </x:c>
      <x:c r="C4139" s="5" t="inlineStr">
        <x:is>
          <x:t xml:space="preserve">皇马科技</x:t>
        </x:is>
      </x:c>
      <x:c r="D4139" s="5" t="inlineStr">
        <x:is>
          <x:t xml:space="preserve">浙江皇马科技股份有限公司</x:t>
        </x:is>
      </x:c>
      <x:c r="E4139" s="4" t="inlineStr">
        <x:is>
          <x:t xml:space="preserve">浙江省</x:t>
        </x:is>
      </x:c>
      <x:c r="F4139" s="4" t="inlineStr">
        <x:is>
          <x:t xml:space="preserve">杭州市</x:t>
        </x:is>
      </x:c>
      <x:c r="G4139" s="5" t="inlineStr">
        <x:is>
          <x:t xml:space="preserve">浙江省-杭州市</x:t>
        </x:is>
      </x:c>
      <x:c r="H4139" s="4" t="inlineStr">
        <x:is>
          <x:t xml:space="preserve">塑料制品</x:t>
        </x:is>
      </x:c>
      <x:c r="I4139" s="4" t="inlineStr">
        <x:is>
          <x:t xml:space="preserve">2017-08-24</x:t>
        </x:is>
      </x:c>
      <x:c r="J4139" s="5" t="inlineStr">
        <x:is>
          <x:t xml:space="preserve">浙江省绍兴市上虞区杭州湾上虞经济技术开发区</x:t>
        </x:is>
      </x:c>
      <x:c r="K4139" s="12" t="str">
        <x:f>LEFT("91330000751154748Y",18)</x:f>
        <x:v>91330000751154748Y</x:v>
      </x:c>
    </x:row>
    <x:row r="4140">
      <x:c r="A4140" s="2" t="n">
        <x:v>4139</x:v>
      </x:c>
      <x:c r="B4140" s="2" t="inlineStr">
        <x:is>
          <x:t xml:space="preserve">603186</x:t>
        </x:is>
      </x:c>
      <x:c r="C4140" s="3" t="inlineStr">
        <x:is>
          <x:t xml:space="preserve">华正新材</x:t>
        </x:is>
      </x:c>
      <x:c r="D4140" s="3" t="inlineStr">
        <x:is>
          <x:t xml:space="preserve">浙江华正新材料股份有限公司</x:t>
        </x:is>
      </x:c>
      <x:c r="E4140" s="2" t="inlineStr">
        <x:is>
          <x:t xml:space="preserve">浙江省</x:t>
        </x:is>
      </x:c>
      <x:c r="F4140" s="2" t="inlineStr">
        <x:is>
          <x:t xml:space="preserve">杭州市</x:t>
        </x:is>
      </x:c>
      <x:c r="G4140" s="3" t="inlineStr">
        <x:is>
          <x:t xml:space="preserve">浙江省-杭州市</x:t>
        </x:is>
      </x:c>
      <x:c r="H4140" s="2" t="inlineStr">
        <x:is>
          <x:t xml:space="preserve">电子元件</x:t>
        </x:is>
      </x:c>
      <x:c r="I4140" s="2" t="inlineStr">
        <x:is>
          <x:t xml:space="preserve">2017-01-03</x:t>
        </x:is>
      </x:c>
      <x:c r="J4140" s="3" t="inlineStr">
        <x:is>
          <x:t xml:space="preserve">杭州市余杭区余杭街道华一路2号</x:t>
        </x:is>
      </x:c>
      <x:c r="K4140" s="12" t="str">
        <x:f>LEFT("9133000074771866XW",18)</x:f>
        <x:v>9133000074771866XW</x:v>
      </x:c>
    </x:row>
    <x:row r="4141">
      <x:c r="A4141" s="4" t="n">
        <x:v>4140</x:v>
      </x:c>
      <x:c r="B4141" s="4" t="inlineStr">
        <x:is>
          <x:t xml:space="preserve">603194</x:t>
        </x:is>
      </x:c>
      <x:c r="C4141" s="5" t="inlineStr">
        <x:is>
          <x:t xml:space="preserve">中力股份</x:t>
        </x:is>
      </x:c>
      <x:c r="D4141" s="5" t="inlineStr">
        <x:is>
          <x:t xml:space="preserve">浙江中力机械股份有限公司</x:t>
        </x:is>
      </x:c>
      <x:c r="E4141" s="4" t="inlineStr">
        <x:is>
          <x:t xml:space="preserve">浙江省</x:t>
        </x:is>
      </x:c>
      <x:c r="F4141" s="4" t="inlineStr">
        <x:is>
          <x:t xml:space="preserve">湖州市</x:t>
        </x:is>
      </x:c>
      <x:c r="G4141" s="5" t="inlineStr">
        <x:is>
          <x:t xml:space="preserve">浙江省-湖州市</x:t>
        </x:is>
      </x:c>
      <x:c r="H4141" s="4" t="inlineStr">
        <x:is>
          <x:t xml:space="preserve">工程机械</x:t>
        </x:is>
      </x:c>
      <x:c r="I4141" s="4" t="inlineStr">
        <x:is>
          <x:t xml:space="preserve">2024-12-24</x:t>
        </x:is>
      </x:c>
      <x:c r="J4141" s="5" t="inlineStr">
        <x:is>
          <x:t xml:space="preserve">浙江省湖州市安吉县灵峰街道霞泉村</x:t>
        </x:is>
      </x:c>
      <x:c r="K4141" s="12" t="str">
        <x:f>LEFT("91330500667107391C",18)</x:f>
        <x:v>91330500667107391C</x:v>
      </x:c>
    </x:row>
    <x:row r="4142">
      <x:c r="A4142" s="2" t="n">
        <x:v>4141</x:v>
      </x:c>
      <x:c r="B4142" s="2" t="inlineStr">
        <x:is>
          <x:t xml:space="preserve">603195</x:t>
        </x:is>
      </x:c>
      <x:c r="C4142" s="3" t="inlineStr">
        <x:is>
          <x:t xml:space="preserve">公牛集团</x:t>
        </x:is>
      </x:c>
      <x:c r="D4142" s="3" t="inlineStr">
        <x:is>
          <x:t xml:space="preserve">公牛集团股份有限公司</x:t>
        </x:is>
      </x:c>
      <x:c r="E4142" s="2" t="inlineStr">
        <x:is>
          <x:t xml:space="preserve">浙江省</x:t>
        </x:is>
      </x:c>
      <x:c r="F4142" s="2" t="inlineStr">
        <x:is>
          <x:t xml:space="preserve">宁波市</x:t>
        </x:is>
      </x:c>
      <x:c r="G4142" s="3" t="inlineStr">
        <x:is>
          <x:t xml:space="preserve">浙江省-宁波市</x:t>
        </x:is>
      </x:c>
      <x:c r="H4142" s="2" t="inlineStr">
        <x:is>
          <x:t xml:space="preserve">家用轻工</x:t>
        </x:is>
      </x:c>
      <x:c r="I4142" s="2" t="inlineStr">
        <x:is>
          <x:t xml:space="preserve">2020-02-06</x:t>
        </x:is>
      </x:c>
      <x:c r="J4142" s="3" t="inlineStr">
        <x:is>
          <x:t xml:space="preserve">浙江省宁波市慈溪市观海卫镇工业园西区观附南路258号(一照多址)</x:t>
        </x:is>
      </x:c>
      <x:c r="K4142" s="12" t="str">
        <x:f>LEFT("91330282671205242Y",18)</x:f>
        <x:v>91330282671205242Y</x:v>
      </x:c>
    </x:row>
    <x:row r="4143">
      <x:c r="A4143" s="4" t="n">
        <x:v>4142</x:v>
      </x:c>
      <x:c r="B4143" s="4" t="inlineStr">
        <x:is>
          <x:t xml:space="preserve">603208</x:t>
        </x:is>
      </x:c>
      <x:c r="C4143" s="5" t="inlineStr">
        <x:is>
          <x:t xml:space="preserve">江山欧派</x:t>
        </x:is>
      </x:c>
      <x:c r="D4143" s="5" t="inlineStr">
        <x:is>
          <x:t xml:space="preserve">江山欧派门业股份有限公司</x:t>
        </x:is>
      </x:c>
      <x:c r="E4143" s="4" t="inlineStr">
        <x:is>
          <x:t xml:space="preserve">浙江省</x:t>
        </x:is>
      </x:c>
      <x:c r="F4143" s="4" t="inlineStr">
        <x:is>
          <x:t xml:space="preserve">衢州市</x:t>
        </x:is>
      </x:c>
      <x:c r="G4143" s="5" t="inlineStr">
        <x:is>
          <x:t xml:space="preserve">浙江省-衢州市</x:t>
        </x:is>
      </x:c>
      <x:c r="H4143" s="4" t="inlineStr">
        <x:is>
          <x:t xml:space="preserve">木业家具</x:t>
        </x:is>
      </x:c>
      <x:c r="I4143" s="4" t="inlineStr">
        <x:is>
          <x:t xml:space="preserve">2017-02-10</x:t>
        </x:is>
      </x:c>
      <x:c r="J4143" s="5" t="inlineStr">
        <x:is>
          <x:t xml:space="preserve">浙江省衢州市江山市贺村镇淤头村淤达山自然村8号</x:t>
        </x:is>
      </x:c>
      <x:c r="K4143" s="12" t="str">
        <x:f>LEFT("91330800792060211R",18)</x:f>
        <x:v>91330800792060211R</x:v>
      </x:c>
    </x:row>
    <x:row r="4144">
      <x:c r="A4144" s="2" t="n">
        <x:v>4143</x:v>
      </x:c>
      <x:c r="B4144" s="2" t="inlineStr">
        <x:is>
          <x:t xml:space="preserve">603210</x:t>
        </x:is>
      </x:c>
      <x:c r="C4144" s="3" t="inlineStr">
        <x:is>
          <x:t xml:space="preserve">泰鸿万立</x:t>
        </x:is>
      </x:c>
      <x:c r="D4144" s="3" t="inlineStr">
        <x:is>
          <x:t xml:space="preserve">浙江泰鸿万立科技股份有限公司</x:t>
        </x:is>
      </x:c>
      <x:c r="E4144" s="2" t="inlineStr">
        <x:is>
          <x:t xml:space="preserve">浙江省</x:t>
        </x:is>
      </x:c>
      <x:c r="F4144" s="2" t="inlineStr">
        <x:is>
          <x:t xml:space="preserve">台州市</x:t>
        </x:is>
      </x:c>
      <x:c r="G4144" s="3" t="inlineStr">
        <x:is>
          <x:t xml:space="preserve">浙江省-台州市</x:t>
        </x:is>
      </x:c>
      <x:c r="H4144" s="2" t="inlineStr">
        <x:is>
          <x:t xml:space="preserve">汽车零部件</x:t>
        </x:is>
      </x:c>
      <x:c r="I4144" s="2" t="inlineStr">
        <x:is>
          <x:t xml:space="preserve">2025-04-09</x:t>
        </x:is>
      </x:c>
      <x:c r="J4144" s="3" t="inlineStr">
        <x:is>
          <x:t xml:space="preserve">浙江省台州市海丰路1178号</x:t>
        </x:is>
      </x:c>
      <x:c r="K4144" s="12" t="str">
        <x:f>LEFT("9133100077936099XJ",18)</x:f>
        <x:v>9133100077936099XJ</x:v>
      </x:c>
    </x:row>
    <x:row r="4145">
      <x:c r="A4145" s="4" t="n">
        <x:v>4144</x:v>
      </x:c>
      <x:c r="B4145" s="4" t="inlineStr">
        <x:is>
          <x:t xml:space="preserve">603213</x:t>
        </x:is>
      </x:c>
      <x:c r="C4145" s="5" t="inlineStr">
        <x:is>
          <x:t xml:space="preserve">镇洋发展</x:t>
        </x:is>
      </x:c>
      <x:c r="D4145" s="5" t="inlineStr">
        <x:is>
          <x:t xml:space="preserve">浙江镇洋发展股份有限公司</x:t>
        </x:is>
      </x:c>
      <x:c r="E4145" s="4" t="inlineStr">
        <x:is>
          <x:t xml:space="preserve">浙江省</x:t>
        </x:is>
      </x:c>
      <x:c r="F4145" s="4" t="inlineStr">
        <x:is>
          <x:t xml:space="preserve">宁波市</x:t>
        </x:is>
      </x:c>
      <x:c r="G4145" s="5" t="inlineStr">
        <x:is>
          <x:t xml:space="preserve">浙江省-宁波市</x:t>
        </x:is>
      </x:c>
      <x:c r="H4145" s="4" t="inlineStr">
        <x:is>
          <x:t xml:space="preserve">化学原料</x:t>
        </x:is>
      </x:c>
      <x:c r="I4145" s="4" t="inlineStr">
        <x:is>
          <x:t xml:space="preserve">2021-11-11</x:t>
        </x:is>
      </x:c>
      <x:c r="J4145" s="5" t="inlineStr">
        <x:is>
          <x:t xml:space="preserve">浙江省宁波市镇海区宁波石化经济技术开发区海天中路655号</x:t>
        </x:is>
      </x:c>
      <x:c r="K4145" s="12" t="str">
        <x:f>LEFT("913302117685197585",18)</x:f>
        <x:v>913302117685197600</x:v>
      </x:c>
    </x:row>
    <x:row r="4146">
      <x:c r="A4146" s="2" t="n">
        <x:v>4145</x:v>
      </x:c>
      <x:c r="B4146" s="2" t="inlineStr">
        <x:is>
          <x:t xml:space="preserve">603215</x:t>
        </x:is>
      </x:c>
      <x:c r="C4146" s="3" t="inlineStr">
        <x:is>
          <x:t xml:space="preserve">比依股份</x:t>
        </x:is>
      </x:c>
      <x:c r="D4146" s="3" t="inlineStr">
        <x:is>
          <x:t xml:space="preserve">浙江比依电器股份有限公司</x:t>
        </x:is>
      </x:c>
      <x:c r="E4146" s="2" t="inlineStr">
        <x:is>
          <x:t xml:space="preserve">浙江省</x:t>
        </x:is>
      </x:c>
      <x:c r="F4146" s="2" t="inlineStr">
        <x:is>
          <x:t xml:space="preserve">江省余姚市</x:t>
        </x:is>
      </x:c>
      <x:c r="G4146" s="3" t="inlineStr">
        <x:is>
          <x:t xml:space="preserve">浙江省-江省余姚市</x:t>
        </x:is>
      </x:c>
      <x:c r="H4146" s="2" t="inlineStr">
        <x:is>
          <x:t xml:space="preserve">家电行业</x:t>
        </x:is>
      </x:c>
      <x:c r="I4146" s="2" t="inlineStr">
        <x:is>
          <x:t xml:space="preserve">2022-02-18</x:t>
        </x:is>
      </x:c>
      <x:c r="J4146" s="3" t="inlineStr">
        <x:is>
          <x:t xml:space="preserve">浙江省余姚市城区经济开发区城东新区俞赵江路88号</x:t>
        </x:is>
      </x:c>
      <x:c r="K4146" s="12" t="str">
        <x:f>LEFT("91330281726401735D",18)</x:f>
        <x:v>91330281726401735D</x:v>
      </x:c>
    </x:row>
    <x:row r="4147">
      <x:c r="A4147" s="4" t="n">
        <x:v>4146</x:v>
      </x:c>
      <x:c r="B4147" s="4" t="inlineStr">
        <x:is>
          <x:t xml:space="preserve">603216</x:t>
        </x:is>
      </x:c>
      <x:c r="C4147" s="5" t="inlineStr">
        <x:is>
          <x:t xml:space="preserve">梦天家居</x:t>
        </x:is>
      </x:c>
      <x:c r="D4147" s="5" t="inlineStr">
        <x:is>
          <x:t xml:space="preserve">梦天家居集团股份有限公司</x:t>
        </x:is>
      </x:c>
      <x:c r="E4147" s="4" t="inlineStr">
        <x:is>
          <x:t xml:space="preserve">浙江省</x:t>
        </x:is>
      </x:c>
      <x:c r="F4147" s="4" t="inlineStr">
        <x:is>
          <x:t xml:space="preserve">嘉兴市</x:t>
        </x:is>
      </x:c>
      <x:c r="G4147" s="5" t="inlineStr">
        <x:is>
          <x:t xml:space="preserve">浙江省-嘉兴市</x:t>
        </x:is>
      </x:c>
      <x:c r="H4147" s="4" t="inlineStr">
        <x:is>
          <x:t xml:space="preserve">装修装饰</x:t>
        </x:is>
      </x:c>
      <x:c r="I4147" s="4" t="inlineStr">
        <x:is>
          <x:t xml:space="preserve">2021-12-15</x:t>
        </x:is>
      </x:c>
      <x:c r="J4147" s="5" t="inlineStr">
        <x:is>
          <x:t xml:space="preserve">浙江省嘉兴市嘉善县惠民街道长江路88号</x:t>
        </x:is>
      </x:c>
      <x:c r="K4147" s="12" t="str">
        <x:f>LEFT("913304217530017530",18)</x:f>
        <x:v>913304217530017500</x:v>
      </x:c>
    </x:row>
    <x:row r="4148">
      <x:c r="A4148" s="2" t="n">
        <x:v>4147</x:v>
      </x:c>
      <x:c r="B4148" s="2" t="inlineStr">
        <x:is>
          <x:t xml:space="preserve">603218</x:t>
        </x:is>
      </x:c>
      <x:c r="C4148" s="3" t="inlineStr">
        <x:is>
          <x:t xml:space="preserve">日月股份</x:t>
        </x:is>
      </x:c>
      <x:c r="D4148" s="3" t="inlineStr">
        <x:is>
          <x:t xml:space="preserve">日月重工股份有限公司</x:t>
        </x:is>
      </x:c>
      <x:c r="E4148" s="2" t="inlineStr">
        <x:is>
          <x:t xml:space="preserve">浙江省</x:t>
        </x:is>
      </x:c>
      <x:c r="F4148" s="2" t="inlineStr">
        <x:is>
          <x:t xml:space="preserve">宁波市</x:t>
        </x:is>
      </x:c>
      <x:c r="G4148" s="3" t="inlineStr">
        <x:is>
          <x:t xml:space="preserve">浙江省-宁波市</x:t>
        </x:is>
      </x:c>
      <x:c r="H4148" s="2" t="inlineStr">
        <x:is>
          <x:t xml:space="preserve">风电设备</x:t>
        </x:is>
      </x:c>
      <x:c r="I4148" s="2" t="inlineStr">
        <x:is>
          <x:t xml:space="preserve">2016-12-28</x:t>
        </x:is>
      </x:c>
      <x:c r="J4148" s="3" t="inlineStr">
        <x:is>
          <x:t xml:space="preserve">浙江省宁波市鄞州区东吴镇北村村</x:t>
        </x:is>
      </x:c>
      <x:c r="K4148" s="12" t="str">
        <x:f>LEFT("91330200668486426F",18)</x:f>
        <x:v>91330200668486426F</x:v>
      </x:c>
    </x:row>
    <x:row r="4149">
      <x:c r="A4149" s="4" t="n">
        <x:v>4148</x:v>
      </x:c>
      <x:c r="B4149" s="4" t="inlineStr">
        <x:is>
          <x:t xml:space="preserve">603219</x:t>
        </x:is>
      </x:c>
      <x:c r="C4149" s="5" t="inlineStr">
        <x:is>
          <x:t xml:space="preserve">富佳股份</x:t>
        </x:is>
      </x:c>
      <x:c r="D4149" s="5" t="inlineStr">
        <x:is>
          <x:t xml:space="preserve">宁波富佳实业股份有限公司</x:t>
        </x:is>
      </x:c>
      <x:c r="E4149" s="4" t="inlineStr">
        <x:is>
          <x:t xml:space="preserve">浙江省</x:t>
        </x:is>
      </x:c>
      <x:c r="F4149" s="4" t="inlineStr">
        <x:is>
          <x:t xml:space="preserve">江省余姚市</x:t>
        </x:is>
      </x:c>
      <x:c r="G4149" s="5" t="inlineStr">
        <x:is>
          <x:t xml:space="preserve">浙江省-江省余姚市</x:t>
        </x:is>
      </x:c>
      <x:c r="H4149" s="4" t="inlineStr">
        <x:is>
          <x:t xml:space="preserve">家电行业</x:t>
        </x:is>
      </x:c>
      <x:c r="I4149" s="4" t="inlineStr">
        <x:is>
          <x:t xml:space="preserve">2021-11-22</x:t>
        </x:is>
      </x:c>
      <x:c r="J4149" s="5" t="inlineStr">
        <x:is>
          <x:t xml:space="preserve">浙江省余姚市阳明街道长安路303号</x:t>
        </x:is>
      </x:c>
      <x:c r="K4149" s="12" t="str">
        <x:f>LEFT("91330281739470780N",18)</x:f>
        <x:v>91330281739470780N</x:v>
      </x:c>
    </x:row>
    <x:row r="4150">
      <x:c r="A4150" s="2" t="n">
        <x:v>4149</x:v>
      </x:c>
      <x:c r="B4150" s="2" t="inlineStr">
        <x:is>
          <x:t xml:space="preserve">603222</x:t>
        </x:is>
      </x:c>
      <x:c r="C4150" s="3" t="inlineStr">
        <x:is>
          <x:t xml:space="preserve">济民健康</x:t>
        </x:is>
      </x:c>
      <x:c r="D4150" s="3" t="inlineStr">
        <x:is>
          <x:t xml:space="preserve">济民健康管理股份有限公司</x:t>
        </x:is>
      </x:c>
      <x:c r="E4150" s="2" t="inlineStr">
        <x:is>
          <x:t xml:space="preserve">浙江省</x:t>
        </x:is>
      </x:c>
      <x:c r="F4150" s="2" t="inlineStr">
        <x:is>
          <x:t xml:space="preserve">台州市</x:t>
        </x:is>
      </x:c>
      <x:c r="G4150" s="3" t="inlineStr">
        <x:is>
          <x:t xml:space="preserve">浙江省-台州市</x:t>
        </x:is>
      </x:c>
      <x:c r="H4150" s="2" t="inlineStr">
        <x:is>
          <x:t xml:space="preserve">医药制造</x:t>
        </x:is>
      </x:c>
      <x:c r="I4150" s="2" t="inlineStr">
        <x:is>
          <x:t xml:space="preserve">2015-02-17</x:t>
        </x:is>
      </x:c>
      <x:c r="J4150" s="3" t="inlineStr">
        <x:is>
          <x:t xml:space="preserve">浙江省台州市黄岩区北院路888号</x:t>
        </x:is>
      </x:c>
      <x:c r="K4150" s="12" t="str">
        <x:f>LEFT("91330000610008739T",18)</x:f>
        <x:v>91330000610008739T</x:v>
      </x:c>
    </x:row>
    <x:row r="4151">
      <x:c r="A4151" s="4" t="n">
        <x:v>4150</x:v>
      </x:c>
      <x:c r="B4151" s="4" t="inlineStr">
        <x:is>
          <x:t xml:space="preserve">603225</x:t>
        </x:is>
      </x:c>
      <x:c r="C4151" s="5" t="inlineStr">
        <x:is>
          <x:t xml:space="preserve">新凤鸣</x:t>
        </x:is>
      </x:c>
      <x:c r="D4151" s="5" t="inlineStr">
        <x:is>
          <x:t xml:space="preserve">新凤鸣集团股份有限公司</x:t>
        </x:is>
      </x:c>
      <x:c r="E4151" s="4" t="inlineStr">
        <x:is>
          <x:t xml:space="preserve">浙江省</x:t>
        </x:is>
      </x:c>
      <x:c r="F4151" s="4" t="inlineStr">
        <x:is>
          <x:t xml:space="preserve">江省桐乡市</x:t>
        </x:is>
      </x:c>
      <x:c r="G4151" s="5" t="inlineStr">
        <x:is>
          <x:t xml:space="preserve">浙江省-江省桐乡市</x:t>
        </x:is>
      </x:c>
      <x:c r="H4151" s="4" t="inlineStr">
        <x:is>
          <x:t xml:space="preserve">化纤行业</x:t>
        </x:is>
      </x:c>
      <x:c r="I4151" s="4" t="inlineStr">
        <x:is>
          <x:t xml:space="preserve">2017-04-18</x:t>
        </x:is>
      </x:c>
      <x:c r="J4151" s="5" t="inlineStr">
        <x:is>
          <x:t xml:space="preserve">浙江省桐乡市洲泉工业区德胜路888号</x:t>
        </x:is>
      </x:c>
      <x:c r="K4151" s="12" t="str">
        <x:f>LEFT("913300007195926252",18)</x:f>
        <x:v>913300007195926300</x:v>
      </x:c>
    </x:row>
    <x:row r="4152">
      <x:c r="A4152" s="2" t="n">
        <x:v>4151</x:v>
      </x:c>
      <x:c r="B4152" s="2" t="inlineStr">
        <x:is>
          <x:t xml:space="preserve">603229</x:t>
        </x:is>
      </x:c>
      <x:c r="C4152" s="3" t="inlineStr">
        <x:is>
          <x:t xml:space="preserve">奥翔药业</x:t>
        </x:is>
      </x:c>
      <x:c r="D4152" s="3" t="inlineStr">
        <x:is>
          <x:t xml:space="preserve">浙江奥翔药业股份有限公司</x:t>
        </x:is>
      </x:c>
      <x:c r="E4152" s="2" t="inlineStr">
        <x:is>
          <x:t xml:space="preserve">浙江省</x:t>
        </x:is>
      </x:c>
      <x:c r="F4152" s="2" t="inlineStr">
        <x:is>
          <x:t xml:space="preserve">连云港市</x:t>
        </x:is>
      </x:c>
      <x:c r="G4152" s="3" t="inlineStr">
        <x:is>
          <x:t xml:space="preserve">浙江省-连云港市</x:t>
        </x:is>
      </x:c>
      <x:c r="H4152" s="2" t="inlineStr">
        <x:is>
          <x:t xml:space="preserve">医药制造</x:t>
        </x:is>
      </x:c>
      <x:c r="I4152" s="2" t="inlineStr">
        <x:is>
          <x:t xml:space="preserve">2017-05-09</x:t>
        </x:is>
      </x:c>
      <x:c r="J4152" s="3" t="inlineStr">
        <x:is>
          <x:t xml:space="preserve">浙江省化学原料药基地临海园区东海第四大道5号</x:t>
        </x:is>
      </x:c>
      <x:c r="K4152" s="12" t="str">
        <x:f>LEFT("91331000554754592X",18)</x:f>
        <x:v>91331000554754592X</x:v>
      </x:c>
    </x:row>
    <x:row r="4153">
      <x:c r="A4153" s="4" t="n">
        <x:v>4152</x:v>
      </x:c>
      <x:c r="B4153" s="4" t="inlineStr">
        <x:is>
          <x:t xml:space="preserve">603231</x:t>
        </x:is>
      </x:c>
      <x:c r="C4153" s="5" t="inlineStr">
        <x:is>
          <x:t xml:space="preserve">索宝蛋白</x:t>
        </x:is>
      </x:c>
      <x:c r="D4153" s="5" t="inlineStr">
        <x:is>
          <x:t xml:space="preserve">宁波索宝蛋白科技股份有限公司</x:t>
        </x:is>
      </x:c>
      <x:c r="E4153" s="4" t="inlineStr">
        <x:is>
          <x:t xml:space="preserve">浙江省</x:t>
        </x:is>
      </x:c>
      <x:c r="F4153" s="4" t="inlineStr">
        <x:is>
          <x:t xml:space="preserve">宁波市</x:t>
        </x:is>
      </x:c>
      <x:c r="G4153" s="5" t="inlineStr">
        <x:is>
          <x:t xml:space="preserve">浙江省-宁波市</x:t>
        </x:is>
      </x:c>
      <x:c r="H4153" s="4" t="inlineStr">
        <x:is>
          <x:t xml:space="preserve">农牧饲渔</x:t>
        </x:is>
      </x:c>
      <x:c r="I4153" s="4" t="inlineStr">
        <x:is>
          <x:t xml:space="preserve">2023-12-15</x:t>
        </x:is>
      </x:c>
      <x:c r="J4153" s="5" t="inlineStr">
        <x:is>
          <x:t xml:space="preserve">浙江省宁波保税区兴业大道12号</x:t>
        </x:is>
      </x:c>
      <x:c r="K4153" s="12" t="str">
        <x:f>LEFT("913302017532743052",18)</x:f>
        <x:v>913302017532743000</x:v>
      </x:c>
    </x:row>
    <x:row r="4154">
      <x:c r="A4154" s="2" t="n">
        <x:v>4153</x:v>
      </x:c>
      <x:c r="B4154" s="2" t="inlineStr">
        <x:is>
          <x:t xml:space="preserve">603237</x:t>
        </x:is>
      </x:c>
      <x:c r="C4154" s="3" t="inlineStr">
        <x:is>
          <x:t xml:space="preserve">五芳斋</x:t>
        </x:is>
      </x:c>
      <x:c r="D4154" s="3" t="inlineStr">
        <x:is>
          <x:t xml:space="preserve">浙江五芳斋实业股份有限公司</x:t>
        </x:is>
      </x:c>
      <x:c r="E4154" s="2" t="inlineStr">
        <x:is>
          <x:t xml:space="preserve">浙江省</x:t>
        </x:is>
      </x:c>
      <x:c r="F4154" s="2" t="inlineStr">
        <x:is>
          <x:t xml:space="preserve">嘉兴市</x:t>
        </x:is>
      </x:c>
      <x:c r="G4154" s="3" t="inlineStr">
        <x:is>
          <x:t xml:space="preserve">浙江省-嘉兴市</x:t>
        </x:is>
      </x:c>
      <x:c r="H4154" s="2" t="inlineStr">
        <x:is>
          <x:t xml:space="preserve">食品饮料</x:t>
        </x:is>
      </x:c>
      <x:c r="I4154" s="2" t="inlineStr">
        <x:is>
          <x:t xml:space="preserve">2022-08-31</x:t>
        </x:is>
      </x:c>
      <x:c r="J4154" s="3" t="inlineStr">
        <x:is>
          <x:t xml:space="preserve">浙江省嘉兴市秀洲区中山西路2946号</x:t>
        </x:is>
      </x:c>
      <x:c r="K4154" s="12" t="str">
        <x:f>LEFT("913300007042034718",18)</x:f>
        <x:v>913300007042034700</x:v>
      </x:c>
    </x:row>
    <x:row r="4155">
      <x:c r="A4155" s="4" t="n">
        <x:v>4154</x:v>
      </x:c>
      <x:c r="B4155" s="4" t="inlineStr">
        <x:is>
          <x:t xml:space="preserve">603238</x:t>
        </x:is>
      </x:c>
      <x:c r="C4155" s="5" t="inlineStr">
        <x:is>
          <x:t xml:space="preserve">诺邦股份</x:t>
        </x:is>
      </x:c>
      <x:c r="D4155" s="5" t="inlineStr">
        <x:is>
          <x:t xml:space="preserve">杭州诺邦无纺股份有限公司</x:t>
        </x:is>
      </x:c>
      <x:c r="E4155" s="4" t="inlineStr">
        <x:is>
          <x:t xml:space="preserve">浙江省</x:t>
        </x:is>
      </x:c>
      <x:c r="F4155" s="4" t="inlineStr">
        <x:is>
          <x:t xml:space="preserve">杭州市</x:t>
        </x:is>
      </x:c>
      <x:c r="G4155" s="5" t="inlineStr">
        <x:is>
          <x:t xml:space="preserve">浙江省-杭州市</x:t>
        </x:is>
      </x:c>
      <x:c r="H4155" s="4" t="inlineStr">
        <x:is>
          <x:t xml:space="preserve">美容护理</x:t>
        </x:is>
      </x:c>
      <x:c r="I4155" s="4" t="inlineStr">
        <x:is>
          <x:t xml:space="preserve">2017-02-22</x:t>
        </x:is>
      </x:c>
      <x:c r="J4155" s="5" t="inlineStr">
        <x:is>
          <x:t xml:space="preserve">杭州市余杭经济技术开发区宏达路16号</x:t>
        </x:is>
      </x:c>
      <x:c r="K4155" s="12" t="str">
        <x:f>LEFT("913301007450861792",18)</x:f>
        <x:v>913301007450861800</x:v>
      </x:c>
    </x:row>
    <x:row r="4156">
      <x:c r="A4156" s="2" t="n">
        <x:v>4155</x:v>
      </x:c>
      <x:c r="B4156" s="2" t="inlineStr">
        <x:is>
          <x:t xml:space="preserve">603239</x:t>
        </x:is>
      </x:c>
      <x:c r="C4156" s="3" t="inlineStr">
        <x:is>
          <x:t xml:space="preserve">浙江仙通</x:t>
        </x:is>
      </x:c>
      <x:c r="D4156" s="3" t="inlineStr">
        <x:is>
          <x:t xml:space="preserve">浙江仙通橡塑股份有限公司</x:t>
        </x:is>
      </x:c>
      <x:c r="E4156" s="2" t="inlineStr">
        <x:is>
          <x:t xml:space="preserve">浙江省</x:t>
        </x:is>
      </x:c>
      <x:c r="F4156" s="2" t="inlineStr">
        <x:is>
          <x:t xml:space="preserve">台州市</x:t>
        </x:is>
      </x:c>
      <x:c r="G4156" s="3" t="inlineStr">
        <x:is>
          <x:t xml:space="preserve">浙江省-台州市</x:t>
        </x:is>
      </x:c>
      <x:c r="H4156" s="2" t="inlineStr">
        <x:is>
          <x:t xml:space="preserve">汽车行业</x:t>
        </x:is>
      </x:c>
      <x:c r="I4156" s="2" t="inlineStr">
        <x:is>
          <x:t xml:space="preserve">2016-12-30</x:t>
        </x:is>
      </x:c>
      <x:c r="J4156" s="3" t="inlineStr">
        <x:is>
          <x:t xml:space="preserve">浙江省台州市仙居县现代工业集聚区</x:t>
        </x:is>
      </x:c>
      <x:c r="K4156" s="12" t="str">
        <x:f>LEFT("913310001480293875",18)</x:f>
        <x:v>913310001480293900</x:v>
      </x:c>
    </x:row>
    <x:row r="4157">
      <x:c r="A4157" s="4" t="n">
        <x:v>4156</x:v>
      </x:c>
      <x:c r="B4157" s="4" t="inlineStr">
        <x:is>
          <x:t xml:space="preserve">603258</x:t>
        </x:is>
      </x:c>
      <x:c r="C4157" s="5" t="inlineStr">
        <x:is>
          <x:t xml:space="preserve">电魂网络</x:t>
        </x:is>
      </x:c>
      <x:c r="D4157" s="5" t="inlineStr">
        <x:is>
          <x:t xml:space="preserve">杭州电魂网络科技股份有限公司</x:t>
        </x:is>
      </x:c>
      <x:c r="E4157" s="4" t="inlineStr">
        <x:is>
          <x:t xml:space="preserve">浙江省</x:t>
        </x:is>
      </x:c>
      <x:c r="F4157" s="4" t="inlineStr">
        <x:is>
          <x:t xml:space="preserve">杭州市</x:t>
        </x:is>
      </x:c>
      <x:c r="G4157" s="5" t="inlineStr">
        <x:is>
          <x:t xml:space="preserve">浙江省-杭州市</x:t>
        </x:is>
      </x:c>
      <x:c r="H4157" s="4" t="inlineStr">
        <x:is>
          <x:t xml:space="preserve">游戏</x:t>
        </x:is>
      </x:c>
      <x:c r="I4157" s="4" t="inlineStr">
        <x:is>
          <x:t xml:space="preserve">2016-10-26</x:t>
        </x:is>
      </x:c>
      <x:c r="J4157" s="5" t="inlineStr">
        <x:is>
          <x:t xml:space="preserve">杭州市滨江区西兴街道滨安路435号</x:t>
        </x:is>
      </x:c>
      <x:c r="K4157" s="12" t="str">
        <x:f>LEFT("9133010067985268XH",18)</x:f>
        <x:v>9133010067985268XH</x:v>
      </x:c>
    </x:row>
    <x:row r="4158">
      <x:c r="A4158" s="2" t="n">
        <x:v>4157</x:v>
      </x:c>
      <x:c r="B4158" s="2" t="inlineStr">
        <x:is>
          <x:t xml:space="preserve">603260</x:t>
        </x:is>
      </x:c>
      <x:c r="C4158" s="3" t="inlineStr">
        <x:is>
          <x:t xml:space="preserve">合盛硅业</x:t>
        </x:is>
      </x:c>
      <x:c r="D4158" s="3" t="inlineStr">
        <x:is>
          <x:t xml:space="preserve">合盛硅业股份有限公司</x:t>
        </x:is>
      </x:c>
      <x:c r="E4158" s="2" t="inlineStr">
        <x:is>
          <x:t xml:space="preserve">浙江省</x:t>
        </x:is>
      </x:c>
      <x:c r="F4158" s="2" t="inlineStr">
        <x:is>
          <x:t xml:space="preserve">嘉兴市</x:t>
        </x:is>
      </x:c>
      <x:c r="G4158" s="3" t="inlineStr">
        <x:is>
          <x:t xml:space="preserve">浙江省-嘉兴市</x:t>
        </x:is>
      </x:c>
      <x:c r="H4158" s="2" t="inlineStr">
        <x:is>
          <x:t xml:space="preserve">非金属材料</x:t>
        </x:is>
      </x:c>
      <x:c r="I4158" s="2" t="inlineStr">
        <x:is>
          <x:t xml:space="preserve">2017-10-30</x:t>
        </x:is>
      </x:c>
      <x:c r="J4158" s="3" t="inlineStr">
        <x:is>
          <x:t xml:space="preserve">浙江省嘉兴市乍浦镇雅山西路530号</x:t>
        </x:is>
      </x:c>
      <x:c r="K4158" s="12" t="str">
        <x:f>LEFT("913304007782903872",18)</x:f>
        <x:v>913304007782903800</x:v>
      </x:c>
    </x:row>
    <x:row r="4159">
      <x:c r="A4159" s="4" t="n">
        <x:v>4158</x:v>
      </x:c>
      <x:c r="B4159" s="4" t="inlineStr">
        <x:is>
          <x:t xml:space="preserve">603266</x:t>
        </x:is>
      </x:c>
      <x:c r="C4159" s="5" t="inlineStr">
        <x:is>
          <x:t xml:space="preserve">天龙股份</x:t>
        </x:is>
      </x:c>
      <x:c r="D4159" s="5" t="inlineStr">
        <x:is>
          <x:t xml:space="preserve">宁波天龙电子股份有限公司</x:t>
        </x:is>
      </x:c>
      <x:c r="E4159" s="4" t="inlineStr">
        <x:is>
          <x:t xml:space="preserve">浙江省</x:t>
        </x:is>
      </x:c>
      <x:c r="F4159" s="4" t="inlineStr">
        <x:is>
          <x:t xml:space="preserve">杭州市</x:t>
        </x:is>
      </x:c>
      <x:c r="G4159" s="5" t="inlineStr">
        <x:is>
          <x:t xml:space="preserve">浙江省-杭州市</x:t>
        </x:is>
      </x:c>
      <x:c r="H4159" s="4" t="inlineStr">
        <x:is>
          <x:t xml:space="preserve">塑胶制品</x:t>
        </x:is>
      </x:c>
      <x:c r="I4159" s="4" t="inlineStr">
        <x:is>
          <x:t xml:space="preserve">2017-01-10</x:t>
        </x:is>
      </x:c>
      <x:c r="J4159" s="5" t="inlineStr">
        <x:is>
          <x:t xml:space="preserve">宁波杭州湾新区八塘路116号3号楼</x:t>
        </x:is>
      </x:c>
      <x:c r="K4159" s="12" t="str">
        <x:f>LEFT("91330200720492461G",18)</x:f>
        <x:v>91330200720492461G</x:v>
      </x:c>
    </x:row>
    <x:row r="4160">
      <x:c r="A4160" s="2" t="n">
        <x:v>4159</x:v>
      </x:c>
      <x:c r="B4160" s="2" t="inlineStr">
        <x:is>
          <x:t xml:space="preserve">603271</x:t>
        </x:is>
      </x:c>
      <x:c r="C4160" s="3" t="inlineStr">
        <x:is>
          <x:t xml:space="preserve">永杰新材</x:t>
        </x:is>
      </x:c>
      <x:c r="D4160" s="3" t="inlineStr">
        <x:is>
          <x:t xml:space="preserve">永杰新材料股份有限公司</x:t>
        </x:is>
      </x:c>
      <x:c r="E4160" s="2" t="inlineStr">
        <x:is>
          <x:t xml:space="preserve">浙江省</x:t>
        </x:is>
      </x:c>
      <x:c r="F4160" s="2" t="inlineStr">
        <x:is>
          <x:t xml:space="preserve">杭州市</x:t>
        </x:is>
      </x:c>
      <x:c r="G4160" s="3" t="inlineStr">
        <x:is>
          <x:t xml:space="preserve">浙江省-杭州市</x:t>
        </x:is>
      </x:c>
      <x:c r="H4160" s="2" t="inlineStr">
        <x:is>
          <x:t xml:space="preserve">有色金属</x:t>
        </x:is>
      </x:c>
      <x:c r="I4160" s="2" t="inlineStr">
        <x:is>
          <x:t xml:space="preserve">2025-03-11</x:t>
        </x:is>
      </x:c>
      <x:c r="J4160" s="3" t="inlineStr">
        <x:is>
          <x:t xml:space="preserve">浙江省杭州市钱塘区江东二路1288号</x:t>
        </x:is>
      </x:c>
      <x:c r="K4160" s="12" t="str">
        <x:f>LEFT("91330100751732691F",18)</x:f>
        <x:v>91330100751732691F</x:v>
      </x:c>
    </x:row>
    <x:row r="4161">
      <x:c r="A4161" s="4" t="n">
        <x:v>4160</x:v>
      </x:c>
      <x:c r="B4161" s="4" t="inlineStr">
        <x:is>
          <x:t xml:space="preserve">603272</x:t>
        </x:is>
      </x:c>
      <x:c r="C4161" s="5" t="inlineStr">
        <x:is>
          <x:t xml:space="preserve">联翔股份</x:t>
        </x:is>
      </x:c>
      <x:c r="D4161" s="5" t="inlineStr">
        <x:is>
          <x:t xml:space="preserve">浙江联翔智能家居股份有限公司</x:t>
        </x:is>
      </x:c>
      <x:c r="E4161" s="4" t="inlineStr">
        <x:is>
          <x:t xml:space="preserve">浙江省</x:t>
        </x:is>
      </x:c>
      <x:c r="F4161" s="4" t="inlineStr">
        <x:is>
          <x:t xml:space="preserve">嘉兴市</x:t>
        </x:is>
      </x:c>
      <x:c r="G4161" s="5" t="inlineStr">
        <x:is>
          <x:t xml:space="preserve">浙江省-嘉兴市</x:t>
        </x:is>
      </x:c>
      <x:c r="H4161" s="4" t="inlineStr">
        <x:is>
          <x:t xml:space="preserve">装修装饰</x:t>
        </x:is>
      </x:c>
      <x:c r="I4161" s="4" t="inlineStr">
        <x:is>
          <x:t xml:space="preserve">2022-05-20</x:t>
        </x:is>
      </x:c>
      <x:c r="J4161" s="5" t="inlineStr">
        <x:is>
          <x:t xml:space="preserve">浙江省嘉兴市海盐县武原街道工业新区东海大道2887号四楼</x:t>
        </x:is>
      </x:c>
      <x:c r="K4161" s="12" t="str">
        <x:f>LEFT("91330424763936798K",18)</x:f>
        <x:v>91330424763936798K</x:v>
      </x:c>
    </x:row>
    <x:row r="4162">
      <x:c r="A4162" s="2" t="n">
        <x:v>4161</x:v>
      </x:c>
      <x:c r="B4162" s="2" t="inlineStr">
        <x:is>
          <x:t xml:space="preserve">603277</x:t>
        </x:is>
      </x:c>
      <x:c r="C4162" s="3" t="inlineStr">
        <x:is>
          <x:t xml:space="preserve">银都股份</x:t>
        </x:is>
      </x:c>
      <x:c r="D4162" s="3" t="inlineStr">
        <x:is>
          <x:t xml:space="preserve">银都餐饮设备股份有限公司</x:t>
        </x:is>
      </x:c>
      <x:c r="E4162" s="2" t="inlineStr">
        <x:is>
          <x:t xml:space="preserve">浙江省</x:t>
        </x:is>
      </x:c>
      <x:c r="F4162" s="2" t="inlineStr">
        <x:is>
          <x:t xml:space="preserve">杭州市</x:t>
        </x:is>
      </x:c>
      <x:c r="G4162" s="3" t="inlineStr">
        <x:is>
          <x:t xml:space="preserve">浙江省-杭州市</x:t>
        </x:is>
      </x:c>
      <x:c r="H4162" s="2" t="inlineStr">
        <x:is>
          <x:t xml:space="preserve">机械行业</x:t>
        </x:is>
      </x:c>
      <x:c r="I4162" s="2" t="inlineStr">
        <x:is>
          <x:t xml:space="preserve">2017-09-11</x:t>
        </x:is>
      </x:c>
      <x:c r="J4162" s="3" t="inlineStr">
        <x:is>
          <x:t xml:space="preserve">杭州临平区星桥街道星星路1号</x:t>
        </x:is>
      </x:c>
      <x:c r="K4162" s="12" t="str">
        <x:f>LEFT("91330100749453087D",18)</x:f>
        <x:v>91330100749453087D</x:v>
      </x:c>
    </x:row>
    <x:row r="4163">
      <x:c r="A4163" s="4" t="n">
        <x:v>4162</x:v>
      </x:c>
      <x:c r="B4163" s="4" t="inlineStr">
        <x:is>
          <x:t xml:space="preserve">603282</x:t>
        </x:is>
      </x:c>
      <x:c r="C4163" s="5" t="inlineStr">
        <x:is>
          <x:t xml:space="preserve">亚光股份</x:t>
        </x:is>
      </x:c>
      <x:c r="D4163" s="5" t="inlineStr">
        <x:is>
          <x:t xml:space="preserve">浙江亚光科技股份有限公司</x:t>
        </x:is>
      </x:c>
      <x:c r="E4163" s="4" t="inlineStr">
        <x:is>
          <x:t xml:space="preserve">浙江省</x:t>
        </x:is>
      </x:c>
      <x:c r="F4163" s="4" t="inlineStr">
        <x:is>
          <x:t xml:space="preserve">温州市</x:t>
        </x:is>
      </x:c>
      <x:c r="G4163" s="5" t="inlineStr">
        <x:is>
          <x:t xml:space="preserve">浙江省-温州市</x:t>
        </x:is>
      </x:c>
      <x:c r="H4163" s="4" t="inlineStr">
        <x:is>
          <x:t xml:space="preserve">专用设备</x:t>
        </x:is>
      </x:c>
      <x:c r="I4163" s="4" t="inlineStr">
        <x:is>
          <x:t xml:space="preserve">2023-03-15</x:t>
        </x:is>
      </x:c>
      <x:c r="J4163" s="5" t="inlineStr">
        <x:is>
          <x:t xml:space="preserve">温州经济技术开发区滨海园区滨海三道4525号</x:t>
        </x:is>
      </x:c>
      <x:c r="K4163" s="12" t="str">
        <x:f>LEFT("91330301254496691M",18)</x:f>
        <x:v>91330301254496691M</x:v>
      </x:c>
    </x:row>
    <x:row r="4164">
      <x:c r="A4164" s="2" t="n">
        <x:v>4163</x:v>
      </x:c>
      <x:c r="B4164" s="2" t="inlineStr">
        <x:is>
          <x:t xml:space="preserve">603289</x:t>
        </x:is>
      </x:c>
      <x:c r="C4164" s="3" t="inlineStr">
        <x:is>
          <x:t xml:space="preserve">泰瑞机器</x:t>
        </x:is>
      </x:c>
      <x:c r="D4164" s="3" t="inlineStr">
        <x:is>
          <x:t xml:space="preserve">泰瑞机器股份有限公司</x:t>
        </x:is>
      </x:c>
      <x:c r="E4164" s="2" t="inlineStr">
        <x:is>
          <x:t xml:space="preserve">浙江省</x:t>
        </x:is>
      </x:c>
      <x:c r="F4164" s="2" t="inlineStr">
        <x:is>
          <x:t xml:space="preserve">杭州市</x:t>
        </x:is>
      </x:c>
      <x:c r="G4164" s="3" t="inlineStr">
        <x:is>
          <x:t xml:space="preserve">浙江省-杭州市</x:t>
        </x:is>
      </x:c>
      <x:c r="H4164" s="2" t="inlineStr">
        <x:is>
          <x:t xml:space="preserve">专用设备</x:t>
        </x:is>
      </x:c>
      <x:c r="I4164" s="2" t="inlineStr">
        <x:is>
          <x:t xml:space="preserve">2017-10-31</x:t>
        </x:is>
      </x:c>
      <x:c r="J4164" s="3" t="inlineStr">
        <x:is>
          <x:t xml:space="preserve">浙江省杭州钱塘区白杨街道银海街417号</x:t>
        </x:is>
      </x:c>
      <x:c r="K4164" s="12" t="str">
        <x:f>LEFT("913300007882984970",18)</x:f>
        <x:v>913300007882985000</x:v>
      </x:c>
    </x:row>
    <x:row r="4165">
      <x:c r="A4165" s="4" t="n">
        <x:v>4164</x:v>
      </x:c>
      <x:c r="B4165" s="4" t="inlineStr">
        <x:is>
          <x:t xml:space="preserve">603290</x:t>
        </x:is>
      </x:c>
      <x:c r="C4165" s="5" t="inlineStr">
        <x:is>
          <x:t xml:space="preserve">斯达半导</x:t>
        </x:is>
      </x:c>
      <x:c r="D4165" s="5" t="inlineStr">
        <x:is>
          <x:t xml:space="preserve">斯达半导体股份有限公司</x:t>
        </x:is>
      </x:c>
      <x:c r="E4165" s="4" t="inlineStr">
        <x:is>
          <x:t xml:space="preserve">浙江省</x:t>
        </x:is>
      </x:c>
      <x:c r="F4165" s="4" t="inlineStr">
        <x:is>
          <x:t xml:space="preserve">嘉兴市</x:t>
        </x:is>
      </x:c>
      <x:c r="G4165" s="5" t="inlineStr">
        <x:is>
          <x:t xml:space="preserve">浙江省-嘉兴市</x:t>
        </x:is>
      </x:c>
      <x:c r="H4165" s="4" t="inlineStr">
        <x:is>
          <x:t xml:space="preserve">半导体</x:t>
        </x:is>
      </x:c>
      <x:c r="I4165" s="4" t="inlineStr">
        <x:is>
          <x:t xml:space="preserve">2020-02-04</x:t>
        </x:is>
      </x:c>
      <x:c r="J4165" s="5" t="inlineStr">
        <x:is>
          <x:t xml:space="preserve">浙江省嘉兴市南湖区科兴路988号</x:t>
        </x:is>
      </x:c>
      <x:c r="K4165" s="12" t="str">
        <x:f>LEFT("913304007731328302",18)</x:f>
        <x:v>913304007731328300</x:v>
      </x:c>
    </x:row>
    <x:row r="4166">
      <x:c r="A4166" s="2" t="n">
        <x:v>4165</x:v>
      </x:c>
      <x:c r="B4166" s="2" t="inlineStr">
        <x:is>
          <x:t xml:space="preserve">603297</x:t>
        </x:is>
      </x:c>
      <x:c r="C4166" s="3" t="inlineStr">
        <x:is>
          <x:t xml:space="preserve">永新光学</x:t>
        </x:is>
      </x:c>
      <x:c r="D4166" s="3" t="inlineStr">
        <x:is>
          <x:t xml:space="preserve">宁波永新光学股份有限公司</x:t>
        </x:is>
      </x:c>
      <x:c r="E4166" s="2" t="inlineStr">
        <x:is>
          <x:t xml:space="preserve">浙江省</x:t>
        </x:is>
      </x:c>
      <x:c r="F4166" s="2" t="inlineStr">
        <x:is>
          <x:t xml:space="preserve">宁波市</x:t>
        </x:is>
      </x:c>
      <x:c r="G4166" s="3" t="inlineStr">
        <x:is>
          <x:t xml:space="preserve">浙江省-宁波市</x:t>
        </x:is>
      </x:c>
      <x:c r="H4166" s="2" t="inlineStr">
        <x:is>
          <x:t xml:space="preserve">光学光电子</x:t>
        </x:is>
      </x:c>
      <x:c r="I4166" s="2" t="inlineStr">
        <x:is>
          <x:t xml:space="preserve">2018-09-10</x:t>
        </x:is>
      </x:c>
      <x:c r="J4166" s="3" t="inlineStr">
        <x:is>
          <x:t xml:space="preserve">浙江省宁波市高新区木槿路169号</x:t>
        </x:is>
      </x:c>
      <x:c r="K4166" s="12" t="str">
        <x:f>LEFT("91330200610279184B",18)</x:f>
        <x:v>91330200610279184B</x:v>
      </x:c>
    </x:row>
    <x:row r="4167">
      <x:c r="A4167" s="4" t="n">
        <x:v>4166</x:v>
      </x:c>
      <x:c r="B4167" s="4" t="inlineStr">
        <x:is>
          <x:t xml:space="preserve">603298</x:t>
        </x:is>
      </x:c>
      <x:c r="C4167" s="5" t="inlineStr">
        <x:is>
          <x:t xml:space="preserve">杭叉集团</x:t>
        </x:is>
      </x:c>
      <x:c r="D4167" s="5" t="inlineStr">
        <x:is>
          <x:t xml:space="preserve">杭叉集团股份有限公司</x:t>
        </x:is>
      </x:c>
      <x:c r="E4167" s="4" t="inlineStr">
        <x:is>
          <x:t xml:space="preserve">浙江省</x:t>
        </x:is>
      </x:c>
      <x:c r="F4167" s="4" t="inlineStr">
        <x:is>
          <x:t xml:space="preserve">杭州市</x:t>
        </x:is>
      </x:c>
      <x:c r="G4167" s="5" t="inlineStr">
        <x:is>
          <x:t xml:space="preserve">浙江省-杭州市</x:t>
        </x:is>
      </x:c>
      <x:c r="H4167" s="4" t="inlineStr">
        <x:is>
          <x:t xml:space="preserve">工程机械</x:t>
        </x:is>
      </x:c>
      <x:c r="I4167" s="4" t="inlineStr">
        <x:is>
          <x:t xml:space="preserve">2016-12-27</x:t>
        </x:is>
      </x:c>
      <x:c r="J4167" s="5" t="inlineStr">
        <x:is>
          <x:t xml:space="preserve">浙江省杭州市临安区相府路666号</x:t>
        </x:is>
      </x:c>
      <x:c r="K4167" s="12" t="str">
        <x:f>LEFT("9133000014304182XR",18)</x:f>
        <x:v>9133000014304182XR</x:v>
      </x:c>
    </x:row>
    <x:row r="4168">
      <x:c r="A4168" s="2" t="n">
        <x:v>4167</x:v>
      </x:c>
      <x:c r="B4168" s="2" t="inlineStr">
        <x:is>
          <x:t xml:space="preserve">603300</x:t>
        </x:is>
      </x:c>
      <x:c r="C4168" s="3" t="inlineStr">
        <x:is>
          <x:t xml:space="preserve">海南华铁</x:t>
        </x:is>
      </x:c>
      <x:c r="D4168" s="3" t="inlineStr">
        <x:is>
          <x:t xml:space="preserve">浙江海控南科华铁数智科技股份有限公司</x:t>
        </x:is>
      </x:c>
      <x:c r="E4168" s="2" t="inlineStr">
        <x:is>
          <x:t xml:space="preserve">浙江省</x:t>
        </x:is>
      </x:c>
      <x:c r="F4168" s="2" t="inlineStr">
        <x:is>
          <x:t xml:space="preserve">杭州市</x:t>
        </x:is>
      </x:c>
      <x:c r="G4168" s="3" t="inlineStr">
        <x:is>
          <x:t xml:space="preserve">浙江省-杭州市</x:t>
        </x:is>
      </x:c>
      <x:c r="H4168" s="2" t="inlineStr">
        <x:is>
          <x:t xml:space="preserve">专用设备</x:t>
        </x:is>
      </x:c>
      <x:c r="I4168" s="2" t="inlineStr">
        <x:is>
          <x:t xml:space="preserve">2015-05-29</x:t>
        </x:is>
      </x:c>
      <x:c r="J4168" s="3" t="inlineStr">
        <x:is>
          <x:t xml:space="preserve">浙江省杭州市上城区胜康街368号华铁创业大楼1幢10层</x:t>
        </x:is>
      </x:c>
      <x:c r="K4168" s="12" t="str">
        <x:f>LEFT("91330000682900435M",18)</x:f>
        <x:v>91330000682900435M</x:v>
      </x:c>
    </x:row>
    <x:row r="4169">
      <x:c r="A4169" s="4" t="n">
        <x:v>4168</x:v>
      </x:c>
      <x:c r="B4169" s="4" t="inlineStr">
        <x:is>
          <x:t xml:space="preserve">603301</x:t>
        </x:is>
      </x:c>
      <x:c r="C4169" s="5" t="inlineStr">
        <x:is>
          <x:t xml:space="preserve">振德医疗</x:t>
        </x:is>
      </x:c>
      <x:c r="D4169" s="5" t="inlineStr">
        <x:is>
          <x:t xml:space="preserve">振德医疗用品股份有限公司</x:t>
        </x:is>
      </x:c>
      <x:c r="E4169" s="4" t="inlineStr">
        <x:is>
          <x:t xml:space="preserve">浙江省</x:t>
        </x:is>
      </x:c>
      <x:c r="F4169" s="4" t="inlineStr">
        <x:is>
          <x:t xml:space="preserve">绍兴市</x:t>
        </x:is>
      </x:c>
      <x:c r="G4169" s="5" t="inlineStr">
        <x:is>
          <x:t xml:space="preserve">浙江省-绍兴市</x:t>
        </x:is>
      </x:c>
      <x:c r="H4169" s="4" t="inlineStr">
        <x:is>
          <x:t xml:space="preserve">医疗器械</x:t>
        </x:is>
      </x:c>
      <x:c r="I4169" s="4" t="inlineStr">
        <x:is>
          <x:t xml:space="preserve">2018-04-12</x:t>
        </x:is>
      </x:c>
      <x:c r="J4169" s="5" t="inlineStr">
        <x:is>
          <x:t xml:space="preserve">浙江省绍兴市越城区皋埠街道香积路55号</x:t>
        </x:is>
      </x:c>
      <x:c r="K4169" s="12" t="str">
        <x:f>LEFT("91330600609661634M",18)</x:f>
        <x:v>91330600609661634M</x:v>
      </x:c>
    </x:row>
    <x:row r="4170">
      <x:c r="A4170" s="2" t="n">
        <x:v>4169</x:v>
      </x:c>
      <x:c r="B4170" s="2" t="inlineStr">
        <x:is>
          <x:t xml:space="preserve">603303</x:t>
        </x:is>
      </x:c>
      <x:c r="C4170" s="3" t="inlineStr">
        <x:is>
          <x:t xml:space="preserve">得邦照明</x:t>
        </x:is>
      </x:c>
      <x:c r="D4170" s="3" t="inlineStr">
        <x:is>
          <x:t xml:space="preserve">横店集团得邦照明股份有限公司</x:t>
        </x:is>
      </x:c>
      <x:c r="E4170" s="2" t="inlineStr">
        <x:is>
          <x:t xml:space="preserve">浙江省</x:t>
        </x:is>
      </x:c>
      <x:c r="F4170" s="2" t="inlineStr">
        <x:is>
          <x:t xml:space="preserve">东阳市</x:t>
        </x:is>
      </x:c>
      <x:c r="G4170" s="3" t="inlineStr">
        <x:is>
          <x:t xml:space="preserve">浙江省-东阳市</x:t>
        </x:is>
      </x:c>
      <x:c r="H4170" s="2" t="inlineStr">
        <x:is>
          <x:t xml:space="preserve">家电行业</x:t>
        </x:is>
      </x:c>
      <x:c r="I4170" s="2" t="inlineStr">
        <x:is>
          <x:t xml:space="preserve">2017-03-30</x:t>
        </x:is>
      </x:c>
      <x:c r="J4170" s="3" t="inlineStr">
        <x:is>
          <x:t xml:space="preserve">东阳市横店镇科兴路88号</x:t>
        </x:is>
      </x:c>
      <x:c r="K4170" s="12" t="str">
        <x:f>LEFT("913307001475835380",18)</x:f>
        <x:v>913307001475835400</x:v>
      </x:c>
    </x:row>
    <x:row r="4171">
      <x:c r="A4171" s="4" t="n">
        <x:v>4170</x:v>
      </x:c>
      <x:c r="B4171" s="4" t="inlineStr">
        <x:is>
          <x:t xml:space="preserve">603305</x:t>
        </x:is>
      </x:c>
      <x:c r="C4171" s="5" t="inlineStr">
        <x:is>
          <x:t xml:space="preserve">旭升集团</x:t>
        </x:is>
      </x:c>
      <x:c r="D4171" s="5" t="inlineStr">
        <x:is>
          <x:t xml:space="preserve">宁波旭升集团股份有限公司</x:t>
        </x:is>
      </x:c>
      <x:c r="E4171" s="4" t="inlineStr">
        <x:is>
          <x:t xml:space="preserve">浙江省</x:t>
        </x:is>
      </x:c>
      <x:c r="F4171" s="4" t="inlineStr">
        <x:is>
          <x:t xml:space="preserve">宁波市</x:t>
        </x:is>
      </x:c>
      <x:c r="G4171" s="5" t="inlineStr">
        <x:is>
          <x:t xml:space="preserve">浙江省-宁波市</x:t>
        </x:is>
      </x:c>
      <x:c r="H4171" s="4" t="inlineStr">
        <x:is>
          <x:t xml:space="preserve">汽车行业</x:t>
        </x:is>
      </x:c>
      <x:c r="I4171" s="4" t="inlineStr">
        <x:is>
          <x:t xml:space="preserve">2017-07-10</x:t>
        </x:is>
      </x:c>
      <x:c r="J4171" s="5" t="inlineStr">
        <x:is>
          <x:t xml:space="preserve">宁波市北仑区沿山河南路68号</x:t>
        </x:is>
      </x:c>
      <x:c r="K4171" s="12" t="str">
        <x:f>LEFT("91330200753254873H",18)</x:f>
        <x:v>91330200753254873H</x:v>
      </x:c>
    </x:row>
    <x:row r="4172">
      <x:c r="A4172" s="2" t="n">
        <x:v>4171</x:v>
      </x:c>
      <x:c r="B4172" s="2" t="inlineStr">
        <x:is>
          <x:t xml:space="preserve">603310</x:t>
        </x:is>
      </x:c>
      <x:c r="C4172" s="3" t="inlineStr">
        <x:is>
          <x:t xml:space="preserve">巍华新材</x:t>
        </x:is>
      </x:c>
      <x:c r="D4172" s="3" t="inlineStr">
        <x:is>
          <x:t xml:space="preserve">浙江巍华新材料股份有限公司</x:t>
        </x:is>
      </x:c>
      <x:c r="E4172" s="2" t="inlineStr">
        <x:is>
          <x:t xml:space="preserve">浙江省</x:t>
        </x:is>
      </x:c>
      <x:c r="F4172" s="2" t="inlineStr">
        <x:is>
          <x:t xml:space="preserve">杭州市</x:t>
        </x:is>
      </x:c>
      <x:c r="G4172" s="3" t="inlineStr">
        <x:is>
          <x:t xml:space="preserve">浙江省-杭州市</x:t>
        </x:is>
      </x:c>
      <x:c r="H4172" s="2" t="inlineStr">
        <x:is>
          <x:t xml:space="preserve">化学原料</x:t>
        </x:is>
      </x:c>
      <x:c r="I4172" s="2" t="inlineStr">
        <x:is>
          <x:t xml:space="preserve">2024-08-14</x:t>
        </x:is>
      </x:c>
      <x:c r="J4172" s="3" t="inlineStr">
        <x:is>
          <x:t xml:space="preserve">浙江省杭州湾上虞经济技术开发区北塘东路8号</x:t>
        </x:is>
      </x:c>
      <x:c r="K4172" s="12" t="str">
        <x:f>LEFT("91330600080554635Q",18)</x:f>
        <x:v>91330600080554635Q</x:v>
      </x:c>
    </x:row>
    <x:row r="4173">
      <x:c r="A4173" s="4" t="n">
        <x:v>4172</x:v>
      </x:c>
      <x:c r="B4173" s="4" t="inlineStr">
        <x:is>
          <x:t xml:space="preserve">603311</x:t>
        </x:is>
      </x:c>
      <x:c r="C4173" s="5" t="inlineStr">
        <x:is>
          <x:t xml:space="preserve">金海高科</x:t>
        </x:is>
      </x:c>
      <x:c r="D4173" s="5" t="inlineStr">
        <x:is>
          <x:t xml:space="preserve">浙江金海高科股份有限公司</x:t>
        </x:is>
      </x:c>
      <x:c r="E4173" s="4" t="inlineStr">
        <x:is>
          <x:t xml:space="preserve">浙江省</x:t>
        </x:is>
      </x:c>
      <x:c r="F4173" s="4" t="inlineStr">
        <x:is>
          <x:t xml:space="preserve">江省诸暨市</x:t>
        </x:is>
      </x:c>
      <x:c r="G4173" s="5" t="inlineStr">
        <x:is>
          <x:t xml:space="preserve">浙江省-江省诸暨市</x:t>
        </x:is>
      </x:c>
      <x:c r="H4173" s="4" t="inlineStr">
        <x:is>
          <x:t xml:space="preserve">家电行业</x:t>
        </x:is>
      </x:c>
      <x:c r="I4173" s="4" t="inlineStr">
        <x:is>
          <x:t xml:space="preserve">2015-05-18</x:t>
        </x:is>
      </x:c>
      <x:c r="J4173" s="5" t="inlineStr">
        <x:is>
          <x:t xml:space="preserve">浙江省诸暨市应店街镇工业区</x:t>
        </x:is>
      </x:c>
      <x:c r="K4173" s="12" t="str">
        <x:f>LEFT("91330000609700795J",18)</x:f>
        <x:v>91330000609700795J</x:v>
      </x:c>
    </x:row>
    <x:row r="4174">
      <x:c r="A4174" s="2" t="n">
        <x:v>4173</x:v>
      </x:c>
      <x:c r="B4174" s="2" t="inlineStr">
        <x:is>
          <x:t xml:space="preserve">603316</x:t>
        </x:is>
      </x:c>
      <x:c r="C4174" s="3" t="inlineStr">
        <x:is>
          <x:t xml:space="preserve">诚邦股份</x:t>
        </x:is>
      </x:c>
      <x:c r="D4174" s="3" t="inlineStr">
        <x:is>
          <x:t xml:space="preserve">诚邦生态环境股份有限公司</x:t>
        </x:is>
      </x:c>
      <x:c r="E4174" s="2" t="inlineStr">
        <x:is>
          <x:t xml:space="preserve">浙江省</x:t>
        </x:is>
      </x:c>
      <x:c r="F4174" s="2" t="inlineStr">
        <x:is>
          <x:t xml:space="preserve">杭州市</x:t>
        </x:is>
      </x:c>
      <x:c r="G4174" s="3" t="inlineStr">
        <x:is>
          <x:t xml:space="preserve">浙江省-杭州市</x:t>
        </x:is>
      </x:c>
      <x:c r="H4174" s="2" t="inlineStr">
        <x:is>
          <x:t xml:space="preserve">工程建设</x:t>
        </x:is>
      </x:c>
      <x:c r="I4174" s="2" t="inlineStr">
        <x:is>
          <x:t xml:space="preserve">2017-06-19</x:t>
        </x:is>
      </x:c>
      <x:c r="J4174" s="3" t="inlineStr">
        <x:is>
          <x:t xml:space="preserve">杭州市之江路599号</x:t>
        </x:is>
      </x:c>
      <x:c r="K4174" s="12" t="str">
        <x:f>LEFT("91330000142936533N",18)</x:f>
        <x:v>91330000142936533N</x:v>
      </x:c>
    </x:row>
    <x:row r="4175">
      <x:c r="A4175" s="4" t="n">
        <x:v>4174</x:v>
      </x:c>
      <x:c r="B4175" s="4" t="inlineStr">
        <x:is>
          <x:t xml:space="preserve">603320</x:t>
        </x:is>
      </x:c>
      <x:c r="C4175" s="5" t="inlineStr">
        <x:is>
          <x:t xml:space="preserve">迪贝电气</x:t>
        </x:is>
      </x:c>
      <x:c r="D4175" s="5" t="inlineStr">
        <x:is>
          <x:t xml:space="preserve">浙江迪贝电气股份有限公司</x:t>
        </x:is>
      </x:c>
      <x:c r="E4175" s="4" t="inlineStr">
        <x:is>
          <x:t xml:space="preserve">浙江省</x:t>
        </x:is>
      </x:c>
      <x:c r="F4175" s="4" t="inlineStr">
        <x:is>
          <x:t xml:space="preserve">江省嵊州市</x:t>
        </x:is>
      </x:c>
      <x:c r="G4175" s="5" t="inlineStr">
        <x:is>
          <x:t xml:space="preserve">浙江省-江省嵊州市</x:t>
        </x:is>
      </x:c>
      <x:c r="H4175" s="4" t="inlineStr">
        <x:is>
          <x:t xml:space="preserve">电机</x:t>
        </x:is>
      </x:c>
      <x:c r="I4175" s="4" t="inlineStr">
        <x:is>
          <x:t xml:space="preserve">2017-05-02</x:t>
        </x:is>
      </x:c>
      <x:c r="J4175" s="5" t="inlineStr">
        <x:is>
          <x:t xml:space="preserve">浙江省嵊州市三江街道迪贝路66号</x:t>
        </x:is>
      </x:c>
      <x:c r="K4175" s="12" t="str">
        <x:f>LEFT("91330600609680368C",18)</x:f>
        <x:v>91330600609680368C</x:v>
      </x:c>
    </x:row>
    <x:row r="4176">
      <x:c r="A4176" s="2" t="n">
        <x:v>4175</x:v>
      </x:c>
      <x:c r="B4176" s="2" t="inlineStr">
        <x:is>
          <x:t xml:space="preserve">603321</x:t>
        </x:is>
      </x:c>
      <x:c r="C4176" s="3" t="inlineStr">
        <x:is>
          <x:t xml:space="preserve">梅轮电梯</x:t>
        </x:is>
      </x:c>
      <x:c r="D4176" s="3" t="inlineStr">
        <x:is>
          <x:t xml:space="preserve">浙江梅轮电梯股份有限公司</x:t>
        </x:is>
      </x:c>
      <x:c r="E4176" s="2" t="inlineStr">
        <x:is>
          <x:t xml:space="preserve">浙江省</x:t>
        </x:is>
      </x:c>
      <x:c r="F4176" s="2" t="inlineStr">
        <x:is>
          <x:t xml:space="preserve">绍兴市</x:t>
        </x:is>
      </x:c>
      <x:c r="G4176" s="3" t="inlineStr">
        <x:is>
          <x:t xml:space="preserve">浙江省-绍兴市</x:t>
        </x:is>
      </x:c>
      <x:c r="H4176" s="2" t="inlineStr">
        <x:is>
          <x:t xml:space="preserve">专用设备</x:t>
        </x:is>
      </x:c>
      <x:c r="I4176" s="2" t="inlineStr">
        <x:is>
          <x:t xml:space="preserve">2017-09-15</x:t>
        </x:is>
      </x:c>
      <x:c r="J4176" s="3" t="inlineStr">
        <x:is>
          <x:t xml:space="preserve">绍兴市柯桥区齐贤街道齐陶路888号</x:t>
        </x:is>
      </x:c>
      <x:c r="K4176" s="12" t="str">
        <x:f>LEFT("9133060072360502XQ",18)</x:f>
        <x:v>9133060072360502XQ</x:v>
      </x:c>
    </x:row>
    <x:row r="4177">
      <x:c r="A4177" s="4" t="n">
        <x:v>4176</x:v>
      </x:c>
      <x:c r="B4177" s="4" t="inlineStr">
        <x:is>
          <x:t xml:space="preserve">603331</x:t>
        </x:is>
      </x:c>
      <x:c r="C4177" s="5" t="inlineStr">
        <x:is>
          <x:t xml:space="preserve">百达精工</x:t>
        </x:is>
      </x:c>
      <x:c r="D4177" s="5" t="inlineStr">
        <x:is>
          <x:t xml:space="preserve">浙江百达精工股份有限公司</x:t>
        </x:is>
      </x:c>
      <x:c r="E4177" s="4" t="inlineStr">
        <x:is>
          <x:t xml:space="preserve">浙江省</x:t>
        </x:is>
      </x:c>
      <x:c r="F4177" s="4" t="inlineStr">
        <x:is>
          <x:t xml:space="preserve">台州市</x:t>
        </x:is>
      </x:c>
      <x:c r="G4177" s="5" t="inlineStr">
        <x:is>
          <x:t xml:space="preserve">浙江省-台州市</x:t>
        </x:is>
      </x:c>
      <x:c r="H4177" s="4" t="inlineStr">
        <x:is>
          <x:t xml:space="preserve">通用设备</x:t>
        </x:is>
      </x:c>
      <x:c r="I4177" s="4" t="inlineStr">
        <x:is>
          <x:t xml:space="preserve">2017-07-05</x:t>
        </x:is>
      </x:c>
      <x:c r="J4177" s="5" t="inlineStr">
        <x:is>
          <x:t xml:space="preserve">浙江省台州市台州湾新区海城路2399号</x:t>
        </x:is>
      </x:c>
      <x:c r="K4177" s="12" t="str">
        <x:f>LEFT("913310007200456372",18)</x:f>
        <x:v>913310007200456300</x:v>
      </x:c>
    </x:row>
    <x:row r="4178">
      <x:c r="A4178" s="2" t="n">
        <x:v>4177</x:v>
      </x:c>
      <x:c r="B4178" s="2" t="inlineStr">
        <x:is>
          <x:t xml:space="preserve">603337</x:t>
        </x:is>
      </x:c>
      <x:c r="C4178" s="3" t="inlineStr">
        <x:is>
          <x:t xml:space="preserve">杰克科技</x:t>
        </x:is>
      </x:c>
      <x:c r="D4178" s="3" t="inlineStr">
        <x:is>
          <x:t xml:space="preserve">杰克科技股份有限公司</x:t>
        </x:is>
      </x:c>
      <x:c r="E4178" s="2" t="inlineStr">
        <x:is>
          <x:t xml:space="preserve">浙江省</x:t>
        </x:is>
      </x:c>
      <x:c r="F4178" s="2" t="inlineStr">
        <x:is>
          <x:t xml:space="preserve">台州市</x:t>
        </x:is>
      </x:c>
      <x:c r="G4178" s="3" t="inlineStr">
        <x:is>
          <x:t xml:space="preserve">浙江省-台州市</x:t>
        </x:is>
      </x:c>
      <x:c r="H4178" s="2" t="inlineStr">
        <x:is>
          <x:t xml:space="preserve">专用设备</x:t>
        </x:is>
      </x:c>
      <x:c r="I4178" s="2" t="inlineStr">
        <x:is>
          <x:t xml:space="preserve">2017-01-19</x:t>
        </x:is>
      </x:c>
      <x:c r="J4178" s="3" t="inlineStr">
        <x:is>
          <x:t xml:space="preserve">中国浙江省台州市椒江区三甲东海大道东段1008号</x:t>
        </x:is>
      </x:c>
      <x:c r="K4178" s="12" t="str">
        <x:f>LEFT("91330000753954968D",18)</x:f>
        <x:v>91330000753954968D</x:v>
      </x:c>
    </x:row>
    <x:row r="4179">
      <x:c r="A4179" s="4" t="n">
        <x:v>4178</x:v>
      </x:c>
      <x:c r="B4179" s="4" t="inlineStr">
        <x:is>
          <x:t xml:space="preserve">603338</x:t>
        </x:is>
      </x:c>
      <x:c r="C4179" s="5" t="inlineStr">
        <x:is>
          <x:t xml:space="preserve">浙江鼎力</x:t>
        </x:is>
      </x:c>
      <x:c r="D4179" s="5" t="inlineStr">
        <x:is>
          <x:t xml:space="preserve">浙江鼎力机械股份有限公司</x:t>
        </x:is>
      </x:c>
      <x:c r="E4179" s="4" t="inlineStr">
        <x:is>
          <x:t xml:space="preserve">浙江省</x:t>
        </x:is>
      </x:c>
      <x:c r="F4179" s="4" t="inlineStr">
        <x:is>
          <x:t xml:space="preserve">湖州市</x:t>
        </x:is>
      </x:c>
      <x:c r="G4179" s="5" t="inlineStr">
        <x:is>
          <x:t xml:space="preserve">浙江省-湖州市</x:t>
        </x:is>
      </x:c>
      <x:c r="H4179" s="4" t="inlineStr">
        <x:is>
          <x:t xml:space="preserve">工程机械</x:t>
        </x:is>
      </x:c>
      <x:c r="I4179" s="4" t="inlineStr">
        <x:is>
          <x:t xml:space="preserve">2015-03-25</x:t>
        </x:is>
      </x:c>
      <x:c r="J4179" s="5" t="inlineStr">
        <x:is>
          <x:t xml:space="preserve">浙江省湖州市德清县启航路188号</x:t>
        </x:is>
      </x:c>
      <x:c r="K4179" s="12" t="str">
        <x:f>LEFT("913300007743880298",18)</x:f>
        <x:v>913300007743880300</x:v>
      </x:c>
    </x:row>
    <x:row r="4180">
      <x:c r="A4180" s="2" t="n">
        <x:v>4179</x:v>
      </x:c>
      <x:c r="B4180" s="2" t="inlineStr">
        <x:is>
          <x:t xml:space="preserve">603373</x:t>
        </x:is>
      </x:c>
      <x:c r="C4180" s="3" t="inlineStr">
        <x:is>
          <x:t xml:space="preserve">安邦护卫</x:t>
        </x:is>
      </x:c>
      <x:c r="D4180" s="3" t="inlineStr">
        <x:is>
          <x:t xml:space="preserve">安邦护卫集团股份有限公司</x:t>
        </x:is>
      </x:c>
      <x:c r="E4180" s="2" t="inlineStr">
        <x:is>
          <x:t xml:space="preserve">浙江省</x:t>
        </x:is>
      </x:c>
      <x:c r="F4180" s="2" t="inlineStr">
        <x:is>
          <x:t xml:space="preserve">杭州市</x:t>
        </x:is>
      </x:c>
      <x:c r="G4180" s="3" t="inlineStr">
        <x:is>
          <x:t xml:space="preserve">浙江省-杭州市</x:t>
        </x:is>
      </x:c>
      <x:c r="H4180" s="2" t="inlineStr">
        <x:is>
          <x:t xml:space="preserve">专业服务</x:t>
        </x:is>
      </x:c>
      <x:c r="I4180" s="2" t="inlineStr">
        <x:is>
          <x:t xml:space="preserve">2023-12-20</x:t>
        </x:is>
      </x:c>
      <x:c r="J4180" s="3" t="inlineStr">
        <x:is>
          <x:t xml:space="preserve">浙江省杭州市西湖区转塘街道枫桦路6号之江财富中心E8楼</x:t>
        </x:is>
      </x:c>
      <x:c r="K4180" s="12" t="str">
        <x:f>LEFT("91330000785683832W",18)</x:f>
        <x:v>91330000785683832W</x:v>
      </x:c>
    </x:row>
    <x:row r="4181">
      <x:c r="A4181" s="4" t="n">
        <x:v>4180</x:v>
      </x:c>
      <x:c r="B4181" s="4" t="inlineStr">
        <x:is>
          <x:t xml:space="preserve">603376</x:t>
        </x:is>
      </x:c>
      <x:c r="C4181" s="5" t="inlineStr">
        <x:is>
          <x:t xml:space="preserve">大明电子</x:t>
        </x:is>
      </x:c>
      <x:c r="D4181" s="5" t="inlineStr">
        <x:is>
          <x:t xml:space="preserve">大明电子股份有限公司</x:t>
        </x:is>
      </x:c>
      <x:c r="E4181" s="4" t="inlineStr">
        <x:is>
          <x:t xml:space="preserve">浙江省</x:t>
        </x:is>
      </x:c>
      <x:c r="F4181" s="4" t="inlineStr">
        <x:is>
          <x:t xml:space="preserve">江省乐清市</x:t>
        </x:is>
      </x:c>
      <x:c r="G4181" s="5" t="inlineStr">
        <x:is>
          <x:t xml:space="preserve">浙江省-江省乐清市</x:t>
        </x:is>
      </x:c>
      <x:c r="H4181" s="4" t="inlineStr">
        <x:is>
          <x:t xml:space="preserve">汽车零部件</x:t>
        </x:is>
      </x:c>
      <x:c r="I4181" s="4" t="inlineStr">
        <x:is>
          <x:t xml:space="preserve">2025-11-06</x:t>
        </x:is>
      </x:c>
      <x:c r="J4181" s="5" t="inlineStr">
        <x:is>
          <x:t xml:space="preserve">浙江省乐清市虹桥镇西工业区M-1号</x:t>
        </x:is>
      </x:c>
      <x:c r="K4181" s="12" t="str">
        <x:f>LEFT("913303821454998930",18)</x:f>
        <x:v>913303821454998900</x:v>
      </x:c>
    </x:row>
    <x:row r="4182">
      <x:c r="A4182" s="2" t="n">
        <x:v>4181</x:v>
      </x:c>
      <x:c r="B4182" s="2" t="inlineStr">
        <x:is>
          <x:t xml:space="preserve">603379</x:t>
        </x:is>
      </x:c>
      <x:c r="C4182" s="3" t="inlineStr">
        <x:is>
          <x:t xml:space="preserve">三美股份</x:t>
        </x:is>
      </x:c>
      <x:c r="D4182" s="3" t="inlineStr">
        <x:is>
          <x:t xml:space="preserve">浙江三美化工股份有限公司</x:t>
        </x:is>
      </x:c>
      <x:c r="E4182" s="2" t="inlineStr">
        <x:is>
          <x:t xml:space="preserve">浙江省</x:t>
        </x:is>
      </x:c>
      <x:c r="F4182" s="2" t="inlineStr">
        <x:is>
          <x:t xml:space="preserve">金华市</x:t>
        </x:is>
      </x:c>
      <x:c r="G4182" s="3" t="inlineStr">
        <x:is>
          <x:t xml:space="preserve">浙江省-金华市</x:t>
        </x:is>
      </x:c>
      <x:c r="H4182" s="2" t="inlineStr">
        <x:is>
          <x:t xml:space="preserve">化工行业</x:t>
        </x:is>
      </x:c>
      <x:c r="I4182" s="2" t="inlineStr">
        <x:is>
          <x:t xml:space="preserve">2019-04-02</x:t>
        </x:is>
      </x:c>
      <x:c r="J4182" s="3" t="inlineStr">
        <x:is>
          <x:t xml:space="preserve">浙江省武义县青年路218号</x:t>
        </x:is>
      </x:c>
      <x:c r="K4182" s="12" t="str">
        <x:f>LEFT("913307007288998483",18)</x:f>
        <x:v>913307007288998500</x:v>
      </x:c>
    </x:row>
    <x:row r="4183">
      <x:c r="A4183" s="4" t="n">
        <x:v>4182</x:v>
      </x:c>
      <x:c r="B4183" s="4" t="inlineStr">
        <x:is>
          <x:t xml:space="preserve">603391</x:t>
        </x:is>
      </x:c>
      <x:c r="C4183" s="5" t="inlineStr">
        <x:is>
          <x:t xml:space="preserve">力聚热能</x:t>
        </x:is>
      </x:c>
      <x:c r="D4183" s="5" t="inlineStr">
        <x:is>
          <x:t xml:space="preserve">浙江力聚热能装备股份有限公司</x:t>
        </x:is>
      </x:c>
      <x:c r="E4183" s="4" t="inlineStr">
        <x:is>
          <x:t xml:space="preserve">浙江省</x:t>
        </x:is>
      </x:c>
      <x:c r="F4183" s="4" t="inlineStr">
        <x:is>
          <x:t xml:space="preserve">湖州市</x:t>
        </x:is>
      </x:c>
      <x:c r="G4183" s="5" t="inlineStr">
        <x:is>
          <x:t xml:space="preserve">浙江省-湖州市</x:t>
        </x:is>
      </x:c>
      <x:c r="H4183" s="4" t="inlineStr">
        <x:is>
          <x:t xml:space="preserve">通用设备</x:t>
        </x:is>
      </x:c>
      <x:c r="I4183" s="4" t="inlineStr">
        <x:is>
          <x:t xml:space="preserve">2024-07-31</x:t>
        </x:is>
      </x:c>
      <x:c r="J4183" s="5" t="inlineStr">
        <x:is>
          <x:t xml:space="preserve">浙江省湖州市吴兴区埭溪镇上强工业园区茅坞路9号</x:t>
        </x:is>
      </x:c>
      <x:c r="K4183" s="12" t="str">
        <x:f>LEFT("91330502790950843M",18)</x:f>
        <x:v>91330502790950843M</x:v>
      </x:c>
    </x:row>
    <x:row r="4184">
      <x:c r="A4184" s="2" t="n">
        <x:v>4183</x:v>
      </x:c>
      <x:c r="B4184" s="2" t="inlineStr">
        <x:is>
          <x:t xml:space="preserve">603456</x:t>
        </x:is>
      </x:c>
      <x:c r="C4184" s="3" t="inlineStr">
        <x:is>
          <x:t xml:space="preserve">九洲药业</x:t>
        </x:is>
      </x:c>
      <x:c r="D4184" s="3" t="inlineStr">
        <x:is>
          <x:t xml:space="preserve">浙江九洲药业股份有限公司</x:t>
        </x:is>
      </x:c>
      <x:c r="E4184" s="2" t="inlineStr">
        <x:is>
          <x:t xml:space="preserve">浙江省</x:t>
        </x:is>
      </x:c>
      <x:c r="F4184" s="2" t="inlineStr">
        <x:is>
          <x:t xml:space="preserve">台州市</x:t>
        </x:is>
      </x:c>
      <x:c r="G4184" s="3" t="inlineStr">
        <x:is>
          <x:t xml:space="preserve">浙江省-台州市</x:t>
        </x:is>
      </x:c>
      <x:c r="H4184" s="2" t="inlineStr">
        <x:is>
          <x:t xml:space="preserve">医药制造</x:t>
        </x:is>
      </x:c>
      <x:c r="I4184" s="2" t="inlineStr">
        <x:is>
          <x:t xml:space="preserve">2014-10-10</x:t>
        </x:is>
      </x:c>
      <x:c r="J4184" s="3" t="inlineStr">
        <x:is>
          <x:t xml:space="preserve">浙江省台州市椒江区外沙工业区</x:t>
        </x:is>
      </x:c>
      <x:c r="K4184" s="12" t="str">
        <x:f>LEFT("91330000704676703E",18)</x:f>
        <x:v>91330000704676703E</x:v>
      </x:c>
    </x:row>
    <x:row r="4185">
      <x:c r="A4185" s="4" t="n">
        <x:v>4184</x:v>
      </x:c>
      <x:c r="B4185" s="4" t="inlineStr">
        <x:is>
          <x:t xml:space="preserve">603500</x:t>
        </x:is>
      </x:c>
      <x:c r="C4185" s="5" t="inlineStr">
        <x:is>
          <x:t xml:space="preserve">祥和实业</x:t>
        </x:is>
      </x:c>
      <x:c r="D4185" s="5" t="inlineStr">
        <x:is>
          <x:t xml:space="preserve">浙江天台祥和实业股份有限公司</x:t>
        </x:is>
      </x:c>
      <x:c r="E4185" s="4" t="inlineStr">
        <x:is>
          <x:t xml:space="preserve">浙江省</x:t>
        </x:is>
      </x:c>
      <x:c r="F4185" s="4" t="inlineStr">
        <x:is>
          <x:t xml:space="preserve">台州市</x:t>
        </x:is>
      </x:c>
      <x:c r="G4185" s="5" t="inlineStr">
        <x:is>
          <x:t xml:space="preserve">浙江省-台州市</x:t>
        </x:is>
      </x:c>
      <x:c r="H4185" s="4" t="inlineStr">
        <x:is>
          <x:t xml:space="preserve">交运设备</x:t>
        </x:is>
      </x:c>
      <x:c r="I4185" s="4" t="inlineStr">
        <x:is>
          <x:t xml:space="preserve">2017-09-04</x:t>
        </x:is>
      </x:c>
      <x:c r="J4185" s="5" t="inlineStr">
        <x:is>
          <x:t xml:space="preserve">天台县赤城街道人民东路799号</x:t>
        </x:is>
      </x:c>
      <x:c r="K4185" s="12" t="str">
        <x:f>LEFT("91331000148051410B",18)</x:f>
        <x:v>91331000148051410B</x:v>
      </x:c>
    </x:row>
    <x:row r="4186">
      <x:c r="A4186" s="2" t="n">
        <x:v>4185</x:v>
      </x:c>
      <x:c r="B4186" s="2" t="inlineStr">
        <x:is>
          <x:t xml:space="preserve">603505</x:t>
        </x:is>
      </x:c>
      <x:c r="C4186" s="3" t="inlineStr">
        <x:is>
          <x:t xml:space="preserve">金石资源</x:t>
        </x:is>
      </x:c>
      <x:c r="D4186" s="3" t="inlineStr">
        <x:is>
          <x:t xml:space="preserve">金石资源集团股份有限公司</x:t>
        </x:is>
      </x:c>
      <x:c r="E4186" s="2" t="inlineStr">
        <x:is>
          <x:t xml:space="preserve">浙江省</x:t>
        </x:is>
      </x:c>
      <x:c r="F4186" s="2" t="inlineStr">
        <x:is>
          <x:t xml:space="preserve">杭州市</x:t>
        </x:is>
      </x:c>
      <x:c r="G4186" s="3" t="inlineStr">
        <x:is>
          <x:t xml:space="preserve">浙江省-杭州市</x:t>
        </x:is>
      </x:c>
      <x:c r="H4186" s="2" t="inlineStr">
        <x:is>
          <x:t xml:space="preserve">采掘行业</x:t>
        </x:is>
      </x:c>
      <x:c r="I4186" s="2" t="inlineStr">
        <x:is>
          <x:t xml:space="preserve">2017-05-03</x:t>
        </x:is>
      </x:c>
      <x:c r="J4186" s="3" t="inlineStr">
        <x:is>
          <x:t xml:space="preserve">杭州市拱墅区莫干山路耀江国际大厦B座20层B室</x:t>
        </x:is>
      </x:c>
      <x:c r="K4186" s="12" t="str">
        <x:f>LEFT("913301007289077995",18)</x:f>
        <x:v>913301007289078000</x:v>
      </x:c>
    </x:row>
    <x:row r="4187">
      <x:c r="A4187" s="4" t="n">
        <x:v>4186</x:v>
      </x:c>
      <x:c r="B4187" s="4" t="inlineStr">
        <x:is>
          <x:t xml:space="preserve">603506</x:t>
        </x:is>
      </x:c>
      <x:c r="C4187" s="5" t="inlineStr">
        <x:is>
          <x:t xml:space="preserve">南都物业</x:t>
        </x:is>
      </x:c>
      <x:c r="D4187" s="5" t="inlineStr">
        <x:is>
          <x:t xml:space="preserve">南都物业服务集团股份有限公司</x:t>
        </x:is>
      </x:c>
      <x:c r="E4187" s="4" t="inlineStr">
        <x:is>
          <x:t xml:space="preserve">浙江省</x:t>
        </x:is>
      </x:c>
      <x:c r="F4187" s="4" t="inlineStr">
        <x:is>
          <x:t xml:space="preserve">杭州市</x:t>
        </x:is>
      </x:c>
      <x:c r="G4187" s="5" t="inlineStr">
        <x:is>
          <x:t xml:space="preserve">浙江省-杭州市</x:t>
        </x:is>
      </x:c>
      <x:c r="H4187" s="4" t="inlineStr">
        <x:is>
          <x:t xml:space="preserve">房地产服务</x:t>
        </x:is>
      </x:c>
      <x:c r="I4187" s="4" t="inlineStr">
        <x:is>
          <x:t xml:space="preserve">2018-02-01</x:t>
        </x:is>
      </x:c>
      <x:c r="J4187" s="5" t="inlineStr">
        <x:is>
          <x:t xml:space="preserve">杭州市西湖区紫荆花路2号联合大厦A幢1单元10楼</x:t>
        </x:is>
      </x:c>
      <x:c r="K4187" s="12" t="str">
        <x:f>LEFT("91330000142924946H",18)</x:f>
        <x:v>91330000142924946H</x:v>
      </x:c>
    </x:row>
    <x:row r="4188">
      <x:c r="A4188" s="2" t="n">
        <x:v>4187</x:v>
      </x:c>
      <x:c r="B4188" s="2" t="inlineStr">
        <x:is>
          <x:t xml:space="preserve">603520</x:t>
        </x:is>
      </x:c>
      <x:c r="C4188" s="3" t="inlineStr">
        <x:is>
          <x:t xml:space="preserve">司太立</x:t>
        </x:is>
      </x:c>
      <x:c r="D4188" s="3" t="inlineStr">
        <x:is>
          <x:t xml:space="preserve">浙江司太立制药股份有限公司</x:t>
        </x:is>
      </x:c>
      <x:c r="E4188" s="2" t="inlineStr">
        <x:is>
          <x:t xml:space="preserve">浙江省</x:t>
        </x:is>
      </x:c>
      <x:c r="F4188" s="2" t="inlineStr">
        <x:is>
          <x:t xml:space="preserve">台州市</x:t>
        </x:is>
      </x:c>
      <x:c r="G4188" s="3" t="inlineStr">
        <x:is>
          <x:t xml:space="preserve">浙江省-台州市</x:t>
        </x:is>
      </x:c>
      <x:c r="H4188" s="2" t="inlineStr">
        <x:is>
          <x:t xml:space="preserve">医药制造</x:t>
        </x:is>
      </x:c>
      <x:c r="I4188" s="2" t="inlineStr">
        <x:is>
          <x:t xml:space="preserve">2016-03-09</x:t>
        </x:is>
      </x:c>
      <x:c r="J4188" s="3" t="inlineStr">
        <x:is>
          <x:t xml:space="preserve">浙江省仙居县现代工业集聚区司太立大道1号</x:t>
        </x:is>
      </x:c>
      <x:c r="K4188" s="12" t="str">
        <x:f>LEFT("91330000704720655L",18)</x:f>
        <x:v>91330000704720655L</x:v>
      </x:c>
    </x:row>
    <x:row r="4189">
      <x:c r="A4189" s="4" t="n">
        <x:v>4188</x:v>
      </x:c>
      <x:c r="B4189" s="4" t="inlineStr">
        <x:is>
          <x:t xml:space="preserve">603538</x:t>
        </x:is>
      </x:c>
      <x:c r="C4189" s="5" t="inlineStr">
        <x:is>
          <x:t xml:space="preserve">美诺华</x:t>
        </x:is>
      </x:c>
      <x:c r="D4189" s="5" t="inlineStr">
        <x:is>
          <x:t xml:space="preserve">宁波美诺华药业股份有限公司</x:t>
        </x:is>
      </x:c>
      <x:c r="E4189" s="4" t="inlineStr">
        <x:is>
          <x:t xml:space="preserve">浙江省</x:t>
        </x:is>
      </x:c>
      <x:c r="F4189" s="4" t="inlineStr">
        <x:is>
          <x:t xml:space="preserve">宁波市</x:t>
        </x:is>
      </x:c>
      <x:c r="G4189" s="5" t="inlineStr">
        <x:is>
          <x:t xml:space="preserve">浙江省-宁波市</x:t>
        </x:is>
      </x:c>
      <x:c r="H4189" s="4" t="inlineStr">
        <x:is>
          <x:t xml:space="preserve">医药制造</x:t>
        </x:is>
      </x:c>
      <x:c r="I4189" s="4" t="inlineStr">
        <x:is>
          <x:t xml:space="preserve">2017-04-07</x:t>
        </x:is>
      </x:c>
      <x:c r="J4189" s="5" t="inlineStr">
        <x:is>
          <x:t xml:space="preserve">宁波市高新区扬帆路999弄1号1406室</x:t>
        </x:is>
      </x:c>
      <x:c r="K4189" s="12" t="str">
        <x:f>LEFT("913302007588573234",18)</x:f>
        <x:v>913302007588573200</x:v>
      </x:c>
    </x:row>
    <x:row r="4190">
      <x:c r="A4190" s="2" t="n">
        <x:v>4189</x:v>
      </x:c>
      <x:c r="B4190" s="2" t="inlineStr">
        <x:is>
          <x:t xml:space="preserve">603551</x:t>
        </x:is>
      </x:c>
      <x:c r="C4190" s="3" t="inlineStr">
        <x:is>
          <x:t xml:space="preserve">奥普科技</x:t>
        </x:is>
      </x:c>
      <x:c r="D4190" s="3" t="inlineStr">
        <x:is>
          <x:t xml:space="preserve">奥普智能科技股份有限公司</x:t>
        </x:is>
      </x:c>
      <x:c r="E4190" s="2" t="inlineStr">
        <x:is>
          <x:t xml:space="preserve">浙江省</x:t>
        </x:is>
      </x:c>
      <x:c r="F4190" s="2" t="inlineStr">
        <x:is>
          <x:t xml:space="preserve">杭州市</x:t>
        </x:is>
      </x:c>
      <x:c r="G4190" s="3" t="inlineStr">
        <x:is>
          <x:t xml:space="preserve">浙江省-杭州市</x:t>
        </x:is>
      </x:c>
      <x:c r="H4190" s="2" t="inlineStr">
        <x:is>
          <x:t xml:space="preserve">家电行业</x:t>
        </x:is>
      </x:c>
      <x:c r="I4190" s="2" t="inlineStr">
        <x:is>
          <x:t xml:space="preserve">2020-01-15</x:t>
        </x:is>
      </x:c>
      <x:c r="J4190" s="3" t="inlineStr">
        <x:is>
          <x:t xml:space="preserve">浙江省杭州经济技术开发区21号大街210号</x:t>
        </x:is>
      </x:c>
      <x:c r="K4190" s="12" t="str">
        <x:f>LEFT("9133010076546451X1",18)</x:f>
        <x:v>9133010076546451X1</x:v>
      </x:c>
    </x:row>
    <x:row r="4191">
      <x:c r="A4191" s="4" t="n">
        <x:v>4190</x:v>
      </x:c>
      <x:c r="B4191" s="4" t="inlineStr">
        <x:is>
          <x:t xml:space="preserve">603556</x:t>
        </x:is>
      </x:c>
      <x:c r="C4191" s="5" t="inlineStr">
        <x:is>
          <x:t xml:space="preserve">海兴电力</x:t>
        </x:is>
      </x:c>
      <x:c r="D4191" s="5" t="inlineStr">
        <x:is>
          <x:t xml:space="preserve">杭州海兴电力科技股份有限公司</x:t>
        </x:is>
      </x:c>
      <x:c r="E4191" s="4" t="inlineStr">
        <x:is>
          <x:t xml:space="preserve">浙江省</x:t>
        </x:is>
      </x:c>
      <x:c r="F4191" s="4" t="inlineStr">
        <x:is>
          <x:t xml:space="preserve">杭州市</x:t>
        </x:is>
      </x:c>
      <x:c r="G4191" s="5" t="inlineStr">
        <x:is>
          <x:t xml:space="preserve">浙江省-杭州市</x:t>
        </x:is>
      </x:c>
      <x:c r="H4191" s="4" t="inlineStr">
        <x:is>
          <x:t xml:space="preserve">输配电气</x:t>
        </x:is>
      </x:c>
      <x:c r="I4191" s="4" t="inlineStr">
        <x:is>
          <x:t xml:space="preserve">2016-11-10</x:t>
        </x:is>
      </x:c>
      <x:c r="J4191" s="5" t="inlineStr">
        <x:is>
          <x:t xml:space="preserve">杭州市莫干山路1418号(上城工业园区)</x:t>
        </x:is>
      </x:c>
      <x:c r="K4191" s="12" t="str">
        <x:f>LEFT("91330100730327355E",18)</x:f>
        <x:v>91330100730327355E</x:v>
      </x:c>
    </x:row>
    <x:row r="4192">
      <x:c r="A4192" s="2" t="n">
        <x:v>4191</x:v>
      </x:c>
      <x:c r="B4192" s="2" t="inlineStr">
        <x:is>
          <x:t xml:space="preserve">603557</x:t>
        </x:is>
      </x:c>
      <x:c r="C4192" s="3" t="inlineStr">
        <x:is>
          <x:t xml:space="preserve">ST起步</x:t>
        </x:is>
      </x:c>
      <x:c r="D4192" s="3" t="inlineStr">
        <x:is>
          <x:t xml:space="preserve">起步股份有限公司</x:t>
        </x:is>
      </x:c>
      <x:c r="E4192" s="2" t="inlineStr">
        <x:is>
          <x:t xml:space="preserve">浙江省</x:t>
        </x:is>
      </x:c>
      <x:c r="F4192" s="2" t="inlineStr">
        <x:is>
          <x:t xml:space="preserve">湖州市</x:t>
        </x:is>
      </x:c>
      <x:c r="G4192" s="3" t="inlineStr">
        <x:is>
          <x:t xml:space="preserve">浙江省-湖州市</x:t>
        </x:is>
      </x:c>
      <x:c r="H4192" s="2" t="inlineStr">
        <x:is>
          <x:t xml:space="preserve">纺织服装</x:t>
        </x:is>
      </x:c>
      <x:c r="I4192" s="2" t="inlineStr">
        <x:is>
          <x:t xml:space="preserve">2017-08-18</x:t>
        </x:is>
      </x:c>
      <x:c r="J4192" s="3" t="inlineStr">
        <x:is>
          <x:t xml:space="preserve">浙江省湖州市吴兴区织里镇湖织大道5188号3幢11层</x:t>
        </x:is>
      </x:c>
      <x:c r="K4192" s="12" t="str">
        <x:f>LEFT("913311006982950225",18)</x:f>
        <x:v>913311006982950300</x:v>
      </x:c>
    </x:row>
    <x:row r="4193">
      <x:c r="A4193" s="4" t="n">
        <x:v>4192</x:v>
      </x:c>
      <x:c r="B4193" s="4" t="inlineStr">
        <x:is>
          <x:t xml:space="preserve">603558</x:t>
        </x:is>
      </x:c>
      <x:c r="C4193" s="5" t="inlineStr">
        <x:is>
          <x:t xml:space="preserve">健盛集团</x:t>
        </x:is>
      </x:c>
      <x:c r="D4193" s="5" t="inlineStr">
        <x:is>
          <x:t xml:space="preserve">浙江健盛集团股份有限公司</x:t>
        </x:is>
      </x:c>
      <x:c r="E4193" s="4" t="inlineStr">
        <x:is>
          <x:t xml:space="preserve">浙江省</x:t>
        </x:is>
      </x:c>
      <x:c r="F4193" s="4" t="inlineStr">
        <x:is>
          <x:t xml:space="preserve">杭州市</x:t>
        </x:is>
      </x:c>
      <x:c r="G4193" s="5" t="inlineStr">
        <x:is>
          <x:t xml:space="preserve">浙江省-杭州市</x:t>
        </x:is>
      </x:c>
      <x:c r="H4193" s="4" t="inlineStr">
        <x:is>
          <x:t xml:space="preserve">纺织服装</x:t>
        </x:is>
      </x:c>
      <x:c r="I4193" s="4" t="inlineStr">
        <x:is>
          <x:t xml:space="preserve">2015-01-27</x:t>
        </x:is>
      </x:c>
      <x:c r="J4193" s="5" t="inlineStr">
        <x:is>
          <x:t xml:space="preserve">杭州市萧山经济技术开发区桥南区块知行路1699号3幢</x:t>
        </x:is>
      </x:c>
      <x:c r="K4193" s="12" t="str">
        <x:f>LEFT("91330000741008835U",18)</x:f>
        <x:v>91330000741008835U</x:v>
      </x:c>
    </x:row>
    <x:row r="4194">
      <x:c r="A4194" s="2" t="n">
        <x:v>4193</x:v>
      </x:c>
      <x:c r="B4194" s="2" t="inlineStr">
        <x:is>
          <x:t xml:space="preserve">603568</x:t>
        </x:is>
      </x:c>
      <x:c r="C4194" s="3" t="inlineStr">
        <x:is>
          <x:t xml:space="preserve">伟明环保</x:t>
        </x:is>
      </x:c>
      <x:c r="D4194" s="3" t="inlineStr">
        <x:is>
          <x:t xml:space="preserve">浙江伟明环保股份有限公司</x:t>
        </x:is>
      </x:c>
      <x:c r="E4194" s="2" t="inlineStr">
        <x:is>
          <x:t xml:space="preserve">浙江省</x:t>
        </x:is>
      </x:c>
      <x:c r="F4194" s="2" t="inlineStr">
        <x:is>
          <x:t xml:space="preserve">温州市</x:t>
        </x:is>
      </x:c>
      <x:c r="G4194" s="3" t="inlineStr">
        <x:is>
          <x:t xml:space="preserve">浙江省-温州市</x:t>
        </x:is>
      </x:c>
      <x:c r="H4194" s="2" t="inlineStr">
        <x:is>
          <x:t xml:space="preserve">环保工程</x:t>
        </x:is>
      </x:c>
      <x:c r="I4194" s="2" t="inlineStr">
        <x:is>
          <x:t xml:space="preserve">2015-05-28</x:t>
        </x:is>
      </x:c>
      <x:c r="J4194" s="3" t="inlineStr">
        <x:is>
          <x:t xml:space="preserve">浙江省温州市瓯海区娄桥工业园中汇路81号B2幢5楼东南首</x:t>
        </x:is>
      </x:c>
      <x:c r="K4194" s="12" t="str">
        <x:f>LEFT("91330000734522019A",18)</x:f>
        <x:v>91330000734522019A</x:v>
      </x:c>
    </x:row>
    <x:row r="4195">
      <x:c r="A4195" s="4" t="n">
        <x:v>4194</x:v>
      </x:c>
      <x:c r="B4195" s="4" t="inlineStr">
        <x:is>
          <x:t xml:space="preserve">603578</x:t>
        </x:is>
      </x:c>
      <x:c r="C4195" s="5" t="inlineStr">
        <x:is>
          <x:t xml:space="preserve">三星新材</x:t>
        </x:is>
      </x:c>
      <x:c r="D4195" s="5" t="inlineStr">
        <x:is>
          <x:t xml:space="preserve">浙江三星新材股份有限公司</x:t>
        </x:is>
      </x:c>
      <x:c r="E4195" s="4" t="inlineStr">
        <x:is>
          <x:t xml:space="preserve">浙江省</x:t>
        </x:is>
      </x:c>
      <x:c r="F4195" s="4" t="inlineStr">
        <x:is>
          <x:t xml:space="preserve">湖州市</x:t>
        </x:is>
      </x:c>
      <x:c r="G4195" s="5" t="inlineStr">
        <x:is>
          <x:t xml:space="preserve">浙江省-湖州市</x:t>
        </x:is>
      </x:c>
      <x:c r="H4195" s="4" t="inlineStr">
        <x:is>
          <x:t xml:space="preserve">家电行业</x:t>
        </x:is>
      </x:c>
      <x:c r="I4195" s="4" t="inlineStr">
        <x:is>
          <x:t xml:space="preserve">2017-03-06</x:t>
        </x:is>
      </x:c>
      <x:c r="J4195" s="5" t="inlineStr">
        <x:is>
          <x:t xml:space="preserve">德清县禹越镇杭海路333号</x:t>
        </x:is>
      </x:c>
      <x:c r="K4195" s="12" t="str">
        <x:f>LEFT("91330500704459485N",18)</x:f>
        <x:v>91330500704459485N</x:v>
      </x:c>
    </x:row>
    <x:row r="4196">
      <x:c r="A4196" s="2" t="n">
        <x:v>4195</x:v>
      </x:c>
      <x:c r="B4196" s="2" t="inlineStr">
        <x:is>
          <x:t xml:space="preserve">603583</x:t>
        </x:is>
      </x:c>
      <x:c r="C4196" s="3" t="inlineStr">
        <x:is>
          <x:t xml:space="preserve">捷昌驱动</x:t>
        </x:is>
      </x:c>
      <x:c r="D4196" s="3" t="inlineStr">
        <x:is>
          <x:t xml:space="preserve">浙江捷昌线性驱动科技股份有限公司</x:t>
        </x:is>
      </x:c>
      <x:c r="E4196" s="2" t="inlineStr">
        <x:is>
          <x:t xml:space="preserve">浙江省</x:t>
        </x:is>
      </x:c>
      <x:c r="F4196" s="2" t="inlineStr">
        <x:is>
          <x:t xml:space="preserve">绍兴市</x:t>
        </x:is>
      </x:c>
      <x:c r="G4196" s="3" t="inlineStr">
        <x:is>
          <x:t xml:space="preserve">浙江省-绍兴市</x:t>
        </x:is>
      </x:c>
      <x:c r="H4196" s="2" t="inlineStr">
        <x:is>
          <x:t xml:space="preserve">专用设备</x:t>
        </x:is>
      </x:c>
      <x:c r="I4196" s="2" t="inlineStr">
        <x:is>
          <x:t xml:space="preserve">2018-09-21</x:t>
        </x:is>
      </x:c>
      <x:c r="J4196" s="3" t="inlineStr">
        <x:is>
          <x:t xml:space="preserve">浙江省绍兴市新昌县省级高新技术产业园区</x:t>
        </x:is>
      </x:c>
      <x:c r="K4196" s="12" t="str">
        <x:f>LEFT("913306005547614262",18)</x:f>
        <x:v>913306005547614200</x:v>
      </x:c>
    </x:row>
    <x:row r="4197">
      <x:c r="A4197" s="4" t="n">
        <x:v>4196</x:v>
      </x:c>
      <x:c r="B4197" s="4" t="inlineStr">
        <x:is>
          <x:t xml:space="preserve">603595</x:t>
        </x:is>
      </x:c>
      <x:c r="C4197" s="5" t="inlineStr">
        <x:is>
          <x:t xml:space="preserve">ST东尼</x:t>
        </x:is>
      </x:c>
      <x:c r="D4197" s="5" t="inlineStr">
        <x:is>
          <x:t xml:space="preserve">浙江东尼电子股份有限公司</x:t>
        </x:is>
      </x:c>
      <x:c r="E4197" s="4" t="inlineStr">
        <x:is>
          <x:t xml:space="preserve">浙江省</x:t>
        </x:is>
      </x:c>
      <x:c r="F4197" s="4" t="inlineStr">
        <x:is>
          <x:t xml:space="preserve">湖州市</x:t>
        </x:is>
      </x:c>
      <x:c r="G4197" s="5" t="inlineStr">
        <x:is>
          <x:t xml:space="preserve">浙江省-湖州市</x:t>
        </x:is>
      </x:c>
      <x:c r="H4197" s="4" t="inlineStr">
        <x:is>
          <x:t xml:space="preserve">消费电子</x:t>
        </x:is>
      </x:c>
      <x:c r="I4197" s="4" t="inlineStr">
        <x:is>
          <x:t xml:space="preserve">2017-07-12</x:t>
        </x:is>
      </x:c>
      <x:c r="J4197" s="5" t="inlineStr">
        <x:is>
          <x:t xml:space="preserve">浙江省湖州市吴兴区织里镇利济东路555号</x:t>
        </x:is>
      </x:c>
      <x:c r="K4197" s="12" t="str">
        <x:f>LEFT("91330500671607807U",18)</x:f>
        <x:v>91330500671607807U</x:v>
      </x:c>
    </x:row>
    <x:row r="4198">
      <x:c r="A4198" s="2" t="n">
        <x:v>4197</x:v>
      </x:c>
      <x:c r="B4198" s="2" t="inlineStr">
        <x:is>
          <x:t xml:space="preserve">603600</x:t>
        </x:is>
      </x:c>
      <x:c r="C4198" s="3" t="inlineStr">
        <x:is>
          <x:t xml:space="preserve">永艺股份</x:t>
        </x:is>
      </x:c>
      <x:c r="D4198" s="3" t="inlineStr">
        <x:is>
          <x:t xml:space="preserve">永艺家具股份有限公司</x:t>
        </x:is>
      </x:c>
      <x:c r="E4198" s="2" t="inlineStr">
        <x:is>
          <x:t xml:space="preserve">浙江省</x:t>
        </x:is>
      </x:c>
      <x:c r="F4198" s="2" t="inlineStr">
        <x:is>
          <x:t xml:space="preserve">湖州市</x:t>
        </x:is>
      </x:c>
      <x:c r="G4198" s="3" t="inlineStr">
        <x:is>
          <x:t xml:space="preserve">浙江省-湖州市</x:t>
        </x:is>
      </x:c>
      <x:c r="H4198" s="2" t="inlineStr">
        <x:is>
          <x:t xml:space="preserve">木业家具</x:t>
        </x:is>
      </x:c>
      <x:c r="I4198" s="2" t="inlineStr">
        <x:is>
          <x:t xml:space="preserve">2015-01-23</x:t>
        </x:is>
      </x:c>
      <x:c r="J4198" s="3" t="inlineStr">
        <x:is>
          <x:t xml:space="preserve">浙江省安吉县灵峰街道永艺西路1号</x:t>
        </x:is>
      </x:c>
      <x:c r="K4198" s="12" t="str">
        <x:f>LEFT("913300007284720788",18)</x:f>
        <x:v>913300007284720800</x:v>
      </x:c>
    </x:row>
    <x:row r="4199">
      <x:c r="A4199" s="4" t="n">
        <x:v>4198</x:v>
      </x:c>
      <x:c r="B4199" s="4" t="inlineStr">
        <x:is>
          <x:t xml:space="preserve">603602</x:t>
        </x:is>
      </x:c>
      <x:c r="C4199" s="5" t="inlineStr">
        <x:is>
          <x:t xml:space="preserve">纵横通信</x:t>
        </x:is>
      </x:c>
      <x:c r="D4199" s="5" t="inlineStr">
        <x:is>
          <x:t xml:space="preserve">杭州纵横通信股份有限公司</x:t>
        </x:is>
      </x:c>
      <x:c r="E4199" s="4" t="inlineStr">
        <x:is>
          <x:t xml:space="preserve">浙江省</x:t>
        </x:is>
      </x:c>
      <x:c r="F4199" s="4" t="inlineStr">
        <x:is>
          <x:t xml:space="preserve">杭州市</x:t>
        </x:is>
      </x:c>
      <x:c r="G4199" s="5" t="inlineStr">
        <x:is>
          <x:t xml:space="preserve">浙江省-杭州市</x:t>
        </x:is>
      </x:c>
      <x:c r="H4199" s="4" t="inlineStr">
        <x:is>
          <x:t xml:space="preserve">通信服务</x:t>
        </x:is>
      </x:c>
      <x:c r="I4199" s="4" t="inlineStr">
        <x:is>
          <x:t xml:space="preserve">2017-08-10</x:t>
        </x:is>
      </x:c>
      <x:c r="J4199" s="5" t="inlineStr">
        <x:is>
          <x:t xml:space="preserve">浙江省杭州市滨江区西兴街道协同路190号A座18层</x:t>
        </x:is>
      </x:c>
      <x:c r="K4199" s="12" t="str">
        <x:f>LEFT("91330100796661532B",18)</x:f>
        <x:v>91330100796661532B</x:v>
      </x:c>
    </x:row>
    <x:row r="4200">
      <x:c r="A4200" s="2" t="n">
        <x:v>4199</x:v>
      </x:c>
      <x:c r="B4200" s="2" t="inlineStr">
        <x:is>
          <x:t xml:space="preserve">603605</x:t>
        </x:is>
      </x:c>
      <x:c r="C4200" s="3" t="inlineStr">
        <x:is>
          <x:t xml:space="preserve">珀莱雅</x:t>
        </x:is>
      </x:c>
      <x:c r="D4200" s="3" t="inlineStr">
        <x:is>
          <x:t xml:space="preserve">珀莱雅化妆品股份有限公司</x:t>
        </x:is>
      </x:c>
      <x:c r="E4200" s="2" t="inlineStr">
        <x:is>
          <x:t xml:space="preserve">浙江省</x:t>
        </x:is>
      </x:c>
      <x:c r="F4200" s="2" t="inlineStr">
        <x:is>
          <x:t xml:space="preserve">杭州市</x:t>
        </x:is>
      </x:c>
      <x:c r="G4200" s="3" t="inlineStr">
        <x:is>
          <x:t xml:space="preserve">浙江省-杭州市</x:t>
        </x:is>
      </x:c>
      <x:c r="H4200" s="2" t="inlineStr">
        <x:is>
          <x:t xml:space="preserve">美容护理</x:t>
        </x:is>
      </x:c>
      <x:c r="I4200" s="2" t="inlineStr">
        <x:is>
          <x:t xml:space="preserve">2017-11-15</x:t>
        </x:is>
      </x:c>
      <x:c r="J4200" s="3" t="inlineStr">
        <x:is>
          <x:t xml:space="preserve">浙江省杭州市西湖区留下街道西溪路588号</x:t>
        </x:is>
      </x:c>
      <x:c r="K4200" s="12" t="str">
        <x:f>LEFT("91330100789665033F",18)</x:f>
        <x:v>91330100789665033F</x:v>
      </x:c>
    </x:row>
    <x:row r="4201">
      <x:c r="A4201" s="4" t="n">
        <x:v>4200</x:v>
      </x:c>
      <x:c r="B4201" s="4" t="inlineStr">
        <x:is>
          <x:t xml:space="preserve">603606</x:t>
        </x:is>
      </x:c>
      <x:c r="C4201" s="5" t="inlineStr">
        <x:is>
          <x:t xml:space="preserve">东方电缆</x:t>
        </x:is>
      </x:c>
      <x:c r="D4201" s="5" t="inlineStr">
        <x:is>
          <x:t xml:space="preserve">宁波东方电缆股份有限公司</x:t>
        </x:is>
      </x:c>
      <x:c r="E4201" s="4" t="inlineStr">
        <x:is>
          <x:t xml:space="preserve">浙江省</x:t>
        </x:is>
      </x:c>
      <x:c r="F4201" s="4" t="inlineStr">
        <x:is>
          <x:t xml:space="preserve">宁波市</x:t>
        </x:is>
      </x:c>
      <x:c r="G4201" s="5" t="inlineStr">
        <x:is>
          <x:t xml:space="preserve">浙江省-宁波市</x:t>
        </x:is>
      </x:c>
      <x:c r="H4201" s="4" t="inlineStr">
        <x:is>
          <x:t xml:space="preserve">输配电气</x:t>
        </x:is>
      </x:c>
      <x:c r="I4201" s="4" t="inlineStr">
        <x:is>
          <x:t xml:space="preserve">2014-10-15</x:t>
        </x:is>
      </x:c>
      <x:c r="J4201" s="5" t="inlineStr">
        <x:is>
          <x:t xml:space="preserve">宁波市北仑区江南东路968号</x:t>
        </x:is>
      </x:c>
      <x:c r="K4201" s="12" t="str">
        <x:f>LEFT("91330200704897960W",18)</x:f>
        <x:v>91330200704897960W</x:v>
      </x:c>
    </x:row>
    <x:row r="4202">
      <x:c r="A4202" s="2" t="n">
        <x:v>4201</x:v>
      </x:c>
      <x:c r="B4202" s="2" t="inlineStr">
        <x:is>
          <x:t xml:space="preserve">603607</x:t>
        </x:is>
      </x:c>
      <x:c r="C4202" s="3" t="inlineStr">
        <x:is>
          <x:t xml:space="preserve">京华激光</x:t>
        </x:is>
      </x:c>
      <x:c r="D4202" s="3" t="inlineStr">
        <x:is>
          <x:t xml:space="preserve">浙江京华激光科技股份有限公司</x:t>
        </x:is>
      </x:c>
      <x:c r="E4202" s="2" t="inlineStr">
        <x:is>
          <x:t xml:space="preserve">浙江省</x:t>
        </x:is>
      </x:c>
      <x:c r="F4202" s="2" t="inlineStr">
        <x:is>
          <x:t xml:space="preserve">绍兴市</x:t>
        </x:is>
      </x:c>
      <x:c r="G4202" s="3" t="inlineStr">
        <x:is>
          <x:t xml:space="preserve">浙江省-绍兴市</x:t>
        </x:is>
      </x:c>
      <x:c r="H4202" s="2" t="inlineStr">
        <x:is>
          <x:t xml:space="preserve">造纸印刷</x:t>
        </x:is>
      </x:c>
      <x:c r="I4202" s="2" t="inlineStr">
        <x:is>
          <x:t xml:space="preserve">2017-10-25</x:t>
        </x:is>
      </x:c>
      <x:c r="J4202" s="3" t="inlineStr">
        <x:is>
          <x:t xml:space="preserve">浙江省绍兴市城东经济技术开发区</x:t>
        </x:is>
      </x:c>
      <x:c r="K4202" s="12" t="str">
        <x:f>LEFT("913306006096100281",18)</x:f>
        <x:v>913306006096100200</x:v>
      </x:c>
    </x:row>
    <x:row r="4203">
      <x:c r="A4203" s="4" t="n">
        <x:v>4202</x:v>
      </x:c>
      <x:c r="B4203" s="4" t="inlineStr">
        <x:is>
          <x:t xml:space="preserve">603610</x:t>
        </x:is>
      </x:c>
      <x:c r="C4203" s="5" t="inlineStr">
        <x:is>
          <x:t xml:space="preserve">麒盛科技</x:t>
        </x:is>
      </x:c>
      <x:c r="D4203" s="5" t="inlineStr">
        <x:is>
          <x:t xml:space="preserve">麒盛科技股份有限公司</x:t>
        </x:is>
      </x:c>
      <x:c r="E4203" s="4" t="inlineStr">
        <x:is>
          <x:t xml:space="preserve">浙江省</x:t>
        </x:is>
      </x:c>
      <x:c r="F4203" s="4" t="inlineStr">
        <x:is>
          <x:t xml:space="preserve">嘉兴市</x:t>
        </x:is>
      </x:c>
      <x:c r="G4203" s="5" t="inlineStr">
        <x:is>
          <x:t xml:space="preserve">浙江省-嘉兴市</x:t>
        </x:is>
      </x:c>
      <x:c r="H4203" s="4" t="inlineStr">
        <x:is>
          <x:t xml:space="preserve">木业家具</x:t>
        </x:is>
      </x:c>
      <x:c r="I4203" s="4" t="inlineStr">
        <x:is>
          <x:t xml:space="preserve">2019-10-29</x:t>
        </x:is>
      </x:c>
      <x:c r="J4203" s="5" t="inlineStr">
        <x:is>
          <x:t xml:space="preserve">浙江省嘉兴市秀洲区王江泾镇秀水大道1508号</x:t>
        </x:is>
      </x:c>
      <x:c r="K4203" s="12" t="str">
        <x:f>LEFT("91330411780498339G",18)</x:f>
        <x:v>91330411780498339G</x:v>
      </x:c>
    </x:row>
    <x:row r="4204">
      <x:c r="A4204" s="2" t="n">
        <x:v>4203</x:v>
      </x:c>
      <x:c r="B4204" s="2" t="inlineStr">
        <x:is>
          <x:t xml:space="preserve">603611</x:t>
        </x:is>
      </x:c>
      <x:c r="C4204" s="3" t="inlineStr">
        <x:is>
          <x:t xml:space="preserve">诺力股份</x:t>
        </x:is>
      </x:c>
      <x:c r="D4204" s="3" t="inlineStr">
        <x:is>
          <x:t xml:space="preserve">诺力智能装备股份有限公司</x:t>
        </x:is>
      </x:c>
      <x:c r="E4204" s="2" t="inlineStr">
        <x:is>
          <x:t xml:space="preserve">浙江省</x:t>
        </x:is>
      </x:c>
      <x:c r="F4204" s="2" t="inlineStr">
        <x:is>
          <x:t xml:space="preserve">湖街道长州</x:t>
        </x:is>
      </x:c>
      <x:c r="G4204" s="3" t="inlineStr">
        <x:is>
          <x:t xml:space="preserve">浙江省-湖街道长州</x:t>
        </x:is>
      </x:c>
      <x:c r="H4204" s="2" t="inlineStr">
        <x:is>
          <x:t xml:space="preserve">工程机械</x:t>
        </x:is>
      </x:c>
      <x:c r="I4204" s="2" t="inlineStr">
        <x:is>
          <x:t xml:space="preserve">2015-01-28</x:t>
        </x:is>
      </x:c>
      <x:c r="J4204" s="3" t="inlineStr">
        <x:is>
          <x:t xml:space="preserve">浙江省长兴县太湖街道长州路528号</x:t>
        </x:is>
      </x:c>
      <x:c r="K4204" s="12" t="str">
        <x:f>LEFT("91330000717628655G",18)</x:f>
        <x:v>91330000717628655G</x:v>
      </x:c>
    </x:row>
    <x:row r="4205">
      <x:c r="A4205" s="4" t="n">
        <x:v>4204</x:v>
      </x:c>
      <x:c r="B4205" s="4" t="inlineStr">
        <x:is>
          <x:t xml:space="preserve">603617</x:t>
        </x:is>
      </x:c>
      <x:c r="C4205" s="5" t="inlineStr">
        <x:is>
          <x:t xml:space="preserve">君禾股份</x:t>
        </x:is>
      </x:c>
      <x:c r="D4205" s="5" t="inlineStr">
        <x:is>
          <x:t xml:space="preserve">君禾泵业股份有限公司</x:t>
        </x:is>
      </x:c>
      <x:c r="E4205" s="4" t="inlineStr">
        <x:is>
          <x:t xml:space="preserve">浙江省</x:t>
        </x:is>
      </x:c>
      <x:c r="F4205" s="4" t="inlineStr">
        <x:is>
          <x:t xml:space="preserve">宁波市</x:t>
        </x:is>
      </x:c>
      <x:c r="G4205" s="5" t="inlineStr">
        <x:is>
          <x:t xml:space="preserve">浙江省-宁波市</x:t>
        </x:is>
      </x:c>
      <x:c r="H4205" s="4" t="inlineStr">
        <x:is>
          <x:t xml:space="preserve">机械行业</x:t>
        </x:is>
      </x:c>
      <x:c r="I4205" s="4" t="inlineStr">
        <x:is>
          <x:t xml:space="preserve">2017-07-03</x:t>
        </x:is>
      </x:c>
      <x:c r="J4205" s="5" t="inlineStr">
        <x:is>
          <x:t xml:space="preserve">浙江省宁波市海曙区集士港镇广蔺路288号</x:t>
        </x:is>
      </x:c>
      <x:c r="K4205" s="12" t="str">
        <x:f>LEFT("9133020074739081X7",18)</x:f>
        <x:v>9133020074739081X7</x:v>
      </x:c>
    </x:row>
    <x:row r="4206">
      <x:c r="A4206" s="2" t="n">
        <x:v>4205</x:v>
      </x:c>
      <x:c r="B4206" s="2" t="inlineStr">
        <x:is>
          <x:t xml:space="preserve">603618</x:t>
        </x:is>
      </x:c>
      <x:c r="C4206" s="3" t="inlineStr">
        <x:is>
          <x:t xml:space="preserve">杭电股份</x:t>
        </x:is>
      </x:c>
      <x:c r="D4206" s="3" t="inlineStr">
        <x:is>
          <x:t xml:space="preserve">杭州电缆股份有限公司</x:t>
        </x:is>
      </x:c>
      <x:c r="E4206" s="2" t="inlineStr">
        <x:is>
          <x:t xml:space="preserve">浙江省</x:t>
        </x:is>
      </x:c>
      <x:c r="F4206" s="2" t="inlineStr">
        <x:is>
          <x:t xml:space="preserve">杭州市</x:t>
        </x:is>
      </x:c>
      <x:c r="G4206" s="3" t="inlineStr">
        <x:is>
          <x:t xml:space="preserve">浙江省-杭州市</x:t>
        </x:is>
      </x:c>
      <x:c r="H4206" s="2" t="inlineStr">
        <x:is>
          <x:t xml:space="preserve">输配电气</x:t>
        </x:is>
      </x:c>
      <x:c r="I4206" s="2" t="inlineStr">
        <x:is>
          <x:t xml:space="preserve">2015-02-17</x:t>
        </x:is>
      </x:c>
      <x:c r="J4206" s="3" t="inlineStr">
        <x:is>
          <x:t xml:space="preserve">杭州经济技术开发区6号大街68-1号</x:t>
        </x:is>
      </x:c>
      <x:c r="K4206" s="12" t="str">
        <x:f>LEFT("91330000609120811K",18)</x:f>
        <x:v>91330000609120811K</x:v>
      </x:c>
    </x:row>
    <x:row r="4207">
      <x:c r="A4207" s="4" t="n">
        <x:v>4206</x:v>
      </x:c>
      <x:c r="B4207" s="4" t="inlineStr">
        <x:is>
          <x:t xml:space="preserve">603637</x:t>
        </x:is>
      </x:c>
      <x:c r="C4207" s="5" t="inlineStr">
        <x:is>
          <x:t xml:space="preserve">镇海股份</x:t>
        </x:is>
      </x:c>
      <x:c r="D4207" s="5" t="inlineStr">
        <x:is>
          <x:t xml:space="preserve">镇海石化工程股份有限公司</x:t>
        </x:is>
      </x:c>
      <x:c r="E4207" s="4" t="inlineStr">
        <x:is>
          <x:t xml:space="preserve">浙江省</x:t>
        </x:is>
      </x:c>
      <x:c r="F4207" s="4" t="inlineStr">
        <x:is>
          <x:t xml:space="preserve">宁波市</x:t>
        </x:is>
      </x:c>
      <x:c r="G4207" s="5" t="inlineStr">
        <x:is>
          <x:t xml:space="preserve">浙江省-宁波市</x:t>
        </x:is>
      </x:c>
      <x:c r="H4207" s="4" t="inlineStr">
        <x:is>
          <x:t xml:space="preserve">工程建设</x:t>
        </x:is>
      </x:c>
      <x:c r="I4207" s="4" t="inlineStr">
        <x:is>
          <x:t xml:space="preserve">2017-02-08</x:t>
        </x:is>
      </x:c>
      <x:c r="J4207" s="5" t="inlineStr">
        <x:is>
          <x:t xml:space="preserve">宁波市高新区星海南路36号</x:t>
        </x:is>
      </x:c>
      <x:c r="K4207" s="12" t="str">
        <x:f>LEFT("91330200144376891X",18)</x:f>
        <x:v>91330200144376891X</x:v>
      </x:c>
    </x:row>
    <x:row r="4208">
      <x:c r="A4208" s="2" t="n">
        <x:v>4207</x:v>
      </x:c>
      <x:c r="B4208" s="2" t="inlineStr">
        <x:is>
          <x:t xml:space="preserve">603657</x:t>
        </x:is>
      </x:c>
      <x:c r="C4208" s="3" t="inlineStr">
        <x:is>
          <x:t xml:space="preserve">春光科技</x:t>
        </x:is>
      </x:c>
      <x:c r="D4208" s="3" t="inlineStr">
        <x:is>
          <x:t xml:space="preserve">金华春光橡塑科技股份有限公司</x:t>
        </x:is>
      </x:c>
      <x:c r="E4208" s="2" t="inlineStr">
        <x:is>
          <x:t xml:space="preserve">浙江省</x:t>
        </x:is>
      </x:c>
      <x:c r="F4208" s="2" t="inlineStr">
        <x:is>
          <x:t xml:space="preserve">金华市</x:t>
        </x:is>
      </x:c>
      <x:c r="G4208" s="3" t="inlineStr">
        <x:is>
          <x:t xml:space="preserve">浙江省-金华市</x:t>
        </x:is>
      </x:c>
      <x:c r="H4208" s="2" t="inlineStr">
        <x:is>
          <x:t xml:space="preserve">家电行业</x:t>
        </x:is>
      </x:c>
      <x:c r="I4208" s="2" t="inlineStr">
        <x:is>
          <x:t xml:space="preserve">2018-07-30</x:t>
        </x:is>
      </x:c>
      <x:c r="J4208" s="3" t="inlineStr">
        <x:is>
          <x:t xml:space="preserve">浙江省金华市金磐开发区花台路1399号</x:t>
        </x:is>
      </x:c>
      <x:c r="K4208" s="12" t="str">
        <x:f>LEFT("913307276097712783",18)</x:f>
        <x:v>913307276097712800</x:v>
      </x:c>
    </x:row>
    <x:row r="4209">
      <x:c r="A4209" s="4" t="n">
        <x:v>4208</x:v>
      </x:c>
      <x:c r="B4209" s="4" t="inlineStr">
        <x:is>
          <x:t xml:space="preserve">603661</x:t>
        </x:is>
      </x:c>
      <x:c r="C4209" s="5" t="inlineStr">
        <x:is>
          <x:t xml:space="preserve">恒林股份</x:t>
        </x:is>
      </x:c>
      <x:c r="D4209" s="5" t="inlineStr">
        <x:is>
          <x:t xml:space="preserve">恒林家居股份有限公司</x:t>
        </x:is>
      </x:c>
      <x:c r="E4209" s="4" t="inlineStr">
        <x:is>
          <x:t xml:space="preserve">浙江省</x:t>
        </x:is>
      </x:c>
      <x:c r="F4209" s="4" t="inlineStr">
        <x:is>
          <x:t xml:space="preserve">湖州市</x:t>
        </x:is>
      </x:c>
      <x:c r="G4209" s="5" t="inlineStr">
        <x:is>
          <x:t xml:space="preserve">浙江省-湖州市</x:t>
        </x:is>
      </x:c>
      <x:c r="H4209" s="4" t="inlineStr">
        <x:is>
          <x:t xml:space="preserve">木业家具</x:t>
        </x:is>
      </x:c>
      <x:c r="I4209" s="4" t="inlineStr">
        <x:is>
          <x:t xml:space="preserve">2017-11-21</x:t>
        </x:is>
      </x:c>
      <x:c r="J4209" s="5" t="inlineStr">
        <x:is>
          <x:t xml:space="preserve">浙江省湖州市安吉县递铺街道夹溪路378、380号</x:t>
        </x:is>
      </x:c>
      <x:c r="K4209" s="12" t="str">
        <x:f>LEFT("913305007044702971",18)</x:f>
        <x:v>913305007044703000</x:v>
      </x:c>
    </x:row>
    <x:row r="4210">
      <x:c r="A4210" s="2" t="n">
        <x:v>4209</x:v>
      </x:c>
      <x:c r="B4210" s="2" t="inlineStr">
        <x:is>
          <x:t xml:space="preserve">603662</x:t>
        </x:is>
      </x:c>
      <x:c r="C4210" s="3" t="inlineStr">
        <x:is>
          <x:t xml:space="preserve">柯力传感</x:t>
        </x:is>
      </x:c>
      <x:c r="D4210" s="3" t="inlineStr">
        <x:is>
          <x:t xml:space="preserve">宁波柯力传感科技股份有限公司</x:t>
        </x:is>
      </x:c>
      <x:c r="E4210" s="2" t="inlineStr">
        <x:is>
          <x:t xml:space="preserve">浙江省</x:t>
        </x:is>
      </x:c>
      <x:c r="F4210" s="2" t="inlineStr">
        <x:is>
          <x:t xml:space="preserve">宁波市</x:t>
        </x:is>
      </x:c>
      <x:c r="G4210" s="3" t="inlineStr">
        <x:is>
          <x:t xml:space="preserve">浙江省-宁波市</x:t>
        </x:is>
      </x:c>
      <x:c r="H4210" s="2" t="inlineStr">
        <x:is>
          <x:t xml:space="preserve">仪器仪表</x:t>
        </x:is>
      </x:c>
      <x:c r="I4210" s="2" t="inlineStr">
        <x:is>
          <x:t xml:space="preserve">2019-08-06</x:t>
        </x:is>
      </x:c>
      <x:c r="J4210" s="3" t="inlineStr">
        <x:is>
          <x:t xml:space="preserve">宁波市江北区长兴路199号</x:t>
        </x:is>
      </x:c>
      <x:c r="K4210" s="12" t="str">
        <x:f>LEFT("91330200744973016M",18)</x:f>
        <x:v>91330200744973016M</x:v>
      </x:c>
    </x:row>
    <x:row r="4211">
      <x:c r="A4211" s="4" t="n">
        <x:v>4210</x:v>
      </x:c>
      <x:c r="B4211" s="4" t="inlineStr">
        <x:is>
          <x:t xml:space="preserve">603665</x:t>
        </x:is>
      </x:c>
      <x:c r="C4211" s="5" t="inlineStr">
        <x:is>
          <x:t xml:space="preserve">康隆达</x:t>
        </x:is>
      </x:c>
      <x:c r="D4211" s="5" t="inlineStr">
        <x:is>
          <x:t xml:space="preserve">浙江康隆达特种防护科技股份有限公司</x:t>
        </x:is>
      </x:c>
      <x:c r="E4211" s="4" t="inlineStr">
        <x:is>
          <x:t xml:space="preserve">浙江省</x:t>
        </x:is>
      </x:c>
      <x:c r="F4211" s="4" t="inlineStr">
        <x:is>
          <x:t xml:space="preserve">杭州市</x:t>
        </x:is>
      </x:c>
      <x:c r="G4211" s="5" t="inlineStr">
        <x:is>
          <x:t xml:space="preserve">浙江省-杭州市</x:t>
        </x:is>
      </x:c>
      <x:c r="H4211" s="4" t="inlineStr">
        <x:is>
          <x:t xml:space="preserve">纺织服装</x:t>
        </x:is>
      </x:c>
      <x:c r="I4211" s="4" t="inlineStr">
        <x:is>
          <x:t xml:space="preserve">2017-03-13</x:t>
        </x:is>
      </x:c>
      <x:c r="J4211" s="5" t="inlineStr">
        <x:is>
          <x:t xml:space="preserve">杭州湾上虞经济技术开发区纬五东路7号</x:t>
        </x:is>
      </x:c>
      <x:c r="K4211" s="12" t="str">
        <x:f>LEFT("91330600796466462H",18)</x:f>
        <x:v>91330600796466462H</x:v>
      </x:c>
    </x:row>
    <x:row r="4212">
      <x:c r="A4212" s="2" t="n">
        <x:v>4211</x:v>
      </x:c>
      <x:c r="B4212" s="2" t="inlineStr">
        <x:is>
          <x:t xml:space="preserve">603667</x:t>
        </x:is>
      </x:c>
      <x:c r="C4212" s="3" t="inlineStr">
        <x:is>
          <x:t xml:space="preserve">五洲新春</x:t>
        </x:is>
      </x:c>
      <x:c r="D4212" s="3" t="inlineStr">
        <x:is>
          <x:t xml:space="preserve">浙江五洲新春集团股份有限公司</x:t>
        </x:is>
      </x:c>
      <x:c r="E4212" s="2" t="inlineStr">
        <x:is>
          <x:t xml:space="preserve">浙江省</x:t>
        </x:is>
      </x:c>
      <x:c r="F4212" s="2" t="inlineStr">
        <x:is>
          <x:t xml:space="preserve">绍兴市</x:t>
        </x:is>
      </x:c>
      <x:c r="G4212" s="3" t="inlineStr">
        <x:is>
          <x:t xml:space="preserve">浙江省-绍兴市</x:t>
        </x:is>
      </x:c>
      <x:c r="H4212" s="2" t="inlineStr">
        <x:is>
          <x:t xml:space="preserve">机械行业</x:t>
        </x:is>
      </x:c>
      <x:c r="I4212" s="2" t="inlineStr">
        <x:is>
          <x:t xml:space="preserve">2016-10-25</x:t>
        </x:is>
      </x:c>
      <x:c r="J4212" s="3" t="inlineStr">
        <x:is>
          <x:t xml:space="preserve">浙江省新昌县七星街道泰坦大道199号</x:t>
        </x:is>
      </x:c>
      <x:c r="K4212" s="12" t="str">
        <x:f>LEFT("91330600704507918P",18)</x:f>
        <x:v>91330600704507918P</x:v>
      </x:c>
    </x:row>
    <x:row r="4213">
      <x:c r="A4213" s="4" t="n">
        <x:v>4212</x:v>
      </x:c>
      <x:c r="B4213" s="4" t="inlineStr">
        <x:is>
          <x:t xml:space="preserve">603677</x:t>
        </x:is>
      </x:c>
      <x:c r="C4213" s="5" t="inlineStr">
        <x:is>
          <x:t xml:space="preserve">奇精机械</x:t>
        </x:is>
      </x:c>
      <x:c r="D4213" s="5" t="inlineStr">
        <x:is>
          <x:t xml:space="preserve">奇精机械股份有限公司</x:t>
        </x:is>
      </x:c>
      <x:c r="E4213" s="4" t="inlineStr">
        <x:is>
          <x:t xml:space="preserve">浙江省</x:t>
        </x:is>
      </x:c>
      <x:c r="F4213" s="4" t="inlineStr">
        <x:is>
          <x:t xml:space="preserve">宁波市</x:t>
        </x:is>
      </x:c>
      <x:c r="G4213" s="5" t="inlineStr">
        <x:is>
          <x:t xml:space="preserve">浙江省-宁波市</x:t>
        </x:is>
      </x:c>
      <x:c r="H4213" s="4" t="inlineStr">
        <x:is>
          <x:t xml:space="preserve">家电行业</x:t>
        </x:is>
      </x:c>
      <x:c r="I4213" s="4" t="inlineStr">
        <x:is>
          <x:t xml:space="preserve">2017-02-06</x:t>
        </x:is>
      </x:c>
      <x:c r="J4213" s="5" t="inlineStr">
        <x:is>
          <x:t xml:space="preserve">浙江省宁波市宁海县跃龙街道气象北路289号</x:t>
        </x:is>
      </x:c>
      <x:c r="K4213" s="12" t="str">
        <x:f>LEFT("913302002543897812",18)</x:f>
        <x:v>913302002543897900</x:v>
      </x:c>
    </x:row>
    <x:row r="4214">
      <x:c r="A4214" s="2" t="n">
        <x:v>4213</x:v>
      </x:c>
      <x:c r="B4214" s="2" t="inlineStr">
        <x:is>
          <x:t xml:space="preserve">603685</x:t>
        </x:is>
      </x:c>
      <x:c r="C4214" s="3" t="inlineStr">
        <x:is>
          <x:t xml:space="preserve">晨丰科技</x:t>
        </x:is>
      </x:c>
      <x:c r="D4214" s="3" t="inlineStr">
        <x:is>
          <x:t xml:space="preserve">浙江晨丰科技股份有限公司</x:t>
        </x:is>
      </x:c>
      <x:c r="E4214" s="2" t="inlineStr">
        <x:is>
          <x:t xml:space="preserve">浙江省</x:t>
        </x:is>
      </x:c>
      <x:c r="F4214" s="2" t="inlineStr">
        <x:is>
          <x:t xml:space="preserve">嘉兴市</x:t>
        </x:is>
      </x:c>
      <x:c r="G4214" s="3" t="inlineStr">
        <x:is>
          <x:t xml:space="preserve">浙江省-嘉兴市</x:t>
        </x:is>
      </x:c>
      <x:c r="H4214" s="2" t="inlineStr">
        <x:is>
          <x:t xml:space="preserve">光学光电子</x:t>
        </x:is>
      </x:c>
      <x:c r="I4214" s="2" t="inlineStr">
        <x:is>
          <x:t xml:space="preserve">2017-11-27</x:t>
        </x:is>
      </x:c>
      <x:c r="J4214" s="3" t="inlineStr">
        <x:is>
          <x:t xml:space="preserve">浙江省嘉兴市海宁市盐官镇天通路8号</x:t>
        </x:is>
      </x:c>
      <x:c r="K4214" s="12" t="str">
        <x:f>LEFT("9133048172587440XX",18)</x:f>
        <x:v>9133048172587440XX</x:v>
      </x:c>
    </x:row>
    <x:row r="4215">
      <x:c r="A4215" s="4" t="n">
        <x:v>4214</x:v>
      </x:c>
      <x:c r="B4215" s="4" t="inlineStr">
        <x:is>
          <x:t xml:space="preserve">603687</x:t>
        </x:is>
      </x:c>
      <x:c r="C4215" s="5" t="inlineStr">
        <x:is>
          <x:t xml:space="preserve">大胜达</x:t>
        </x:is>
      </x:c>
      <x:c r="D4215" s="5" t="inlineStr">
        <x:is>
          <x:t xml:space="preserve">浙江大胜达包装股份有限公司</x:t>
        </x:is>
      </x:c>
      <x:c r="E4215" s="4" t="inlineStr">
        <x:is>
          <x:t xml:space="preserve">浙江省</x:t>
        </x:is>
      </x:c>
      <x:c r="F4215" s="4" t="inlineStr">
        <x:is>
          <x:t xml:space="preserve">杭州市</x:t>
        </x:is>
      </x:c>
      <x:c r="G4215" s="5" t="inlineStr">
        <x:is>
          <x:t xml:space="preserve">浙江省-杭州市</x:t>
        </x:is>
      </x:c>
      <x:c r="H4215" s="4" t="inlineStr">
        <x:is>
          <x:t xml:space="preserve">包装材料</x:t>
        </x:is>
      </x:c>
      <x:c r="I4215" s="4" t="inlineStr">
        <x:is>
          <x:t xml:space="preserve">2019-07-26</x:t>
        </x:is>
      </x:c>
      <x:c r="J4215" s="5" t="inlineStr">
        <x:is>
          <x:t xml:space="preserve">浙江省杭州市萧山区萧山经济技术开发区红垦农场垦瑞路518号</x:t>
        </x:is>
      </x:c>
      <x:c r="K4215" s="12" t="str">
        <x:f>LEFT("91330109768216095R",18)</x:f>
        <x:v>91330109768216095R</x:v>
      </x:c>
    </x:row>
    <x:row r="4216">
      <x:c r="A4216" s="2" t="n">
        <x:v>4215</x:v>
      </x:c>
      <x:c r="B4216" s="2" t="inlineStr">
        <x:is>
          <x:t xml:space="preserve">603700</x:t>
        </x:is>
      </x:c>
      <x:c r="C4216" s="3" t="inlineStr">
        <x:is>
          <x:t xml:space="preserve">宁水集团</x:t>
        </x:is>
      </x:c>
      <x:c r="D4216" s="3" t="inlineStr">
        <x:is>
          <x:t xml:space="preserve">宁波水表(集团)股份有限公司</x:t>
        </x:is>
      </x:c>
      <x:c r="E4216" s="2" t="inlineStr">
        <x:is>
          <x:t xml:space="preserve">浙江省</x:t>
        </x:is>
      </x:c>
      <x:c r="F4216" s="2" t="inlineStr">
        <x:is>
          <x:t xml:space="preserve">宁波市</x:t>
        </x:is>
      </x:c>
      <x:c r="G4216" s="3" t="inlineStr">
        <x:is>
          <x:t xml:space="preserve">浙江省-宁波市</x:t>
        </x:is>
      </x:c>
      <x:c r="H4216" s="2" t="inlineStr">
        <x:is>
          <x:t xml:space="preserve">仪器仪表</x:t>
        </x:is>
      </x:c>
      <x:c r="I4216" s="2" t="inlineStr">
        <x:is>
          <x:t xml:space="preserve">2019-01-22</x:t>
        </x:is>
      </x:c>
      <x:c r="J4216" s="3" t="inlineStr">
        <x:is>
          <x:t xml:space="preserve">浙江省宁波市江北区洪兴路355号</x:t>
        </x:is>
      </x:c>
      <x:c r="K4216" s="12" t="str">
        <x:f>LEFT("91330200144066949P",18)</x:f>
        <x:v>91330200144066949P</x:v>
      </x:c>
    </x:row>
    <x:row r="4217">
      <x:c r="A4217" s="4" t="n">
        <x:v>4216</x:v>
      </x:c>
      <x:c r="B4217" s="4" t="inlineStr">
        <x:is>
          <x:t xml:space="preserve">603701</x:t>
        </x:is>
      </x:c>
      <x:c r="C4217" s="5" t="inlineStr">
        <x:is>
          <x:t xml:space="preserve">德宏股份</x:t>
        </x:is>
      </x:c>
      <x:c r="D4217" s="5" t="inlineStr">
        <x:is>
          <x:t xml:space="preserve">浙江德宏汽车电子电器股份有限公司</x:t>
        </x:is>
      </x:c>
      <x:c r="E4217" s="4" t="inlineStr">
        <x:is>
          <x:t xml:space="preserve">浙江省</x:t>
        </x:is>
      </x:c>
      <x:c r="F4217" s="4" t="inlineStr">
        <x:is>
          <x:t xml:space="preserve">宁波市</x:t>
        </x:is>
      </x:c>
      <x:c r="G4217" s="5" t="inlineStr">
        <x:is>
          <x:t xml:space="preserve">浙江省-宁波市</x:t>
        </x:is>
      </x:c>
      <x:c r="H4217" s="4" t="inlineStr">
        <x:is>
          <x:t xml:space="preserve">汽车零部件</x:t>
        </x:is>
      </x:c>
      <x:c r="I4217" s="4" t="inlineStr">
        <x:is>
          <x:t xml:space="preserve">2016-04-12</x:t>
        </x:is>
      </x:c>
      <x:c r="J4217" s="5" t="inlineStr">
        <x:is>
          <x:t xml:space="preserve">浙江省宁波市镇海区骆驼街道锦业街18号9-1室</x:t>
        </x:is>
      </x:c>
      <x:c r="K4217" s="12" t="str">
        <x:f>LEFT("91330500720068476A",18)</x:f>
        <x:v>91330500720068476A</x:v>
      </x:c>
    </x:row>
    <x:row r="4218">
      <x:c r="A4218" s="2" t="n">
        <x:v>4217</x:v>
      </x:c>
      <x:c r="B4218" s="2" t="inlineStr">
        <x:is>
          <x:t xml:space="preserve">603703</x:t>
        </x:is>
      </x:c>
      <x:c r="C4218" s="3" t="inlineStr">
        <x:is>
          <x:t xml:space="preserve">盛洋科技</x:t>
        </x:is>
      </x:c>
      <x:c r="D4218" s="3" t="inlineStr">
        <x:is>
          <x:t xml:space="preserve">浙江盛洋科技股份有限公司</x:t>
        </x:is>
      </x:c>
      <x:c r="E4218" s="2" t="inlineStr">
        <x:is>
          <x:t xml:space="preserve">浙江省</x:t>
        </x:is>
      </x:c>
      <x:c r="F4218" s="2" t="inlineStr">
        <x:is>
          <x:t xml:space="preserve">绍兴市</x:t>
        </x:is>
      </x:c>
      <x:c r="G4218" s="3" t="inlineStr">
        <x:is>
          <x:t xml:space="preserve">浙江省-绍兴市</x:t>
        </x:is>
      </x:c>
      <x:c r="H4218" s="2" t="inlineStr">
        <x:is>
          <x:t xml:space="preserve">光学光电子</x:t>
        </x:is>
      </x:c>
      <x:c r="I4218" s="2" t="inlineStr">
        <x:is>
          <x:t xml:space="preserve">2015-04-23</x:t>
        </x:is>
      </x:c>
      <x:c r="J4218" s="3" t="inlineStr">
        <x:is>
          <x:t xml:space="preserve">浙江省绍兴市越城区人民东路1416-1417号</x:t>
        </x:is>
      </x:c>
      <x:c r="K4218" s="12" t="str">
        <x:f>LEFT("91330000749843368W",18)</x:f>
        <x:v>91330000749843368W</x:v>
      </x:c>
    </x:row>
    <x:row r="4219">
      <x:c r="A4219" s="4" t="n">
        <x:v>4218</x:v>
      </x:c>
      <x:c r="B4219" s="4" t="inlineStr">
        <x:is>
          <x:t xml:space="preserve">603709</x:t>
        </x:is>
      </x:c>
      <x:c r="C4219" s="5" t="inlineStr">
        <x:is>
          <x:t xml:space="preserve">中源家居</x:t>
        </x:is>
      </x:c>
      <x:c r="D4219" s="5" t="inlineStr">
        <x:is>
          <x:t xml:space="preserve">中源家居股份有限公司</x:t>
        </x:is>
      </x:c>
      <x:c r="E4219" s="4" t="inlineStr">
        <x:is>
          <x:t xml:space="preserve">浙江省</x:t>
        </x:is>
      </x:c>
      <x:c r="F4219" s="4" t="inlineStr">
        <x:is>
          <x:t xml:space="preserve">湖州市</x:t>
        </x:is>
      </x:c>
      <x:c r="G4219" s="5" t="inlineStr">
        <x:is>
          <x:t xml:space="preserve">浙江省-湖州市</x:t>
        </x:is>
      </x:c>
      <x:c r="H4219" s="4" t="inlineStr">
        <x:is>
          <x:t xml:space="preserve">木业家具</x:t>
        </x:is>
      </x:c>
      <x:c r="I4219" s="4" t="inlineStr">
        <x:is>
          <x:t xml:space="preserve">2018-02-08</x:t>
        </x:is>
      </x:c>
      <x:c r="J4219" s="5" t="inlineStr">
        <x:is>
          <x:t xml:space="preserve">安吉县递铺街道塘浦工业园区2-5幢</x:t>
        </x:is>
      </x:c>
      <x:c r="K4219" s="12" t="str">
        <x:f>LEFT("913305007302929303",18)</x:f>
        <x:v>913305007302929300</x:v>
      </x:c>
    </x:row>
    <x:row r="4220">
      <x:c r="A4220" s="2" t="n">
        <x:v>4219</x:v>
      </x:c>
      <x:c r="B4220" s="2" t="inlineStr">
        <x:is>
          <x:t xml:space="preserve">603711</x:t>
        </x:is>
      </x:c>
      <x:c r="C4220" s="3" t="inlineStr">
        <x:is>
          <x:t xml:space="preserve">香飘飘</x:t>
        </x:is>
      </x:c>
      <x:c r="D4220" s="3" t="inlineStr">
        <x:is>
          <x:t xml:space="preserve">香飘飘食品股份有限公司</x:t>
        </x:is>
      </x:c>
      <x:c r="E4220" s="2" t="inlineStr">
        <x:is>
          <x:t xml:space="preserve">浙江省</x:t>
        </x:is>
      </x:c>
      <x:c r="F4220" s="2" t="inlineStr">
        <x:is>
          <x:t xml:space="preserve">湖州市</x:t>
        </x:is>
      </x:c>
      <x:c r="G4220" s="3" t="inlineStr">
        <x:is>
          <x:t xml:space="preserve">浙江省-湖州市</x:t>
        </x:is>
      </x:c>
      <x:c r="H4220" s="2" t="inlineStr">
        <x:is>
          <x:t xml:space="preserve">食品饮料</x:t>
        </x:is>
      </x:c>
      <x:c r="I4220" s="2" t="inlineStr">
        <x:is>
          <x:t xml:space="preserve">2017-11-30</x:t>
        </x:is>
      </x:c>
      <x:c r="J4220" s="3" t="inlineStr">
        <x:is>
          <x:t xml:space="preserve">浙江省湖州经济技术开发区创业大道888号</x:t>
        </x:is>
      </x:c>
      <x:c r="K4220" s="12" t="str">
        <x:f>LEFT("91330500778299605T",18)</x:f>
        <x:v>91330500778299605T</x:v>
      </x:c>
    </x:row>
    <x:row r="4221">
      <x:c r="A4221" s="4" t="n">
        <x:v>4220</x:v>
      </x:c>
      <x:c r="B4221" s="4" t="inlineStr">
        <x:is>
          <x:t xml:space="preserve">603726</x:t>
        </x:is>
      </x:c>
      <x:c r="C4221" s="5" t="inlineStr">
        <x:is>
          <x:t xml:space="preserve">朗迪集团</x:t>
        </x:is>
      </x:c>
      <x:c r="D4221" s="5" t="inlineStr">
        <x:is>
          <x:t xml:space="preserve">浙江朗迪集团股份有限公司</x:t>
        </x:is>
      </x:c>
      <x:c r="E4221" s="4" t="inlineStr">
        <x:is>
          <x:t xml:space="preserve">浙江省</x:t>
        </x:is>
      </x:c>
      <x:c r="F4221" s="4" t="inlineStr">
        <x:is>
          <x:t xml:space="preserve">江省余姚市</x:t>
        </x:is>
      </x:c>
      <x:c r="G4221" s="5" t="inlineStr">
        <x:is>
          <x:t xml:space="preserve">浙江省-江省余姚市</x:t>
        </x:is>
      </x:c>
      <x:c r="H4221" s="4" t="inlineStr">
        <x:is>
          <x:t xml:space="preserve">家电行业</x:t>
        </x:is>
      </x:c>
      <x:c r="I4221" s="4" t="inlineStr">
        <x:is>
          <x:t xml:space="preserve">2016-04-21</x:t>
        </x:is>
      </x:c>
      <x:c r="J4221" s="5" t="inlineStr">
        <x:is>
          <x:t xml:space="preserve">浙江省余姚市朗霞街道朗马路188号</x:t>
        </x:is>
      </x:c>
      <x:c r="K4221" s="12" t="str">
        <x:f>LEFT("91330200704803223P",18)</x:f>
        <x:v>91330200704803223P</x:v>
      </x:c>
    </x:row>
    <x:row r="4222">
      <x:c r="A4222" s="2" t="n">
        <x:v>4221</x:v>
      </x:c>
      <x:c r="B4222" s="2" t="inlineStr">
        <x:is>
          <x:t xml:space="preserve">603733</x:t>
        </x:is>
      </x:c>
      <x:c r="C4222" s="3" t="inlineStr">
        <x:is>
          <x:t xml:space="preserve">仙鹤股份</x:t>
        </x:is>
      </x:c>
      <x:c r="D4222" s="3" t="inlineStr">
        <x:is>
          <x:t xml:space="preserve">仙鹤股份有限公司</x:t>
        </x:is>
      </x:c>
      <x:c r="E4222" s="2" t="inlineStr">
        <x:is>
          <x:t xml:space="preserve">浙江省</x:t>
        </x:is>
      </x:c>
      <x:c r="F4222" s="2" t="inlineStr">
        <x:is>
          <x:t xml:space="preserve">衢州市</x:t>
        </x:is>
      </x:c>
      <x:c r="G4222" s="3" t="inlineStr">
        <x:is>
          <x:t xml:space="preserve">浙江省-衢州市</x:t>
        </x:is>
      </x:c>
      <x:c r="H4222" s="2" t="inlineStr">
        <x:is>
          <x:t xml:space="preserve">造纸印刷</x:t>
        </x:is>
      </x:c>
      <x:c r="I4222" s="2" t="inlineStr">
        <x:is>
          <x:t xml:space="preserve">2018-04-20</x:t>
        </x:is>
      </x:c>
      <x:c r="J4222" s="3" t="inlineStr">
        <x:is>
          <x:t xml:space="preserve">浙江省衢州市衢江经济开发区天湖南路69号</x:t>
        </x:is>
      </x:c>
      <x:c r="K4222" s="12" t="str">
        <x:f>LEFT("913308037344981434",18)</x:f>
        <x:v>913308037344981400</x:v>
      </x:c>
    </x:row>
    <x:row r="4223">
      <x:c r="A4223" s="4" t="n">
        <x:v>4222</x:v>
      </x:c>
      <x:c r="B4223" s="4" t="inlineStr">
        <x:is>
          <x:t xml:space="preserve">603757</x:t>
        </x:is>
      </x:c>
      <x:c r="C4223" s="5" t="inlineStr">
        <x:is>
          <x:t xml:space="preserve">大元泵业</x:t>
        </x:is>
      </x:c>
      <x:c r="D4223" s="5" t="inlineStr">
        <x:is>
          <x:t xml:space="preserve">浙江大元泵业股份有限公司</x:t>
        </x:is>
      </x:c>
      <x:c r="E4223" s="4" t="inlineStr">
        <x:is>
          <x:t xml:space="preserve">浙江省</x:t>
        </x:is>
      </x:c>
      <x:c r="F4223" s="4" t="inlineStr">
        <x:is>
          <x:t xml:space="preserve">台州市</x:t>
        </x:is>
      </x:c>
      <x:c r="G4223" s="5" t="inlineStr">
        <x:is>
          <x:t xml:space="preserve">浙江省-台州市</x:t>
        </x:is>
      </x:c>
      <x:c r="H4223" s="4" t="inlineStr">
        <x:is>
          <x:t xml:space="preserve">机械行业</x:t>
        </x:is>
      </x:c>
      <x:c r="I4223" s="4" t="inlineStr">
        <x:is>
          <x:t xml:space="preserve">2017-07-11</x:t>
        </x:is>
      </x:c>
      <x:c r="J4223" s="5" t="inlineStr">
        <x:is>
          <x:t xml:space="preserve">浙江省台州市温岭市泽国镇西城路689号</x:t>
        </x:is>
      </x:c>
      <x:c r="K4223" s="12" t="str">
        <x:f>LEFT("91331000255499827N",18)</x:f>
        <x:v>91331000255499827N</x:v>
      </x:c>
    </x:row>
    <x:row r="4224">
      <x:c r="A4224" s="2" t="n">
        <x:v>4223</x:v>
      </x:c>
      <x:c r="B4224" s="2" t="inlineStr">
        <x:is>
          <x:t xml:space="preserve">603767</x:t>
        </x:is>
      </x:c>
      <x:c r="C4224" s="3" t="inlineStr">
        <x:is>
          <x:t xml:space="preserve">中马传动</x:t>
        </x:is>
      </x:c>
      <x:c r="D4224" s="3" t="inlineStr">
        <x:is>
          <x:t xml:space="preserve">浙江中马传动股份有限公司</x:t>
        </x:is>
      </x:c>
      <x:c r="E4224" s="2" t="inlineStr">
        <x:is>
          <x:t xml:space="preserve">浙江省</x:t>
        </x:is>
      </x:c>
      <x:c r="F4224" s="2" t="inlineStr">
        <x:is>
          <x:t xml:space="preserve">江省温岭市</x:t>
        </x:is>
      </x:c>
      <x:c r="G4224" s="3" t="inlineStr">
        <x:is>
          <x:t xml:space="preserve">浙江省-江省温岭市</x:t>
        </x:is>
      </x:c>
      <x:c r="H4224" s="2" t="inlineStr">
        <x:is>
          <x:t xml:space="preserve">汽车行业</x:t>
        </x:is>
      </x:c>
      <x:c r="I4224" s="2" t="inlineStr">
        <x:is>
          <x:t xml:space="preserve">2017-06-13</x:t>
        </x:is>
      </x:c>
      <x:c r="J4224" s="3" t="inlineStr">
        <x:is>
          <x:t xml:space="preserve">浙江省温岭市石塘镇上马工业区经一路1号</x:t>
        </x:is>
      </x:c>
      <x:c r="K4224" s="12" t="str">
        <x:f>LEFT("91331000782935301K",18)</x:f>
        <x:v>91331000782935301K</x:v>
      </x:c>
    </x:row>
    <x:row r="4225">
      <x:c r="A4225" s="4" t="n">
        <x:v>4224</x:v>
      </x:c>
      <x:c r="B4225" s="4" t="inlineStr">
        <x:is>
          <x:t xml:space="preserve">603788</x:t>
        </x:is>
      </x:c>
      <x:c r="C4225" s="5" t="inlineStr">
        <x:is>
          <x:t xml:space="preserve">宁波高发</x:t>
        </x:is>
      </x:c>
      <x:c r="D4225" s="5" t="inlineStr">
        <x:is>
          <x:t xml:space="preserve">宁波高发汽车控制系统股份有限公司</x:t>
        </x:is>
      </x:c>
      <x:c r="E4225" s="4" t="inlineStr">
        <x:is>
          <x:t xml:space="preserve">浙江省</x:t>
        </x:is>
      </x:c>
      <x:c r="F4225" s="4" t="inlineStr">
        <x:is>
          <x:t xml:space="preserve">宁波市</x:t>
        </x:is>
      </x:c>
      <x:c r="G4225" s="5" t="inlineStr">
        <x:is>
          <x:t xml:space="preserve">浙江省-宁波市</x:t>
        </x:is>
      </x:c>
      <x:c r="H4225" s="4" t="inlineStr">
        <x:is>
          <x:t xml:space="preserve">汽车行业</x:t>
        </x:is>
      </x:c>
      <x:c r="I4225" s="4" t="inlineStr">
        <x:is>
          <x:t xml:space="preserve">2015-01-20</x:t>
        </x:is>
      </x:c>
      <x:c r="J4225" s="5" t="inlineStr">
        <x:is>
          <x:t xml:space="preserve">浙江省宁波市鄞州投资创业中心(下应北路717号)</x:t>
        </x:is>
      </x:c>
      <x:c r="K4225" s="12" t="str">
        <x:f>LEFT("9133020071331910XJ",18)</x:f>
        <x:v>9133020071331910XJ</x:v>
      </x:c>
    </x:row>
    <x:row r="4226">
      <x:c r="A4226" s="2" t="n">
        <x:v>4225</x:v>
      </x:c>
      <x:c r="B4226" s="2" t="inlineStr">
        <x:is>
          <x:t xml:space="preserve">603789</x:t>
        </x:is>
      </x:c>
      <x:c r="C4226" s="3" t="inlineStr">
        <x:is>
          <x:t xml:space="preserve">*ST星农</x:t>
        </x:is>
      </x:c>
      <x:c r="D4226" s="3" t="inlineStr">
        <x:is>
          <x:t xml:space="preserve">星光农机股份有限公司</x:t>
        </x:is>
      </x:c>
      <x:c r="E4226" s="2" t="inlineStr">
        <x:is>
          <x:t xml:space="preserve">浙江省</x:t>
        </x:is>
      </x:c>
      <x:c r="F4226" s="2" t="inlineStr">
        <x:is>
          <x:t xml:space="preserve">湖州市</x:t>
        </x:is>
      </x:c>
      <x:c r="G4226" s="3" t="inlineStr">
        <x:is>
          <x:t xml:space="preserve">浙江省-湖州市</x:t>
        </x:is>
      </x:c>
      <x:c r="H4226" s="2" t="inlineStr">
        <x:is>
          <x:t xml:space="preserve">专用设备</x:t>
        </x:is>
      </x:c>
      <x:c r="I4226" s="2" t="inlineStr">
        <x:is>
          <x:t xml:space="preserve">2015-04-27</x:t>
        </x:is>
      </x:c>
      <x:c r="J4226" s="3" t="inlineStr">
        <x:is>
          <x:t xml:space="preserve">浙江省湖州市和孚镇星光大街1699号</x:t>
        </x:is>
      </x:c>
      <x:c r="K4226" s="12" t="str">
        <x:f>LEFT("91330000759058101Y",18)</x:f>
        <x:v>91330000759058101Y</x:v>
      </x:c>
    </x:row>
    <x:row r="4227">
      <x:c r="A4227" s="4" t="n">
        <x:v>4226</x:v>
      </x:c>
      <x:c r="B4227" s="4" t="inlineStr">
        <x:is>
          <x:t xml:space="preserve">603799</x:t>
        </x:is>
      </x:c>
      <x:c r="C4227" s="5" t="inlineStr">
        <x:is>
          <x:t xml:space="preserve">华友钴业</x:t>
        </x:is>
      </x:c>
      <x:c r="D4227" s="5" t="inlineStr">
        <x:is>
          <x:t xml:space="preserve">浙江华友钴业股份有限公司</x:t>
        </x:is>
      </x:c>
      <x:c r="E4227" s="4" t="inlineStr">
        <x:is>
          <x:t xml:space="preserve">浙江省</x:t>
        </x:is>
      </x:c>
      <x:c r="F4227" s="4" t="inlineStr">
        <x:is>
          <x:t xml:space="preserve">嘉兴市</x:t>
        </x:is>
      </x:c>
      <x:c r="G4227" s="5" t="inlineStr">
        <x:is>
          <x:t xml:space="preserve">浙江省-嘉兴市</x:t>
        </x:is>
      </x:c>
      <x:c r="H4227" s="4" t="inlineStr">
        <x:is>
          <x:t xml:space="preserve">能源金属</x:t>
        </x:is>
      </x:c>
      <x:c r="I4227" s="4" t="inlineStr">
        <x:is>
          <x:t xml:space="preserve">2015-01-29</x:t>
        </x:is>
      </x:c>
      <x:c r="J4227" s="5" t="inlineStr">
        <x:is>
          <x:t xml:space="preserve">浙江省桐乡经济开发区二期梧振东路18号</x:t>
        </x:is>
      </x:c>
      <x:c r="K4227" s="12" t="str">
        <x:f>LEFT("913300007368873961",18)</x:f>
        <x:v>913300007368874000</x:v>
      </x:c>
    </x:row>
    <x:row r="4228">
      <x:c r="A4228" s="2" t="n">
        <x:v>4227</x:v>
      </x:c>
      <x:c r="B4228" s="2" t="inlineStr">
        <x:is>
          <x:t xml:space="preserve">603806</x:t>
        </x:is>
      </x:c>
      <x:c r="C4228" s="3" t="inlineStr">
        <x:is>
          <x:t xml:space="preserve">福斯特</x:t>
        </x:is>
      </x:c>
      <x:c r="D4228" s="3" t="inlineStr">
        <x:is>
          <x:t xml:space="preserve">杭州福斯特应用材料股份有限公司</x:t>
        </x:is>
      </x:c>
      <x:c r="E4228" s="2" t="inlineStr">
        <x:is>
          <x:t xml:space="preserve">浙江省</x:t>
        </x:is>
      </x:c>
      <x:c r="F4228" s="2" t="inlineStr">
        <x:is>
          <x:t xml:space="preserve">杭州市</x:t>
        </x:is>
      </x:c>
      <x:c r="G4228" s="3" t="inlineStr">
        <x:is>
          <x:t xml:space="preserve">浙江省-杭州市</x:t>
        </x:is>
      </x:c>
      <x:c r="H4228" s="2" t="inlineStr">
        <x:is>
          <x:t xml:space="preserve">光伏设备</x:t>
        </x:is>
      </x:c>
      <x:c r="I4228" s="2" t="inlineStr">
        <x:is>
          <x:t xml:space="preserve">2014-09-05</x:t>
        </x:is>
      </x:c>
      <x:c r="J4228" s="3" t="inlineStr">
        <x:is>
          <x:t xml:space="preserve">浙江省杭州市临安区锦北街道福斯特街8号</x:t>
        </x:is>
      </x:c>
      <x:c r="K4228" s="12" t="str">
        <x:f>LEFT("91330000749463090B",18)</x:f>
        <x:v>91330000749463090B</x:v>
      </x:c>
    </x:row>
    <x:row r="4229">
      <x:c r="A4229" s="4" t="n">
        <x:v>4228</x:v>
      </x:c>
      <x:c r="B4229" s="4" t="inlineStr">
        <x:is>
          <x:t xml:space="preserve">603811</x:t>
        </x:is>
      </x:c>
      <x:c r="C4229" s="5" t="inlineStr">
        <x:is>
          <x:t xml:space="preserve">诚意药业</x:t>
        </x:is>
      </x:c>
      <x:c r="D4229" s="5" t="inlineStr">
        <x:is>
          <x:t xml:space="preserve">浙江诚意药业股份有限公司</x:t>
        </x:is>
      </x:c>
      <x:c r="E4229" s="4" t="inlineStr">
        <x:is>
          <x:t xml:space="preserve">浙江省</x:t>
        </x:is>
      </x:c>
      <x:c r="F4229" s="4" t="inlineStr">
        <x:is>
          <x:t xml:space="preserve">温州市</x:t>
        </x:is>
      </x:c>
      <x:c r="G4229" s="5" t="inlineStr">
        <x:is>
          <x:t xml:space="preserve">浙江省-温州市</x:t>
        </x:is>
      </x:c>
      <x:c r="H4229" s="4" t="inlineStr">
        <x:is>
          <x:t xml:space="preserve">医药制造</x:t>
        </x:is>
      </x:c>
      <x:c r="I4229" s="4" t="inlineStr">
        <x:is>
          <x:t xml:space="preserve">2017-03-15</x:t>
        </x:is>
      </x:c>
      <x:c r="J4229" s="5" t="inlineStr">
        <x:is>
          <x:t xml:space="preserve">浙江省温州市洞头区化工路118号</x:t>
        </x:is>
      </x:c>
      <x:c r="K4229" s="12" t="str">
        <x:f>LEFT("913303007303249630",18)</x:f>
        <x:v>913303007303249700</x:v>
      </x:c>
    </x:row>
    <x:row r="4230">
      <x:c r="A4230" s="2" t="n">
        <x:v>4229</x:v>
      </x:c>
      <x:c r="B4230" s="2" t="inlineStr">
        <x:is>
          <x:t xml:space="preserve">603816</x:t>
        </x:is>
      </x:c>
      <x:c r="C4230" s="3" t="inlineStr">
        <x:is>
          <x:t xml:space="preserve">顾家家居</x:t>
        </x:is>
      </x:c>
      <x:c r="D4230" s="3" t="inlineStr">
        <x:is>
          <x:t xml:space="preserve">顾家家居股份有限公司</x:t>
        </x:is>
      </x:c>
      <x:c r="E4230" s="2" t="inlineStr">
        <x:is>
          <x:t xml:space="preserve">浙江省</x:t>
        </x:is>
      </x:c>
      <x:c r="F4230" s="2" t="inlineStr">
        <x:is>
          <x:t xml:space="preserve">杭州市</x:t>
        </x:is>
      </x:c>
      <x:c r="G4230" s="3" t="inlineStr">
        <x:is>
          <x:t xml:space="preserve">浙江省-杭州市</x:t>
        </x:is>
      </x:c>
      <x:c r="H4230" s="2" t="inlineStr">
        <x:is>
          <x:t xml:space="preserve">木业家具</x:t>
        </x:is>
      </x:c>
      <x:c r="I4230" s="2" t="inlineStr">
        <x:is>
          <x:t xml:space="preserve">2016-10-14</x:t>
        </x:is>
      </x:c>
      <x:c r="J4230" s="3" t="inlineStr">
        <x:is>
          <x:t xml:space="preserve">杭州经济技术开发区11号大街113号</x:t>
        </x:is>
      </x:c>
      <x:c r="K4230" s="12" t="str">
        <x:f>LEFT("91330100793655954W",18)</x:f>
        <x:v>91330100793655954W</x:v>
      </x:c>
    </x:row>
    <x:row r="4231">
      <x:c r="A4231" s="4" t="n">
        <x:v>4230</x:v>
      </x:c>
      <x:c r="B4231" s="4" t="inlineStr">
        <x:is>
          <x:t xml:space="preserve">603822</x:t>
        </x:is>
      </x:c>
      <x:c r="C4231" s="5" t="inlineStr">
        <x:is>
          <x:t xml:space="preserve">ST嘉澳</x:t>
        </x:is>
      </x:c>
      <x:c r="D4231" s="5" t="inlineStr">
        <x:is>
          <x:t xml:space="preserve">浙江嘉澳环保科技股份有限公司</x:t>
        </x:is>
      </x:c>
      <x:c r="E4231" s="4" t="inlineStr">
        <x:is>
          <x:t xml:space="preserve">浙江省</x:t>
        </x:is>
      </x:c>
      <x:c r="F4231" s="4" t="inlineStr">
        <x:is>
          <x:t xml:space="preserve">嘉兴市</x:t>
        </x:is>
      </x:c>
      <x:c r="G4231" s="5" t="inlineStr">
        <x:is>
          <x:t xml:space="preserve">浙江省-嘉兴市</x:t>
        </x:is>
      </x:c>
      <x:c r="H4231" s="4" t="inlineStr">
        <x:is>
          <x:t xml:space="preserve">化工行业</x:t>
        </x:is>
      </x:c>
      <x:c r="I4231" s="4" t="inlineStr">
        <x:is>
          <x:t xml:space="preserve">2016-04-28</x:t>
        </x:is>
      </x:c>
      <x:c r="J4231" s="5" t="inlineStr">
        <x:is>
          <x:t xml:space="preserve">桐乡经济开发区</x:t>
        </x:is>
      </x:c>
      <x:c r="K4231" s="12" t="str">
        <x:f>LEFT("91330000746337865M",18)</x:f>
        <x:v>91330000746337865M</x:v>
      </x:c>
    </x:row>
    <x:row r="4232">
      <x:c r="A4232" s="2" t="n">
        <x:v>4231</x:v>
      </x:c>
      <x:c r="B4232" s="2" t="inlineStr">
        <x:is>
          <x:t xml:space="preserve">603823</x:t>
        </x:is>
      </x:c>
      <x:c r="C4232" s="3" t="inlineStr">
        <x:is>
          <x:t xml:space="preserve">百合花</x:t>
        </x:is>
      </x:c>
      <x:c r="D4232" s="3" t="inlineStr">
        <x:is>
          <x:t xml:space="preserve">百合花集团股份有限公司</x:t>
        </x:is>
      </x:c>
      <x:c r="E4232" s="2" t="inlineStr">
        <x:is>
          <x:t xml:space="preserve">浙江省</x:t>
        </x:is>
      </x:c>
      <x:c r="F4232" s="2" t="inlineStr">
        <x:is>
          <x:t xml:space="preserve">杭州市</x:t>
        </x:is>
      </x:c>
      <x:c r="G4232" s="3" t="inlineStr">
        <x:is>
          <x:t xml:space="preserve">浙江省-杭州市</x:t>
        </x:is>
      </x:c>
      <x:c r="H4232" s="2" t="inlineStr">
        <x:is>
          <x:t xml:space="preserve">化工行业</x:t>
        </x:is>
      </x:c>
      <x:c r="I4232" s="2" t="inlineStr">
        <x:is>
          <x:t xml:space="preserve">2016-12-20</x:t>
        </x:is>
      </x:c>
      <x:c r="J4232" s="3" t="inlineStr">
        <x:is>
          <x:t xml:space="preserve">浙江省杭州市钱塘新区经五路1768号</x:t>
        </x:is>
      </x:c>
      <x:c r="K4232" s="12" t="str">
        <x:f>LEFT("9133010025569303X1",18)</x:f>
        <x:v>9133010025569303X1</x:v>
      </x:c>
    </x:row>
    <x:row r="4233">
      <x:c r="A4233" s="4" t="n">
        <x:v>4232</x:v>
      </x:c>
      <x:c r="B4233" s="4" t="inlineStr">
        <x:is>
          <x:t xml:space="preserve">603839</x:t>
        </x:is>
      </x:c>
      <x:c r="C4233" s="5" t="inlineStr">
        <x:is>
          <x:t xml:space="preserve">安正时尚</x:t>
        </x:is>
      </x:c>
      <x:c r="D4233" s="5" t="inlineStr">
        <x:is>
          <x:t xml:space="preserve">安正时尚集团股份有限公司</x:t>
        </x:is>
      </x:c>
      <x:c r="E4233" s="4" t="inlineStr">
        <x:is>
          <x:t xml:space="preserve">浙江省</x:t>
        </x:is>
      </x:c>
      <x:c r="F4233" s="4" t="inlineStr">
        <x:is>
          <x:t xml:space="preserve">江省海宁市</x:t>
        </x:is>
      </x:c>
      <x:c r="G4233" s="5" t="inlineStr">
        <x:is>
          <x:t xml:space="preserve">浙江省-江省海宁市</x:t>
        </x:is>
      </x:c>
      <x:c r="H4233" s="4" t="inlineStr">
        <x:is>
          <x:t xml:space="preserve">纺织服装</x:t>
        </x:is>
      </x:c>
      <x:c r="I4233" s="4" t="inlineStr">
        <x:is>
          <x:t xml:space="preserve">2017-02-14</x:t>
        </x:is>
      </x:c>
      <x:c r="J4233" s="5" t="inlineStr">
        <x:is>
          <x:t xml:space="preserve">浙江省海宁市海宁经济开发区谷水路298号</x:t>
        </x:is>
      </x:c>
      <x:c r="K4233" s="12" t="str">
        <x:f>LEFT("91330400676183847X",18)</x:f>
        <x:v>91330400676183847X</x:v>
      </x:c>
    </x:row>
    <x:row r="4234">
      <x:c r="A4234" s="2" t="n">
        <x:v>4233</x:v>
      </x:c>
      <x:c r="B4234" s="2" t="inlineStr">
        <x:is>
          <x:t xml:space="preserve">603867</x:t>
        </x:is>
      </x:c>
      <x:c r="C4234" s="3" t="inlineStr">
        <x:is>
          <x:t xml:space="preserve">新化股份</x:t>
        </x:is>
      </x:c>
      <x:c r="D4234" s="3" t="inlineStr">
        <x:is>
          <x:t xml:space="preserve">浙江新化化工股份有限公司</x:t>
        </x:is>
      </x:c>
      <x:c r="E4234" s="2" t="inlineStr">
        <x:is>
          <x:t xml:space="preserve">浙江省</x:t>
        </x:is>
      </x:c>
      <x:c r="F4234" s="2" t="inlineStr">
        <x:is>
          <x:t xml:space="preserve">江省建德市</x:t>
        </x:is>
      </x:c>
      <x:c r="G4234" s="3" t="inlineStr">
        <x:is>
          <x:t xml:space="preserve">浙江省-江省建德市</x:t>
        </x:is>
      </x:c>
      <x:c r="H4234" s="2" t="inlineStr">
        <x:is>
          <x:t xml:space="preserve">化工行业</x:t>
        </x:is>
      </x:c>
      <x:c r="I4234" s="2" t="inlineStr">
        <x:is>
          <x:t xml:space="preserve">2019-06-27</x:t>
        </x:is>
      </x:c>
      <x:c r="J4234" s="3" t="inlineStr">
        <x:is>
          <x:t xml:space="preserve">浙江省建德市洋溪街道新安江路909号</x:t>
        </x:is>
      </x:c>
      <x:c r="K4234" s="12" t="str">
        <x:f>LEFT("913300001439822750",18)</x:f>
        <x:v>913300001439822700</x:v>
      </x:c>
    </x:row>
    <x:row r="4235">
      <x:c r="A4235" s="4" t="n">
        <x:v>4234</x:v>
      </x:c>
      <x:c r="B4235" s="4" t="inlineStr">
        <x:is>
          <x:t xml:space="preserve">603877</x:t>
        </x:is>
      </x:c>
      <x:c r="C4235" s="5" t="inlineStr">
        <x:is>
          <x:t xml:space="preserve">太平鸟</x:t>
        </x:is>
      </x:c>
      <x:c r="D4235" s="5" t="inlineStr">
        <x:is>
          <x:t xml:space="preserve">宁波太平鸟时尚服饰股份有限公司</x:t>
        </x:is>
      </x:c>
      <x:c r="E4235" s="4" t="inlineStr">
        <x:is>
          <x:t xml:space="preserve">浙江省</x:t>
        </x:is>
      </x:c>
      <x:c r="F4235" s="4" t="inlineStr">
        <x:is>
          <x:t xml:space="preserve">宁波市</x:t>
        </x:is>
      </x:c>
      <x:c r="G4235" s="5" t="inlineStr">
        <x:is>
          <x:t xml:space="preserve">浙江省-宁波市</x:t>
        </x:is>
      </x:c>
      <x:c r="H4235" s="4" t="inlineStr">
        <x:is>
          <x:t xml:space="preserve">纺织服装</x:t>
        </x:is>
      </x:c>
      <x:c r="I4235" s="4" t="inlineStr">
        <x:is>
          <x:t xml:space="preserve">2017-01-09</x:t>
        </x:is>
      </x:c>
      <x:c r="J4235" s="5" t="inlineStr">
        <x:is>
          <x:t xml:space="preserve">宁波市海曙区横街镇横街大道南段2号</x:t>
        </x:is>
      </x:c>
      <x:c r="K4235" s="12" t="str">
        <x:f>LEFT("91330200730186169P",18)</x:f>
        <x:v>91330200730186169P</x:v>
      </x:c>
    </x:row>
    <x:row r="4236">
      <x:c r="A4236" s="2" t="n">
        <x:v>4235</x:v>
      </x:c>
      <x:c r="B4236" s="2" t="inlineStr">
        <x:is>
          <x:t xml:space="preserve">603889</x:t>
        </x:is>
      </x:c>
      <x:c r="C4236" s="3" t="inlineStr">
        <x:is>
          <x:t xml:space="preserve">新澳股份</x:t>
        </x:is>
      </x:c>
      <x:c r="D4236" s="3" t="inlineStr">
        <x:is>
          <x:t xml:space="preserve">浙江新澳纺织股份有限公司</x:t>
        </x:is>
      </x:c>
      <x:c r="E4236" s="2" t="inlineStr">
        <x:is>
          <x:t xml:space="preserve">浙江省</x:t>
        </x:is>
      </x:c>
      <x:c r="F4236" s="2" t="inlineStr">
        <x:is>
          <x:t xml:space="preserve">桐乡市</x:t>
        </x:is>
      </x:c>
      <x:c r="G4236" s="3" t="inlineStr">
        <x:is>
          <x:t xml:space="preserve">浙江省-桐乡市</x:t>
        </x:is>
      </x:c>
      <x:c r="H4236" s="2" t="inlineStr">
        <x:is>
          <x:t xml:space="preserve">纺织服装</x:t>
        </x:is>
      </x:c>
      <x:c r="I4236" s="2" t="inlineStr">
        <x:is>
          <x:t xml:space="preserve">2014-12-31</x:t>
        </x:is>
      </x:c>
      <x:c r="J4236" s="3" t="inlineStr">
        <x:is>
          <x:t xml:space="preserve">桐乡市崇福镇观庄桥</x:t>
        </x:is>
      </x:c>
      <x:c r="K4236" s="12" t="str">
        <x:f>LEFT("91330000146884443G",18)</x:f>
        <x:v>91330000146884443G</x:v>
      </x:c>
    </x:row>
    <x:row r="4237">
      <x:c r="A4237" s="4" t="n">
        <x:v>4236</x:v>
      </x:c>
      <x:c r="B4237" s="4" t="inlineStr">
        <x:is>
          <x:t xml:space="preserve">603896</x:t>
        </x:is>
      </x:c>
      <x:c r="C4237" s="5" t="inlineStr">
        <x:is>
          <x:t xml:space="preserve">寿仙谷</x:t>
        </x:is>
      </x:c>
      <x:c r="D4237" s="5" t="inlineStr">
        <x:is>
          <x:t xml:space="preserve">浙江寿仙谷医药股份有限公司</x:t>
        </x:is>
      </x:c>
      <x:c r="E4237" s="4" t="inlineStr">
        <x:is>
          <x:t xml:space="preserve">浙江省</x:t>
        </x:is>
      </x:c>
      <x:c r="F4237" s="4" t="inlineStr">
        <x:is>
          <x:t xml:space="preserve">金华市</x:t>
        </x:is>
      </x:c>
      <x:c r="G4237" s="5" t="inlineStr">
        <x:is>
          <x:t xml:space="preserve">浙江省-金华市</x:t>
        </x:is>
      </x:c>
      <x:c r="H4237" s="4" t="inlineStr">
        <x:is>
          <x:t xml:space="preserve">中药</x:t>
        </x:is>
      </x:c>
      <x:c r="I4237" s="4" t="inlineStr">
        <x:is>
          <x:t xml:space="preserve">2017-05-10</x:t>
        </x:is>
      </x:c>
      <x:c r="J4237" s="5" t="inlineStr">
        <x:is>
          <x:t xml:space="preserve">浙江省武义县壶山街道商城路10号</x:t>
        </x:is>
      </x:c>
      <x:c r="K4237" s="12" t="str">
        <x:f>LEFT("91330700147493495C",18)</x:f>
        <x:v>91330700147493495C</x:v>
      </x:c>
    </x:row>
    <x:row r="4238">
      <x:c r="A4238" s="2" t="n">
        <x:v>4237</x:v>
      </x:c>
      <x:c r="B4238" s="2" t="inlineStr">
        <x:is>
          <x:t xml:space="preserve">603897</x:t>
        </x:is>
      </x:c>
      <x:c r="C4238" s="3" t="inlineStr">
        <x:is>
          <x:t xml:space="preserve">长城科技</x:t>
        </x:is>
      </x:c>
      <x:c r="D4238" s="3" t="inlineStr">
        <x:is>
          <x:t xml:space="preserve">浙江长城电工科技股份有限公司</x:t>
        </x:is>
      </x:c>
      <x:c r="E4238" s="2" t="inlineStr">
        <x:is>
          <x:t xml:space="preserve">浙江省</x:t>
        </x:is>
      </x:c>
      <x:c r="F4238" s="2" t="inlineStr">
        <x:is>
          <x:t xml:space="preserve">湖州市</x:t>
        </x:is>
      </x:c>
      <x:c r="G4238" s="3" t="inlineStr">
        <x:is>
          <x:t xml:space="preserve">浙江省-湖州市</x:t>
        </x:is>
      </x:c>
      <x:c r="H4238" s="2" t="inlineStr">
        <x:is>
          <x:t xml:space="preserve">输配电气</x:t>
        </x:is>
      </x:c>
      <x:c r="I4238" s="2" t="inlineStr">
        <x:is>
          <x:t xml:space="preserve">2018-04-10</x:t>
        </x:is>
      </x:c>
      <x:c r="J4238" s="3" t="inlineStr">
        <x:is>
          <x:t xml:space="preserve">浙江省湖州练市长城大道东1号</x:t>
        </x:is>
      </x:c>
      <x:c r="K4238" s="12" t="str">
        <x:f>LEFT("9133050066615054X7",18)</x:f>
        <x:v>9133050066615054X7</x:v>
      </x:c>
    </x:row>
    <x:row r="4239">
      <x:c r="A4239" s="4" t="n">
        <x:v>4238</x:v>
      </x:c>
      <x:c r="B4239" s="4" t="inlineStr">
        <x:is>
          <x:t xml:space="preserve">603901</x:t>
        </x:is>
      </x:c>
      <x:c r="C4239" s="5" t="inlineStr">
        <x:is>
          <x:t xml:space="preserve">永创智能</x:t>
        </x:is>
      </x:c>
      <x:c r="D4239" s="5" t="inlineStr">
        <x:is>
          <x:t xml:space="preserve">杭州永创智能设备股份有限公司</x:t>
        </x:is>
      </x:c>
      <x:c r="E4239" s="4" t="inlineStr">
        <x:is>
          <x:t xml:space="preserve">浙江省</x:t>
        </x:is>
      </x:c>
      <x:c r="F4239" s="4" t="inlineStr">
        <x:is>
          <x:t xml:space="preserve">杭州市</x:t>
        </x:is>
      </x:c>
      <x:c r="G4239" s="5" t="inlineStr">
        <x:is>
          <x:t xml:space="preserve">浙江省-杭州市</x:t>
        </x:is>
      </x:c>
      <x:c r="H4239" s="4" t="inlineStr">
        <x:is>
          <x:t xml:space="preserve">专用设备</x:t>
        </x:is>
      </x:c>
      <x:c r="I4239" s="4" t="inlineStr">
        <x:is>
          <x:t xml:space="preserve">2015-05-29</x:t>
        </x:is>
      </x:c>
      <x:c r="J4239" s="5" t="inlineStr">
        <x:is>
          <x:t xml:space="preserve">杭州市西湖区三墩镇西园九路1号</x:t>
        </x:is>
      </x:c>
      <x:c r="K4239" s="12" t="str">
        <x:f>LEFT("91330000744143864U",18)</x:f>
        <x:v>91330000744143864U</x:v>
      </x:c>
    </x:row>
    <x:row r="4240">
      <x:c r="A4240" s="2" t="n">
        <x:v>4239</x:v>
      </x:c>
      <x:c r="B4240" s="2" t="inlineStr">
        <x:is>
          <x:t xml:space="preserve">603908</x:t>
        </x:is>
      </x:c>
      <x:c r="C4240" s="3" t="inlineStr">
        <x:is>
          <x:t xml:space="preserve">牧高笛</x:t>
        </x:is>
      </x:c>
      <x:c r="D4240" s="3" t="inlineStr">
        <x:is>
          <x:t xml:space="preserve">牧高笛户外用品股份有限公司</x:t>
        </x:is>
      </x:c>
      <x:c r="E4240" s="2" t="inlineStr">
        <x:is>
          <x:t xml:space="preserve">浙江省</x:t>
        </x:is>
      </x:c>
      <x:c r="F4240" s="2" t="inlineStr">
        <x:is>
          <x:t xml:space="preserve">衢州市</x:t>
        </x:is>
      </x:c>
      <x:c r="G4240" s="3" t="inlineStr">
        <x:is>
          <x:t xml:space="preserve">浙江省-衢州市</x:t>
        </x:is>
      </x:c>
      <x:c r="H4240" s="2" t="inlineStr">
        <x:is>
          <x:t xml:space="preserve">纺织服装</x:t>
        </x:is>
      </x:c>
      <x:c r="I4240" s="2" t="inlineStr">
        <x:is>
          <x:t xml:space="preserve">2017-03-07</x:t>
        </x:is>
      </x:c>
      <x:c r="J4240" s="3" t="inlineStr">
        <x:is>
          <x:t xml:space="preserve">衢州市世纪大道895号1幢</x:t>
        </x:is>
      </x:c>
      <x:c r="K4240" s="12" t="str">
        <x:f>LEFT("91330800795551737R",18)</x:f>
        <x:v>91330800795551737R</x:v>
      </x:c>
    </x:row>
    <x:row r="4241">
      <x:c r="A4241" s="4" t="n">
        <x:v>4240</x:v>
      </x:c>
      <x:c r="B4241" s="4" t="inlineStr">
        <x:is>
          <x:t xml:space="preserve">603917</x:t>
        </x:is>
      </x:c>
      <x:c r="C4241" s="5" t="inlineStr">
        <x:is>
          <x:t xml:space="preserve">合力科技</x:t>
        </x:is>
      </x:c>
      <x:c r="D4241" s="5" t="inlineStr">
        <x:is>
          <x:t xml:space="preserve">宁波合力科技股份有限公司</x:t>
        </x:is>
      </x:c>
      <x:c r="E4241" s="4" t="inlineStr">
        <x:is>
          <x:t xml:space="preserve">浙江省</x:t>
        </x:is>
      </x:c>
      <x:c r="F4241" s="4" t="inlineStr">
        <x:is>
          <x:t xml:space="preserve">宁波市</x:t>
        </x:is>
      </x:c>
      <x:c r="G4241" s="5" t="inlineStr">
        <x:is>
          <x:t xml:space="preserve">浙江省-宁波市</x:t>
        </x:is>
      </x:c>
      <x:c r="H4241" s="4" t="inlineStr">
        <x:is>
          <x:t xml:space="preserve">汽车行业</x:t>
        </x:is>
      </x:c>
      <x:c r="I4241" s="4" t="inlineStr">
        <x:is>
          <x:t xml:space="preserve">2017-12-04</x:t>
        </x:is>
      </x:c>
      <x:c r="J4241" s="5" t="inlineStr">
        <x:is>
          <x:t xml:space="preserve">浙江象山工业园区西谷路358号</x:t>
        </x:is>
      </x:c>
      <x:c r="K4241" s="12" t="str">
        <x:f>LEFT("913302001449866060",18)</x:f>
        <x:v>913302001449866100</x:v>
      </x:c>
    </x:row>
    <x:row r="4242">
      <x:c r="A4242" s="2" t="n">
        <x:v>4241</x:v>
      </x:c>
      <x:c r="B4242" s="2" t="inlineStr">
        <x:is>
          <x:t xml:space="preserve">603926</x:t>
        </x:is>
      </x:c>
      <x:c r="C4242" s="3" t="inlineStr">
        <x:is>
          <x:t xml:space="preserve">铁流股份</x:t>
        </x:is>
      </x:c>
      <x:c r="D4242" s="3" t="inlineStr">
        <x:is>
          <x:t xml:space="preserve">铁流股份有限公司</x:t>
        </x:is>
      </x:c>
      <x:c r="E4242" s="2" t="inlineStr">
        <x:is>
          <x:t xml:space="preserve">浙江省</x:t>
        </x:is>
      </x:c>
      <x:c r="F4242" s="2" t="inlineStr">
        <x:is>
          <x:t xml:space="preserve">杭州市</x:t>
        </x:is>
      </x:c>
      <x:c r="G4242" s="3" t="inlineStr">
        <x:is>
          <x:t xml:space="preserve">浙江省-杭州市</x:t>
        </x:is>
      </x:c>
      <x:c r="H4242" s="2" t="inlineStr">
        <x:is>
          <x:t xml:space="preserve">汽车行业</x:t>
        </x:is>
      </x:c>
      <x:c r="I4242" s="2" t="inlineStr">
        <x:is>
          <x:t xml:space="preserve">2017-05-10</x:t>
        </x:is>
      </x:c>
      <x:c r="J4242" s="3" t="inlineStr">
        <x:is>
          <x:t xml:space="preserve">浙江省杭州市临平区临平街道兴国路398号</x:t>
        </x:is>
      </x:c>
      <x:c r="K4242" s="12" t="str">
        <x:f>LEFT("91330100697072273U",18)</x:f>
        <x:v>91330100697072273U</x:v>
      </x:c>
    </x:row>
    <x:row r="4243">
      <x:c r="A4243" s="4" t="n">
        <x:v>4242</x:v>
      </x:c>
      <x:c r="B4243" s="4" t="inlineStr">
        <x:is>
          <x:t xml:space="preserve">603931</x:t>
        </x:is>
      </x:c>
      <x:c r="C4243" s="5" t="inlineStr">
        <x:is>
          <x:t xml:space="preserve">格林达</x:t>
        </x:is>
      </x:c>
      <x:c r="D4243" s="5" t="inlineStr">
        <x:is>
          <x:t xml:space="preserve">杭州格林达电子材料股份有限公司</x:t>
        </x:is>
      </x:c>
      <x:c r="E4243" s="4" t="inlineStr">
        <x:is>
          <x:t xml:space="preserve">浙江省</x:t>
        </x:is>
      </x:c>
      <x:c r="F4243" s="4" t="inlineStr">
        <x:is>
          <x:t xml:space="preserve">杭州市</x:t>
        </x:is>
      </x:c>
      <x:c r="G4243" s="5" t="inlineStr">
        <x:is>
          <x:t xml:space="preserve">浙江省-杭州市</x:t>
        </x:is>
      </x:c>
      <x:c r="H4243" s="4" t="inlineStr">
        <x:is>
          <x:t xml:space="preserve">电子化学品</x:t>
        </x:is>
      </x:c>
      <x:c r="I4243" s="4" t="inlineStr">
        <x:is>
          <x:t xml:space="preserve">2020-08-19</x:t>
        </x:is>
      </x:c>
      <x:c r="J4243" s="5" t="inlineStr">
        <x:is>
          <x:t xml:space="preserve">浙江省杭州市钱塘区临江街道红十五路9936-1号</x:t>
        </x:is>
      </x:c>
      <x:c r="K4243" s="12" t="str">
        <x:f>LEFT("913301007324192613",18)</x:f>
        <x:v>913301007324192600</x:v>
      </x:c>
    </x:row>
    <x:row r="4244">
      <x:c r="A4244" s="2" t="n">
        <x:v>4243</x:v>
      </x:c>
      <x:c r="B4244" s="2" t="inlineStr">
        <x:is>
          <x:t xml:space="preserve">603948</x:t>
        </x:is>
      </x:c>
      <x:c r="C4244" s="3" t="inlineStr">
        <x:is>
          <x:t xml:space="preserve">建业股份</x:t>
        </x:is>
      </x:c>
      <x:c r="D4244" s="3" t="inlineStr">
        <x:is>
          <x:t xml:space="preserve">浙江建业化工股份有限公司</x:t>
        </x:is>
      </x:c>
      <x:c r="E4244" s="2" t="inlineStr">
        <x:is>
          <x:t xml:space="preserve">浙江省</x:t>
        </x:is>
      </x:c>
      <x:c r="F4244" s="2" t="inlineStr">
        <x:is>
          <x:t xml:space="preserve">建德市</x:t>
        </x:is>
      </x:c>
      <x:c r="G4244" s="3" t="inlineStr">
        <x:is>
          <x:t xml:space="preserve">浙江省-建德市</x:t>
        </x:is>
      </x:c>
      <x:c r="H4244" s="2" t="inlineStr">
        <x:is>
          <x:t xml:space="preserve">化工行业</x:t>
        </x:is>
      </x:c>
      <x:c r="I4244" s="2" t="inlineStr">
        <x:is>
          <x:t xml:space="preserve">2020-03-02</x:t>
        </x:is>
      </x:c>
      <x:c r="J4244" s="3" t="inlineStr">
        <x:is>
          <x:t xml:space="preserve">建德市梅城镇严东关路8号</x:t>
        </x:is>
      </x:c>
      <x:c r="K4244" s="12" t="str">
        <x:f>LEFT("91330100704290413D",18)</x:f>
        <x:v>91330100704290413D</x:v>
      </x:c>
    </x:row>
    <x:row r="4245">
      <x:c r="A4245" s="4" t="n">
        <x:v>4244</x:v>
      </x:c>
      <x:c r="B4245" s="4" t="inlineStr">
        <x:is>
          <x:t xml:space="preserve">603949</x:t>
        </x:is>
      </x:c>
      <x:c r="C4245" s="5" t="inlineStr">
        <x:is>
          <x:t xml:space="preserve">雪龙集团</x:t>
        </x:is>
      </x:c>
      <x:c r="D4245" s="5" t="inlineStr">
        <x:is>
          <x:t xml:space="preserve">雪龙集团股份有限公司</x:t>
        </x:is>
      </x:c>
      <x:c r="E4245" s="4" t="inlineStr">
        <x:is>
          <x:t xml:space="preserve">浙江省</x:t>
        </x:is>
      </x:c>
      <x:c r="F4245" s="4" t="inlineStr">
        <x:is>
          <x:t xml:space="preserve">宁波市</x:t>
        </x:is>
      </x:c>
      <x:c r="G4245" s="5" t="inlineStr">
        <x:is>
          <x:t xml:space="preserve">浙江省-宁波市</x:t>
        </x:is>
      </x:c>
      <x:c r="H4245" s="4" t="inlineStr">
        <x:is>
          <x:t xml:space="preserve">汽车行业</x:t>
        </x:is>
      </x:c>
      <x:c r="I4245" s="4" t="inlineStr">
        <x:is>
          <x:t xml:space="preserve">2020-03-10</x:t>
        </x:is>
      </x:c>
      <x:c r="J4245" s="5" t="inlineStr">
        <x:is>
          <x:t xml:space="preserve">浙江省宁波市北仑区黄山西路211号</x:t>
        </x:is>
      </x:c>
      <x:c r="K4245" s="12" t="str">
        <x:f>LEFT("91330200734267003C",18)</x:f>
        <x:v>91330200734267003C</x:v>
      </x:c>
    </x:row>
    <x:row r="4246">
      <x:c r="A4246" s="2" t="n">
        <x:v>4245</x:v>
      </x:c>
      <x:c r="B4246" s="2" t="inlineStr">
        <x:is>
          <x:t xml:space="preserve">603980</x:t>
        </x:is>
      </x:c>
      <x:c r="C4246" s="3" t="inlineStr">
        <x:is>
          <x:t xml:space="preserve">吉华集团</x:t>
        </x:is>
      </x:c>
      <x:c r="D4246" s="3" t="inlineStr">
        <x:is>
          <x:t xml:space="preserve">浙江吉华集团股份有限公司</x:t>
        </x:is>
      </x:c>
      <x:c r="E4246" s="2" t="inlineStr">
        <x:is>
          <x:t xml:space="preserve">浙江省</x:t>
        </x:is>
      </x:c>
      <x:c r="F4246" s="2" t="inlineStr">
        <x:is>
          <x:t xml:space="preserve">杭州市</x:t>
        </x:is>
      </x:c>
      <x:c r="G4246" s="3" t="inlineStr">
        <x:is>
          <x:t xml:space="preserve">浙江省-杭州市</x:t>
        </x:is>
      </x:c>
      <x:c r="H4246" s="2" t="inlineStr">
        <x:is>
          <x:t xml:space="preserve">化工行业</x:t>
        </x:is>
      </x:c>
      <x:c r="I4246" s="2" t="inlineStr">
        <x:is>
          <x:t xml:space="preserve">2017-06-15</x:t>
        </x:is>
      </x:c>
      <x:c r="J4246" s="3" t="inlineStr">
        <x:is>
          <x:t xml:space="preserve">浙江省杭州市钱塘区临江工业园新世纪大道1766号</x:t>
        </x:is>
      </x:c>
      <x:c r="K4246" s="12" t="str">
        <x:f>LEFT("913300007530435745",18)</x:f>
        <x:v>913300007530435700</x:v>
      </x:c>
    </x:row>
    <x:row r="4247">
      <x:c r="A4247" s="4" t="n">
        <x:v>4246</x:v>
      </x:c>
      <x:c r="B4247" s="4" t="inlineStr">
        <x:is>
          <x:t xml:space="preserve">603995</x:t>
        </x:is>
      </x:c>
      <x:c r="C4247" s="5" t="inlineStr">
        <x:is>
          <x:t xml:space="preserve">甬金股份</x:t>
        </x:is>
      </x:c>
      <x:c r="D4247" s="5" t="inlineStr">
        <x:is>
          <x:t xml:space="preserve">甬金科技集团股份有限公司</x:t>
        </x:is>
      </x:c>
      <x:c r="E4247" s="4" t="inlineStr">
        <x:is>
          <x:t xml:space="preserve">浙江省</x:t>
        </x:is>
      </x:c>
      <x:c r="F4247" s="4" t="inlineStr">
        <x:is>
          <x:t xml:space="preserve">江省兰溪市</x:t>
        </x:is>
      </x:c>
      <x:c r="G4247" s="5" t="inlineStr">
        <x:is>
          <x:t xml:space="preserve">浙江省-江省兰溪市</x:t>
        </x:is>
      </x:c>
      <x:c r="H4247" s="4" t="inlineStr">
        <x:is>
          <x:t xml:space="preserve">钢铁行业</x:t>
        </x:is>
      </x:c>
      <x:c r="I4247" s="4" t="inlineStr">
        <x:is>
          <x:t xml:space="preserve">2019-12-24</x:t>
        </x:is>
      </x:c>
      <x:c r="J4247" s="5" t="inlineStr">
        <x:is>
          <x:t xml:space="preserve">浙江省兰溪市灵洞乡耕头畈999号</x:t>
        </x:is>
      </x:c>
      <x:c r="K4247" s="12" t="str">
        <x:f>LEFT("91330700753962378R",18)</x:f>
        <x:v>91330700753962378R</x:v>
      </x:c>
    </x:row>
    <x:row r="4248">
      <x:c r="A4248" s="2" t="n">
        <x:v>4247</x:v>
      </x:c>
      <x:c r="B4248" s="2" t="inlineStr">
        <x:is>
          <x:t xml:space="preserve">603997</x:t>
        </x:is>
      </x:c>
      <x:c r="C4248" s="3" t="inlineStr">
        <x:is>
          <x:t xml:space="preserve">继峰股份</x:t>
        </x:is>
      </x:c>
      <x:c r="D4248" s="3" t="inlineStr">
        <x:is>
          <x:t xml:space="preserve">宁波继峰汽车零部件股份有限公司</x:t>
        </x:is>
      </x:c>
      <x:c r="E4248" s="2" t="inlineStr">
        <x:is>
          <x:t xml:space="preserve">浙江省</x:t>
        </x:is>
      </x:c>
      <x:c r="F4248" s="2" t="inlineStr">
        <x:is>
          <x:t xml:space="preserve">宁波市</x:t>
        </x:is>
      </x:c>
      <x:c r="G4248" s="3" t="inlineStr">
        <x:is>
          <x:t xml:space="preserve">浙江省-宁波市</x:t>
        </x:is>
      </x:c>
      <x:c r="H4248" s="2" t="inlineStr">
        <x:is>
          <x:t xml:space="preserve">汽车行业</x:t>
        </x:is>
      </x:c>
      <x:c r="I4248" s="2" t="inlineStr">
        <x:is>
          <x:t xml:space="preserve">2015-03-02</x:t>
        </x:is>
      </x:c>
      <x:c r="J4248" s="3" t="inlineStr">
        <x:is>
          <x:t xml:space="preserve">浙江省宁波市北仑区大碶璎珞河路17号</x:t>
        </x:is>
      </x:c>
      <x:c r="K4248" s="12" t="str">
        <x:f>LEFT("913302007503809970",18)</x:f>
        <x:v>913302007503809900</x:v>
      </x:c>
    </x:row>
    <x:row r="4249">
      <x:c r="A4249" s="4" t="n">
        <x:v>4248</x:v>
      </x:c>
      <x:c r="B4249" s="4" t="inlineStr">
        <x:is>
          <x:t xml:space="preserve">605003</x:t>
        </x:is>
      </x:c>
      <x:c r="C4249" s="5" t="inlineStr">
        <x:is>
          <x:t xml:space="preserve">众望布艺</x:t>
        </x:is>
      </x:c>
      <x:c r="D4249" s="5" t="inlineStr">
        <x:is>
          <x:t xml:space="preserve">众望布艺股份有限公司</x:t>
        </x:is>
      </x:c>
      <x:c r="E4249" s="4" t="inlineStr">
        <x:is>
          <x:t xml:space="preserve">浙江省</x:t>
        </x:is>
      </x:c>
      <x:c r="F4249" s="4" t="inlineStr">
        <x:is>
          <x:t xml:space="preserve">杭州市</x:t>
        </x:is>
      </x:c>
      <x:c r="G4249" s="5" t="inlineStr">
        <x:is>
          <x:t xml:space="preserve">浙江省-杭州市</x:t>
        </x:is>
      </x:c>
      <x:c r="H4249" s="4" t="inlineStr">
        <x:is>
          <x:t xml:space="preserve">纺织服装</x:t>
        </x:is>
      </x:c>
      <x:c r="I4249" s="4" t="inlineStr">
        <x:is>
          <x:t xml:space="preserve">2020-09-08</x:t>
        </x:is>
      </x:c>
      <x:c r="J4249" s="5" t="inlineStr">
        <x:is>
          <x:t xml:space="preserve">杭州市临平区东湖街道北沙东路68号</x:t>
        </x:is>
      </x:c>
      <x:c r="K4249" s="12" t="str">
        <x:f>LEFT("913301101438971341",18)</x:f>
        <x:v>913301101438971400</x:v>
      </x:c>
    </x:row>
    <x:row r="4250">
      <x:c r="A4250" s="2" t="n">
        <x:v>4249</x:v>
      </x:c>
      <x:c r="B4250" s="2" t="inlineStr">
        <x:is>
          <x:t xml:space="preserve">605005</x:t>
        </x:is>
      </x:c>
      <x:c r="C4250" s="3" t="inlineStr">
        <x:is>
          <x:t xml:space="preserve">合兴股份</x:t>
        </x:is>
      </x:c>
      <x:c r="D4250" s="3" t="inlineStr">
        <x:is>
          <x:t xml:space="preserve">合兴汽车电子股份有限公司</x:t>
        </x:is>
      </x:c>
      <x:c r="E4250" s="2" t="inlineStr">
        <x:is>
          <x:t xml:space="preserve">浙江省</x:t>
        </x:is>
      </x:c>
      <x:c r="F4250" s="2" t="inlineStr">
        <x:is>
          <x:t xml:space="preserve">江省乐清市</x:t>
        </x:is>
      </x:c>
      <x:c r="G4250" s="3" t="inlineStr">
        <x:is>
          <x:t xml:space="preserve">浙江省-江省乐清市</x:t>
        </x:is>
      </x:c>
      <x:c r="H4250" s="2" t="inlineStr">
        <x:is>
          <x:t xml:space="preserve">汽车行业</x:t>
        </x:is>
      </x:c>
      <x:c r="I4250" s="2" t="inlineStr">
        <x:is>
          <x:t xml:space="preserve">2021-01-19</x:t>
        </x:is>
      </x:c>
      <x:c r="J4250" s="3" t="inlineStr">
        <x:is>
          <x:t xml:space="preserve">浙江省乐清市虹桥镇幸福东路1098号</x:t>
        </x:is>
      </x:c>
      <x:c r="K4250" s="12" t="str">
        <x:f>LEFT("91330382795586008C",18)</x:f>
        <x:v>91330382795586008C</x:v>
      </x:c>
    </x:row>
    <x:row r="4251">
      <x:c r="A4251" s="4" t="n">
        <x:v>4250</x:v>
      </x:c>
      <x:c r="B4251" s="4" t="inlineStr">
        <x:is>
          <x:t xml:space="preserve">605007</x:t>
        </x:is>
      </x:c>
      <x:c r="C4251" s="5" t="inlineStr">
        <x:is>
          <x:t xml:space="preserve">五洲特纸</x:t>
        </x:is>
      </x:c>
      <x:c r="D4251" s="5" t="inlineStr">
        <x:is>
          <x:t xml:space="preserve">五洲特种纸业集团股份有限公司</x:t>
        </x:is>
      </x:c>
      <x:c r="E4251" s="4" t="inlineStr">
        <x:is>
          <x:t xml:space="preserve">浙江省</x:t>
        </x:is>
      </x:c>
      <x:c r="F4251" s="4" t="inlineStr">
        <x:is>
          <x:t xml:space="preserve">衢州市</x:t>
        </x:is>
      </x:c>
      <x:c r="G4251" s="5" t="inlineStr">
        <x:is>
          <x:t xml:space="preserve">浙江省-衢州市</x:t>
        </x:is>
      </x:c>
      <x:c r="H4251" s="4" t="inlineStr">
        <x:is>
          <x:t xml:space="preserve">造纸印刷</x:t>
        </x:is>
      </x:c>
      <x:c r="I4251" s="4" t="inlineStr">
        <x:is>
          <x:t xml:space="preserve">2020-11-10</x:t>
        </x:is>
      </x:c>
      <x:c r="J4251" s="5" t="inlineStr">
        <x:is>
          <x:t xml:space="preserve">浙江省衢州市衢江区通波北路1号</x:t>
        </x:is>
      </x:c>
      <x:c r="K4251" s="12" t="str">
        <x:f>LEFT("91330803670291361P",18)</x:f>
        <x:v>91330803670291361P</x:v>
      </x:c>
    </x:row>
    <x:row r="4252">
      <x:c r="A4252" s="2" t="n">
        <x:v>4251</x:v>
      </x:c>
      <x:c r="B4252" s="2" t="inlineStr">
        <x:is>
          <x:t xml:space="preserve">605008</x:t>
        </x:is>
      </x:c>
      <x:c r="C4252" s="3" t="inlineStr">
        <x:is>
          <x:t xml:space="preserve">长鸿高科</x:t>
        </x:is>
      </x:c>
      <x:c r="D4252" s="3" t="inlineStr">
        <x:is>
          <x:t xml:space="preserve">宁波长鸿高分子科技股份有限公司</x:t>
        </x:is>
      </x:c>
      <x:c r="E4252" s="2" t="inlineStr">
        <x:is>
          <x:t xml:space="preserve">浙江省</x:t>
        </x:is>
      </x:c>
      <x:c r="F4252" s="2" t="inlineStr">
        <x:is>
          <x:t xml:space="preserve">宁波市</x:t>
        </x:is>
      </x:c>
      <x:c r="G4252" s="3" t="inlineStr">
        <x:is>
          <x:t xml:space="preserve">浙江省-宁波市</x:t>
        </x:is>
      </x:c>
      <x:c r="H4252" s="2" t="inlineStr">
        <x:is>
          <x:t xml:space="preserve">塑料制品</x:t>
        </x:is>
      </x:c>
      <x:c r="I4252" s="2" t="inlineStr">
        <x:is>
          <x:t xml:space="preserve">2020-08-21</x:t>
        </x:is>
      </x:c>
      <x:c r="J4252" s="3" t="inlineStr">
        <x:is>
          <x:t xml:space="preserve">浙江省宁波市北仑区戚家山港口路108号</x:t>
        </x:is>
      </x:c>
      <x:c r="K4252" s="12" t="str">
        <x:f>LEFT("91330206595387864P",18)</x:f>
        <x:v>91330206595387864P</x:v>
      </x:c>
    </x:row>
    <x:row r="4253">
      <x:c r="A4253" s="4" t="n">
        <x:v>4252</x:v>
      </x:c>
      <x:c r="B4253" s="4" t="inlineStr">
        <x:is>
          <x:t xml:space="preserve">605009</x:t>
        </x:is>
      </x:c>
      <x:c r="C4253" s="5" t="inlineStr">
        <x:is>
          <x:t xml:space="preserve">豪悦护理</x:t>
        </x:is>
      </x:c>
      <x:c r="D4253" s="5" t="inlineStr">
        <x:is>
          <x:t xml:space="preserve">杭州豪悦护理用品股份有限公司</x:t>
        </x:is>
      </x:c>
      <x:c r="E4253" s="4" t="inlineStr">
        <x:is>
          <x:t xml:space="preserve">浙江省</x:t>
        </x:is>
      </x:c>
      <x:c r="F4253" s="4" t="inlineStr">
        <x:is>
          <x:t xml:space="preserve">杭州市</x:t>
        </x:is>
      </x:c>
      <x:c r="G4253" s="5" t="inlineStr">
        <x:is>
          <x:t xml:space="preserve">浙江省-杭州市</x:t>
        </x:is>
      </x:c>
      <x:c r="H4253" s="4" t="inlineStr">
        <x:is>
          <x:t xml:space="preserve">美容护理</x:t>
        </x:is>
      </x:c>
      <x:c r="I4253" s="4" t="inlineStr">
        <x:is>
          <x:t xml:space="preserve">2020-09-11</x:t>
        </x:is>
      </x:c>
      <x:c r="J4253" s="5" t="inlineStr">
        <x:is>
          <x:t xml:space="preserve">浙江省杭州市临平区东湖街道临平经济技术开发区红丰路655号</x:t>
        </x:is>
      </x:c>
      <x:c r="K4253" s="12" t="str">
        <x:f>LEFT("91330110670633683B",18)</x:f>
        <x:v>91330110670633683B</x:v>
      </x:c>
    </x:row>
    <x:row r="4254">
      <x:c r="A4254" s="2" t="n">
        <x:v>4253</x:v>
      </x:c>
      <x:c r="B4254" s="2" t="inlineStr">
        <x:is>
          <x:t xml:space="preserve">605011</x:t>
        </x:is>
      </x:c>
      <x:c r="C4254" s="3" t="inlineStr">
        <x:is>
          <x:t xml:space="preserve">杭州热电</x:t>
        </x:is>
      </x:c>
      <x:c r="D4254" s="3" t="inlineStr">
        <x:is>
          <x:t xml:space="preserve">杭州热电集团股份有限公司</x:t>
        </x:is>
      </x:c>
      <x:c r="E4254" s="2" t="inlineStr">
        <x:is>
          <x:t xml:space="preserve">浙江省</x:t>
        </x:is>
      </x:c>
      <x:c r="F4254" s="2" t="inlineStr">
        <x:is>
          <x:t xml:space="preserve">杭州市</x:t>
        </x:is>
      </x:c>
      <x:c r="G4254" s="3" t="inlineStr">
        <x:is>
          <x:t xml:space="preserve">浙江省-杭州市</x:t>
        </x:is>
      </x:c>
      <x:c r="H4254" s="2" t="inlineStr">
        <x:is>
          <x:t xml:space="preserve">公用事业</x:t>
        </x:is>
      </x:c>
      <x:c r="I4254" s="2" t="inlineStr">
        <x:is>
          <x:t xml:space="preserve">2021-06-30</x:t>
        </x:is>
      </x:c>
      <x:c r="J4254" s="3" t="inlineStr">
        <x:is>
          <x:t xml:space="preserve">浙江省杭州市滨江区西兴街道月明路199号1号楼15层</x:t>
        </x:is>
      </x:c>
      <x:c r="K4254" s="12" t="str">
        <x:f>LEFT("91330100253930310D",18)</x:f>
        <x:v>91330100253930310D</x:v>
      </x:c>
    </x:row>
    <x:row r="4255">
      <x:c r="A4255" s="4" t="n">
        <x:v>4254</x:v>
      </x:c>
      <x:c r="B4255" s="4" t="inlineStr">
        <x:is>
          <x:t xml:space="preserve">605018</x:t>
        </x:is>
      </x:c>
      <x:c r="C4255" s="5" t="inlineStr">
        <x:is>
          <x:t xml:space="preserve">长华集团</x:t>
        </x:is>
      </x:c>
      <x:c r="D4255" s="5" t="inlineStr">
        <x:is>
          <x:t xml:space="preserve">长华控股集团股份有限公司</x:t>
        </x:is>
      </x:c>
      <x:c r="E4255" s="4" t="inlineStr">
        <x:is>
          <x:t xml:space="preserve">浙江省</x:t>
        </x:is>
      </x:c>
      <x:c r="F4255" s="4" t="inlineStr">
        <x:is>
          <x:t xml:space="preserve">江省慈溪市</x:t>
        </x:is>
      </x:c>
      <x:c r="G4255" s="5" t="inlineStr">
        <x:is>
          <x:t xml:space="preserve">浙江省-江省慈溪市</x:t>
        </x:is>
      </x:c>
      <x:c r="H4255" s="4" t="inlineStr">
        <x:is>
          <x:t xml:space="preserve">汽车行业</x:t>
        </x:is>
      </x:c>
      <x:c r="I4255" s="4" t="inlineStr">
        <x:is>
          <x:t xml:space="preserve">2020-09-29</x:t>
        </x:is>
      </x:c>
      <x:c r="J4255" s="5" t="inlineStr">
        <x:is>
          <x:t xml:space="preserve">浙江省慈溪市周巷镇环城北路707号(一照多址)</x:t>
        </x:is>
      </x:c>
      <x:c r="K4255" s="12" t="str">
        <x:f>LEFT("91330282144780309G",18)</x:f>
        <x:v>91330282144780309G</x:v>
      </x:c>
    </x:row>
    <x:row r="4256">
      <x:c r="A4256" s="2" t="n">
        <x:v>4255</x:v>
      </x:c>
      <x:c r="B4256" s="2" t="inlineStr">
        <x:is>
          <x:t xml:space="preserve">605020</x:t>
        </x:is>
      </x:c>
      <x:c r="C4256" s="3" t="inlineStr">
        <x:is>
          <x:t xml:space="preserve">永和股份</x:t>
        </x:is>
      </x:c>
      <x:c r="D4256" s="3" t="inlineStr">
        <x:is>
          <x:t xml:space="preserve">浙江永和制冷股份有限公司</x:t>
        </x:is>
      </x:c>
      <x:c r="E4256" s="2" t="inlineStr">
        <x:is>
          <x:t xml:space="preserve">浙江省</x:t>
        </x:is>
      </x:c>
      <x:c r="F4256" s="2" t="inlineStr">
        <x:is>
          <x:t xml:space="preserve">衢州市</x:t>
        </x:is>
      </x:c>
      <x:c r="G4256" s="3" t="inlineStr">
        <x:is>
          <x:t xml:space="preserve">浙江省-衢州市</x:t>
        </x:is>
      </x:c>
      <x:c r="H4256" s="2" t="inlineStr">
        <x:is>
          <x:t xml:space="preserve">化工行业</x:t>
        </x:is>
      </x:c>
      <x:c r="I4256" s="2" t="inlineStr">
        <x:is>
          <x:t xml:space="preserve">2021-07-09</x:t>
        </x:is>
      </x:c>
      <x:c r="J4256" s="3" t="inlineStr">
        <x:is>
          <x:t xml:space="preserve">浙江省衢州市世纪大道893号</x:t>
        </x:is>
      </x:c>
      <x:c r="K4256" s="12" t="str">
        <x:f>LEFT("913308007639292214",18)</x:f>
        <x:v>913308007639292200</x:v>
      </x:c>
    </x:row>
    <x:row r="4257">
      <x:c r="A4257" s="4" t="n">
        <x:v>4256</x:v>
      </x:c>
      <x:c r="B4257" s="4" t="inlineStr">
        <x:is>
          <x:t xml:space="preserve">605028</x:t>
        </x:is>
      </x:c>
      <x:c r="C4257" s="5" t="inlineStr">
        <x:is>
          <x:t xml:space="preserve">世茂能源</x:t>
        </x:is>
      </x:c>
      <x:c r="D4257" s="5" t="inlineStr">
        <x:is>
          <x:t xml:space="preserve">宁波世茂能源股份有限公司</x:t>
        </x:is>
      </x:c>
      <x:c r="E4257" s="4" t="inlineStr">
        <x:is>
          <x:t xml:space="preserve">浙江省</x:t>
        </x:is>
      </x:c>
      <x:c r="F4257" s="4" t="inlineStr">
        <x:is>
          <x:t xml:space="preserve">江省余姚市</x:t>
        </x:is>
      </x:c>
      <x:c r="G4257" s="5" t="inlineStr">
        <x:is>
          <x:t xml:space="preserve">浙江省-江省余姚市</x:t>
        </x:is>
      </x:c>
      <x:c r="H4257" s="4" t="inlineStr">
        <x:is>
          <x:t xml:space="preserve">电力行业</x:t>
        </x:is>
      </x:c>
      <x:c r="I4257" s="4" t="inlineStr">
        <x:is>
          <x:t xml:space="preserve">2021-07-12</x:t>
        </x:is>
      </x:c>
      <x:c r="J4257" s="5" t="inlineStr">
        <x:is>
          <x:t xml:space="preserve">浙江省余姚市小曹娥镇滨海产业园广兴路8号</x:t>
        </x:is>
      </x:c>
      <x:c r="K4257" s="12" t="str">
        <x:f>LEFT("9133028175627217X8",18)</x:f>
        <x:v>9133028175627217X8</x:v>
      </x:c>
    </x:row>
    <x:row r="4258">
      <x:c r="A4258" s="2" t="n">
        <x:v>4257</x:v>
      </x:c>
      <x:c r="B4258" s="2" t="inlineStr">
        <x:is>
          <x:t xml:space="preserve">605055</x:t>
        </x:is>
      </x:c>
      <x:c r="C4258" s="3" t="inlineStr">
        <x:is>
          <x:t xml:space="preserve">迎丰股份</x:t>
        </x:is>
      </x:c>
      <x:c r="D4258" s="3" t="inlineStr">
        <x:is>
          <x:t xml:space="preserve">浙江迎丰科技股份有限公司</x:t>
        </x:is>
      </x:c>
      <x:c r="E4258" s="2" t="inlineStr">
        <x:is>
          <x:t xml:space="preserve">浙江省</x:t>
        </x:is>
      </x:c>
      <x:c r="F4258" s="2" t="inlineStr">
        <x:is>
          <x:t xml:space="preserve">绍兴市</x:t>
        </x:is>
      </x:c>
      <x:c r="G4258" s="3" t="inlineStr">
        <x:is>
          <x:t xml:space="preserve">浙江省-绍兴市</x:t>
        </x:is>
      </x:c>
      <x:c r="H4258" s="2" t="inlineStr">
        <x:is>
          <x:t xml:space="preserve">纺织服装</x:t>
        </x:is>
      </x:c>
      <x:c r="I4258" s="2" t="inlineStr">
        <x:is>
          <x:t xml:space="preserve">2021-01-29</x:t>
        </x:is>
      </x:c>
      <x:c r="J4258" s="3" t="inlineStr">
        <x:is>
          <x:t xml:space="preserve">浙江省绍兴市柯桥区滨海工业区兴滨路4888号</x:t>
        </x:is>
      </x:c>
      <x:c r="K4258" s="12" t="str">
        <x:f>LEFT("913306216784286764",18)</x:f>
        <x:v>913306216784286700</x:v>
      </x:c>
    </x:row>
    <x:row r="4259">
      <x:c r="A4259" s="4" t="n">
        <x:v>4258</x:v>
      </x:c>
      <x:c r="B4259" s="4" t="inlineStr">
        <x:is>
          <x:t xml:space="preserve">605056</x:t>
        </x:is>
      </x:c>
      <x:c r="C4259" s="5" t="inlineStr">
        <x:is>
          <x:t xml:space="preserve">咸亨国际</x:t>
        </x:is>
      </x:c>
      <x:c r="D4259" s="5" t="inlineStr">
        <x:is>
          <x:t xml:space="preserve">咸亨国际科技股份有限公司</x:t>
        </x:is>
      </x:c>
      <x:c r="E4259" s="4" t="inlineStr">
        <x:is>
          <x:t xml:space="preserve">浙江省</x:t>
        </x:is>
      </x:c>
      <x:c r="F4259" s="4" t="inlineStr">
        <x:is>
          <x:t xml:space="preserve">杭州市</x:t>
        </x:is>
      </x:c>
      <x:c r="G4259" s="5" t="inlineStr">
        <x:is>
          <x:t xml:space="preserve">浙江省-杭州市</x:t>
        </x:is>
      </x:c>
      <x:c r="H4259" s="4" t="inlineStr">
        <x:is>
          <x:t xml:space="preserve">仪器仪表</x:t>
        </x:is>
      </x:c>
      <x:c r="I4259" s="4" t="inlineStr">
        <x:is>
          <x:t xml:space="preserve">2021-07-20</x:t>
        </x:is>
      </x:c>
      <x:c r="J4259" s="5" t="inlineStr">
        <x:is>
          <x:t xml:space="preserve">浙江省杭州市上城区江城路889号E10室</x:t>
        </x:is>
      </x:c>
      <x:c r="K4259" s="12" t="str">
        <x:f>LEFT("913301006739591016",18)</x:f>
        <x:v>913301006739591000</x:v>
      </x:c>
    </x:row>
    <x:row r="4260">
      <x:c r="A4260" s="2" t="n">
        <x:v>4259</x:v>
      </x:c>
      <x:c r="B4260" s="2" t="inlineStr">
        <x:is>
          <x:t xml:space="preserve">605060</x:t>
        </x:is>
      </x:c>
      <x:c r="C4260" s="3" t="inlineStr">
        <x:is>
          <x:t xml:space="preserve">联德股份</x:t>
        </x:is>
      </x:c>
      <x:c r="D4260" s="3" t="inlineStr">
        <x:is>
          <x:t xml:space="preserve">杭州联德精密机械股份有限公司</x:t>
        </x:is>
      </x:c>
      <x:c r="E4260" s="2" t="inlineStr">
        <x:is>
          <x:t xml:space="preserve">浙江省</x:t>
        </x:is>
      </x:c>
      <x:c r="F4260" s="2" t="inlineStr">
        <x:is>
          <x:t xml:space="preserve">杭州市</x:t>
        </x:is>
      </x:c>
      <x:c r="G4260" s="3" t="inlineStr">
        <x:is>
          <x:t xml:space="preserve">浙江省-杭州市</x:t>
        </x:is>
      </x:c>
      <x:c r="H4260" s="2" t="inlineStr">
        <x:is>
          <x:t xml:space="preserve">机械行业</x:t>
        </x:is>
      </x:c>
      <x:c r="I4260" s="2" t="inlineStr">
        <x:is>
          <x:t xml:space="preserve">2021-03-01</x:t>
        </x:is>
      </x:c>
      <x:c r="J4260" s="3" t="inlineStr">
        <x:is>
          <x:t xml:space="preserve">浙江省杭州经济技术开发区18号大街77号</x:t>
        </x:is>
      </x:c>
      <x:c r="K4260" s="12" t="str">
        <x:f>LEFT("91330100725897521A",18)</x:f>
        <x:v>91330100725897521A</x:v>
      </x:c>
    </x:row>
    <x:row r="4261">
      <x:c r="A4261" s="4" t="n">
        <x:v>4260</x:v>
      </x:c>
      <x:c r="B4261" s="4" t="inlineStr">
        <x:is>
          <x:t xml:space="preserve">605066</x:t>
        </x:is>
      </x:c>
      <x:c r="C4261" s="5" t="inlineStr">
        <x:is>
          <x:t xml:space="preserve">天正电气</x:t>
        </x:is>
      </x:c>
      <x:c r="D4261" s="5" t="inlineStr">
        <x:is>
          <x:t xml:space="preserve">浙江天正电气股份有限公司</x:t>
        </x:is>
      </x:c>
      <x:c r="E4261" s="4" t="inlineStr">
        <x:is>
          <x:t xml:space="preserve">浙江省</x:t>
        </x:is>
      </x:c>
      <x:c r="F4261" s="4" t="inlineStr">
        <x:is>
          <x:t xml:space="preserve">江省乐清市</x:t>
        </x:is>
      </x:c>
      <x:c r="G4261" s="5" t="inlineStr">
        <x:is>
          <x:t xml:space="preserve">浙江省-江省乐清市</x:t>
        </x:is>
      </x:c>
      <x:c r="H4261" s="4" t="inlineStr">
        <x:is>
          <x:t xml:space="preserve">输配电气</x:t>
        </x:is>
      </x:c>
      <x:c r="I4261" s="4" t="inlineStr">
        <x:is>
          <x:t xml:space="preserve">2020-08-07</x:t>
        </x:is>
      </x:c>
      <x:c r="J4261" s="5" t="inlineStr">
        <x:is>
          <x:t xml:space="preserve">浙江省乐清市柳市镇苏吕工业区</x:t>
        </x:is>
      </x:c>
      <x:c r="K4261" s="12" t="str">
        <x:f>LEFT("91330000717612987P",18)</x:f>
        <x:v>91330000717612987P</x:v>
      </x:c>
    </x:row>
    <x:row r="4262">
      <x:c r="A4262" s="2" t="n">
        <x:v>4261</x:v>
      </x:c>
      <x:c r="B4262" s="2" t="inlineStr">
        <x:is>
          <x:t xml:space="preserve">605068</x:t>
        </x:is>
      </x:c>
      <x:c r="C4262" s="3" t="inlineStr">
        <x:is>
          <x:t xml:space="preserve">明新旭腾</x:t>
        </x:is>
      </x:c>
      <x:c r="D4262" s="3" t="inlineStr">
        <x:is>
          <x:t xml:space="preserve">明新旭腾新材料股份有限公司</x:t>
        </x:is>
      </x:c>
      <x:c r="E4262" s="2" t="inlineStr">
        <x:is>
          <x:t xml:space="preserve">浙江省</x:t>
        </x:is>
      </x:c>
      <x:c r="F4262" s="2" t="inlineStr">
        <x:is>
          <x:t xml:space="preserve">嘉兴市</x:t>
        </x:is>
      </x:c>
      <x:c r="G4262" s="3" t="inlineStr">
        <x:is>
          <x:t xml:space="preserve">浙江省-嘉兴市</x:t>
        </x:is>
      </x:c>
      <x:c r="H4262" s="2" t="inlineStr">
        <x:is>
          <x:t xml:space="preserve">汽车行业</x:t>
        </x:is>
      </x:c>
      <x:c r="I4262" s="2" t="inlineStr">
        <x:is>
          <x:t xml:space="preserve">2020-11-23</x:t>
        </x:is>
      </x:c>
      <x:c r="J4262" s="3" t="inlineStr">
        <x:is>
          <x:t xml:space="preserve">浙江省嘉兴市南湖区大桥镇明新路188号</x:t>
        </x:is>
      </x:c>
      <x:c r="K4262" s="12" t="str">
        <x:f>LEFT("9133040278291229XX",18)</x:f>
        <x:v>9133040278291229XX</x:v>
      </x:c>
    </x:row>
    <x:row r="4263">
      <x:c r="A4263" s="4" t="n">
        <x:v>4262</x:v>
      </x:c>
      <x:c r="B4263" s="4" t="inlineStr">
        <x:is>
          <x:t xml:space="preserve">605077</x:t>
        </x:is>
      </x:c>
      <x:c r="C4263" s="5" t="inlineStr">
        <x:is>
          <x:t xml:space="preserve">华康股份</x:t>
        </x:is>
      </x:c>
      <x:c r="D4263" s="5" t="inlineStr">
        <x:is>
          <x:t xml:space="preserve">浙江华康药业股份有限公司</x:t>
        </x:is>
      </x:c>
      <x:c r="E4263" s="4" t="inlineStr">
        <x:is>
          <x:t xml:space="preserve">浙江省</x:t>
        </x:is>
      </x:c>
      <x:c r="F4263" s="4" t="inlineStr">
        <x:is>
          <x:t xml:space="preserve">衢州市</x:t>
        </x:is>
      </x:c>
      <x:c r="G4263" s="5" t="inlineStr">
        <x:is>
          <x:t xml:space="preserve">浙江省-衢州市</x:t>
        </x:is>
      </x:c>
      <x:c r="H4263" s="4" t="inlineStr">
        <x:is>
          <x:t xml:space="preserve">食品饮料</x:t>
        </x:is>
      </x:c>
      <x:c r="I4263" s="4" t="inlineStr">
        <x:is>
          <x:t xml:space="preserve">2021-02-09</x:t>
        </x:is>
      </x:c>
      <x:c r="J4263" s="5" t="inlineStr">
        <x:is>
          <x:t xml:space="preserve">浙江省衢州市开化县华埠镇华工路18号</x:t>
        </x:is>
      </x:c>
      <x:c r="K4263" s="12" t="str">
        <x:f>LEFT("913300001479306167",18)</x:f>
        <x:v>913300001479306100</x:v>
      </x:c>
    </x:row>
    <x:row r="4264">
      <x:c r="A4264" s="2" t="n">
        <x:v>4263</x:v>
      </x:c>
      <x:c r="B4264" s="2" t="inlineStr">
        <x:is>
          <x:t xml:space="preserve">605080</x:t>
        </x:is>
      </x:c>
      <x:c r="C4264" s="3" t="inlineStr">
        <x:is>
          <x:t xml:space="preserve">浙江自然</x:t>
        </x:is>
      </x:c>
      <x:c r="D4264" s="3" t="inlineStr">
        <x:is>
          <x:t xml:space="preserve">浙江大自然户外用品股份有限公司</x:t>
        </x:is>
      </x:c>
      <x:c r="E4264" s="2" t="inlineStr">
        <x:is>
          <x:t xml:space="preserve">浙江省</x:t>
        </x:is>
      </x:c>
      <x:c r="F4264" s="2" t="inlineStr">
        <x:is>
          <x:t xml:space="preserve">台州市</x:t>
        </x:is>
      </x:c>
      <x:c r="G4264" s="3" t="inlineStr">
        <x:is>
          <x:t xml:space="preserve">浙江省-台州市</x:t>
        </x:is>
      </x:c>
      <x:c r="H4264" s="2" t="inlineStr">
        <x:is>
          <x:t xml:space="preserve">纺织服装</x:t>
        </x:is>
      </x:c>
      <x:c r="I4264" s="2" t="inlineStr">
        <x:is>
          <x:t xml:space="preserve">2021-05-06</x:t>
        </x:is>
      </x:c>
      <x:c r="J4264" s="3" t="inlineStr">
        <x:is>
          <x:t xml:space="preserve">浙江省台州市天台县平桥镇下曹村</x:t>
        </x:is>
      </x:c>
      <x:c r="K4264" s="12" t="str">
        <x:f>LEFT("91331023724526593X",18)</x:f>
        <x:v>91331023724526593X</x:v>
      </x:c>
    </x:row>
    <x:row r="4265">
      <x:c r="A4265" s="4" t="n">
        <x:v>4264</x:v>
      </x:c>
      <x:c r="B4265" s="4" t="inlineStr">
        <x:is>
          <x:t xml:space="preserve">605088</x:t>
        </x:is>
      </x:c>
      <x:c r="C4265" s="5" t="inlineStr">
        <x:is>
          <x:t xml:space="preserve">冠盛股份</x:t>
        </x:is>
      </x:c>
      <x:c r="D4265" s="5" t="inlineStr">
        <x:is>
          <x:t xml:space="preserve">温州市冠盛汽车零部件集团股份有限公司</x:t>
        </x:is>
      </x:c>
      <x:c r="E4265" s="4" t="inlineStr">
        <x:is>
          <x:t xml:space="preserve">浙江省</x:t>
        </x:is>
      </x:c>
      <x:c r="F4265" s="4" t="inlineStr">
        <x:is>
          <x:t xml:space="preserve">温州市</x:t>
        </x:is>
      </x:c>
      <x:c r="G4265" s="5" t="inlineStr">
        <x:is>
          <x:t xml:space="preserve">浙江省-温州市</x:t>
        </x:is>
      </x:c>
      <x:c r="H4265" s="4" t="inlineStr">
        <x:is>
          <x:t xml:space="preserve">汽车行业</x:t>
        </x:is>
      </x:c>
      <x:c r="I4265" s="4" t="inlineStr">
        <x:is>
          <x:t xml:space="preserve">2020-08-17</x:t>
        </x:is>
      </x:c>
      <x:c r="J4265" s="5" t="inlineStr">
        <x:is>
          <x:t xml:space="preserve">浙江省温州市瓯海高新技术产业园区高翔路1号</x:t>
        </x:is>
      </x:c>
      <x:c r="K4265" s="12" t="str">
        <x:f>LEFT("91330000704345955Y",18)</x:f>
        <x:v>91330000704345955Y</x:v>
      </x:c>
    </x:row>
    <x:row r="4266">
      <x:c r="A4266" s="2" t="n">
        <x:v>4265</x:v>
      </x:c>
      <x:c r="B4266" s="2" t="inlineStr">
        <x:is>
          <x:t xml:space="preserve">605116</x:t>
        </x:is>
      </x:c>
      <x:c r="C4266" s="3" t="inlineStr">
        <x:is>
          <x:t xml:space="preserve">奥锐特</x:t>
        </x:is>
      </x:c>
      <x:c r="D4266" s="3" t="inlineStr">
        <x:is>
          <x:t xml:space="preserve">奥锐特药业股份有限公司</x:t>
        </x:is>
      </x:c>
      <x:c r="E4266" s="2" t="inlineStr">
        <x:is>
          <x:t xml:space="preserve">浙江省</x:t>
        </x:is>
      </x:c>
      <x:c r="F4266" s="2" t="inlineStr">
        <x:is>
          <x:t xml:space="preserve">台州市</x:t>
        </x:is>
      </x:c>
      <x:c r="G4266" s="3" t="inlineStr">
        <x:is>
          <x:t xml:space="preserve">浙江省-台州市</x:t>
        </x:is>
      </x:c>
      <x:c r="H4266" s="2" t="inlineStr">
        <x:is>
          <x:t xml:space="preserve">医药制造</x:t>
        </x:is>
      </x:c>
      <x:c r="I4266" s="2" t="inlineStr">
        <x:is>
          <x:t xml:space="preserve">2020-09-21</x:t>
        </x:is>
      </x:c>
      <x:c r="J4266" s="3" t="inlineStr">
        <x:is>
          <x:t xml:space="preserve">浙江省天台县八都工业园区</x:t>
        </x:is>
      </x:c>
      <x:c r="K4266" s="12" t="str">
        <x:f>LEFT("9133100070471006XJ",18)</x:f>
        <x:v>9133100070471006XJ</x:v>
      </x:c>
    </x:row>
    <x:row r="4267">
      <x:c r="A4267" s="4" t="n">
        <x:v>4266</x:v>
      </x:c>
      <x:c r="B4267" s="4" t="inlineStr">
        <x:is>
          <x:t xml:space="preserve">605117</x:t>
        </x:is>
      </x:c>
      <x:c r="C4267" s="5" t="inlineStr">
        <x:is>
          <x:t xml:space="preserve">德业股份</x:t>
        </x:is>
      </x:c>
      <x:c r="D4267" s="5" t="inlineStr">
        <x:is>
          <x:t xml:space="preserve">宁波德业科技股份有限公司</x:t>
        </x:is>
      </x:c>
      <x:c r="E4267" s="4" t="inlineStr">
        <x:is>
          <x:t xml:space="preserve">浙江省</x:t>
        </x:is>
      </x:c>
      <x:c r="F4267" s="4" t="inlineStr">
        <x:is>
          <x:t xml:space="preserve">宁波市</x:t>
        </x:is>
      </x:c>
      <x:c r="G4267" s="5" t="inlineStr">
        <x:is>
          <x:t xml:space="preserve">浙江省-宁波市</x:t>
        </x:is>
      </x:c>
      <x:c r="H4267" s="4" t="inlineStr">
        <x:is>
          <x:t xml:space="preserve">光伏设备</x:t>
        </x:is>
      </x:c>
      <x:c r="I4267" s="4" t="inlineStr">
        <x:is>
          <x:t xml:space="preserve">2021-04-20</x:t>
        </x:is>
      </x:c>
      <x:c r="J4267" s="5" t="inlineStr">
        <x:is>
          <x:t xml:space="preserve">浙江省宁波市北仑区大碶甬江南路26号</x:t>
        </x:is>
      </x:c>
      <x:c r="K4267" s="12" t="str">
        <x:f>LEFT("91330206724060412X",18)</x:f>
        <x:v>91330206724060412X</x:v>
      </x:c>
    </x:row>
    <x:row r="4268">
      <x:c r="A4268" s="2" t="n">
        <x:v>4267</x:v>
      </x:c>
      <x:c r="B4268" s="2" t="inlineStr">
        <x:is>
          <x:t xml:space="preserve">605138</x:t>
        </x:is>
      </x:c>
      <x:c r="C4268" s="3" t="inlineStr">
        <x:is>
          <x:t xml:space="preserve">盛泰集团</x:t>
        </x:is>
      </x:c>
      <x:c r="D4268" s="3" t="inlineStr">
        <x:is>
          <x:t xml:space="preserve">盛泰智造集团股份有限公司</x:t>
        </x:is>
      </x:c>
      <x:c r="E4268" s="2" t="inlineStr">
        <x:is>
          <x:t xml:space="preserve">浙江省</x:t>
        </x:is>
      </x:c>
      <x:c r="F4268" s="2" t="inlineStr">
        <x:is>
          <x:t xml:space="preserve">浙江省嵊州</x:t>
        </x:is>
      </x:c>
      <x:c r="G4268" s="3" t="inlineStr">
        <x:is>
          <x:t xml:space="preserve">浙江省-浙江省嵊州</x:t>
        </x:is>
      </x:c>
      <x:c r="H4268" s="2" t="inlineStr">
        <x:is>
          <x:t xml:space="preserve">纺织服装</x:t>
        </x:is>
      </x:c>
      <x:c r="I4268" s="2" t="inlineStr">
        <x:is>
          <x:t xml:space="preserve">2021-10-27</x:t>
        </x:is>
      </x:c>
      <x:c r="J4268" s="3" t="inlineStr">
        <x:is>
          <x:t xml:space="preserve">浙江省嵊州经济开发区城东区</x:t>
        </x:is>
      </x:c>
      <x:c r="K4268" s="12" t="str">
        <x:f>LEFT("913306006617396382",18)</x:f>
        <x:v>913306006617396400</x:v>
      </x:c>
    </x:row>
    <x:row r="4269">
      <x:c r="A4269" s="4" t="n">
        <x:v>4268</x:v>
      </x:c>
      <x:c r="B4269" s="4" t="inlineStr">
        <x:is>
          <x:t xml:space="preserve">605155</x:t>
        </x:is>
      </x:c>
      <x:c r="C4269" s="5" t="inlineStr">
        <x:is>
          <x:t xml:space="preserve">西大门</x:t>
        </x:is>
      </x:c>
      <x:c r="D4269" s="5" t="inlineStr">
        <x:is>
          <x:t xml:space="preserve">浙江西大门新材料股份有限公司</x:t>
        </x:is>
      </x:c>
      <x:c r="E4269" s="4" t="inlineStr">
        <x:is>
          <x:t xml:space="preserve">浙江省</x:t>
        </x:is>
      </x:c>
      <x:c r="F4269" s="4" t="inlineStr">
        <x:is>
          <x:t xml:space="preserve">绍兴市</x:t>
        </x:is>
      </x:c>
      <x:c r="G4269" s="5" t="inlineStr">
        <x:is>
          <x:t xml:space="preserve">浙江省-绍兴市</x:t>
        </x:is>
      </x:c>
      <x:c r="H4269" s="4" t="inlineStr">
        <x:is>
          <x:t xml:space="preserve">装修装饰</x:t>
        </x:is>
      </x:c>
      <x:c r="I4269" s="4" t="inlineStr">
        <x:is>
          <x:t xml:space="preserve">2020-12-31</x:t>
        </x:is>
      </x:c>
      <x:c r="J4269" s="5" t="inlineStr">
        <x:is>
          <x:t xml:space="preserve">绍兴市柯桥区兰亭镇阮港村</x:t>
        </x:is>
      </x:c>
      <x:c r="K4269" s="12" t="str">
        <x:f>LEFT("91330621143010433H",18)</x:f>
        <x:v>91330621143010433H</x:v>
      </x:c>
    </x:row>
    <x:row r="4270">
      <x:c r="A4270" s="2" t="n">
        <x:v>4269</x:v>
      </x:c>
      <x:c r="B4270" s="2" t="inlineStr">
        <x:is>
          <x:t xml:space="preserve">605158</x:t>
        </x:is>
      </x:c>
      <x:c r="C4270" s="3" t="inlineStr">
        <x:is>
          <x:t xml:space="preserve">华达新材</x:t>
        </x:is>
      </x:c>
      <x:c r="D4270" s="3" t="inlineStr">
        <x:is>
          <x:t xml:space="preserve">浙江华达新型材料股份有限公司</x:t>
        </x:is>
      </x:c>
      <x:c r="E4270" s="2" t="inlineStr">
        <x:is>
          <x:t xml:space="preserve">浙江省</x:t>
        </x:is>
      </x:c>
      <x:c r="F4270" s="2" t="inlineStr">
        <x:is>
          <x:t xml:space="preserve">杭州市</x:t>
        </x:is>
      </x:c>
      <x:c r="G4270" s="3" t="inlineStr">
        <x:is>
          <x:t xml:space="preserve">浙江省-杭州市</x:t>
        </x:is>
      </x:c>
      <x:c r="H4270" s="2" t="inlineStr">
        <x:is>
          <x:t xml:space="preserve">钢铁行业</x:t>
        </x:is>
      </x:c>
      <x:c r="I4270" s="2" t="inlineStr">
        <x:is>
          <x:t xml:space="preserve">2020-08-05</x:t>
        </x:is>
      </x:c>
      <x:c r="J4270" s="3" t="inlineStr">
        <x:is>
          <x:t xml:space="preserve">杭州市富阳区大源镇大桥南路198号</x:t>
        </x:is>
      </x:c>
      <x:c r="K4270" s="12" t="str">
        <x:f>LEFT("913301007517211839",18)</x:f>
        <x:v>913301007517211800</x:v>
      </x:c>
    </x:row>
    <x:row r="4271">
      <x:c r="A4271" s="4" t="n">
        <x:v>4270</x:v>
      </x:c>
      <x:c r="B4271" s="4" t="inlineStr">
        <x:is>
          <x:t xml:space="preserve">605162</x:t>
        </x:is>
      </x:c>
      <x:c r="C4271" s="5" t="inlineStr">
        <x:is>
          <x:t xml:space="preserve">新中港</x:t>
        </x:is>
      </x:c>
      <x:c r="D4271" s="5" t="inlineStr">
        <x:is>
          <x:t xml:space="preserve">浙江新中港热电股份有限公司</x:t>
        </x:is>
      </x:c>
      <x:c r="E4271" s="4" t="inlineStr">
        <x:is>
          <x:t xml:space="preserve">浙江省</x:t>
        </x:is>
      </x:c>
      <x:c r="F4271" s="4" t="inlineStr">
        <x:is>
          <x:t xml:space="preserve">江省嵊州市</x:t>
        </x:is>
      </x:c>
      <x:c r="G4271" s="5" t="inlineStr">
        <x:is>
          <x:t xml:space="preserve">浙江省-江省嵊州市</x:t>
        </x:is>
      </x:c>
      <x:c r="H4271" s="4" t="inlineStr">
        <x:is>
          <x:t xml:space="preserve">公用事业</x:t>
        </x:is>
      </x:c>
      <x:c r="I4271" s="4" t="inlineStr">
        <x:is>
          <x:t xml:space="preserve">2021-07-07</x:t>
        </x:is>
      </x:c>
      <x:c r="J4271" s="5" t="inlineStr">
        <x:is>
          <x:t xml:space="preserve">浙江省嵊州市剡湖街道罗东路28号</x:t>
        </x:is>
      </x:c>
      <x:c r="K4271" s="12" t="str">
        <x:f>LEFT("91330683704477704R",18)</x:f>
        <x:v>91330683704477704R</x:v>
      </x:c>
    </x:row>
    <x:row r="4272">
      <x:c r="A4272" s="2" t="n">
        <x:v>4271</x:v>
      </x:c>
      <x:c r="B4272" s="2" t="inlineStr">
        <x:is>
          <x:t xml:space="preserve">605166</x:t>
        </x:is>
      </x:c>
      <x:c r="C4272" s="3" t="inlineStr">
        <x:is>
          <x:t xml:space="preserve">聚合顺</x:t>
        </x:is>
      </x:c>
      <x:c r="D4272" s="3" t="inlineStr">
        <x:is>
          <x:t xml:space="preserve">聚合顺新材料股份有限公司</x:t>
        </x:is>
      </x:c>
      <x:c r="E4272" s="2" t="inlineStr">
        <x:is>
          <x:t xml:space="preserve">浙江省</x:t>
        </x:is>
      </x:c>
      <x:c r="F4272" s="2" t="inlineStr">
        <x:is>
          <x:t xml:space="preserve">杭州市</x:t>
        </x:is>
      </x:c>
      <x:c r="G4272" s="3" t="inlineStr">
        <x:is>
          <x:t xml:space="preserve">浙江省-杭州市</x:t>
        </x:is>
      </x:c>
      <x:c r="H4272" s="2" t="inlineStr">
        <x:is>
          <x:t xml:space="preserve">化工行业</x:t>
        </x:is>
      </x:c>
      <x:c r="I4272" s="2" t="inlineStr">
        <x:is>
          <x:t xml:space="preserve">2020-06-18</x:t>
        </x:is>
      </x:c>
      <x:c r="J4272" s="3" t="inlineStr">
        <x:is>
          <x:t xml:space="preserve">浙江省杭州市钱塘区纬十路389号</x:t>
        </x:is>
      </x:c>
      <x:c r="K4272" s="12" t="str">
        <x:f>LEFT("91330100079343187F",18)</x:f>
        <x:v>91330100079343187F</x:v>
      </x:c>
    </x:row>
    <x:row r="4273">
      <x:c r="A4273" s="4" t="n">
        <x:v>4272</x:v>
      </x:c>
      <x:c r="B4273" s="4" t="inlineStr">
        <x:is>
          <x:t xml:space="preserve">605177</x:t>
        </x:is>
      </x:c>
      <x:c r="C4273" s="5" t="inlineStr">
        <x:is>
          <x:t xml:space="preserve">东亚药业</x:t>
        </x:is>
      </x:c>
      <x:c r="D4273" s="5" t="inlineStr">
        <x:is>
          <x:t xml:space="preserve">浙江东亚药业股份有限公司</x:t>
        </x:is>
      </x:c>
      <x:c r="E4273" s="4" t="inlineStr">
        <x:is>
          <x:t xml:space="preserve">浙江省</x:t>
        </x:is>
      </x:c>
      <x:c r="F4273" s="4" t="inlineStr">
        <x:is>
          <x:t xml:space="preserve">台州市</x:t>
        </x:is>
      </x:c>
      <x:c r="G4273" s="5" t="inlineStr">
        <x:is>
          <x:t xml:space="preserve">浙江省-台州市</x:t>
        </x:is>
      </x:c>
      <x:c r="H4273" s="4" t="inlineStr">
        <x:is>
          <x:t xml:space="preserve">医药制造</x:t>
        </x:is>
      </x:c>
      <x:c r="I4273" s="4" t="inlineStr">
        <x:is>
          <x:t xml:space="preserve">2020-11-25</x:t>
        </x:is>
      </x:c>
      <x:c r="J4273" s="5" t="inlineStr">
        <x:is>
          <x:t xml:space="preserve">浙江省三门县浦坝港镇沿海工业城</x:t>
        </x:is>
      </x:c>
      <x:c r="K4273" s="12" t="str">
        <x:f>LEFT("913310001481183122",18)</x:f>
        <x:v>913310001481183100</x:v>
      </x:c>
    </x:row>
    <x:row r="4274">
      <x:c r="A4274" s="2" t="n">
        <x:v>4273</x:v>
      </x:c>
      <x:c r="B4274" s="2" t="inlineStr">
        <x:is>
          <x:t xml:space="preserve">605179</x:t>
        </x:is>
      </x:c>
      <x:c r="C4274" s="3" t="inlineStr">
        <x:is>
          <x:t xml:space="preserve">一鸣食品</x:t>
        </x:is>
      </x:c>
      <x:c r="D4274" s="3" t="inlineStr">
        <x:is>
          <x:t xml:space="preserve">浙江一鸣食品股份有限公司</x:t>
        </x:is>
      </x:c>
      <x:c r="E4274" s="2" t="inlineStr">
        <x:is>
          <x:t xml:space="preserve">浙江省</x:t>
        </x:is>
      </x:c>
      <x:c r="F4274" s="2" t="inlineStr">
        <x:is>
          <x:t xml:space="preserve">温州市</x:t>
        </x:is>
      </x:c>
      <x:c r="G4274" s="3" t="inlineStr">
        <x:is>
          <x:t xml:space="preserve">浙江省-温州市</x:t>
        </x:is>
      </x:c>
      <x:c r="H4274" s="2" t="inlineStr">
        <x:is>
          <x:t xml:space="preserve">食品饮料</x:t>
        </x:is>
      </x:c>
      <x:c r="I4274" s="2" t="inlineStr">
        <x:is>
          <x:t xml:space="preserve">2020-12-28</x:t>
        </x:is>
      </x:c>
      <x:c r="J4274" s="3" t="inlineStr">
        <x:is>
          <x:t xml:space="preserve">浙江省温州市平阳县一鸣工业园</x:t>
        </x:is>
      </x:c>
      <x:c r="K4274" s="12" t="str">
        <x:f>LEFT("913303007793989040",18)</x:f>
        <x:v>913303007793989000</x:v>
      </x:c>
    </x:row>
    <x:row r="4275">
      <x:c r="A4275" s="4" t="n">
        <x:v>4274</x:v>
      </x:c>
      <x:c r="B4275" s="4" t="inlineStr">
        <x:is>
          <x:t xml:space="preserve">605180</x:t>
        </x:is>
      </x:c>
      <x:c r="C4275" s="5" t="inlineStr">
        <x:is>
          <x:t xml:space="preserve">华生科技</x:t>
        </x:is>
      </x:c>
      <x:c r="D4275" s="5" t="inlineStr">
        <x:is>
          <x:t xml:space="preserve">浙江华生科技股份有限公司</x:t>
        </x:is>
      </x:c>
      <x:c r="E4275" s="4" t="inlineStr">
        <x:is>
          <x:t xml:space="preserve">浙江省</x:t>
        </x:is>
      </x:c>
      <x:c r="F4275" s="4" t="inlineStr">
        <x:is>
          <x:t xml:space="preserve">嘉兴市</x:t>
        </x:is>
      </x:c>
      <x:c r="G4275" s="5" t="inlineStr">
        <x:is>
          <x:t xml:space="preserve">浙江省-嘉兴市</x:t>
        </x:is>
      </x:c>
      <x:c r="H4275" s="4" t="inlineStr">
        <x:is>
          <x:t xml:space="preserve">纺织服装</x:t>
        </x:is>
      </x:c>
      <x:c r="I4275" s="4" t="inlineStr">
        <x:is>
          <x:t xml:space="preserve">2021-04-30</x:t>
        </x:is>
      </x:c>
      <x:c r="J4275" s="5" t="inlineStr">
        <x:is>
          <x:t xml:space="preserve">浙江省嘉兴市海宁市马桥街道红旗大道8号</x:t>
        </x:is>
      </x:c>
      <x:c r="K4275" s="12" t="str">
        <x:f>LEFT("9133048114672516X7",18)</x:f>
        <x:v>9133048114672516X7</x:v>
      </x:c>
    </x:row>
    <x:row r="4276">
      <x:c r="A4276" s="2" t="n">
        <x:v>4275</x:v>
      </x:c>
      <x:c r="B4276" s="2" t="inlineStr">
        <x:is>
          <x:t xml:space="preserve">605228</x:t>
        </x:is>
      </x:c>
      <x:c r="C4276" s="3" t="inlineStr">
        <x:is>
          <x:t xml:space="preserve">神通科技</x:t>
        </x:is>
      </x:c>
      <x:c r="D4276" s="3" t="inlineStr">
        <x:is>
          <x:t xml:space="preserve">神通科技集团股份有限公司</x:t>
        </x:is>
      </x:c>
      <x:c r="E4276" s="2" t="inlineStr">
        <x:is>
          <x:t xml:space="preserve">浙江省</x:t>
        </x:is>
      </x:c>
      <x:c r="F4276" s="2" t="inlineStr">
        <x:is>
          <x:t xml:space="preserve">江省余姚市</x:t>
        </x:is>
      </x:c>
      <x:c r="G4276" s="3" t="inlineStr">
        <x:is>
          <x:t xml:space="preserve">浙江省-江省余姚市</x:t>
        </x:is>
      </x:c>
      <x:c r="H4276" s="2" t="inlineStr">
        <x:is>
          <x:t xml:space="preserve">汽车行业</x:t>
        </x:is>
      </x:c>
      <x:c r="I4276" s="2" t="inlineStr">
        <x:is>
          <x:t xml:space="preserve">2021-01-20</x:t>
        </x:is>
      </x:c>
      <x:c r="J4276" s="3" t="inlineStr">
        <x:is>
          <x:t xml:space="preserve">浙江省余姚市兰江街道谭家岭西路788号</x:t>
        </x:is>
      </x:c>
      <x:c r="K4276" s="12" t="str">
        <x:f>LEFT("91330281768548065H",18)</x:f>
        <x:v>91330281768548065H</x:v>
      </x:c>
    </x:row>
    <x:row r="4277">
      <x:c r="A4277" s="4" t="n">
        <x:v>4276</x:v>
      </x:c>
      <x:c r="B4277" s="4" t="inlineStr">
        <x:is>
          <x:t xml:space="preserve">605255</x:t>
        </x:is>
      </x:c>
      <x:c r="C4277" s="5" t="inlineStr">
        <x:is>
          <x:t xml:space="preserve">天普股份</x:t>
        </x:is>
      </x:c>
      <x:c r="D4277" s="5" t="inlineStr">
        <x:is>
          <x:t xml:space="preserve">宁波市天普橡胶科技股份有限公司</x:t>
        </x:is>
      </x:c>
      <x:c r="E4277" s="4" t="inlineStr">
        <x:is>
          <x:t xml:space="preserve">浙江省</x:t>
        </x:is>
      </x:c>
      <x:c r="F4277" s="4" t="inlineStr">
        <x:is>
          <x:t xml:space="preserve">宁波市</x:t>
        </x:is>
      </x:c>
      <x:c r="G4277" s="5" t="inlineStr">
        <x:is>
          <x:t xml:space="preserve">浙江省-宁波市</x:t>
        </x:is>
      </x:c>
      <x:c r="H4277" s="4" t="inlineStr">
        <x:is>
          <x:t xml:space="preserve">汽车零部件</x:t>
        </x:is>
      </x:c>
      <x:c r="I4277" s="4" t="inlineStr">
        <x:is>
          <x:t xml:space="preserve">2020-08-25</x:t>
        </x:is>
      </x:c>
      <x:c r="J4277" s="5" t="inlineStr">
        <x:is>
          <x:t xml:space="preserve">浙江省宁波市宁海县桃源街道金龙路5号</x:t>
        </x:is>
      </x:c>
      <x:c r="K4277" s="12" t="str">
        <x:f>LEFT("91330226695095607B",18)</x:f>
        <x:v>91330226695095607B</x:v>
      </x:c>
    </x:row>
    <x:row r="4278">
      <x:c r="A4278" s="2" t="n">
        <x:v>4277</x:v>
      </x:c>
      <x:c r="B4278" s="2" t="inlineStr">
        <x:is>
          <x:t xml:space="preserve">605259</x:t>
        </x:is>
      </x:c>
      <x:c r="C4278" s="3" t="inlineStr">
        <x:is>
          <x:t xml:space="preserve">绿田机械</x:t>
        </x:is>
      </x:c>
      <x:c r="D4278" s="3" t="inlineStr">
        <x:is>
          <x:t xml:space="preserve">绿田机械股份有限公司</x:t>
        </x:is>
      </x:c>
      <x:c r="E4278" s="2" t="inlineStr">
        <x:is>
          <x:t xml:space="preserve">浙江省</x:t>
        </x:is>
      </x:c>
      <x:c r="F4278" s="2" t="inlineStr">
        <x:is>
          <x:t xml:space="preserve">台州市</x:t>
        </x:is>
      </x:c>
      <x:c r="G4278" s="3" t="inlineStr">
        <x:is>
          <x:t xml:space="preserve">浙江省-台州市</x:t>
        </x:is>
      </x:c>
      <x:c r="H4278" s="2" t="inlineStr">
        <x:is>
          <x:t xml:space="preserve">机械行业</x:t>
        </x:is>
      </x:c>
      <x:c r="I4278" s="2" t="inlineStr">
        <x:is>
          <x:t xml:space="preserve">2021-06-15</x:t>
        </x:is>
      </x:c>
      <x:c r="J4278" s="3" t="inlineStr">
        <x:is>
          <x:t xml:space="preserve">台州市路桥区横街镇绿田大道一号</x:t>
        </x:is>
      </x:c>
      <x:c r="K4278" s="12" t="str">
        <x:f>LEFT("91331000740539650L",18)</x:f>
        <x:v>91331000740539650L</x:v>
      </x:c>
    </x:row>
    <x:row r="4279">
      <x:c r="A4279" s="4" t="n">
        <x:v>4278</x:v>
      </x:c>
      <x:c r="B4279" s="4" t="inlineStr">
        <x:is>
          <x:t xml:space="preserve">605268</x:t>
        </x:is>
      </x:c>
      <x:c r="C4279" s="5" t="inlineStr">
        <x:is>
          <x:t xml:space="preserve">王力安防</x:t>
        </x:is>
      </x:c>
      <x:c r="D4279" s="5" t="inlineStr">
        <x:is>
          <x:t xml:space="preserve">王力安防科技股份有限公司</x:t>
        </x:is>
      </x:c>
      <x:c r="E4279" s="4" t="inlineStr">
        <x:is>
          <x:t xml:space="preserve">浙江省</x:t>
        </x:is>
      </x:c>
      <x:c r="F4279" s="4" t="inlineStr">
        <x:is>
          <x:t xml:space="preserve">金华市</x:t>
        </x:is>
      </x:c>
      <x:c r="G4279" s="5" t="inlineStr">
        <x:is>
          <x:t xml:space="preserve">浙江省-金华市</x:t>
        </x:is>
      </x:c>
      <x:c r="H4279" s="4" t="inlineStr">
        <x:is>
          <x:t xml:space="preserve">家用轻工</x:t>
        </x:is>
      </x:c>
      <x:c r="I4279" s="4" t="inlineStr">
        <x:is>
          <x:t xml:space="preserve">2021-02-24</x:t>
        </x:is>
      </x:c>
      <x:c r="J4279" s="5" t="inlineStr">
        <x:is>
          <x:t xml:space="preserve">浙江省金华市永康市经济开发区爱岗路9号</x:t>
        </x:is>
      </x:c>
      <x:c r="K4279" s="12" t="str">
        <x:f>LEFT("91330784771942047G",18)</x:f>
        <x:v>91330784771942047G</x:v>
      </x:c>
    </x:row>
    <x:row r="4280">
      <x:c r="A4280" s="2" t="n">
        <x:v>4279</x:v>
      </x:c>
      <x:c r="B4280" s="2" t="inlineStr">
        <x:is>
          <x:t xml:space="preserve">605277</x:t>
        </x:is>
      </x:c>
      <x:c r="C4280" s="3" t="inlineStr">
        <x:is>
          <x:t xml:space="preserve">新亚电子</x:t>
        </x:is>
      </x:c>
      <x:c r="D4280" s="3" t="inlineStr">
        <x:is>
          <x:t xml:space="preserve">新亚电子股份有限公司</x:t>
        </x:is>
      </x:c>
      <x:c r="E4280" s="2" t="inlineStr">
        <x:is>
          <x:t xml:space="preserve">浙江省</x:t>
        </x:is>
      </x:c>
      <x:c r="F4280" s="2" t="inlineStr">
        <x:is>
          <x:t xml:space="preserve">江省乐清市</x:t>
        </x:is>
      </x:c>
      <x:c r="G4280" s="3" t="inlineStr">
        <x:is>
          <x:t xml:space="preserve">浙江省-江省乐清市</x:t>
        </x:is>
      </x:c>
      <x:c r="H4280" s="2" t="inlineStr">
        <x:is>
          <x:t xml:space="preserve">消费电子</x:t>
        </x:is>
      </x:c>
      <x:c r="I4280" s="2" t="inlineStr">
        <x:is>
          <x:t xml:space="preserve">2021-01-06</x:t>
        </x:is>
      </x:c>
      <x:c r="J4280" s="3" t="inlineStr">
        <x:is>
          <x:t xml:space="preserve">浙江省乐清市北白象镇赖宅智能产业园区潘珠垟路1号</x:t>
        </x:is>
      </x:c>
      <x:c r="K4280" s="12" t="str">
        <x:f>LEFT("9133038214550201X5",18)</x:f>
        <x:v>9133038214550201X5</x:v>
      </x:c>
    </x:row>
    <x:row r="4281">
      <x:c r="A4281" s="4" t="n">
        <x:v>4280</x:v>
      </x:c>
      <x:c r="B4281" s="4" t="inlineStr">
        <x:is>
          <x:t xml:space="preserve">605303</x:t>
        </x:is>
      </x:c>
      <x:c r="C4281" s="5" t="inlineStr">
        <x:is>
          <x:t xml:space="preserve">园林股份</x:t>
        </x:is>
      </x:c>
      <x:c r="D4281" s="5" t="inlineStr">
        <x:is>
          <x:t xml:space="preserve">杭州市园林绿化股份有限公司</x:t>
        </x:is>
      </x:c>
      <x:c r="E4281" s="4" t="inlineStr">
        <x:is>
          <x:t xml:space="preserve">浙江省</x:t>
        </x:is>
      </x:c>
      <x:c r="F4281" s="4" t="inlineStr">
        <x:is>
          <x:t xml:space="preserve">杭州市</x:t>
        </x:is>
      </x:c>
      <x:c r="G4281" s="5" t="inlineStr">
        <x:is>
          <x:t xml:space="preserve">浙江省-杭州市</x:t>
        </x:is>
      </x:c>
      <x:c r="H4281" s="4" t="inlineStr">
        <x:is>
          <x:t xml:space="preserve">工程建设</x:t>
        </x:is>
      </x:c>
      <x:c r="I4281" s="4" t="inlineStr">
        <x:is>
          <x:t xml:space="preserve">2021-03-01</x:t>
        </x:is>
      </x:c>
      <x:c r="J4281" s="5" t="inlineStr">
        <x:is>
          <x:t xml:space="preserve">浙江省杭州市江干区凯旋路226号办公楼八楼</x:t>
        </x:is>
      </x:c>
      <x:c r="K4281" s="12" t="str">
        <x:f>LEFT("9133010014306516XP",18)</x:f>
        <x:v>9133010014306516XP</x:v>
      </x:c>
    </x:row>
    <x:row r="4282">
      <x:c r="A4282" s="2" t="n">
        <x:v>4281</x:v>
      </x:c>
      <x:c r="B4282" s="2" t="inlineStr">
        <x:is>
          <x:t xml:space="preserve">605318</x:t>
        </x:is>
      </x:c>
      <x:c r="C4282" s="3" t="inlineStr">
        <x:is>
          <x:t xml:space="preserve">法狮龙</x:t>
        </x:is>
      </x:c>
      <x:c r="D4282" s="3" t="inlineStr">
        <x:is>
          <x:t xml:space="preserve">法狮龙家居建材股份有限公司</x:t>
        </x:is>
      </x:c>
      <x:c r="E4282" s="2" t="inlineStr">
        <x:is>
          <x:t xml:space="preserve">浙江省</x:t>
        </x:is>
      </x:c>
      <x:c r="F4282" s="2" t="inlineStr">
        <x:is>
          <x:t xml:space="preserve">嘉兴市</x:t>
        </x:is>
      </x:c>
      <x:c r="G4282" s="3" t="inlineStr">
        <x:is>
          <x:t xml:space="preserve">浙江省-嘉兴市</x:t>
        </x:is>
      </x:c>
      <x:c r="H4282" s="2" t="inlineStr">
        <x:is>
          <x:t xml:space="preserve">装修装饰</x:t>
        </x:is>
      </x:c>
      <x:c r="I4282" s="2" t="inlineStr">
        <x:is>
          <x:t xml:space="preserve">2020-08-03</x:t>
        </x:is>
      </x:c>
      <x:c r="J4282" s="3" t="inlineStr">
        <x:is>
          <x:t xml:space="preserve">浙江省嘉兴市海盐县武原街道武原大道5888号</x:t>
        </x:is>
      </x:c>
      <x:c r="K4282" s="12" t="str">
        <x:f>LEFT("91330424799640593Q",18)</x:f>
        <x:v>91330424799640593Q</x:v>
      </x:c>
    </x:row>
    <x:row r="4283">
      <x:c r="A4283" s="4" t="n">
        <x:v>4282</x:v>
      </x:c>
      <x:c r="B4283" s="4" t="inlineStr">
        <x:is>
          <x:t xml:space="preserve">605336</x:t>
        </x:is>
      </x:c>
      <x:c r="C4283" s="5" t="inlineStr">
        <x:is>
          <x:t xml:space="preserve">帅丰电器</x:t>
        </x:is>
      </x:c>
      <x:c r="D4283" s="5" t="inlineStr">
        <x:is>
          <x:t xml:space="preserve">浙江帅丰电器股份有限公司</x:t>
        </x:is>
      </x:c>
      <x:c r="E4283" s="4" t="inlineStr">
        <x:is>
          <x:t xml:space="preserve">浙江省</x:t>
        </x:is>
      </x:c>
      <x:c r="F4283" s="4" t="inlineStr">
        <x:is>
          <x:t xml:space="preserve">绍兴市</x:t>
        </x:is>
      </x:c>
      <x:c r="G4283" s="5" t="inlineStr">
        <x:is>
          <x:t xml:space="preserve">浙江省-绍兴市</x:t>
        </x:is>
      </x:c>
      <x:c r="H4283" s="4" t="inlineStr">
        <x:is>
          <x:t xml:space="preserve">家电行业</x:t>
        </x:is>
      </x:c>
      <x:c r="I4283" s="4" t="inlineStr">
        <x:is>
          <x:t xml:space="preserve">2020-10-19</x:t>
        </x:is>
      </x:c>
      <x:c r="J4283" s="5" t="inlineStr">
        <x:is>
          <x:t xml:space="preserve">浙江省绍兴市嵊州市五合西路100号</x:t>
        </x:is>
      </x:c>
      <x:c r="K4283" s="12" t="str">
        <x:f>LEFT("913306837045254701",18)</x:f>
        <x:v>913306837045254700</x:v>
      </x:c>
    </x:row>
    <x:row r="4284">
      <x:c r="A4284" s="2" t="n">
        <x:v>4283</x:v>
      </x:c>
      <x:c r="B4284" s="2" t="inlineStr">
        <x:is>
          <x:t xml:space="preserve">605337</x:t>
        </x:is>
      </x:c>
      <x:c r="C4284" s="3" t="inlineStr">
        <x:is>
          <x:t xml:space="preserve">李子园</x:t>
        </x:is>
      </x:c>
      <x:c r="D4284" s="3" t="inlineStr">
        <x:is>
          <x:t xml:space="preserve">浙江李子园食品股份有限公司</x:t>
        </x:is>
      </x:c>
      <x:c r="E4284" s="2" t="inlineStr">
        <x:is>
          <x:t xml:space="preserve">浙江省</x:t>
        </x:is>
      </x:c>
      <x:c r="F4284" s="2" t="inlineStr">
        <x:is>
          <x:t xml:space="preserve">金华市</x:t>
        </x:is>
      </x:c>
      <x:c r="G4284" s="3" t="inlineStr">
        <x:is>
          <x:t xml:space="preserve">浙江省-金华市</x:t>
        </x:is>
      </x:c>
      <x:c r="H4284" s="2" t="inlineStr">
        <x:is>
          <x:t xml:space="preserve">食品饮料</x:t>
        </x:is>
      </x:c>
      <x:c r="I4284" s="2" t="inlineStr">
        <x:is>
          <x:t xml:space="preserve">2021-02-08</x:t>
        </x:is>
      </x:c>
      <x:c r="J4284" s="3" t="inlineStr">
        <x:is>
          <x:t xml:space="preserve">浙江省金华市金东区曹宅镇李子园工业园</x:t>
        </x:is>
      </x:c>
      <x:c r="K4284" s="12" t="str">
        <x:f>LEFT("9133070314730958XR",18)</x:f>
        <x:v>9133070314730958XR</x:v>
      </x:c>
    </x:row>
    <x:row r="4285">
      <x:c r="A4285" s="4" t="n">
        <x:v>4284</x:v>
      </x:c>
      <x:c r="B4285" s="4" t="inlineStr">
        <x:is>
          <x:t xml:space="preserve">605358</x:t>
        </x:is>
      </x:c>
      <x:c r="C4285" s="5" t="inlineStr">
        <x:is>
          <x:t xml:space="preserve">立昂微</x:t>
        </x:is>
      </x:c>
      <x:c r="D4285" s="5" t="inlineStr">
        <x:is>
          <x:t xml:space="preserve">杭州立昂微电子股份有限公司</x:t>
        </x:is>
      </x:c>
      <x:c r="E4285" s="4" t="inlineStr">
        <x:is>
          <x:t xml:space="preserve">浙江省</x:t>
        </x:is>
      </x:c>
      <x:c r="F4285" s="4" t="inlineStr">
        <x:is>
          <x:t xml:space="preserve">杭州市</x:t>
        </x:is>
      </x:c>
      <x:c r="G4285" s="5" t="inlineStr">
        <x:is>
          <x:t xml:space="preserve">浙江省-杭州市</x:t>
        </x:is>
      </x:c>
      <x:c r="H4285" s="4" t="inlineStr">
        <x:is>
          <x:t xml:space="preserve">半导体</x:t>
        </x:is>
      </x:c>
      <x:c r="I4285" s="4" t="inlineStr">
        <x:is>
          <x:t xml:space="preserve">2020-09-11</x:t>
        </x:is>
      </x:c>
      <x:c r="J4285" s="5" t="inlineStr">
        <x:is>
          <x:t xml:space="preserve">杭州经济技术开发区20号大街199号</x:t>
        </x:is>
      </x:c>
      <x:c r="K4285" s="12" t="str">
        <x:f>LEFT("91330100736871634P",18)</x:f>
        <x:v>91330100736871634P</x:v>
      </x:c>
    </x:row>
    <x:row r="4286">
      <x:c r="A4286" s="2" t="n">
        <x:v>4285</x:v>
      </x:c>
      <x:c r="B4286" s="2" t="inlineStr">
        <x:is>
          <x:t xml:space="preserve">605369</x:t>
        </x:is>
      </x:c>
      <x:c r="C4286" s="3" t="inlineStr">
        <x:is>
          <x:t xml:space="preserve">拱东医疗</x:t>
        </x:is>
      </x:c>
      <x:c r="D4286" s="3" t="inlineStr">
        <x:is>
          <x:t xml:space="preserve">浙江拱东医疗器械股份有限公司</x:t>
        </x:is>
      </x:c>
      <x:c r="E4286" s="2" t="inlineStr">
        <x:is>
          <x:t xml:space="preserve">浙江省</x:t>
        </x:is>
      </x:c>
      <x:c r="F4286" s="2" t="inlineStr">
        <x:is>
          <x:t xml:space="preserve">台州市</x:t>
        </x:is>
      </x:c>
      <x:c r="G4286" s="3" t="inlineStr">
        <x:is>
          <x:t xml:space="preserve">浙江省-台州市</x:t>
        </x:is>
      </x:c>
      <x:c r="H4286" s="2" t="inlineStr">
        <x:is>
          <x:t xml:space="preserve">医疗器械</x:t>
        </x:is>
      </x:c>
      <x:c r="I4286" s="2" t="inlineStr">
        <x:is>
          <x:t xml:space="preserve">2020-09-16</x:t>
        </x:is>
      </x:c>
      <x:c r="J4286" s="3" t="inlineStr">
        <x:is>
          <x:t xml:space="preserve">浙江省台州市黄岩区北院大道10号</x:t>
        </x:is>
      </x:c>
      <x:c r="K4286" s="12" t="str">
        <x:f>LEFT("91331003148185689U",18)</x:f>
        <x:v>91331003148185689U</x:v>
      </x:c>
    </x:row>
    <x:row r="4287">
      <x:c r="A4287" s="4" t="n">
        <x:v>4286</x:v>
      </x:c>
      <x:c r="B4287" s="4" t="inlineStr">
        <x:is>
          <x:t xml:space="preserve">605377</x:t>
        </x:is>
      </x:c>
      <x:c r="C4287" s="5" t="inlineStr">
        <x:is>
          <x:t xml:space="preserve">华旺科技</x:t>
        </x:is>
      </x:c>
      <x:c r="D4287" s="5" t="inlineStr">
        <x:is>
          <x:t xml:space="preserve">杭州华旺新材料科技股份有限公司</x:t>
        </x:is>
      </x:c>
      <x:c r="E4287" s="4" t="inlineStr">
        <x:is>
          <x:t xml:space="preserve">浙江省</x:t>
        </x:is>
      </x:c>
      <x:c r="F4287" s="4" t="inlineStr">
        <x:is>
          <x:t xml:space="preserve">杭州市</x:t>
        </x:is>
      </x:c>
      <x:c r="G4287" s="5" t="inlineStr">
        <x:is>
          <x:t xml:space="preserve">浙江省-杭州市</x:t>
        </x:is>
      </x:c>
      <x:c r="H4287" s="4" t="inlineStr">
        <x:is>
          <x:t xml:space="preserve">造纸印刷</x:t>
        </x:is>
      </x:c>
      <x:c r="I4287" s="4" t="inlineStr">
        <x:is>
          <x:t xml:space="preserve">2020-12-28</x:t>
        </x:is>
      </x:c>
      <x:c r="J4287" s="5" t="inlineStr">
        <x:is>
          <x:t xml:space="preserve">浙江省杭州市临安区青山湖街道滨河北路18号</x:t>
        </x:is>
      </x:c>
      <x:c r="K4287" s="12" t="str">
        <x:f>LEFT("91330100697093218U",18)</x:f>
        <x:v>91330100697093218U</x:v>
      </x:c>
    </x:row>
    <x:row r="4288">
      <x:c r="A4288" s="2" t="n">
        <x:v>4287</x:v>
      </x:c>
      <x:c r="B4288" s="2" t="inlineStr">
        <x:is>
          <x:t xml:space="preserve">605378</x:t>
        </x:is>
      </x:c>
      <x:c r="C4288" s="3" t="inlineStr">
        <x:is>
          <x:t xml:space="preserve">野马电池</x:t>
        </x:is>
      </x:c>
      <x:c r="D4288" s="3" t="inlineStr">
        <x:is>
          <x:t xml:space="preserve">浙江野马电池股份有限公司</x:t>
        </x:is>
      </x:c>
      <x:c r="E4288" s="2" t="inlineStr">
        <x:is>
          <x:t xml:space="preserve">浙江省</x:t>
        </x:is>
      </x:c>
      <x:c r="F4288" s="2" t="inlineStr">
        <x:is>
          <x:t xml:space="preserve">宁波市</x:t>
        </x:is>
      </x:c>
      <x:c r="G4288" s="3" t="inlineStr">
        <x:is>
          <x:t xml:space="preserve">浙江省-宁波市</x:t>
        </x:is>
      </x:c>
      <x:c r="H4288" s="2" t="inlineStr">
        <x:is>
          <x:t xml:space="preserve">电池</x:t>
        </x:is>
      </x:c>
      <x:c r="I4288" s="2" t="inlineStr">
        <x:is>
          <x:t xml:space="preserve">2021-04-12</x:t>
        </x:is>
      </x:c>
      <x:c r="J4288" s="3" t="inlineStr">
        <x:is>
          <x:t xml:space="preserve">浙江省宁波市镇海区骆驼街道荣吉路818号</x:t>
        </x:is>
      </x:c>
      <x:c r="K4288" s="12" t="str">
        <x:f>LEFT("91330211254100749G",18)</x:f>
        <x:v>91330211254100749G</x:v>
      </x:c>
    </x:row>
    <x:row r="4289">
      <x:c r="A4289" s="4" t="n">
        <x:v>4288</x:v>
      </x:c>
      <x:c r="B4289" s="4" t="inlineStr">
        <x:is>
          <x:t xml:space="preserve">605488</x:t>
        </x:is>
      </x:c>
      <x:c r="C4289" s="5" t="inlineStr">
        <x:is>
          <x:t xml:space="preserve">福莱新材</x:t>
        </x:is>
      </x:c>
      <x:c r="D4289" s="5" t="inlineStr">
        <x:is>
          <x:t xml:space="preserve">浙江福莱新材料股份有限公司</x:t>
        </x:is>
      </x:c>
      <x:c r="E4289" s="4" t="inlineStr">
        <x:is>
          <x:t xml:space="preserve">浙江省</x:t>
        </x:is>
      </x:c>
      <x:c r="F4289" s="4" t="inlineStr">
        <x:is>
          <x:t xml:space="preserve">嘉兴市</x:t>
        </x:is>
      </x:c>
      <x:c r="G4289" s="5" t="inlineStr">
        <x:is>
          <x:t xml:space="preserve">浙江省-嘉兴市</x:t>
        </x:is>
      </x:c>
      <x:c r="H4289" s="4" t="inlineStr">
        <x:is>
          <x:t xml:space="preserve">塑胶制品</x:t>
        </x:is>
      </x:c>
      <x:c r="I4289" s="4" t="inlineStr">
        <x:is>
          <x:t xml:space="preserve">2021-05-13</x:t>
        </x:is>
      </x:c>
      <x:c r="J4289" s="5" t="inlineStr">
        <x:is>
          <x:t xml:space="preserve">浙江省嘉兴市嘉善县姚庄镇银河路17号</x:t>
        </x:is>
      </x:c>
      <x:c r="K4289" s="12" t="str">
        <x:f>LEFT("913304216899850991",18)</x:f>
        <x:v>913304216899851000</x:v>
      </x:c>
    </x:row>
    <x:row r="4290">
      <x:c r="A4290" s="2" t="n">
        <x:v>4289</x:v>
      </x:c>
      <x:c r="B4290" s="2" t="inlineStr">
        <x:is>
          <x:t xml:space="preserve">605500</x:t>
        </x:is>
      </x:c>
      <x:c r="C4290" s="3" t="inlineStr">
        <x:is>
          <x:t xml:space="preserve">森林包装</x:t>
        </x:is>
      </x:c>
      <x:c r="D4290" s="3" t="inlineStr">
        <x:is>
          <x:t xml:space="preserve">森林包装集团股份有限公司</x:t>
        </x:is>
      </x:c>
      <x:c r="E4290" s="2" t="inlineStr">
        <x:is>
          <x:t xml:space="preserve">浙江省</x:t>
        </x:is>
      </x:c>
      <x:c r="F4290" s="2" t="inlineStr">
        <x:is>
          <x:t xml:space="preserve">江省温岭市</x:t>
        </x:is>
      </x:c>
      <x:c r="G4290" s="3" t="inlineStr">
        <x:is>
          <x:t xml:space="preserve">浙江省-江省温岭市</x:t>
        </x:is>
      </x:c>
      <x:c r="H4290" s="2" t="inlineStr">
        <x:is>
          <x:t xml:space="preserve">造纸印刷</x:t>
        </x:is>
      </x:c>
      <x:c r="I4290" s="2" t="inlineStr">
        <x:is>
          <x:t xml:space="preserve">2020-12-22</x:t>
        </x:is>
      </x:c>
      <x:c r="J4290" s="3" t="inlineStr">
        <x:is>
          <x:t xml:space="preserve">浙江省温岭市大溪镇大洋城工业区</x:t>
        </x:is>
      </x:c>
      <x:c r="K4290" s="12" t="str">
        <x:f>LEFT("91331081710973704K",18)</x:f>
        <x:v>91331081710973704K</x:v>
      </x:c>
    </x:row>
    <x:row r="4291">
      <x:c r="A4291" s="4" t="n">
        <x:v>4290</x:v>
      </x:c>
      <x:c r="B4291" s="4" t="inlineStr">
        <x:is>
          <x:t xml:space="preserve">605507</x:t>
        </x:is>
      </x:c>
      <x:c r="C4291" s="5" t="inlineStr">
        <x:is>
          <x:t xml:space="preserve">国邦医药</x:t>
        </x:is>
      </x:c>
      <x:c r="D4291" s="5" t="inlineStr">
        <x:is>
          <x:t xml:space="preserve">国邦医药集团股份有限公司</x:t>
        </x:is>
      </x:c>
      <x:c r="E4291" s="4" t="inlineStr">
        <x:is>
          <x:t xml:space="preserve">浙江省</x:t>
        </x:is>
      </x:c>
      <x:c r="F4291" s="4" t="inlineStr">
        <x:is>
          <x:t xml:space="preserve">绍兴市</x:t>
        </x:is>
      </x:c>
      <x:c r="G4291" s="5" t="inlineStr">
        <x:is>
          <x:t xml:space="preserve">浙江省-绍兴市</x:t>
        </x:is>
      </x:c>
      <x:c r="H4291" s="4" t="inlineStr">
        <x:is>
          <x:t xml:space="preserve">医药制造</x:t>
        </x:is>
      </x:c>
      <x:c r="I4291" s="4" t="inlineStr">
        <x:is>
          <x:t xml:space="preserve">2021-08-02</x:t>
        </x:is>
      </x:c>
      <x:c r="J4291" s="5" t="inlineStr">
        <x:is>
          <x:t xml:space="preserve">浙江省新昌省级高新技术产业园区兴梅大道60号</x:t>
        </x:is>
      </x:c>
      <x:c r="K4291" s="12" t="str">
        <x:f>LEFT("91330600609690857C",18)</x:f>
        <x:v>91330600609690857C</x:v>
      </x:c>
    </x:row>
    <x:row r="4292">
      <x:c r="A4292" s="2" t="n">
        <x:v>4291</x:v>
      </x:c>
      <x:c r="B4292" s="2" t="inlineStr">
        <x:is>
          <x:t xml:space="preserve">605555</x:t>
        </x:is>
      </x:c>
      <x:c r="C4292" s="3" t="inlineStr">
        <x:is>
          <x:t xml:space="preserve">德昌股份</x:t>
        </x:is>
      </x:c>
      <x:c r="D4292" s="3" t="inlineStr">
        <x:is>
          <x:t xml:space="preserve">宁波德昌电机股份有限公司</x:t>
        </x:is>
      </x:c>
      <x:c r="E4292" s="2" t="inlineStr">
        <x:is>
          <x:t xml:space="preserve">浙江省</x:t>
        </x:is>
      </x:c>
      <x:c r="F4292" s="2" t="inlineStr">
        <x:is>
          <x:t xml:space="preserve">江省余姚市</x:t>
        </x:is>
      </x:c>
      <x:c r="G4292" s="3" t="inlineStr">
        <x:is>
          <x:t xml:space="preserve">浙江省-江省余姚市</x:t>
        </x:is>
      </x:c>
      <x:c r="H4292" s="2" t="inlineStr">
        <x:is>
          <x:t xml:space="preserve">家电行业</x:t>
        </x:is>
      </x:c>
      <x:c r="I4292" s="2" t="inlineStr">
        <x:is>
          <x:t xml:space="preserve">2021-10-21</x:t>
        </x:is>
      </x:c>
      <x:c r="J4292" s="3" t="inlineStr">
        <x:is>
          <x:t xml:space="preserve">浙江省余姚市凤山街道东郊工业园区永兴东路18号</x:t>
        </x:is>
      </x:c>
      <x:c r="K4292" s="12" t="str">
        <x:f>LEFT("91330281734258668X",18)</x:f>
        <x:v>91330281734258668X</x:v>
      </x:c>
    </x:row>
    <x:row r="4293">
      <x:c r="A4293" s="4" t="n">
        <x:v>4292</x:v>
      </x:c>
      <x:c r="B4293" s="4" t="inlineStr">
        <x:is>
          <x:t xml:space="preserve">605566</x:t>
        </x:is>
      </x:c>
      <x:c r="C4293" s="5" t="inlineStr">
        <x:is>
          <x:t xml:space="preserve">福莱蒽特</x:t>
        </x:is>
      </x:c>
      <x:c r="D4293" s="5" t="inlineStr">
        <x:is>
          <x:t xml:space="preserve">杭州福莱蒽特股份有限公司</x:t>
        </x:is>
      </x:c>
      <x:c r="E4293" s="4" t="inlineStr">
        <x:is>
          <x:t xml:space="preserve">浙江省</x:t>
        </x:is>
      </x:c>
      <x:c r="F4293" s="4" t="inlineStr">
        <x:is>
          <x:t xml:space="preserve">杭州市</x:t>
        </x:is>
      </x:c>
      <x:c r="G4293" s="5" t="inlineStr">
        <x:is>
          <x:t xml:space="preserve">浙江省-杭州市</x:t>
        </x:is>
      </x:c>
      <x:c r="H4293" s="4" t="inlineStr">
        <x:is>
          <x:t xml:space="preserve">化工行业</x:t>
        </x:is>
      </x:c>
      <x:c r="I4293" s="4" t="inlineStr">
        <x:is>
          <x:t xml:space="preserve">2021-10-25</x:t>
        </x:is>
      </x:c>
      <x:c r="J4293" s="5" t="inlineStr">
        <x:is>
          <x:t xml:space="preserve">杭州市临江工业园区经五路1919号</x:t>
        </x:is>
      </x:c>
      <x:c r="K4293" s="12" t="str">
        <x:f>LEFT("913301007042858760",18)</x:f>
        <x:v>913301007042858800</x:v>
      </x:c>
    </x:row>
    <x:row r="4294">
      <x:c r="A4294" s="2" t="n">
        <x:v>4293</x:v>
      </x:c>
      <x:c r="B4294" s="2" t="inlineStr">
        <x:is>
          <x:t xml:space="preserve">605580</x:t>
        </x:is>
      </x:c>
      <x:c r="C4294" s="3" t="inlineStr">
        <x:is>
          <x:t xml:space="preserve">恒盛能源</x:t>
        </x:is>
      </x:c>
      <x:c r="D4294" s="3" t="inlineStr">
        <x:is>
          <x:t xml:space="preserve">恒盛能源股份有限公司</x:t>
        </x:is>
      </x:c>
      <x:c r="E4294" s="2" t="inlineStr">
        <x:is>
          <x:t xml:space="preserve">浙江省</x:t>
        </x:is>
      </x:c>
      <x:c r="F4294" s="2" t="inlineStr">
        <x:is>
          <x:t xml:space="preserve">衢州市</x:t>
        </x:is>
      </x:c>
      <x:c r="G4294" s="3" t="inlineStr">
        <x:is>
          <x:t xml:space="preserve">浙江省-衢州市</x:t>
        </x:is>
      </x:c>
      <x:c r="H4294" s="2" t="inlineStr">
        <x:is>
          <x:t xml:space="preserve">电力行业</x:t>
        </x:is>
      </x:c>
      <x:c r="I4294" s="2" t="inlineStr">
        <x:is>
          <x:t xml:space="preserve">2021-08-19</x:t>
        </x:is>
      </x:c>
      <x:c r="J4294" s="3" t="inlineStr">
        <x:is>
          <x:t xml:space="preserve">浙江省龙游工业园区兴北路10号</x:t>
        </x:is>
      </x:c>
      <x:c r="K4294" s="12" t="str">
        <x:f>LEFT("91330825798599066L",18)</x:f>
        <x:v>91330825798599066L</x:v>
      </x:c>
    </x:row>
    <x:row r="4295">
      <x:c r="A4295" s="4" t="n">
        <x:v>4294</x:v>
      </x:c>
      <x:c r="B4295" s="4" t="inlineStr">
        <x:is>
          <x:t xml:space="preserve">688005</x:t>
        </x:is>
      </x:c>
      <x:c r="C4295" s="5" t="inlineStr">
        <x:is>
          <x:t xml:space="preserve">容百科技</x:t>
        </x:is>
      </x:c>
      <x:c r="D4295" s="5" t="inlineStr">
        <x:is>
          <x:t xml:space="preserve">宁波容百新能源科技股份有限公司</x:t>
        </x:is>
      </x:c>
      <x:c r="E4295" s="4" t="inlineStr">
        <x:is>
          <x:t xml:space="preserve">浙江省</x:t>
        </x:is>
      </x:c>
      <x:c r="F4295" s="4" t="inlineStr">
        <x:is>
          <x:t xml:space="preserve">江省余姚市</x:t>
        </x:is>
      </x:c>
      <x:c r="G4295" s="5" t="inlineStr">
        <x:is>
          <x:t xml:space="preserve">浙江省-江省余姚市</x:t>
        </x:is>
      </x:c>
      <x:c r="H4295" s="4" t="inlineStr">
        <x:is>
          <x:t xml:space="preserve">电池</x:t>
        </x:is>
      </x:c>
      <x:c r="I4295" s="4" t="inlineStr">
        <x:is>
          <x:t xml:space="preserve">2019-07-22</x:t>
        </x:is>
      </x:c>
      <x:c r="J4295" s="5" t="inlineStr">
        <x:is>
          <x:t xml:space="preserve">浙江省余姚市谭家岭东路39号</x:t>
        </x:is>
      </x:c>
      <x:c r="K4295" s="12" t="str">
        <x:f>LEFT("91330281316800928L",18)</x:f>
        <x:v>91330281316800928L</x:v>
      </x:c>
    </x:row>
    <x:row r="4296">
      <x:c r="A4296" s="2" t="n">
        <x:v>4295</x:v>
      </x:c>
      <x:c r="B4296" s="2" t="inlineStr">
        <x:is>
          <x:t xml:space="preserve">688006</x:t>
        </x:is>
      </x:c>
      <x:c r="C4296" s="3" t="inlineStr">
        <x:is>
          <x:t xml:space="preserve">杭可科技</x:t>
        </x:is>
      </x:c>
      <x:c r="D4296" s="3" t="inlineStr">
        <x:is>
          <x:t xml:space="preserve">浙江杭可科技股份有限公司</x:t>
        </x:is>
      </x:c>
      <x:c r="E4296" s="2" t="inlineStr">
        <x:is>
          <x:t xml:space="preserve">浙江省</x:t>
        </x:is>
      </x:c>
      <x:c r="F4296" s="2" t="inlineStr">
        <x:is>
          <x:t xml:space="preserve">杭州市</x:t>
        </x:is>
      </x:c>
      <x:c r="G4296" s="3" t="inlineStr">
        <x:is>
          <x:t xml:space="preserve">浙江省-杭州市</x:t>
        </x:is>
      </x:c>
      <x:c r="H4296" s="2" t="inlineStr">
        <x:is>
          <x:t xml:space="preserve">电池</x:t>
        </x:is>
      </x:c>
      <x:c r="I4296" s="2" t="inlineStr">
        <x:is>
          <x:t xml:space="preserve">2019-07-22</x:t>
        </x:is>
      </x:c>
      <x:c r="J4296" s="3" t="inlineStr">
        <x:is>
          <x:t xml:space="preserve">浙江省杭州市萧山经济技术开发区桥南区块高新十一路77号</x:t>
        </x:is>
      </x:c>
      <x:c r="K4296" s="12" t="str">
        <x:f>LEFT("913301005865048038",18)</x:f>
        <x:v>913301005865048000</x:v>
      </x:c>
    </x:row>
    <x:row r="4297">
      <x:c r="A4297" s="4" t="n">
        <x:v>4296</x:v>
      </x:c>
      <x:c r="B4297" s="4" t="inlineStr">
        <x:is>
          <x:t xml:space="preserve">688023</x:t>
        </x:is>
      </x:c>
      <x:c r="C4297" s="5" t="inlineStr">
        <x:is>
          <x:t xml:space="preserve">安恒信息</x:t>
        </x:is>
      </x:c>
      <x:c r="D4297" s="5" t="inlineStr">
        <x:is>
          <x:t xml:space="preserve">杭州安恒信息技术股份有限公司</x:t>
        </x:is>
      </x:c>
      <x:c r="E4297" s="4" t="inlineStr">
        <x:is>
          <x:t xml:space="preserve">浙江省</x:t>
        </x:is>
      </x:c>
      <x:c r="F4297" s="4" t="inlineStr">
        <x:is>
          <x:t xml:space="preserve">杭州市</x:t>
        </x:is>
      </x:c>
      <x:c r="G4297" s="5" t="inlineStr">
        <x:is>
          <x:t xml:space="preserve">浙江省-杭州市</x:t>
        </x:is>
      </x:c>
      <x:c r="H4297" s="4" t="inlineStr">
        <x:is>
          <x:t xml:space="preserve">软件开发</x:t>
        </x:is>
      </x:c>
      <x:c r="I4297" s="4" t="inlineStr">
        <x:is>
          <x:t xml:space="preserve">2019-11-05</x:t>
        </x:is>
      </x:c>
      <x:c r="J4297" s="5" t="inlineStr">
        <x:is>
          <x:t xml:space="preserve">浙江省杭州市滨江区西兴街道联慧街188号</x:t>
        </x:is>
      </x:c>
      <x:c r="K4297" s="12" t="str">
        <x:f>LEFT("913301086623011957",18)</x:f>
        <x:v>913301086623012000</x:v>
      </x:c>
    </x:row>
    <x:row r="4298">
      <x:c r="A4298" s="2" t="n">
        <x:v>4297</x:v>
      </x:c>
      <x:c r="B4298" s="2" t="inlineStr">
        <x:is>
          <x:t xml:space="preserve">688032</x:t>
        </x:is>
      </x:c>
      <x:c r="C4298" s="3" t="inlineStr">
        <x:is>
          <x:t xml:space="preserve">禾迈股份</x:t>
        </x:is>
      </x:c>
      <x:c r="D4298" s="3" t="inlineStr">
        <x:is>
          <x:t xml:space="preserve">杭州禾迈电力电子股份有限公司</x:t>
        </x:is>
      </x:c>
      <x:c r="E4298" s="2" t="inlineStr">
        <x:is>
          <x:t xml:space="preserve">浙江省</x:t>
        </x:is>
      </x:c>
      <x:c r="F4298" s="2" t="inlineStr">
        <x:is>
          <x:t xml:space="preserve">杭州市</x:t>
        </x:is>
      </x:c>
      <x:c r="G4298" s="3" t="inlineStr">
        <x:is>
          <x:t xml:space="preserve">浙江省-杭州市</x:t>
        </x:is>
      </x:c>
      <x:c r="H4298" s="2" t="inlineStr">
        <x:is>
          <x:t xml:space="preserve">光伏设备</x:t>
        </x:is>
      </x:c>
      <x:c r="I4298" s="2" t="inlineStr">
        <x:is>
          <x:t xml:space="preserve">2021-12-20</x:t>
        </x:is>
      </x:c>
      <x:c r="J4298" s="3" t="inlineStr">
        <x:is>
          <x:t xml:space="preserve">浙江省杭州市拱墅区康景路18号11幢三楼</x:t>
        </x:is>
      </x:c>
      <x:c r="K4298" s="12" t="str">
        <x:f>LEFT("91330105053660176U",18)</x:f>
        <x:v>91330105053660176U</x:v>
      </x:c>
    </x:row>
    <x:row r="4299">
      <x:c r="A4299" s="4" t="n">
        <x:v>4298</x:v>
      </x:c>
      <x:c r="B4299" s="4" t="inlineStr">
        <x:is>
          <x:t xml:space="preserve">688039</x:t>
        </x:is>
      </x:c>
      <x:c r="C4299" s="5" t="inlineStr">
        <x:is>
          <x:t xml:space="preserve">当虹科技</x:t>
        </x:is>
      </x:c>
      <x:c r="D4299" s="5" t="inlineStr">
        <x:is>
          <x:t xml:space="preserve">杭州当虹科技股份有限公司</x:t>
        </x:is>
      </x:c>
      <x:c r="E4299" s="4" t="inlineStr">
        <x:is>
          <x:t xml:space="preserve">浙江省</x:t>
        </x:is>
      </x:c>
      <x:c r="F4299" s="4" t="inlineStr">
        <x:is>
          <x:t xml:space="preserve">杭州市</x:t>
        </x:is>
      </x:c>
      <x:c r="G4299" s="5" t="inlineStr">
        <x:is>
          <x:t xml:space="preserve">浙江省-杭州市</x:t>
        </x:is>
      </x:c>
      <x:c r="H4299" s="4" t="inlineStr">
        <x:is>
          <x:t xml:space="preserve">互联网服务</x:t>
        </x:is>
      </x:c>
      <x:c r="I4299" s="4" t="inlineStr">
        <x:is>
          <x:t xml:space="preserve">2019-12-11</x:t>
        </x:is>
      </x:c>
      <x:c r="J4299" s="5" t="inlineStr">
        <x:is>
          <x:t xml:space="preserve">浙江省杭州市滨江区长河街道众创路309号</x:t>
        </x:is>
      </x:c>
      <x:c r="K4299" s="12" t="str">
        <x:f>LEFT("91330108555162302M",18)</x:f>
        <x:v>91330108555162302M</x:v>
      </x:c>
    </x:row>
    <x:row r="4300">
      <x:c r="A4300" s="2" t="n">
        <x:v>4299</x:v>
      </x:c>
      <x:c r="B4300" s="2" t="inlineStr">
        <x:is>
          <x:t xml:space="preserve">688075</x:t>
        </x:is>
      </x:c>
      <x:c r="C4300" s="3" t="inlineStr">
        <x:is>
          <x:t xml:space="preserve">安旭生物</x:t>
        </x:is>
      </x:c>
      <x:c r="D4300" s="3" t="inlineStr">
        <x:is>
          <x:t xml:space="preserve">杭州安旭生物科技股份有限公司</x:t>
        </x:is>
      </x:c>
      <x:c r="E4300" s="2" t="inlineStr">
        <x:is>
          <x:t xml:space="preserve">浙江省</x:t>
        </x:is>
      </x:c>
      <x:c r="F4300" s="2" t="inlineStr">
        <x:is>
          <x:t xml:space="preserve">杭州市</x:t>
        </x:is>
      </x:c>
      <x:c r="G4300" s="3" t="inlineStr">
        <x:is>
          <x:t xml:space="preserve">浙江省-杭州市</x:t>
        </x:is>
      </x:c>
      <x:c r="H4300" s="2" t="inlineStr">
        <x:is>
          <x:t xml:space="preserve">医疗器械</x:t>
        </x:is>
      </x:c>
      <x:c r="I4300" s="2" t="inlineStr">
        <x:is>
          <x:t xml:space="preserve">2021-11-18</x:t>
        </x:is>
      </x:c>
      <x:c r="J4300" s="3" t="inlineStr">
        <x:is>
          <x:t xml:space="preserve">浙江省杭州市莫干山路1418-50号4幢3层(上城科技工业基地)</x:t>
        </x:is>
      </x:c>
      <x:c r="K4300" s="12" t="str">
        <x:f>LEFT("913301066767726252",18)</x:f>
        <x:v>913301066767726200</x:v>
      </x:c>
    </x:row>
    <x:row r="4301">
      <x:c r="A4301" s="4" t="n">
        <x:v>4300</x:v>
      </x:c>
      <x:c r="B4301" s="4" t="inlineStr">
        <x:is>
          <x:t xml:space="preserve">688079</x:t>
        </x:is>
      </x:c>
      <x:c r="C4301" s="5" t="inlineStr">
        <x:is>
          <x:t xml:space="preserve">美迪凯</x:t>
        </x:is>
      </x:c>
      <x:c r="D4301" s="5" t="inlineStr">
        <x:is>
          <x:t xml:space="preserve">杭州美迪凯光电科技股份有限公司</x:t>
        </x:is>
      </x:c>
      <x:c r="E4301" s="4" t="inlineStr">
        <x:is>
          <x:t xml:space="preserve">浙江省</x:t>
        </x:is>
      </x:c>
      <x:c r="F4301" s="4" t="inlineStr">
        <x:is>
          <x:t xml:space="preserve">杭州市</x:t>
        </x:is>
      </x:c>
      <x:c r="G4301" s="5" t="inlineStr">
        <x:is>
          <x:t xml:space="preserve">浙江省-杭州市</x:t>
        </x:is>
      </x:c>
      <x:c r="H4301" s="4" t="inlineStr">
        <x:is>
          <x:t xml:space="preserve">光学光电子</x:t>
        </x:is>
      </x:c>
      <x:c r="I4301" s="4" t="inlineStr">
        <x:is>
          <x:t xml:space="preserve">2021-03-02</x:t>
        </x:is>
      </x:c>
      <x:c r="J4301" s="5" t="inlineStr">
        <x:is>
          <x:t xml:space="preserve">浙江省杭州经济技术开发区白杨街道20号大街578号3幢</x:t>
        </x:is>
      </x:c>
      <x:c r="K4301" s="12" t="str">
        <x:f>LEFT("913301015605619658",18)</x:f>
        <x:v>913301015605619700</x:v>
      </x:c>
    </x:row>
    <x:row r="4302">
      <x:c r="A4302" s="2" t="n">
        <x:v>4301</x:v>
      </x:c>
      <x:c r="B4302" s="2" t="inlineStr">
        <x:is>
          <x:t xml:space="preserve">688088</x:t>
        </x:is>
      </x:c>
      <x:c r="C4302" s="3" t="inlineStr">
        <x:is>
          <x:t xml:space="preserve">虹软科技</x:t>
        </x:is>
      </x:c>
      <x:c r="D4302" s="3" t="inlineStr">
        <x:is>
          <x:t xml:space="preserve">虹软科技股份有限公司</x:t>
        </x:is>
      </x:c>
      <x:c r="E4302" s="2" t="inlineStr">
        <x:is>
          <x:t xml:space="preserve">浙江省</x:t>
        </x:is>
      </x:c>
      <x:c r="F4302" s="2" t="inlineStr">
        <x:is>
          <x:t xml:space="preserve">杭州市</x:t>
        </x:is>
      </x:c>
      <x:c r="G4302" s="3" t="inlineStr">
        <x:is>
          <x:t xml:space="preserve">浙江省-杭州市</x:t>
        </x:is>
      </x:c>
      <x:c r="H4302" s="2" t="inlineStr">
        <x:is>
          <x:t xml:space="preserve">互联网服务</x:t>
        </x:is>
      </x:c>
      <x:c r="I4302" s="2" t="inlineStr">
        <x:is>
          <x:t xml:space="preserve">2019-07-22</x:t>
        </x:is>
      </x:c>
      <x:c r="J4302" s="3" t="inlineStr">
        <x:is>
          <x:t xml:space="preserve">浙江省杭州市滨江区长河街道滨兴路392号(虹软大厦)19楼</x:t>
        </x:is>
      </x:c>
      <x:c r="K4302" s="12" t="str">
        <x:f>LEFT("913301087471508245",18)</x:f>
        <x:v>913301087471508200</x:v>
      </x:c>
    </x:row>
    <x:row r="4303">
      <x:c r="A4303" s="4" t="n">
        <x:v>4302</x:v>
      </x:c>
      <x:c r="B4303" s="4" t="inlineStr">
        <x:is>
          <x:t xml:space="preserve">688092</x:t>
        </x:is>
      </x:c>
      <x:c r="C4303" s="5" t="inlineStr">
        <x:is>
          <x:t xml:space="preserve">爱科科技</x:t>
        </x:is>
      </x:c>
      <x:c r="D4303" s="5" t="inlineStr">
        <x:is>
          <x:t xml:space="preserve">杭州爱科科技股份有限公司</x:t>
        </x:is>
      </x:c>
      <x:c r="E4303" s="4" t="inlineStr">
        <x:is>
          <x:t xml:space="preserve">浙江省</x:t>
        </x:is>
      </x:c>
      <x:c r="F4303" s="4" t="inlineStr">
        <x:is>
          <x:t xml:space="preserve">杭州市</x:t>
        </x:is>
      </x:c>
      <x:c r="G4303" s="5" t="inlineStr">
        <x:is>
          <x:t xml:space="preserve">浙江省-杭州市</x:t>
        </x:is>
      </x:c>
      <x:c r="H4303" s="4" t="inlineStr">
        <x:is>
          <x:t xml:space="preserve">专用设备</x:t>
        </x:is>
      </x:c>
      <x:c r="I4303" s="4" t="inlineStr">
        <x:is>
          <x:t xml:space="preserve">2021-03-19</x:t>
        </x:is>
      </x:c>
      <x:c r="J4303" s="5" t="inlineStr">
        <x:is>
          <x:t xml:space="preserve">杭州市滨江区伟业路1号1幢</x:t>
        </x:is>
      </x:c>
      <x:c r="K4303" s="12" t="str">
        <x:f>LEFT("91330108770830908J",18)</x:f>
        <x:v>91330108770830908J</x:v>
      </x:c>
    </x:row>
    <x:row r="4304">
      <x:c r="A4304" s="2" t="n">
        <x:v>4303</x:v>
      </x:c>
      <x:c r="B4304" s="2" t="inlineStr">
        <x:is>
          <x:t xml:space="preserve">688109</x:t>
        </x:is>
      </x:c>
      <x:c r="C4304" s="3" t="inlineStr">
        <x:is>
          <x:t xml:space="preserve">品茗科技</x:t>
        </x:is>
      </x:c>
      <x:c r="D4304" s="3" t="inlineStr">
        <x:is>
          <x:t xml:space="preserve">品茗科技股份有限公司</x:t>
        </x:is>
      </x:c>
      <x:c r="E4304" s="2" t="inlineStr">
        <x:is>
          <x:t xml:space="preserve">浙江省</x:t>
        </x:is>
      </x:c>
      <x:c r="F4304" s="2" t="inlineStr">
        <x:is>
          <x:t xml:space="preserve">杭州市</x:t>
        </x:is>
      </x:c>
      <x:c r="G4304" s="3" t="inlineStr">
        <x:is>
          <x:t xml:space="preserve">浙江省-杭州市</x:t>
        </x:is>
      </x:c>
      <x:c r="H4304" s="2" t="inlineStr">
        <x:is>
          <x:t xml:space="preserve">软件服务</x:t>
        </x:is>
      </x:c>
      <x:c r="I4304" s="2" t="inlineStr">
        <x:is>
          <x:t xml:space="preserve">2021-03-30</x:t>
        </x:is>
      </x:c>
      <x:c r="J4304" s="3" t="inlineStr">
        <x:is>
          <x:t xml:space="preserve">杭州市西湖区西斗门路3号天堂软件园B幢5楼C座</x:t>
        </x:is>
      </x:c>
      <x:c r="K4304" s="12" t="str">
        <x:f>LEFT("91330100577330709E",18)</x:f>
        <x:v>91330100577330709E</x:v>
      </x:c>
    </x:row>
    <x:row r="4305">
      <x:c r="A4305" s="4" t="n">
        <x:v>4304</x:v>
      </x:c>
      <x:c r="B4305" s="4" t="inlineStr">
        <x:is>
          <x:t xml:space="preserve">688127</x:t>
        </x:is>
      </x:c>
      <x:c r="C4305" s="5" t="inlineStr">
        <x:is>
          <x:t xml:space="preserve">蓝特光学</x:t>
        </x:is>
      </x:c>
      <x:c r="D4305" s="5" t="inlineStr">
        <x:is>
          <x:t xml:space="preserve">浙江蓝特光学股份有限公司</x:t>
        </x:is>
      </x:c>
      <x:c r="E4305" s="4" t="inlineStr">
        <x:is>
          <x:t xml:space="preserve">浙江省</x:t>
        </x:is>
      </x:c>
      <x:c r="F4305" s="4" t="inlineStr">
        <x:is>
          <x:t xml:space="preserve">嘉兴市</x:t>
        </x:is>
      </x:c>
      <x:c r="G4305" s="5" t="inlineStr">
        <x:is>
          <x:t xml:space="preserve">浙江省-嘉兴市</x:t>
        </x:is>
      </x:c>
      <x:c r="H4305" s="4" t="inlineStr">
        <x:is>
          <x:t xml:space="preserve">光学光电子</x:t>
        </x:is>
      </x:c>
      <x:c r="I4305" s="4" t="inlineStr">
        <x:is>
          <x:t xml:space="preserve">2020-09-21</x:t>
        </x:is>
      </x:c>
      <x:c r="J4305" s="5" t="inlineStr">
        <x:is>
          <x:t xml:space="preserve">嘉兴市秀洲区洪合镇洪福路1108号1幢</x:t>
        </x:is>
      </x:c>
      <x:c r="K4305" s="12" t="str">
        <x:f>LEFT("91330400X0942984X0",18)</x:f>
        <x:v>91330400X0942984X0</x:v>
      </x:c>
    </x:row>
    <x:row r="4306">
      <x:c r="A4306" s="2" t="n">
        <x:v>4305</x:v>
      </x:c>
      <x:c r="B4306" s="2" t="inlineStr">
        <x:is>
          <x:t xml:space="preserve">688130</x:t>
        </x:is>
      </x:c>
      <x:c r="C4306" s="3" t="inlineStr">
        <x:is>
          <x:t xml:space="preserve">晶华微</x:t>
        </x:is>
      </x:c>
      <x:c r="D4306" s="3" t="inlineStr">
        <x:is>
          <x:t xml:space="preserve">杭州晶华微电子股份有限公司</x:t>
        </x:is>
      </x:c>
      <x:c r="E4306" s="2" t="inlineStr">
        <x:is>
          <x:t xml:space="preserve">浙江省</x:t>
        </x:is>
      </x:c>
      <x:c r="F4306" s="2" t="inlineStr">
        <x:is>
          <x:t xml:space="preserve">杭州市</x:t>
        </x:is>
      </x:c>
      <x:c r="G4306" s="3" t="inlineStr">
        <x:is>
          <x:t xml:space="preserve">浙江省-杭州市</x:t>
        </x:is>
      </x:c>
      <x:c r="H4306" s="2" t="inlineStr">
        <x:is>
          <x:t xml:space="preserve">半导体</x:t>
        </x:is>
      </x:c>
      <x:c r="I4306" s="2" t="inlineStr">
        <x:is>
          <x:t xml:space="preserve">2022-07-29</x:t>
        </x:is>
      </x:c>
      <x:c r="J4306" s="3" t="inlineStr">
        <x:is>
          <x:t xml:space="preserve">浙江省杭州市滨江区长河街道长河路351号4号楼5层A座501室</x:t>
        </x:is>
      </x:c>
      <x:c r="K4306" s="12" t="str">
        <x:f>LEFT("91330108770816153N",18)</x:f>
        <x:v>91330108770816153N</x:v>
      </x:c>
    </x:row>
    <x:row r="4307">
      <x:c r="A4307" s="4" t="n">
        <x:v>4306</x:v>
      </x:c>
      <x:c r="B4307" s="4" t="inlineStr">
        <x:is>
          <x:t xml:space="preserve">688141</x:t>
        </x:is>
      </x:c>
      <x:c r="C4307" s="5" t="inlineStr">
        <x:is>
          <x:t xml:space="preserve">杰华特</x:t>
        </x:is>
      </x:c>
      <x:c r="D4307" s="5" t="inlineStr">
        <x:is>
          <x:t xml:space="preserve">杰华特微电子股份有限公司</x:t>
        </x:is>
      </x:c>
      <x:c r="E4307" s="4" t="inlineStr">
        <x:is>
          <x:t xml:space="preserve">浙江省</x:t>
        </x:is>
      </x:c>
      <x:c r="F4307" s="4" t="inlineStr">
        <x:is>
          <x:t xml:space="preserve">杭州市</x:t>
        </x:is>
      </x:c>
      <x:c r="G4307" s="5" t="inlineStr">
        <x:is>
          <x:t xml:space="preserve">浙江省-杭州市</x:t>
        </x:is>
      </x:c>
      <x:c r="H4307" s="4" t="inlineStr">
        <x:is>
          <x:t xml:space="preserve">半导体</x:t>
        </x:is>
      </x:c>
      <x:c r="I4307" s="4" t="inlineStr">
        <x:is>
          <x:t xml:space="preserve">2022-12-23</x:t>
        </x:is>
      </x:c>
      <x:c r="J4307" s="5" t="inlineStr">
        <x:is>
          <x:t xml:space="preserve">杭州市西湖区三墩镇圣塘坝街19号圣塘芯城</x:t>
        </x:is>
      </x:c>
      <x:c r="K4307" s="12" t="str">
        <x:f>LEFT("91330100060994115M",18)</x:f>
        <x:v>91330100060994115M</x:v>
      </x:c>
    </x:row>
    <x:row r="4308">
      <x:c r="A4308" s="2" t="n">
        <x:v>4307</x:v>
      </x:c>
      <x:c r="B4308" s="2" t="inlineStr">
        <x:is>
          <x:t xml:space="preserve">688184</x:t>
        </x:is>
      </x:c>
      <x:c r="C4308" s="3" t="inlineStr">
        <x:is>
          <x:t xml:space="preserve">ST帕瓦</x:t>
        </x:is>
      </x:c>
      <x:c r="D4308" s="3" t="inlineStr">
        <x:is>
          <x:t xml:space="preserve">浙江帕瓦新能源股份有限公司</x:t>
        </x:is>
      </x:c>
      <x:c r="E4308" s="2" t="inlineStr">
        <x:is>
          <x:t xml:space="preserve">浙江省</x:t>
        </x:is>
      </x:c>
      <x:c r="F4308" s="2" t="inlineStr">
        <x:is>
          <x:t xml:space="preserve">江省诸暨市</x:t>
        </x:is>
      </x:c>
      <x:c r="G4308" s="3" t="inlineStr">
        <x:is>
          <x:t xml:space="preserve">浙江省-江省诸暨市</x:t>
        </x:is>
      </x:c>
      <x:c r="H4308" s="2" t="inlineStr">
        <x:is>
          <x:t xml:space="preserve">电池</x:t>
        </x:is>
      </x:c>
      <x:c r="I4308" s="2" t="inlineStr">
        <x:is>
          <x:t xml:space="preserve">2022-09-19</x:t>
        </x:is>
      </x:c>
      <x:c r="J4308" s="3" t="inlineStr">
        <x:is>
          <x:t xml:space="preserve">浙江省诸暨市陶朱街道友谊北路57号</x:t>
        </x:is>
      </x:c>
      <x:c r="K4308" s="12" t="str">
        <x:f>LEFT("91330681307478340A",18)</x:f>
        <x:v>91330681307478340A</x:v>
      </x:c>
    </x:row>
    <x:row r="4309">
      <x:c r="A4309" s="4" t="n">
        <x:v>4308</x:v>
      </x:c>
      <x:c r="B4309" s="4" t="inlineStr">
        <x:is>
          <x:t xml:space="preserve">688203</x:t>
        </x:is>
      </x:c>
      <x:c r="C4309" s="5" t="inlineStr">
        <x:is>
          <x:t xml:space="preserve">海正生材</x:t>
        </x:is>
      </x:c>
      <x:c r="D4309" s="5" t="inlineStr">
        <x:is>
          <x:t xml:space="preserve">浙江海正生物材料股份有限公司</x:t>
        </x:is>
      </x:c>
      <x:c r="E4309" s="4" t="inlineStr">
        <x:is>
          <x:t xml:space="preserve">浙江省</x:t>
        </x:is>
      </x:c>
      <x:c r="F4309" s="4" t="inlineStr">
        <x:is>
          <x:t xml:space="preserve">台州市</x:t>
        </x:is>
      </x:c>
      <x:c r="G4309" s="5" t="inlineStr">
        <x:is>
          <x:t xml:space="preserve">浙江省-台州市</x:t>
        </x:is>
      </x:c>
      <x:c r="H4309" s="4" t="inlineStr">
        <x:is>
          <x:t xml:space="preserve">化纤行业</x:t>
        </x:is>
      </x:c>
      <x:c r="I4309" s="4" t="inlineStr">
        <x:is>
          <x:t xml:space="preserve">2022-08-16</x:t>
        </x:is>
      </x:c>
      <x:c r="J4309" s="5" t="inlineStr">
        <x:is>
          <x:t xml:space="preserve">浙江省台州市椒江区工人路293号301-07室</x:t>
        </x:is>
      </x:c>
      <x:c r="K4309" s="12" t="str">
        <x:f>LEFT("913300007664077600",18)</x:f>
        <x:v>913300007664077600</x:v>
      </x:c>
    </x:row>
    <x:row r="4310">
      <x:c r="A4310" s="2" t="n">
        <x:v>4309</x:v>
      </x:c>
      <x:c r="B4310" s="2" t="inlineStr">
        <x:is>
          <x:t xml:space="preserve">688215</x:t>
        </x:is>
      </x:c>
      <x:c r="C4310" s="3" t="inlineStr">
        <x:is>
          <x:t xml:space="preserve">瑞晟智能</x:t>
        </x:is>
      </x:c>
      <x:c r="D4310" s="3" t="inlineStr">
        <x:is>
          <x:t xml:space="preserve">浙江瑞晟智能科技股份有限公司</x:t>
        </x:is>
      </x:c>
      <x:c r="E4310" s="2" t="inlineStr">
        <x:is>
          <x:t xml:space="preserve">浙江省</x:t>
        </x:is>
      </x:c>
      <x:c r="F4310" s="2" t="inlineStr">
        <x:is>
          <x:t xml:space="preserve">宁波市</x:t>
        </x:is>
      </x:c>
      <x:c r="G4310" s="3" t="inlineStr">
        <x:is>
          <x:t xml:space="preserve">浙江省-宁波市</x:t>
        </x:is>
      </x:c>
      <x:c r="H4310" s="2" t="inlineStr">
        <x:is>
          <x:t xml:space="preserve">专用设备</x:t>
        </x:is>
      </x:c>
      <x:c r="I4310" s="2" t="inlineStr">
        <x:is>
          <x:t xml:space="preserve">2020-08-28</x:t>
        </x:is>
      </x:c>
      <x:c r="J4310" s="3" t="inlineStr">
        <x:is>
          <x:t xml:space="preserve">浙江省宁波市高新区光华路299弄9幢17、18、19、20号016幢701室</x:t>
        </x:is>
      </x:c>
      <x:c r="K4310" s="12" t="str">
        <x:f>LEFT("91330200698208670Y",18)</x:f>
        <x:v>91330200698208670Y</x:v>
      </x:c>
    </x:row>
    <x:row r="4311">
      <x:c r="A4311" s="4" t="n">
        <x:v>4310</x:v>
      </x:c>
      <x:c r="B4311" s="4" t="inlineStr">
        <x:is>
          <x:t xml:space="preserve">688255</x:t>
        </x:is>
      </x:c>
      <x:c r="C4311" s="5" t="inlineStr">
        <x:is>
          <x:t xml:space="preserve">凯尔达</x:t>
        </x:is>
      </x:c>
      <x:c r="D4311" s="5" t="inlineStr">
        <x:is>
          <x:t xml:space="preserve">杭州凯尔达焊接机器人股份有限公司</x:t>
        </x:is>
      </x:c>
      <x:c r="E4311" s="4" t="inlineStr">
        <x:is>
          <x:t xml:space="preserve">浙江省</x:t>
        </x:is>
      </x:c>
      <x:c r="F4311" s="4" t="inlineStr">
        <x:is>
          <x:t xml:space="preserve">杭州市</x:t>
        </x:is>
      </x:c>
      <x:c r="G4311" s="5" t="inlineStr">
        <x:is>
          <x:t xml:space="preserve">浙江省-杭州市</x:t>
        </x:is>
      </x:c>
      <x:c r="H4311" s="4" t="inlineStr">
        <x:is>
          <x:t xml:space="preserve">专用设备</x:t>
        </x:is>
      </x:c>
      <x:c r="I4311" s="4" t="inlineStr">
        <x:is>
          <x:t xml:space="preserve">2021-10-25</x:t>
        </x:is>
      </x:c>
      <x:c r="J4311" s="5" t="inlineStr">
        <x:is>
          <x:t xml:space="preserve">浙江省杭州市萧山区萧山经济技术开发区长鸣路778号</x:t>
        </x:is>
      </x:c>
      <x:c r="K4311" s="12" t="str">
        <x:f>LEFT("913301006858202388",18)</x:f>
        <x:v>913301006858202400</x:v>
      </x:c>
    </x:row>
    <x:row r="4312">
      <x:c r="A4312" s="2" t="n">
        <x:v>4311</x:v>
      </x:c>
      <x:c r="B4312" s="2" t="inlineStr">
        <x:is>
          <x:t xml:space="preserve">688270</x:t>
        </x:is>
      </x:c>
      <x:c r="C4312" s="3" t="inlineStr">
        <x:is>
          <x:t xml:space="preserve">臻镭科技</x:t>
        </x:is>
      </x:c>
      <x:c r="D4312" s="3" t="inlineStr">
        <x:is>
          <x:t xml:space="preserve">浙江臻镭科技股份有限公司</x:t>
        </x:is>
      </x:c>
      <x:c r="E4312" s="2" t="inlineStr">
        <x:is>
          <x:t xml:space="preserve">浙江省</x:t>
        </x:is>
      </x:c>
      <x:c r="F4312" s="2" t="inlineStr">
        <x:is>
          <x:t xml:space="preserve">杭州市</x:t>
        </x:is>
      </x:c>
      <x:c r="G4312" s="3" t="inlineStr">
        <x:is>
          <x:t xml:space="preserve">浙江省-杭州市</x:t>
        </x:is>
      </x:c>
      <x:c r="H4312" s="2" t="inlineStr">
        <x:is>
          <x:t xml:space="preserve">半导体</x:t>
        </x:is>
      </x:c>
      <x:c r="I4312" s="2" t="inlineStr">
        <x:is>
          <x:t xml:space="preserve">2022-01-27</x:t>
        </x:is>
      </x:c>
      <x:c r="J4312" s="3" t="inlineStr">
        <x:is>
          <x:t xml:space="preserve">浙江省杭州市西湖区智强路428号云创镓谷研发中心7号楼、8号楼1-3层</x:t>
        </x:is>
      </x:c>
      <x:c r="K4312" s="12" t="str">
        <x:f>LEFT("9133011035243235XH",18)</x:f>
        <x:v>9133011035243235XH</x:v>
      </x:c>
    </x:row>
    <x:row r="4313">
      <x:c r="A4313" s="4" t="n">
        <x:v>4312</x:v>
      </x:c>
      <x:c r="B4313" s="4" t="inlineStr">
        <x:is>
          <x:t xml:space="preserve">688288</x:t>
        </x:is>
      </x:c>
      <x:c r="C4313" s="5" t="inlineStr">
        <x:is>
          <x:t xml:space="preserve">鸿泉技术</x:t>
        </x:is>
      </x:c>
      <x:c r="D4313" s="5" t="inlineStr">
        <x:is>
          <x:t xml:space="preserve">杭州鸿泉物联网技术股份有限公司</x:t>
        </x:is>
      </x:c>
      <x:c r="E4313" s="4" t="inlineStr">
        <x:is>
          <x:t xml:space="preserve">浙江省</x:t>
        </x:is>
      </x:c>
      <x:c r="F4313" s="4" t="inlineStr">
        <x:is>
          <x:t xml:space="preserve">杭州市</x:t>
        </x:is>
      </x:c>
      <x:c r="G4313" s="5" t="inlineStr">
        <x:is>
          <x:t xml:space="preserve">浙江省-杭州市</x:t>
        </x:is>
      </x:c>
      <x:c r="H4313" s="4" t="inlineStr">
        <x:is>
          <x:t xml:space="preserve">计算机设备</x:t>
        </x:is>
      </x:c>
      <x:c r="I4313" s="4" t="inlineStr">
        <x:is>
          <x:t xml:space="preserve">2019-11-06</x:t>
        </x:is>
      </x:c>
      <x:c r="J4313" s="5" t="inlineStr">
        <x:is>
          <x:t xml:space="preserve">杭州市滨江区西兴街道启智街35号(鸿泉大厦)17层</x:t>
        </x:is>
      </x:c>
      <x:c r="K4313" s="12" t="str">
        <x:f>LEFT("91330108689090420P",18)</x:f>
        <x:v>91330108689090420P</x:v>
      </x:c>
    </x:row>
    <x:row r="4314">
      <x:c r="A4314" s="2" t="n">
        <x:v>4313</x:v>
      </x:c>
      <x:c r="B4314" s="2" t="inlineStr">
        <x:is>
          <x:t xml:space="preserve">688290</x:t>
        </x:is>
      </x:c>
      <x:c r="C4314" s="3" t="inlineStr">
        <x:is>
          <x:t xml:space="preserve">景业智能</x:t>
        </x:is>
      </x:c>
      <x:c r="D4314" s="3" t="inlineStr">
        <x:is>
          <x:t xml:space="preserve">杭州景业智能科技股份有限公司</x:t>
        </x:is>
      </x:c>
      <x:c r="E4314" s="2" t="inlineStr">
        <x:is>
          <x:t xml:space="preserve">浙江省</x:t>
        </x:is>
      </x:c>
      <x:c r="F4314" s="2" t="inlineStr">
        <x:is>
          <x:t xml:space="preserve">杭州市</x:t>
        </x:is>
      </x:c>
      <x:c r="G4314" s="3" t="inlineStr">
        <x:is>
          <x:t xml:space="preserve">浙江省-杭州市</x:t>
        </x:is>
      </x:c>
      <x:c r="H4314" s="2" t="inlineStr">
        <x:is>
          <x:t xml:space="preserve">专用设备</x:t>
        </x:is>
      </x:c>
      <x:c r="I4314" s="2" t="inlineStr">
        <x:is>
          <x:t xml:space="preserve">2022-04-29</x:t>
        </x:is>
      </x:c>
      <x:c r="J4314" s="3" t="inlineStr">
        <x:is>
          <x:t xml:space="preserve">浙江省杭州市滨江区乳泉路925号</x:t>
        </x:is>
      </x:c>
      <x:c r="K4314" s="12" t="str">
        <x:f>LEFT("91330108341815806X",18)</x:f>
        <x:v>91330108341815806X</x:v>
      </x:c>
    </x:row>
    <x:row r="4315">
      <x:c r="A4315" s="4" t="n">
        <x:v>4314</x:v>
      </x:c>
      <x:c r="B4315" s="4" t="inlineStr">
        <x:is>
          <x:t xml:space="preserve">688296</x:t>
        </x:is>
      </x:c>
      <x:c r="C4315" s="5" t="inlineStr">
        <x:is>
          <x:t xml:space="preserve">和达科技</x:t>
        </x:is>
      </x:c>
      <x:c r="D4315" s="5" t="inlineStr">
        <x:is>
          <x:t xml:space="preserve">浙江和达科技股份有限公司</x:t>
        </x:is>
      </x:c>
      <x:c r="E4315" s="4" t="inlineStr">
        <x:is>
          <x:t xml:space="preserve">浙江省</x:t>
        </x:is>
      </x:c>
      <x:c r="F4315" s="4" t="inlineStr">
        <x:is>
          <x:t xml:space="preserve">嘉兴市</x:t>
        </x:is>
      </x:c>
      <x:c r="G4315" s="5" t="inlineStr">
        <x:is>
          <x:t xml:space="preserve">浙江省-嘉兴市</x:t>
        </x:is>
      </x:c>
      <x:c r="H4315" s="4" t="inlineStr">
        <x:is>
          <x:t xml:space="preserve">软件服务</x:t>
        </x:is>
      </x:c>
      <x:c r="I4315" s="4" t="inlineStr">
        <x:is>
          <x:t xml:space="preserve">2021-07-27</x:t>
        </x:is>
      </x:c>
      <x:c r="J4315" s="5" t="inlineStr">
        <x:is>
          <x:t xml:space="preserve">浙江省嘉兴市经济技术开发区昌盛南路36号嘉兴智慧产业创新园18幢(不含508室)</x:t>
        </x:is>
      </x:c>
      <x:c r="K4315" s="12" t="str">
        <x:f>LEFT("91330400725235480T",18)</x:f>
        <x:v>91330400725235480T</x:v>
      </x:c>
    </x:row>
    <x:row r="4316">
      <x:c r="A4316" s="2" t="n">
        <x:v>4315</x:v>
      </x:c>
      <x:c r="B4316" s="2" t="inlineStr">
        <x:is>
          <x:t xml:space="preserve">688298</x:t>
        </x:is>
      </x:c>
      <x:c r="C4316" s="3" t="inlineStr">
        <x:is>
          <x:t xml:space="preserve">东方生物</x:t>
        </x:is>
      </x:c>
      <x:c r="D4316" s="3" t="inlineStr">
        <x:is>
          <x:t xml:space="preserve">浙江东方基因生物制品股份有限公司</x:t>
        </x:is>
      </x:c>
      <x:c r="E4316" s="2" t="inlineStr">
        <x:is>
          <x:t xml:space="preserve">浙江省</x:t>
        </x:is>
      </x:c>
      <x:c r="F4316" s="2" t="inlineStr">
        <x:is>
          <x:t xml:space="preserve">湖州市</x:t>
        </x:is>
      </x:c>
      <x:c r="G4316" s="3" t="inlineStr">
        <x:is>
          <x:t xml:space="preserve">浙江省-湖州市</x:t>
        </x:is>
      </x:c>
      <x:c r="H4316" s="2" t="inlineStr">
        <x:is>
          <x:t xml:space="preserve">医疗器械</x:t>
        </x:is>
      </x:c>
      <x:c r="I4316" s="2" t="inlineStr">
        <x:is>
          <x:t xml:space="preserve">2020-02-05</x:t>
        </x:is>
      </x:c>
      <x:c r="J4316" s="3" t="inlineStr">
        <x:is>
          <x:t xml:space="preserve">浙江省湖州市安吉县递铺街道阳光大道东段3787号</x:t>
        </x:is>
      </x:c>
      <x:c r="K4316" s="12" t="str">
        <x:f>LEFT("913305007804719612",18)</x:f>
        <x:v>913305007804719600</x:v>
      </x:c>
    </x:row>
    <x:row r="4317">
      <x:c r="A4317" s="4" t="n">
        <x:v>4316</x:v>
      </x:c>
      <x:c r="B4317" s="4" t="inlineStr">
        <x:is>
          <x:t xml:space="preserve">688299</x:t>
        </x:is>
      </x:c>
      <x:c r="C4317" s="5" t="inlineStr">
        <x:is>
          <x:t xml:space="preserve">长阳科技</x:t>
        </x:is>
      </x:c>
      <x:c r="D4317" s="5" t="inlineStr">
        <x:is>
          <x:t xml:space="preserve">宁波长阳科技股份有限公司</x:t>
        </x:is>
      </x:c>
      <x:c r="E4317" s="4" t="inlineStr">
        <x:is>
          <x:t xml:space="preserve">浙江省</x:t>
        </x:is>
      </x:c>
      <x:c r="F4317" s="4" t="inlineStr">
        <x:is>
          <x:t xml:space="preserve">宁波市</x:t>
        </x:is>
      </x:c>
      <x:c r="G4317" s="5" t="inlineStr">
        <x:is>
          <x:t xml:space="preserve">浙江省-宁波市</x:t>
        </x:is>
      </x:c>
      <x:c r="H4317" s="4" t="inlineStr">
        <x:is>
          <x:t xml:space="preserve">光学光电子</x:t>
        </x:is>
      </x:c>
      <x:c r="I4317" s="4" t="inlineStr">
        <x:is>
          <x:t xml:space="preserve">2019-11-06</x:t>
        </x:is>
      </x:c>
      <x:c r="J4317" s="5" t="inlineStr">
        <x:is>
          <x:t xml:space="preserve">宁波市江北区庆丰路999号</x:t>
        </x:is>
      </x:c>
      <x:c r="K4317" s="12" t="str">
        <x:f>LEFT("91330200563871993X",18)</x:f>
        <x:v>91330200563871993X</x:v>
      </x:c>
    </x:row>
    <x:row r="4318">
      <x:c r="A4318" s="2" t="n">
        <x:v>4317</x:v>
      </x:c>
      <x:c r="B4318" s="2" t="inlineStr">
        <x:is>
          <x:t xml:space="preserve">688306</x:t>
        </x:is>
      </x:c>
      <x:c r="C4318" s="3" t="inlineStr">
        <x:is>
          <x:t xml:space="preserve">均普智能</x:t>
        </x:is>
      </x:c>
      <x:c r="D4318" s="3" t="inlineStr">
        <x:is>
          <x:t xml:space="preserve">宁波均普智能制造股份有限公司</x:t>
        </x:is>
      </x:c>
      <x:c r="E4318" s="2" t="inlineStr">
        <x:is>
          <x:t xml:space="preserve">浙江省</x:t>
        </x:is>
      </x:c>
      <x:c r="F4318" s="2" t="inlineStr">
        <x:is>
          <x:t xml:space="preserve">宁波市</x:t>
        </x:is>
      </x:c>
      <x:c r="G4318" s="3" t="inlineStr">
        <x:is>
          <x:t xml:space="preserve">浙江省-宁波市</x:t>
        </x:is>
      </x:c>
      <x:c r="H4318" s="2" t="inlineStr">
        <x:is>
          <x:t xml:space="preserve">专用设备</x:t>
        </x:is>
      </x:c>
      <x:c r="I4318" s="2" t="inlineStr">
        <x:is>
          <x:t xml:space="preserve">2022-03-22</x:t>
        </x:is>
      </x:c>
      <x:c r="J4318" s="3" t="inlineStr">
        <x:is>
          <x:t xml:space="preserve">浙江省宁波市高新区清逸路99号4号楼</x:t>
        </x:is>
      </x:c>
      <x:c r="K4318" s="12" t="str">
        <x:f>LEFT("91330212MA283TNK3U",18)</x:f>
        <x:v>91330212MA283TNK3U</x:v>
      </x:c>
    </x:row>
    <x:row r="4319">
      <x:c r="A4319" s="4" t="n">
        <x:v>4318</x:v>
      </x:c>
      <x:c r="B4319" s="4" t="inlineStr">
        <x:is>
          <x:t xml:space="preserve">688307</x:t>
        </x:is>
      </x:c>
      <x:c r="C4319" s="5" t="inlineStr">
        <x:is>
          <x:t xml:space="preserve">中润光学</x:t>
        </x:is>
      </x:c>
      <x:c r="D4319" s="5" t="inlineStr">
        <x:is>
          <x:t xml:space="preserve">嘉兴中润光学科技股份有限公司</x:t>
        </x:is>
      </x:c>
      <x:c r="E4319" s="4" t="inlineStr">
        <x:is>
          <x:t xml:space="preserve">浙江省</x:t>
        </x:is>
      </x:c>
      <x:c r="F4319" s="4" t="inlineStr">
        <x:is>
          <x:t xml:space="preserve">嘉兴市</x:t>
        </x:is>
      </x:c>
      <x:c r="G4319" s="5" t="inlineStr">
        <x:is>
          <x:t xml:space="preserve">浙江省-嘉兴市</x:t>
        </x:is>
      </x:c>
      <x:c r="H4319" s="4" t="inlineStr">
        <x:is>
          <x:t xml:space="preserve">光学光电子</x:t>
        </x:is>
      </x:c>
      <x:c r="I4319" s="4" t="inlineStr">
        <x:is>
          <x:t xml:space="preserve">2023-02-16</x:t>
        </x:is>
      </x:c>
      <x:c r="J4319" s="5" t="inlineStr">
        <x:is>
          <x:t xml:space="preserve">浙江省嘉兴市秀洲区高照街道陶泾路188号</x:t>
        </x:is>
      </x:c>
      <x:c r="K4319" s="12" t="str">
        <x:f>LEFT("9133040105282356X4",18)</x:f>
        <x:v>9133040105282356X4</x:v>
      </x:c>
    </x:row>
    <x:row r="4320">
      <x:c r="A4320" s="2" t="n">
        <x:v>4319</x:v>
      </x:c>
      <x:c r="B4320" s="2" t="inlineStr">
        <x:is>
          <x:t xml:space="preserve">688310</x:t>
        </x:is>
      </x:c>
      <x:c r="C4320" s="3" t="inlineStr">
        <x:is>
          <x:t xml:space="preserve">迈得医疗</x:t>
        </x:is>
      </x:c>
      <x:c r="D4320" s="3" t="inlineStr">
        <x:is>
          <x:t xml:space="preserve">迈得医疗工业设备股份有限公司</x:t>
        </x:is>
      </x:c>
      <x:c r="E4320" s="2" t="inlineStr">
        <x:is>
          <x:t xml:space="preserve">浙江省</x:t>
        </x:is>
      </x:c>
      <x:c r="F4320" s="2" t="inlineStr">
        <x:is>
          <x:t xml:space="preserve">玉环市</x:t>
        </x:is>
      </x:c>
      <x:c r="G4320" s="3" t="inlineStr">
        <x:is>
          <x:t xml:space="preserve">浙江省-玉环市</x:t>
        </x:is>
      </x:c>
      <x:c r="H4320" s="2" t="inlineStr">
        <x:is>
          <x:t xml:space="preserve">专用设备</x:t>
        </x:is>
      </x:c>
      <x:c r="I4320" s="2" t="inlineStr">
        <x:is>
          <x:t xml:space="preserve">2019-12-03</x:t>
        </x:is>
      </x:c>
      <x:c r="J4320" s="3" t="inlineStr">
        <x:is>
          <x:t xml:space="preserve">玉环市沙门镇滨港工业城</x:t>
        </x:is>
      </x:c>
      <x:c r="K4320" s="12" t="str">
        <x:f>LEFT("91331000747713308W",18)</x:f>
        <x:v>91331000747713308W</x:v>
      </x:c>
    </x:row>
    <x:row r="4321">
      <x:c r="A4321" s="4" t="n">
        <x:v>4320</x:v>
      </x:c>
      <x:c r="B4321" s="4" t="inlineStr">
        <x:is>
          <x:t xml:space="preserve">688320</x:t>
        </x:is>
      </x:c>
      <x:c r="C4321" s="5" t="inlineStr">
        <x:is>
          <x:t xml:space="preserve">禾川科技</x:t>
        </x:is>
      </x:c>
      <x:c r="D4321" s="5" t="inlineStr">
        <x:is>
          <x:t xml:space="preserve">浙江禾川科技股份有限公司</x:t>
        </x:is>
      </x:c>
      <x:c r="E4321" s="4" t="inlineStr">
        <x:is>
          <x:t xml:space="preserve">浙江省</x:t>
        </x:is>
      </x:c>
      <x:c r="F4321" s="4" t="inlineStr">
        <x:is>
          <x:t xml:space="preserve">衢州市</x:t>
        </x:is>
      </x:c>
      <x:c r="G4321" s="5" t="inlineStr">
        <x:is>
          <x:t xml:space="preserve">浙江省-衢州市</x:t>
        </x:is>
      </x:c>
      <x:c r="H4321" s="4" t="inlineStr">
        <x:is>
          <x:t xml:space="preserve">仪器仪表</x:t>
        </x:is>
      </x:c>
      <x:c r="I4321" s="4" t="inlineStr">
        <x:is>
          <x:t xml:space="preserve">2022-04-28</x:t>
        </x:is>
      </x:c>
      <x:c r="J4321" s="5" t="inlineStr">
        <x:is>
          <x:t xml:space="preserve">浙江龙游经济开发区亲善路5号</x:t>
        </x:is>
      </x:c>
      <x:c r="K4321" s="12" t="str">
        <x:f>LEFT("91330800586274286A",18)</x:f>
        <x:v>91330800586274286A</x:v>
      </x:c>
    </x:row>
    <x:row r="4322">
      <x:c r="A4322" s="2" t="n">
        <x:v>4321</x:v>
      </x:c>
      <x:c r="B4322" s="2" t="inlineStr">
        <x:is>
          <x:t xml:space="preserve">688348</x:t>
        </x:is>
      </x:c>
      <x:c r="C4322" s="3" t="inlineStr">
        <x:is>
          <x:t xml:space="preserve">昱能科技</x:t>
        </x:is>
      </x:c>
      <x:c r="D4322" s="3" t="inlineStr">
        <x:is>
          <x:t xml:space="preserve">昱能科技股份有限公司</x:t>
        </x:is>
      </x:c>
      <x:c r="E4322" s="2" t="inlineStr">
        <x:is>
          <x:t xml:space="preserve">浙江省</x:t>
        </x:is>
      </x:c>
      <x:c r="F4322" s="2" t="inlineStr">
        <x:is>
          <x:t xml:space="preserve">嘉兴市</x:t>
        </x:is>
      </x:c>
      <x:c r="G4322" s="3" t="inlineStr">
        <x:is>
          <x:t xml:space="preserve">浙江省-嘉兴市</x:t>
        </x:is>
      </x:c>
      <x:c r="H4322" s="2" t="inlineStr">
        <x:is>
          <x:t xml:space="preserve">光伏设备</x:t>
        </x:is>
      </x:c>
      <x:c r="I4322" s="2" t="inlineStr">
        <x:is>
          <x:t xml:space="preserve">2022-06-08</x:t>
        </x:is>
      </x:c>
      <x:c r="J4322" s="3" t="inlineStr">
        <x:is>
          <x:t xml:space="preserve">浙江省嘉兴市南湖区亚太路522号2幢</x:t>
        </x:is>
      </x:c>
      <x:c r="K4322" s="12" t="str">
        <x:f>LEFT("91330400551779794Q",18)</x:f>
        <x:v>91330400551779794Q</x:v>
      </x:c>
    </x:row>
    <x:row r="4323">
      <x:c r="A4323" s="4" t="n">
        <x:v>4322</x:v>
      </x:c>
      <x:c r="B4323" s="4" t="inlineStr">
        <x:is>
          <x:t xml:space="preserve">688360</x:t>
        </x:is>
      </x:c>
      <x:c r="C4323" s="5" t="inlineStr">
        <x:is>
          <x:t xml:space="preserve">德马科技</x:t>
        </x:is>
      </x:c>
      <x:c r="D4323" s="5" t="inlineStr">
        <x:is>
          <x:t xml:space="preserve">德马科技集团股份有限公司</x:t>
        </x:is>
      </x:c>
      <x:c r="E4323" s="4" t="inlineStr">
        <x:is>
          <x:t xml:space="preserve">浙江省</x:t>
        </x:is>
      </x:c>
      <x:c r="F4323" s="4" t="inlineStr">
        <x:is>
          <x:t xml:space="preserve">湖州市</x:t>
        </x:is>
      </x:c>
      <x:c r="G4323" s="5" t="inlineStr">
        <x:is>
          <x:t xml:space="preserve">浙江省-湖州市</x:t>
        </x:is>
      </x:c>
      <x:c r="H4323" s="4" t="inlineStr">
        <x:is>
          <x:t xml:space="preserve">机械行业</x:t>
        </x:is>
      </x:c>
      <x:c r="I4323" s="4" t="inlineStr">
        <x:is>
          <x:t xml:space="preserve">2020-06-02</x:t>
        </x:is>
      </x:c>
      <x:c r="J4323" s="5" t="inlineStr">
        <x:is>
          <x:t xml:space="preserve">浙江省湖州市埭溪镇上强工业区</x:t>
        </x:is>
      </x:c>
      <x:c r="K4323" s="12" t="str">
        <x:f>LEFT("913305007284642118",18)</x:f>
        <x:v>913305007284642200</x:v>
      </x:c>
    </x:row>
    <x:row r="4324">
      <x:c r="A4324" s="2" t="n">
        <x:v>4323</x:v>
      </x:c>
      <x:c r="B4324" s="2" t="inlineStr">
        <x:is>
          <x:t xml:space="preserve">688362</x:t>
        </x:is>
      </x:c>
      <x:c r="C4324" s="3" t="inlineStr">
        <x:is>
          <x:t xml:space="preserve">甬矽电子</x:t>
        </x:is>
      </x:c>
      <x:c r="D4324" s="3" t="inlineStr">
        <x:is>
          <x:t xml:space="preserve">甬矽电子(宁波)股份有限公司</x:t>
        </x:is>
      </x:c>
      <x:c r="E4324" s="2" t="inlineStr">
        <x:is>
          <x:t xml:space="preserve">浙江省</x:t>
        </x:is>
      </x:c>
      <x:c r="F4324" s="2" t="inlineStr">
        <x:is>
          <x:t xml:space="preserve">宁波市</x:t>
        </x:is>
      </x:c>
      <x:c r="G4324" s="3" t="inlineStr">
        <x:is>
          <x:t xml:space="preserve">浙江省-宁波市</x:t>
        </x:is>
      </x:c>
      <x:c r="H4324" s="2" t="inlineStr">
        <x:is>
          <x:t xml:space="preserve">半导体</x:t>
        </x:is>
      </x:c>
      <x:c r="I4324" s="2" t="inlineStr">
        <x:is>
          <x:t xml:space="preserve">2022-11-16</x:t>
        </x:is>
      </x:c>
      <x:c r="J4324" s="3" t="inlineStr">
        <x:is>
          <x:t xml:space="preserve">浙江省宁波市余姚市中意宁波生态园兴舜路22号</x:t>
        </x:is>
      </x:c>
      <x:c r="K4324" s="12" t="str">
        <x:f>LEFT("91330200MA2AFL8H97",18)</x:f>
        <x:v>91330200MA2AFL8H97</x:v>
      </x:c>
    </x:row>
    <x:row r="4325">
      <x:c r="A4325" s="4" t="n">
        <x:v>4324</x:v>
      </x:c>
      <x:c r="B4325" s="4" t="inlineStr">
        <x:is>
          <x:t xml:space="preserve">688365</x:t>
        </x:is>
      </x:c>
      <x:c r="C4325" s="5" t="inlineStr">
        <x:is>
          <x:t xml:space="preserve">光云科技</x:t>
        </x:is>
      </x:c>
      <x:c r="D4325" s="5" t="inlineStr">
        <x:is>
          <x:t xml:space="preserve">杭州光云科技股份有限公司</x:t>
        </x:is>
      </x:c>
      <x:c r="E4325" s="4" t="inlineStr">
        <x:is>
          <x:t xml:space="preserve">浙江省</x:t>
        </x:is>
      </x:c>
      <x:c r="F4325" s="4" t="inlineStr">
        <x:is>
          <x:t xml:space="preserve">杭州市</x:t>
        </x:is>
      </x:c>
      <x:c r="G4325" s="5" t="inlineStr">
        <x:is>
          <x:t xml:space="preserve">浙江省-杭州市</x:t>
        </x:is>
      </x:c>
      <x:c r="H4325" s="4" t="inlineStr">
        <x:is>
          <x:t xml:space="preserve">互联网服务</x:t>
        </x:is>
      </x:c>
      <x:c r="I4325" s="4" t="inlineStr">
        <x:is>
          <x:t xml:space="preserve">2020-04-29</x:t>
        </x:is>
      </x:c>
      <x:c r="J4325" s="5" t="inlineStr">
        <x:is>
          <x:t xml:space="preserve">浙江省杭州市滨江区浦沿街道坚塔街599号10层1001室</x:t>
        </x:is>
      </x:c>
      <x:c r="K4325" s="12" t="str">
        <x:f>LEFT("91330108077312600N",18)</x:f>
        <x:v>91330108077312600N</x:v>
      </x:c>
    </x:row>
    <x:row r="4326">
      <x:c r="A4326" s="2" t="n">
        <x:v>4325</x:v>
      </x:c>
      <x:c r="B4326" s="2" t="inlineStr">
        <x:is>
          <x:t xml:space="preserve">688379</x:t>
        </x:is>
      </x:c>
      <x:c r="C4326" s="3" t="inlineStr">
        <x:is>
          <x:t xml:space="preserve">华光新材</x:t>
        </x:is>
      </x:c>
      <x:c r="D4326" s="3" t="inlineStr">
        <x:is>
          <x:t xml:space="preserve">杭州华光焊接新材料股份有限公司</x:t>
        </x:is>
      </x:c>
      <x:c r="E4326" s="2" t="inlineStr">
        <x:is>
          <x:t xml:space="preserve">浙江省</x:t>
        </x:is>
      </x:c>
      <x:c r="F4326" s="2" t="inlineStr">
        <x:is>
          <x:t xml:space="preserve">杭州市</x:t>
        </x:is>
      </x:c>
      <x:c r="G4326" s="3" t="inlineStr">
        <x:is>
          <x:t xml:space="preserve">浙江省-杭州市</x:t>
        </x:is>
      </x:c>
      <x:c r="H4326" s="2" t="inlineStr">
        <x:is>
          <x:t xml:space="preserve">通用设备</x:t>
        </x:is>
      </x:c>
      <x:c r="I4326" s="2" t="inlineStr">
        <x:is>
          <x:t xml:space="preserve">2020-08-19</x:t>
        </x:is>
      </x:c>
      <x:c r="J4326" s="3" t="inlineStr">
        <x:is>
          <x:t xml:space="preserve">浙江省杭州市余杭区仁和街道启航路82号3幢等</x:t>
        </x:is>
      </x:c>
      <x:c r="K4326" s="12" t="str">
        <x:f>LEFT("91330100143200149A",18)</x:f>
        <x:v>91330100143200149A</x:v>
      </x:c>
    </x:row>
    <x:row r="4327">
      <x:c r="A4327" s="4" t="n">
        <x:v>4326</x:v>
      </x:c>
      <x:c r="B4327" s="4" t="inlineStr">
        <x:is>
          <x:t xml:space="preserve">688449</x:t>
        </x:is>
      </x:c>
      <x:c r="C4327" s="5" t="inlineStr">
        <x:is>
          <x:t xml:space="preserve">联芸科技</x:t>
        </x:is>
      </x:c>
      <x:c r="D4327" s="5" t="inlineStr">
        <x:is>
          <x:t xml:space="preserve">联芸科技(杭州)股份有限公司</x:t>
        </x:is>
      </x:c>
      <x:c r="E4327" s="4" t="inlineStr">
        <x:is>
          <x:t xml:space="preserve">浙江省</x:t>
        </x:is>
      </x:c>
      <x:c r="F4327" s="4" t="inlineStr">
        <x:is>
          <x:t xml:space="preserve">杭州市</x:t>
        </x:is>
      </x:c>
      <x:c r="G4327" s="5" t="inlineStr">
        <x:is>
          <x:t xml:space="preserve">浙江省-杭州市</x:t>
        </x:is>
      </x:c>
      <x:c r="H4327" s="4" t="inlineStr">
        <x:is>
          <x:t xml:space="preserve">半导体</x:t>
        </x:is>
      </x:c>
      <x:c r="I4327" s="4" t="inlineStr">
        <x:is>
          <x:t xml:space="preserve">2024-11-29</x:t>
        </x:is>
      </x:c>
      <x:c r="J4327" s="5" t="inlineStr">
        <x:is>
          <x:t xml:space="preserve">浙江省杭州市滨江区西兴街道阡陌路459号C楼C1-604室</x:t>
        </x:is>
      </x:c>
      <x:c r="K4327" s="12" t="str">
        <x:f>LEFT("91330100320508065U",18)</x:f>
        <x:v>91330100320508065U</x:v>
      </x:c>
    </x:row>
    <x:row r="4328">
      <x:c r="A4328" s="2" t="n">
        <x:v>4327</x:v>
      </x:c>
      <x:c r="B4328" s="2" t="inlineStr">
        <x:is>
          <x:t xml:space="preserve">688469</x:t>
        </x:is>
      </x:c>
      <x:c r="C4328" s="3" t="inlineStr">
        <x:is>
          <x:t xml:space="preserve">芯联集成</x:t>
        </x:is>
      </x:c>
      <x:c r="D4328" s="3" t="inlineStr">
        <x:is>
          <x:t xml:space="preserve">芯联集成电路制造股份有限公司</x:t>
        </x:is>
      </x:c>
      <x:c r="E4328" s="2" t="inlineStr">
        <x:is>
          <x:t xml:space="preserve">浙江省</x:t>
        </x:is>
      </x:c>
      <x:c r="F4328" s="2" t="inlineStr">
        <x:is>
          <x:t xml:space="preserve">绍兴市</x:t>
        </x:is>
      </x:c>
      <x:c r="G4328" s="3" t="inlineStr">
        <x:is>
          <x:t xml:space="preserve">浙江省-绍兴市</x:t>
        </x:is>
      </x:c>
      <x:c r="H4328" s="2" t="inlineStr">
        <x:is>
          <x:t xml:space="preserve">半导体</x:t>
        </x:is>
      </x:c>
      <x:c r="I4328" s="2" t="inlineStr">
        <x:is>
          <x:t xml:space="preserve">2023-05-10</x:t>
        </x:is>
      </x:c>
      <x:c r="J4328" s="3" t="inlineStr">
        <x:is>
          <x:t xml:space="preserve">浙江省绍兴市越城区皋埠街道临江路518号</x:t>
        </x:is>
      </x:c>
      <x:c r="K4328" s="12" t="str">
        <x:f>LEFT("91330600MA2BDY6H13",18)</x:f>
        <x:v>91330600MA2BDY6H13</x:v>
      </x:c>
    </x:row>
    <x:row r="4329">
      <x:c r="A4329" s="4" t="n">
        <x:v>4328</x:v>
      </x:c>
      <x:c r="B4329" s="4" t="inlineStr">
        <x:is>
          <x:t xml:space="preserve">688475</x:t>
        </x:is>
      </x:c>
      <x:c r="C4329" s="5" t="inlineStr">
        <x:is>
          <x:t xml:space="preserve">萤石网络</x:t>
        </x:is>
      </x:c>
      <x:c r="D4329" s="5" t="inlineStr">
        <x:is>
          <x:t xml:space="preserve">杭州萤石网络股份有限公司</x:t>
        </x:is>
      </x:c>
      <x:c r="E4329" s="4" t="inlineStr">
        <x:is>
          <x:t xml:space="preserve">浙江省</x:t>
        </x:is>
      </x:c>
      <x:c r="F4329" s="4" t="inlineStr">
        <x:is>
          <x:t xml:space="preserve">杭州市</x:t>
        </x:is>
      </x:c>
      <x:c r="G4329" s="5" t="inlineStr">
        <x:is>
          <x:t xml:space="preserve">浙江省-杭州市</x:t>
        </x:is>
      </x:c>
      <x:c r="H4329" s="4" t="inlineStr">
        <x:is>
          <x:t xml:space="preserve">家电行业</x:t>
        </x:is>
      </x:c>
      <x:c r="I4329" s="4" t="inlineStr">
        <x:is>
          <x:t xml:space="preserve">2022-12-28</x:t>
        </x:is>
      </x:c>
      <x:c r="J4329" s="5" t="inlineStr">
        <x:is>
          <x:t xml:space="preserve">浙江省杭州市滨江区西兴街道启智东街188号</x:t>
        </x:is>
      </x:c>
      <x:c r="K4329" s="12" t="str">
        <x:f>LEFT("913301083417938384",18)</x:f>
        <x:v>913301083417938400</x:v>
      </x:c>
    </x:row>
    <x:row r="4330">
      <x:c r="A4330" s="2" t="n">
        <x:v>4329</x:v>
      </x:c>
      <x:c r="B4330" s="2" t="inlineStr">
        <x:is>
          <x:t xml:space="preserve">688549</x:t>
        </x:is>
      </x:c>
      <x:c r="C4330" s="3" t="inlineStr">
        <x:is>
          <x:t xml:space="preserve">中巨芯</x:t>
        </x:is>
      </x:c>
      <x:c r="D4330" s="3" t="inlineStr">
        <x:is>
          <x:t xml:space="preserve">中巨芯科技股份有限公司</x:t>
        </x:is>
      </x:c>
      <x:c r="E4330" s="2" t="inlineStr">
        <x:is>
          <x:t xml:space="preserve">浙江省</x:t>
        </x:is>
      </x:c>
      <x:c r="F4330" s="2" t="inlineStr">
        <x:is>
          <x:t xml:space="preserve">衢州市</x:t>
        </x:is>
      </x:c>
      <x:c r="G4330" s="3" t="inlineStr">
        <x:is>
          <x:t xml:space="preserve">浙江省-衢州市</x:t>
        </x:is>
      </x:c>
      <x:c r="H4330" s="2" t="inlineStr">
        <x:is>
          <x:t xml:space="preserve">电子化学品</x:t>
        </x:is>
      </x:c>
      <x:c r="I4330" s="2" t="inlineStr">
        <x:is>
          <x:t xml:space="preserve">2023-09-08</x:t>
        </x:is>
      </x:c>
      <x:c r="J4330" s="3" t="inlineStr">
        <x:is>
          <x:t xml:space="preserve">浙江省衢州市东南时代城3幢857室</x:t>
        </x:is>
      </x:c>
      <x:c r="K4330" s="12" t="str">
        <x:f>LEFT("91330802MA29U4396U",18)</x:f>
        <x:v>91330802MA29U4396U</x:v>
      </x:c>
    </x:row>
    <x:row r="4331">
      <x:c r="A4331" s="4" t="n">
        <x:v>4330</x:v>
      </x:c>
      <x:c r="B4331" s="4" t="inlineStr">
        <x:is>
          <x:t xml:space="preserve">688565</x:t>
        </x:is>
      </x:c>
      <x:c r="C4331" s="5" t="inlineStr">
        <x:is>
          <x:t xml:space="preserve">力源科技</x:t>
        </x:is>
      </x:c>
      <x:c r="D4331" s="5" t="inlineStr">
        <x:is>
          <x:t xml:space="preserve">浙江海盐力源环保科技股份有限公司</x:t>
        </x:is>
      </x:c>
      <x:c r="E4331" s="4" t="inlineStr">
        <x:is>
          <x:t xml:space="preserve">浙江省</x:t>
        </x:is>
      </x:c>
      <x:c r="F4331" s="4" t="inlineStr">
        <x:is>
          <x:t xml:space="preserve">嘉兴市</x:t>
        </x:is>
      </x:c>
      <x:c r="G4331" s="5" t="inlineStr">
        <x:is>
          <x:t xml:space="preserve">浙江省-嘉兴市</x:t>
        </x:is>
      </x:c>
      <x:c r="H4331" s="4" t="inlineStr">
        <x:is>
          <x:t xml:space="preserve">环保工程</x:t>
        </x:is>
      </x:c>
      <x:c r="I4331" s="4" t="inlineStr">
        <x:is>
          <x:t xml:space="preserve">2021-05-13</x:t>
        </x:is>
      </x:c>
      <x:c r="J4331" s="5" t="inlineStr">
        <x:is>
          <x:t xml:space="preserve">浙江省海盐县武原街道长安北路585号</x:t>
        </x:is>
      </x:c>
      <x:c r="K4331" s="12" t="str">
        <x:f>LEFT("91330400715401924C",18)</x:f>
        <x:v>91330400715401924C</x:v>
      </x:c>
    </x:row>
    <x:row r="4332">
      <x:c r="A4332" s="2" t="n">
        <x:v>4331</x:v>
      </x:c>
      <x:c r="B4332" s="2" t="inlineStr">
        <x:is>
          <x:t xml:space="preserve">688571</x:t>
        </x:is>
      </x:c>
      <x:c r="C4332" s="3" t="inlineStr">
        <x:is>
          <x:t xml:space="preserve">杭华股份</x:t>
        </x:is>
      </x:c>
      <x:c r="D4332" s="3" t="inlineStr">
        <x:is>
          <x:t xml:space="preserve">杭华油墨股份有限公司</x:t>
        </x:is>
      </x:c>
      <x:c r="E4332" s="2" t="inlineStr">
        <x:is>
          <x:t xml:space="preserve">浙江省</x:t>
        </x:is>
      </x:c>
      <x:c r="F4332" s="2" t="inlineStr">
        <x:is>
          <x:t xml:space="preserve">杭州市</x:t>
        </x:is>
      </x:c>
      <x:c r="G4332" s="3" t="inlineStr">
        <x:is>
          <x:t xml:space="preserve">浙江省-杭州市</x:t>
        </x:is>
      </x:c>
      <x:c r="H4332" s="2" t="inlineStr">
        <x:is>
          <x:t xml:space="preserve">化工行业</x:t>
        </x:is>
      </x:c>
      <x:c r="I4332" s="2" t="inlineStr">
        <x:is>
          <x:t xml:space="preserve">2020-12-11</x:t>
        </x:is>
      </x:c>
      <x:c r="J4332" s="3" t="inlineStr">
        <x:is>
          <x:t xml:space="preserve">浙江省杭州经济技术开发区白杨街道5号大街(南)2号</x:t>
        </x:is>
      </x:c>
      <x:c r="K4332" s="12" t="str">
        <x:f>LEFT("91330100609121857N",18)</x:f>
        <x:v>91330100609121857N</x:v>
      </x:c>
    </x:row>
    <x:row r="4333">
      <x:c r="A4333" s="4" t="n">
        <x:v>4332</x:v>
      </x:c>
      <x:c r="B4333" s="4" t="inlineStr">
        <x:is>
          <x:t xml:space="preserve">688577</x:t>
        </x:is>
      </x:c>
      <x:c r="C4333" s="5" t="inlineStr">
        <x:is>
          <x:t xml:space="preserve">浙海德曼</x:t>
        </x:is>
      </x:c>
      <x:c r="D4333" s="5" t="inlineStr">
        <x:is>
          <x:t xml:space="preserve">浙江海德曼智能装备股份有限公司</x:t>
        </x:is>
      </x:c>
      <x:c r="E4333" s="4" t="inlineStr">
        <x:is>
          <x:t xml:space="preserve">浙江省</x:t>
        </x:is>
      </x:c>
      <x:c r="F4333" s="4" t="inlineStr">
        <x:is>
          <x:t xml:space="preserve">江省玉环市</x:t>
        </x:is>
      </x:c>
      <x:c r="G4333" s="5" t="inlineStr">
        <x:is>
          <x:t xml:space="preserve">浙江省-江省玉环市</x:t>
        </x:is>
      </x:c>
      <x:c r="H4333" s="4" t="inlineStr">
        <x:is>
          <x:t xml:space="preserve">机械行业</x:t>
        </x:is>
      </x:c>
      <x:c r="I4333" s="4" t="inlineStr">
        <x:is>
          <x:t xml:space="preserve">2020-09-16</x:t>
        </x:is>
      </x:c>
      <x:c r="J4333" s="5" t="inlineStr">
        <x:is>
          <x:t xml:space="preserve">浙江省玉环市大麦屿街道北山头</x:t>
        </x:is>
      </x:c>
      <x:c r="K4333" s="12" t="str">
        <x:f>LEFT("913310211483889459",18)</x:f>
        <x:v>913310211483889400</x:v>
      </x:c>
    </x:row>
    <x:row r="4334">
      <x:c r="A4334" s="2" t="n">
        <x:v>4333</x:v>
      </x:c>
      <x:c r="B4334" s="2" t="inlineStr">
        <x:is>
          <x:t xml:space="preserve">688581</x:t>
        </x:is>
      </x:c>
      <x:c r="C4334" s="3" t="inlineStr">
        <x:is>
          <x:t xml:space="preserve">安杰思</x:t>
        </x:is>
      </x:c>
      <x:c r="D4334" s="3" t="inlineStr">
        <x:is>
          <x:t xml:space="preserve">杭州安杰思医学科技股份有限公司</x:t>
        </x:is>
      </x:c>
      <x:c r="E4334" s="2" t="inlineStr">
        <x:is>
          <x:t xml:space="preserve">浙江省</x:t>
        </x:is>
      </x:c>
      <x:c r="F4334" s="2" t="inlineStr">
        <x:is>
          <x:t xml:space="preserve">杭州市</x:t>
        </x:is>
      </x:c>
      <x:c r="G4334" s="3" t="inlineStr">
        <x:is>
          <x:t xml:space="preserve">浙江省-杭州市</x:t>
        </x:is>
      </x:c>
      <x:c r="H4334" s="2" t="inlineStr">
        <x:is>
          <x:t xml:space="preserve">医疗器械</x:t>
        </x:is>
      </x:c>
      <x:c r="I4334" s="2" t="inlineStr">
        <x:is>
          <x:t xml:space="preserve">2023-05-19</x:t>
        </x:is>
      </x:c>
      <x:c r="J4334" s="3" t="inlineStr">
        <x:is>
          <x:t xml:space="preserve">杭州市临平区兴中路389号</x:t>
        </x:is>
      </x:c>
      <x:c r="K4334" s="12" t="str">
        <x:f>LEFT("913301105660667546",18)</x:f>
        <x:v>913301105660667500</x:v>
      </x:c>
    </x:row>
    <x:row r="4335">
      <x:c r="A4335" s="4" t="n">
        <x:v>4334</x:v>
      </x:c>
      <x:c r="B4335" s="4" t="inlineStr">
        <x:is>
          <x:t xml:space="preserve">688583</x:t>
        </x:is>
      </x:c>
      <x:c r="C4335" s="5" t="inlineStr">
        <x:is>
          <x:t xml:space="preserve">思看科技</x:t>
        </x:is>
      </x:c>
      <x:c r="D4335" s="5" t="inlineStr">
        <x:is>
          <x:t xml:space="preserve">思看科技(杭州)股份有限公司</x:t>
        </x:is>
      </x:c>
      <x:c r="E4335" s="4" t="inlineStr">
        <x:is>
          <x:t xml:space="preserve">浙江省</x:t>
        </x:is>
      </x:c>
      <x:c r="F4335" s="4" t="inlineStr">
        <x:is>
          <x:t xml:space="preserve">杭州市</x:t>
        </x:is>
      </x:c>
      <x:c r="G4335" s="5" t="inlineStr">
        <x:is>
          <x:t xml:space="preserve">浙江省-杭州市</x:t>
        </x:is>
      </x:c>
      <x:c r="H4335" s="4" t="inlineStr">
        <x:is>
          <x:t xml:space="preserve">仪器仪表</x:t>
        </x:is>
      </x:c>
      <x:c r="I4335" s="4" t="inlineStr">
        <x:is>
          <x:t xml:space="preserve">2025-01-15</x:t>
        </x:is>
      </x:c>
      <x:c r="J4335" s="5" t="inlineStr">
        <x:is>
          <x:t xml:space="preserve">浙江省杭州市余杭区五常街道文一西路998号12幢1单元102室</x:t>
        </x:is>
      </x:c>
      <x:c r="K4335" s="12" t="str">
        <x:f>LEFT("91330110328200161L",18)</x:f>
        <x:v>91330110328200161L</x:v>
      </x:c>
    </x:row>
    <x:row r="4336">
      <x:c r="A4336" s="2" t="n">
        <x:v>4335</x:v>
      </x:c>
      <x:c r="B4336" s="2" t="inlineStr">
        <x:is>
          <x:t xml:space="preserve">688606</x:t>
        </x:is>
      </x:c>
      <x:c r="C4336" s="3" t="inlineStr">
        <x:is>
          <x:t xml:space="preserve">奥泰生物</x:t>
        </x:is>
      </x:c>
      <x:c r="D4336" s="3" t="inlineStr">
        <x:is>
          <x:t xml:space="preserve">杭州奥泰生物技术股份有限公司</x:t>
        </x:is>
      </x:c>
      <x:c r="E4336" s="2" t="inlineStr">
        <x:is>
          <x:t xml:space="preserve">浙江省</x:t>
        </x:is>
      </x:c>
      <x:c r="F4336" s="2" t="inlineStr">
        <x:is>
          <x:t xml:space="preserve">杭州市</x:t>
        </x:is>
      </x:c>
      <x:c r="G4336" s="3" t="inlineStr">
        <x:is>
          <x:t xml:space="preserve">浙江省-杭州市</x:t>
        </x:is>
      </x:c>
      <x:c r="H4336" s="2" t="inlineStr">
        <x:is>
          <x:t xml:space="preserve">医疗器械</x:t>
        </x:is>
      </x:c>
      <x:c r="I4336" s="2" t="inlineStr">
        <x:is>
          <x:t xml:space="preserve">2021-03-25</x:t>
        </x:is>
      </x:c>
      <x:c r="J4336" s="3" t="inlineStr">
        <x:is>
          <x:t xml:space="preserve">浙江省杭州市江干区杭州经济技术开发区白杨街道银海街550号第3幢第4幢第5幢厂房</x:t>
        </x:is>
      </x:c>
      <x:c r="K4336" s="12" t="str">
        <x:f>LEFT("91330101685842840Y",18)</x:f>
        <x:v>91330101685842840Y</x:v>
      </x:c>
    </x:row>
    <x:row r="4337">
      <x:c r="A4337" s="4" t="n">
        <x:v>4336</x:v>
      </x:c>
      <x:c r="B4337" s="4" t="inlineStr">
        <x:is>
          <x:t xml:space="preserve">688611</x:t>
        </x:is>
      </x:c>
      <x:c r="C4337" s="5" t="inlineStr">
        <x:is>
          <x:t xml:space="preserve">杭州柯林</x:t>
        </x:is>
      </x:c>
      <x:c r="D4337" s="5" t="inlineStr">
        <x:is>
          <x:t xml:space="preserve">杭州柯林电气股份有限公司</x:t>
        </x:is>
      </x:c>
      <x:c r="E4337" s="4" t="inlineStr">
        <x:is>
          <x:t xml:space="preserve">浙江省</x:t>
        </x:is>
      </x:c>
      <x:c r="F4337" s="4" t="inlineStr">
        <x:is>
          <x:t xml:space="preserve">杭州市</x:t>
        </x:is>
      </x:c>
      <x:c r="G4337" s="5" t="inlineStr">
        <x:is>
          <x:t xml:space="preserve">浙江省-杭州市</x:t>
        </x:is>
      </x:c>
      <x:c r="H4337" s="4" t="inlineStr">
        <x:is>
          <x:t xml:space="preserve">输配电气</x:t>
        </x:is>
      </x:c>
      <x:c r="I4337" s="4" t="inlineStr">
        <x:is>
          <x:t xml:space="preserve">2021-04-12</x:t>
        </x:is>
      </x:c>
      <x:c r="J4337" s="5" t="inlineStr">
        <x:is>
          <x:t xml:space="preserve">浙江省杭州市北软路1003号</x:t>
        </x:is>
      </x:c>
      <x:c r="K4337" s="12" t="str">
        <x:f>LEFT("9133010074509737XA",18)</x:f>
        <x:v>9133010074509737XA</x:v>
      </x:c>
    </x:row>
    <x:row r="4338">
      <x:c r="A4338" s="2" t="n">
        <x:v>4337</x:v>
      </x:c>
      <x:c r="B4338" s="2" t="inlineStr">
        <x:is>
          <x:t xml:space="preserve">688616</x:t>
        </x:is>
      </x:c>
      <x:c r="C4338" s="3" t="inlineStr">
        <x:is>
          <x:t xml:space="preserve">西力科技</x:t>
        </x:is>
      </x:c>
      <x:c r="D4338" s="3" t="inlineStr">
        <x:is>
          <x:t xml:space="preserve">杭州西力智能科技股份有限公司</x:t>
        </x:is>
      </x:c>
      <x:c r="E4338" s="2" t="inlineStr">
        <x:is>
          <x:t xml:space="preserve">浙江省</x:t>
        </x:is>
      </x:c>
      <x:c r="F4338" s="2" t="inlineStr">
        <x:is>
          <x:t xml:space="preserve">杭州市</x:t>
        </x:is>
      </x:c>
      <x:c r="G4338" s="3" t="inlineStr">
        <x:is>
          <x:t xml:space="preserve">浙江省-杭州市</x:t>
        </x:is>
      </x:c>
      <x:c r="H4338" s="2" t="inlineStr">
        <x:is>
          <x:t xml:space="preserve">电网设备</x:t>
        </x:is>
      </x:c>
      <x:c r="I4338" s="2" t="inlineStr">
        <x:is>
          <x:t xml:space="preserve">2021-03-18</x:t>
        </x:is>
      </x:c>
      <x:c r="J4338" s="3" t="inlineStr">
        <x:is>
          <x:t xml:space="preserve">杭州市西湖区转塘街道良浮路173号</x:t>
        </x:is>
      </x:c>
      <x:c r="K4338" s="12" t="str">
        <x:f>LEFT("91330106719587228W",18)</x:f>
        <x:v>91330106719587228W</x:v>
      </x:c>
    </x:row>
    <x:row r="4339">
      <x:c r="A4339" s="4" t="n">
        <x:v>4338</x:v>
      </x:c>
      <x:c r="B4339" s="4" t="inlineStr">
        <x:is>
          <x:t xml:space="preserve">688623</x:t>
        </x:is>
      </x:c>
      <x:c r="C4339" s="5" t="inlineStr">
        <x:is>
          <x:t xml:space="preserve">双元科技</x:t>
        </x:is>
      </x:c>
      <x:c r="D4339" s="5" t="inlineStr">
        <x:is>
          <x:t xml:space="preserve">浙江双元科技股份有限公司</x:t>
        </x:is>
      </x:c>
      <x:c r="E4339" s="4" t="inlineStr">
        <x:is>
          <x:t xml:space="preserve">浙江省</x:t>
        </x:is>
      </x:c>
      <x:c r="F4339" s="4" t="inlineStr">
        <x:is>
          <x:t xml:space="preserve">杭州市</x:t>
        </x:is>
      </x:c>
      <x:c r="G4339" s="5" t="inlineStr">
        <x:is>
          <x:t xml:space="preserve">浙江省-杭州市</x:t>
        </x:is>
      </x:c>
      <x:c r="H4339" s="4" t="inlineStr">
        <x:is>
          <x:t xml:space="preserve">专用设备</x:t>
        </x:is>
      </x:c>
      <x:c r="I4339" s="4" t="inlineStr">
        <x:is>
          <x:t xml:space="preserve">2023-06-08</x:t>
        </x:is>
      </x:c>
      <x:c r="J4339" s="5" t="inlineStr">
        <x:is>
          <x:t xml:space="preserve">杭州市莫干山路1418号标准厂房2号楼(上城科技工业基地)</x:t>
        </x:is>
      </x:c>
      <x:c r="K4339" s="12" t="str">
        <x:f>LEFT("91330102785327408E",18)</x:f>
        <x:v>91330102785327408E</x:v>
      </x:c>
    </x:row>
    <x:row r="4340">
      <x:c r="A4340" s="2" t="n">
        <x:v>4339</x:v>
      </x:c>
      <x:c r="B4340" s="2" t="inlineStr">
        <x:is>
          <x:t xml:space="preserve">688701</x:t>
        </x:is>
      </x:c>
      <x:c r="C4340" s="3" t="inlineStr">
        <x:is>
          <x:t xml:space="preserve">卓锦股份</x:t>
        </x:is>
      </x:c>
      <x:c r="D4340" s="3" t="inlineStr">
        <x:is>
          <x:t xml:space="preserve">浙江卓锦环保科技股份有限公司</x:t>
        </x:is>
      </x:c>
      <x:c r="E4340" s="2" t="inlineStr">
        <x:is>
          <x:t xml:space="preserve">浙江省</x:t>
        </x:is>
      </x:c>
      <x:c r="F4340" s="2" t="inlineStr">
        <x:is>
          <x:t xml:space="preserve">杭州市</x:t>
        </x:is>
      </x:c>
      <x:c r="G4340" s="3" t="inlineStr">
        <x:is>
          <x:t xml:space="preserve">浙江省-杭州市</x:t>
        </x:is>
      </x:c>
      <x:c r="H4340" s="2" t="inlineStr">
        <x:is>
          <x:t xml:space="preserve">环保工程</x:t>
        </x:is>
      </x:c>
      <x:c r="I4340" s="2" t="inlineStr">
        <x:is>
          <x:t xml:space="preserve">2021-09-16</x:t>
        </x:is>
      </x:c>
      <x:c r="J4340" s="3" t="inlineStr">
        <x:is>
          <x:t xml:space="preserve">浙江省杭州市拱墅区绍兴路536号三立时代广场701室</x:t>
        </x:is>
      </x:c>
      <x:c r="K4340" s="12" t="str">
        <x:f>LEFT("91330100751742531B",18)</x:f>
        <x:v>91330100751742531B</x:v>
      </x:c>
    </x:row>
    <x:row r="4341">
      <x:c r="A4341" s="4" t="n">
        <x:v>4340</x:v>
      </x:c>
      <x:c r="B4341" s="4" t="inlineStr">
        <x:is>
          <x:t xml:space="preserve">688717</x:t>
        </x:is>
      </x:c>
      <x:c r="C4341" s="5" t="inlineStr">
        <x:is>
          <x:t xml:space="preserve">艾罗能源</x:t>
        </x:is>
      </x:c>
      <x:c r="D4341" s="5" t="inlineStr">
        <x:is>
          <x:t xml:space="preserve">浙江艾罗网络能源技术股份有限公司</x:t>
        </x:is>
      </x:c>
      <x:c r="E4341" s="4" t="inlineStr">
        <x:is>
          <x:t xml:space="preserve">浙江省</x:t>
        </x:is>
      </x:c>
      <x:c r="F4341" s="4" t="inlineStr">
        <x:is>
          <x:t xml:space="preserve">杭州市</x:t>
        </x:is>
      </x:c>
      <x:c r="G4341" s="5" t="inlineStr">
        <x:is>
          <x:t xml:space="preserve">浙江省-杭州市</x:t>
        </x:is>
      </x:c>
      <x:c r="H4341" s="4" t="inlineStr">
        <x:is>
          <x:t xml:space="preserve">光伏设备</x:t>
        </x:is>
      </x:c>
      <x:c r="I4341" s="4" t="inlineStr">
        <x:is>
          <x:t xml:space="preserve">2024-01-03</x:t>
        </x:is>
      </x:c>
      <x:c r="J4341" s="5" t="inlineStr">
        <x:is>
          <x:t xml:space="preserve">浙江省杭州市桐庐县城南街道石珠路278号</x:t>
        </x:is>
      </x:c>
      <x:c r="K4341" s="12" t="str">
        <x:f>LEFT("91330122589883343W",18)</x:f>
        <x:v>91330122589883343W</x:v>
      </x:c>
    </x:row>
    <x:row r="4342">
      <x:c r="A4342" s="2" t="n">
        <x:v>4341</x:v>
      </x:c>
      <x:c r="B4342" s="2" t="inlineStr">
        <x:is>
          <x:t xml:space="preserve">688767</x:t>
        </x:is>
      </x:c>
      <x:c r="C4342" s="3" t="inlineStr">
        <x:is>
          <x:t xml:space="preserve">博拓生物</x:t>
        </x:is>
      </x:c>
      <x:c r="D4342" s="3" t="inlineStr">
        <x:is>
          <x:t xml:space="preserve">杭州博拓生物科技股份有限公司</x:t>
        </x:is>
      </x:c>
      <x:c r="E4342" s="2" t="inlineStr">
        <x:is>
          <x:t xml:space="preserve">浙江省</x:t>
        </x:is>
      </x:c>
      <x:c r="F4342" s="2" t="inlineStr">
        <x:is>
          <x:t xml:space="preserve">杭州市</x:t>
        </x:is>
      </x:c>
      <x:c r="G4342" s="3" t="inlineStr">
        <x:is>
          <x:t xml:space="preserve">浙江省-杭州市</x:t>
        </x:is>
      </x:c>
      <x:c r="H4342" s="2" t="inlineStr">
        <x:is>
          <x:t xml:space="preserve">医疗器械</x:t>
        </x:is>
      </x:c>
      <x:c r="I4342" s="2" t="inlineStr">
        <x:is>
          <x:t xml:space="preserve">2021-09-08</x:t>
        </x:is>
      </x:c>
      <x:c r="J4342" s="3" t="inlineStr">
        <x:is>
          <x:t xml:space="preserve">杭州市余杭区中泰街道富泰路17号</x:t>
        </x:is>
      </x:c>
      <x:c r="K4342" s="12" t="str">
        <x:f>LEFT("9133010079969193XF",18)</x:f>
        <x:v>9133010079969193XF</x:v>
      </x:c>
    </x:row>
    <x:row r="4343">
      <x:c r="A4343" s="4" t="n">
        <x:v>4342</x:v>
      </x:c>
      <x:c r="B4343" s="4" t="inlineStr">
        <x:is>
          <x:t xml:space="preserve">688777</x:t>
        </x:is>
      </x:c>
      <x:c r="C4343" s="5" t="inlineStr">
        <x:is>
          <x:t xml:space="preserve">中控技术</x:t>
        </x:is>
      </x:c>
      <x:c r="D4343" s="5" t="inlineStr">
        <x:is>
          <x:t xml:space="preserve">中控技术股份有限公司</x:t>
        </x:is>
      </x:c>
      <x:c r="E4343" s="4" t="inlineStr">
        <x:is>
          <x:t xml:space="preserve">浙江省</x:t>
        </x:is>
      </x:c>
      <x:c r="F4343" s="4" t="inlineStr">
        <x:is>
          <x:t xml:space="preserve">杭州市</x:t>
        </x:is>
      </x:c>
      <x:c r="G4343" s="5" t="inlineStr">
        <x:is>
          <x:t xml:space="preserve">浙江省-杭州市</x:t>
        </x:is>
      </x:c>
      <x:c r="H4343" s="4" t="inlineStr">
        <x:is>
          <x:t xml:space="preserve">软件服务</x:t>
        </x:is>
      </x:c>
      <x:c r="I4343" s="4" t="inlineStr">
        <x:is>
          <x:t xml:space="preserve">2020-11-24</x:t>
        </x:is>
      </x:c>
      <x:c r="J4343" s="5" t="inlineStr">
        <x:is>
          <x:t xml:space="preserve">浙江省杭州市滨江区六和路309号</x:t>
        </x:is>
      </x:c>
      <x:c r="K4343" s="12" t="str">
        <x:f>LEFT("91330000720082446H",18)</x:f>
        <x:v>91330000720082446H</x:v>
      </x:c>
    </x:row>
    <x:row r="4344">
      <x:c r="A4344" s="2" t="n">
        <x:v>4343</x:v>
      </x:c>
      <x:c r="B4344" s="2" t="inlineStr">
        <x:is>
          <x:t xml:space="preserve">688789</x:t>
        </x:is>
      </x:c>
      <x:c r="C4344" s="3" t="inlineStr">
        <x:is>
          <x:t xml:space="preserve">宏华数科</x:t>
        </x:is>
      </x:c>
      <x:c r="D4344" s="3" t="inlineStr">
        <x:is>
          <x:t xml:space="preserve">杭州宏华数码科技股份有限公司</x:t>
        </x:is>
      </x:c>
      <x:c r="E4344" s="2" t="inlineStr">
        <x:is>
          <x:t xml:space="preserve">浙江省</x:t>
        </x:is>
      </x:c>
      <x:c r="F4344" s="2" t="inlineStr">
        <x:is>
          <x:t xml:space="preserve">杭州市</x:t>
        </x:is>
      </x:c>
      <x:c r="G4344" s="3" t="inlineStr">
        <x:is>
          <x:t xml:space="preserve">浙江省-杭州市</x:t>
        </x:is>
      </x:c>
      <x:c r="H4344" s="2" t="inlineStr">
        <x:is>
          <x:t xml:space="preserve">专用设备</x:t>
        </x:is>
      </x:c>
      <x:c r="I4344" s="2" t="inlineStr">
        <x:is>
          <x:t xml:space="preserve">2021-07-08</x:t>
        </x:is>
      </x:c>
      <x:c r="J4344" s="3" t="inlineStr">
        <x:is>
          <x:t xml:space="preserve">浙江省杭州市滨江区滨盛路3911号</x:t>
        </x:is>
      </x:c>
      <x:c r="K4344" s="12" t="str">
        <x:f>LEFT("91330000609120459R",18)</x:f>
        <x:v>91330000609120459R</x:v>
      </x:c>
    </x:row>
    <x:row r="4345">
      <x:c r="A4345" s="4" t="n">
        <x:v>4344</x:v>
      </x:c>
      <x:c r="B4345" s="4" t="inlineStr">
        <x:is>
          <x:t xml:space="preserve">688805</x:t>
        </x:is>
      </x:c>
      <x:c r="C4345" s="5" t="inlineStr">
        <x:is>
          <x:t xml:space="preserve">健信超导</x:t>
        </x:is>
      </x:c>
      <x:c r="D4345" s="5" t="inlineStr">
        <x:is>
          <x:t xml:space="preserve">宁波健信超导科技股份有限公司</x:t>
        </x:is>
      </x:c>
      <x:c r="E4345" s="4" t="inlineStr">
        <x:is>
          <x:t xml:space="preserve">浙江省</x:t>
        </x:is>
      </x:c>
      <x:c r="F4345" s="4" t="inlineStr">
        <x:is>
          <x:t xml:space="preserve">宁波市</x:t>
        </x:is>
      </x:c>
      <x:c r="G4345" s="5" t="inlineStr">
        <x:is>
          <x:t xml:space="preserve">浙江省-宁波市</x:t>
        </x:is>
      </x:c>
      <x:c r="H4345" s="4" t="inlineStr">
        <x:is>
          <x:t xml:space="preserve">医疗器械</x:t>
        </x:is>
      </x:c>
      <x:c r="I4345" s="4" t="inlineStr">
        <x:is>
          <x:t xml:space="preserve">2025-12-24</x:t>
        </x:is>
      </x:c>
      <x:c r="J4345" s="5" t="inlineStr">
        <x:is>
          <x:t xml:space="preserve">浙江省慈溪高新技术产业开发区高科大道427号</x:t>
        </x:is>
      </x:c>
      <x:c r="K4345" s="12" t="str">
        <x:f>LEFT("91330200084759179A",18)</x:f>
        <x:v>91330200084759179A</x:v>
      </x:c>
    </x:row>
    <x:row r="4346">
      <x:c r="A4346" s="2" t="n">
        <x:v>4345</x:v>
      </x:c>
      <x:c r="B4346" s="2" t="inlineStr">
        <x:is>
          <x:t xml:space="preserve">688816</x:t>
        </x:is>
      </x:c>
      <x:c r="C4346" s="3" t="inlineStr">
        <x:is>
          <x:t xml:space="preserve">易思维</x:t>
        </x:is>
      </x:c>
      <x:c r="D4346" s="3" t="inlineStr">
        <x:is>
          <x:t xml:space="preserve">易思维(杭州)科技股份有限公司</x:t>
        </x:is>
      </x:c>
      <x:c r="E4346" s="2" t="inlineStr">
        <x:is>
          <x:t xml:space="preserve">浙江省</x:t>
        </x:is>
      </x:c>
      <x:c r="F4346" s="2" t="inlineStr">
        <x:is>
          <x:t xml:space="preserve">杭州市</x:t>
        </x:is>
      </x:c>
      <x:c r="G4346" s="3" t="inlineStr">
        <x:is>
          <x:t xml:space="preserve">浙江省-杭州市</x:t>
        </x:is>
      </x:c>
      <x:c r="H4346" s="2" t="inlineStr">
        <x:is>
          <x:t xml:space="preserve">--</x:t>
        </x:is>
      </x:c>
      <x:c r="I4346" s="2" t="inlineStr">
        <x:is>
          <x:t xml:space="preserve">2026-02-11</x:t>
        </x:is>
      </x:c>
      <x:c r="J4346" s="3" t="inlineStr">
        <x:is>
          <x:t xml:space="preserve">浙江省杭州市滨江区滨安路1197号3幢495室</x:t>
        </x:is>
      </x:c>
      <x:c r="K4346" s="12" t="str">
        <x:f>LEFT("91330108MA2AYTK281",18)</x:f>
        <x:v>91330108MA2AYTK281</x:v>
      </x:c>
    </x:row>
    <x:row r="4347">
      <x:c r="A4347" s="4" t="n">
        <x:v>4346</x:v>
      </x:c>
      <x:c r="B4347" s="4" t="inlineStr">
        <x:is>
          <x:t xml:space="preserve">688819</x:t>
        </x:is>
      </x:c>
      <x:c r="C4347" s="5" t="inlineStr">
        <x:is>
          <x:t xml:space="preserve">天能股份</x:t>
        </x:is>
      </x:c>
      <x:c r="D4347" s="5" t="inlineStr">
        <x:is>
          <x:t xml:space="preserve">天能电池集团股份有限公司</x:t>
        </x:is>
      </x:c>
      <x:c r="E4347" s="4" t="inlineStr">
        <x:is>
          <x:t xml:space="preserve">浙江省</x:t>
        </x:is>
      </x:c>
      <x:c r="F4347" s="4" t="inlineStr">
        <x:is>
          <x:t xml:space="preserve">湖州市</x:t>
        </x:is>
      </x:c>
      <x:c r="G4347" s="5" t="inlineStr">
        <x:is>
          <x:t xml:space="preserve">浙江省-湖州市</x:t>
        </x:is>
      </x:c>
      <x:c r="H4347" s="4" t="inlineStr">
        <x:is>
          <x:t xml:space="preserve">电池</x:t>
        </x:is>
      </x:c>
      <x:c r="I4347" s="4" t="inlineStr">
        <x:is>
          <x:t xml:space="preserve">2021-01-18</x:t>
        </x:is>
      </x:c>
      <x:c r="J4347" s="5" t="inlineStr">
        <x:is>
          <x:t xml:space="preserve">浙江省长兴县煤山镇工业园区</x:t>
        </x:is>
      </x:c>
      <x:c r="K4347" s="12" t="str">
        <x:f>LEFT("913305007490121183",18)</x:f>
        <x:v>913305007490121200</x:v>
      </x:c>
    </x:row>
    <x:row r="4348">
      <x:c r="A4348" s="2" t="n">
        <x:v>4347</x:v>
      </x:c>
      <x:c r="B4348" s="2" t="inlineStr">
        <x:is>
          <x:t xml:space="preserve">000505</x:t>
        </x:is>
      </x:c>
      <x:c r="C4348" s="3" t="inlineStr">
        <x:is>
          <x:t xml:space="preserve">京粮控股</x:t>
        </x:is>
      </x:c>
      <x:c r="D4348" s="3" t="inlineStr">
        <x:is>
          <x:t xml:space="preserve">海南京粮控股股份有限公司</x:t>
        </x:is>
      </x:c>
      <x:c r="E4348" s="2" t="inlineStr">
        <x:is>
          <x:t xml:space="preserve">海南省</x:t>
        </x:is>
      </x:c>
      <x:c r="F4348" s="2" t="inlineStr">
        <x:is>
          <x:t xml:space="preserve">海口市</x:t>
        </x:is>
      </x:c>
      <x:c r="G4348" s="3" t="inlineStr">
        <x:is>
          <x:t xml:space="preserve">海南省-海口市</x:t>
        </x:is>
      </x:c>
      <x:c r="H4348" s="2" t="inlineStr">
        <x:is>
          <x:t xml:space="preserve">农牧饲渔</x:t>
        </x:is>
      </x:c>
      <x:c r="I4348" s="2" t="inlineStr">
        <x:is>
          <x:t xml:space="preserve">1992-12-21</x:t>
        </x:is>
      </x:c>
      <x:c r="J4348" s="3" t="inlineStr">
        <x:is>
          <x:t xml:space="preserve">海口市滨海大道珠江广场帝豪大厦29层</x:t>
        </x:is>
      </x:c>
      <x:c r="K4348" s="12" t="str">
        <x:f>LEFT("914600002012845568",18)</x:f>
        <x:v>914600002012845600</x:v>
      </x:c>
    </x:row>
    <x:row r="4349">
      <x:c r="A4349" s="4" t="n">
        <x:v>4348</x:v>
      </x:c>
      <x:c r="B4349" s="4" t="inlineStr">
        <x:is>
          <x:t xml:space="preserve">000566</x:t>
        </x:is>
      </x:c>
      <x:c r="C4349" s="5" t="inlineStr">
        <x:is>
          <x:t xml:space="preserve">海南海药</x:t>
        </x:is>
      </x:c>
      <x:c r="D4349" s="5" t="inlineStr">
        <x:is>
          <x:t xml:space="preserve">海南海药股份有限公司</x:t>
        </x:is>
      </x:c>
      <x:c r="E4349" s="4" t="inlineStr">
        <x:is>
          <x:t xml:space="preserve">海南省</x:t>
        </x:is>
      </x:c>
      <x:c r="F4349" s="4" t="inlineStr">
        <x:is>
          <x:t xml:space="preserve">海口市</x:t>
        </x:is>
      </x:c>
      <x:c r="G4349" s="5" t="inlineStr">
        <x:is>
          <x:t xml:space="preserve">海南省-海口市</x:t>
        </x:is>
      </x:c>
      <x:c r="H4349" s="4" t="inlineStr">
        <x:is>
          <x:t xml:space="preserve">医药制造</x:t>
        </x:is>
      </x:c>
      <x:c r="I4349" s="4" t="inlineStr">
        <x:is>
          <x:t xml:space="preserve">1994-05-25</x:t>
        </x:is>
      </x:c>
      <x:c r="J4349" s="5" t="inlineStr">
        <x:is>
          <x:t xml:space="preserve">海口市秀英区南海大道192号</x:t>
        </x:is>
      </x:c>
      <x:c r="K4349" s="12" t="str">
        <x:f>LEFT("91460000201289453D",18)</x:f>
        <x:v>91460000201289453D</x:v>
      </x:c>
    </x:row>
    <x:row r="4350">
      <x:c r="A4350" s="2" t="n">
        <x:v>4349</x:v>
      </x:c>
      <x:c r="B4350" s="2" t="inlineStr">
        <x:is>
          <x:t xml:space="preserve">000567</x:t>
        </x:is>
      </x:c>
      <x:c r="C4350" s="3" t="inlineStr">
        <x:is>
          <x:t xml:space="preserve">海德股份</x:t>
        </x:is>
      </x:c>
      <x:c r="D4350" s="3" t="inlineStr">
        <x:is>
          <x:t xml:space="preserve">海南海德资本管理股份有限公司</x:t>
        </x:is>
      </x:c>
      <x:c r="E4350" s="2" t="inlineStr">
        <x:is>
          <x:t xml:space="preserve">海南省</x:t>
        </x:is>
      </x:c>
      <x:c r="F4350" s="2" t="inlineStr">
        <x:is>
          <x:t xml:space="preserve">海口市</x:t>
        </x:is>
      </x:c>
      <x:c r="G4350" s="3" t="inlineStr">
        <x:is>
          <x:t xml:space="preserve">海南省-海口市</x:t>
        </x:is>
      </x:c>
      <x:c r="H4350" s="2" t="inlineStr">
        <x:is>
          <x:t xml:space="preserve">多元金融</x:t>
        </x:is>
      </x:c>
      <x:c r="I4350" s="2" t="inlineStr">
        <x:is>
          <x:t xml:space="preserve">1994-05-25</x:t>
        </x:is>
      </x:c>
      <x:c r="J4350" s="3" t="inlineStr">
        <x:is>
          <x:t xml:space="preserve">海南省海口市海德路5号</x:t>
        </x:is>
      </x:c>
      <x:c r="K4350" s="12" t="str">
        <x:f>LEFT("9146000020128947X0",18)</x:f>
        <x:v>9146000020128947X0</x:v>
      </x:c>
    </x:row>
    <x:row r="4351">
      <x:c r="A4351" s="4" t="n">
        <x:v>4350</x:v>
      </x:c>
      <x:c r="B4351" s="4" t="inlineStr">
        <x:is>
          <x:t xml:space="preserve">000571</x:t>
        </x:is>
      </x:c>
      <x:c r="C4351" s="5" t="inlineStr">
        <x:is>
          <x:t xml:space="preserve">新大洲A</x:t>
        </x:is>
      </x:c>
      <x:c r="D4351" s="5" t="inlineStr">
        <x:is>
          <x:t xml:space="preserve">新大洲控股股份有限公司</x:t>
        </x:is>
      </x:c>
      <x:c r="E4351" s="4" t="inlineStr">
        <x:is>
          <x:t xml:space="preserve">海南省</x:t>
        </x:is>
      </x:c>
      <x:c r="F4351" s="4" t="inlineStr">
        <x:is>
          <x:t xml:space="preserve">海口市</x:t>
        </x:is>
      </x:c>
      <x:c r="G4351" s="5" t="inlineStr">
        <x:is>
          <x:t xml:space="preserve">海南省-海口市</x:t>
        </x:is>
      </x:c>
      <x:c r="H4351" s="4" t="inlineStr">
        <x:is>
          <x:t xml:space="preserve">煤炭采选</x:t>
        </x:is>
      </x:c>
      <x:c r="I4351" s="4" t="inlineStr">
        <x:is>
          <x:t xml:space="preserve">1994-05-25</x:t>
        </x:is>
      </x:c>
      <x:c r="J4351" s="5" t="inlineStr">
        <x:is>
          <x:t xml:space="preserve">海南省海口市桂林洋开发区</x:t>
        </x:is>
      </x:c>
      <x:c r="K4351" s="12" t="str">
        <x:f>LEFT("914600002012894880",18)</x:f>
        <x:v>914600002012894800</x:v>
      </x:c>
    </x:row>
    <x:row r="4352">
      <x:c r="A4352" s="2" t="n">
        <x:v>4351</x:v>
      </x:c>
      <x:c r="B4352" s="2" t="inlineStr">
        <x:is>
          <x:t xml:space="preserve">000572</x:t>
        </x:is>
      </x:c>
      <x:c r="C4352" s="3" t="inlineStr">
        <x:is>
          <x:t xml:space="preserve">海马汽车</x:t>
        </x:is>
      </x:c>
      <x:c r="D4352" s="3" t="inlineStr">
        <x:is>
          <x:t xml:space="preserve">海马汽车股份有限公司</x:t>
        </x:is>
      </x:c>
      <x:c r="E4352" s="2" t="inlineStr">
        <x:is>
          <x:t xml:space="preserve">海南省</x:t>
        </x:is>
      </x:c>
      <x:c r="F4352" s="2" t="inlineStr">
        <x:is>
          <x:t xml:space="preserve">海口市</x:t>
        </x:is>
      </x:c>
      <x:c r="G4352" s="3" t="inlineStr">
        <x:is>
          <x:t xml:space="preserve">海南省-海口市</x:t>
        </x:is>
      </x:c>
      <x:c r="H4352" s="2" t="inlineStr">
        <x:is>
          <x:t xml:space="preserve">汽车整车</x:t>
        </x:is>
      </x:c>
      <x:c r="I4352" s="2" t="inlineStr">
        <x:is>
          <x:t xml:space="preserve">1994-08-08</x:t>
        </x:is>
      </x:c>
      <x:c r="J4352" s="3" t="inlineStr">
        <x:is>
          <x:t xml:space="preserve">海口市金盘工业区金盘路12-8号</x:t>
        </x:is>
      </x:c>
      <x:c r="K4352" s="12" t="str">
        <x:f>LEFT("9146000028407924XP",18)</x:f>
        <x:v>9146000028407924XP</x:v>
      </x:c>
    </x:row>
    <x:row r="4353">
      <x:c r="A4353" s="4" t="n">
        <x:v>4352</x:v>
      </x:c>
      <x:c r="B4353" s="4" t="inlineStr">
        <x:is>
          <x:t xml:space="preserve">000657</x:t>
        </x:is>
      </x:c>
      <x:c r="C4353" s="5" t="inlineStr">
        <x:is>
          <x:t xml:space="preserve">中钨高新</x:t>
        </x:is>
      </x:c>
      <x:c r="D4353" s="5" t="inlineStr">
        <x:is>
          <x:t xml:space="preserve">中钨高新材料股份有限公司</x:t>
        </x:is>
      </x:c>
      <x:c r="E4353" s="4" t="inlineStr">
        <x:is>
          <x:t xml:space="preserve">海南省</x:t>
        </x:is>
      </x:c>
      <x:c r="F4353" s="4" t="inlineStr">
        <x:is>
          <x:t xml:space="preserve">海口市</x:t>
        </x:is>
      </x:c>
      <x:c r="G4353" s="5" t="inlineStr">
        <x:is>
          <x:t xml:space="preserve">海南省-海口市</x:t>
        </x:is>
      </x:c>
      <x:c r="H4353" s="4" t="inlineStr">
        <x:is>
          <x:t xml:space="preserve">小金属</x:t>
        </x:is>
      </x:c>
      <x:c r="I4353" s="4" t="inlineStr">
        <x:is>
          <x:t xml:space="preserve">1996-12-05</x:t>
        </x:is>
      </x:c>
      <x:c r="J4353" s="5" t="inlineStr">
        <x:is>
          <x:t xml:space="preserve">海南省海口市龙昆北路2号珠江广场帝都大厦18楼</x:t>
        </x:is>
      </x:c>
      <x:c r="K4353" s="12" t="str">
        <x:f>LEFT("91460000284077092F",18)</x:f>
        <x:v>91460000284077092F</x:v>
      </x:c>
    </x:row>
    <x:row r="4354">
      <x:c r="A4354" s="2" t="n">
        <x:v>4353</x:v>
      </x:c>
      <x:c r="B4354" s="2" t="inlineStr">
        <x:is>
          <x:t xml:space="preserve">000735</x:t>
        </x:is>
      </x:c>
      <x:c r="C4354" s="3" t="inlineStr">
        <x:is>
          <x:t xml:space="preserve">罗牛山</x:t>
        </x:is>
      </x:c>
      <x:c r="D4354" s="3" t="inlineStr">
        <x:is>
          <x:t xml:space="preserve">罗牛山股份有限公司</x:t>
        </x:is>
      </x:c>
      <x:c r="E4354" s="2" t="inlineStr">
        <x:is>
          <x:t xml:space="preserve">海南省</x:t>
        </x:is>
      </x:c>
      <x:c r="F4354" s="2" t="inlineStr">
        <x:is>
          <x:t xml:space="preserve">海口市</x:t>
        </x:is>
      </x:c>
      <x:c r="G4354" s="3" t="inlineStr">
        <x:is>
          <x:t xml:space="preserve">海南省-海口市</x:t>
        </x:is>
      </x:c>
      <x:c r="H4354" s="2" t="inlineStr">
        <x:is>
          <x:t xml:space="preserve">农牧饲渔</x:t>
        </x:is>
      </x:c>
      <x:c r="I4354" s="2" t="inlineStr">
        <x:is>
          <x:t xml:space="preserve">1997-06-11</x:t>
        </x:is>
      </x:c>
      <x:c r="J4354" s="3" t="inlineStr">
        <x:is>
          <x:t xml:space="preserve">海口市人民大道50号</x:t>
        </x:is>
      </x:c>
      <x:c r="K4354" s="12" t="str">
        <x:f>LEFT("91460000284089747P",18)</x:f>
        <x:v>91460000284089747P</x:v>
      </x:c>
    </x:row>
    <x:row r="4355">
      <x:c r="A4355" s="4" t="n">
        <x:v>4354</x:v>
      </x:c>
      <x:c r="B4355" s="4" t="inlineStr">
        <x:is>
          <x:t xml:space="preserve">000793</x:t>
        </x:is>
      </x:c>
      <x:c r="C4355" s="5" t="inlineStr">
        <x:is>
          <x:t xml:space="preserve">*ST华闻</x:t>
        </x:is>
      </x:c>
      <x:c r="D4355" s="5" t="inlineStr">
        <x:is>
          <x:t xml:space="preserve">华闻传媒投资集团股份有限公司</x:t>
        </x:is>
      </x:c>
      <x:c r="E4355" s="4" t="inlineStr">
        <x:is>
          <x:t xml:space="preserve">海南省</x:t>
        </x:is>
      </x:c>
      <x:c r="F4355" s="4" t="inlineStr">
        <x:is>
          <x:t xml:space="preserve">海口市</x:t>
        </x:is>
      </x:c>
      <x:c r="G4355" s="5" t="inlineStr">
        <x:is>
          <x:t xml:space="preserve">海南省-海口市</x:t>
        </x:is>
      </x:c>
      <x:c r="H4355" s="4" t="inlineStr">
        <x:is>
          <x:t xml:space="preserve">文化传媒</x:t>
        </x:is>
      </x:c>
      <x:c r="I4355" s="4" t="inlineStr">
        <x:is>
          <x:t xml:space="preserve">1997-07-29</x:t>
        </x:is>
      </x:c>
      <x:c r="J4355" s="5" t="inlineStr">
        <x:is>
          <x:t xml:space="preserve">海南省海口市美兰区国兴大道15A号全球贸易之窗28楼</x:t>
        </x:is>
      </x:c>
      <x:c r="K4355" s="12" t="str">
        <x:f>LEFT("914600002012502172",18)</x:f>
        <x:v>914600002012502100</x:v>
      </x:c>
    </x:row>
    <x:row r="4356">
      <x:c r="A4356" s="2" t="n">
        <x:v>4355</x:v>
      </x:c>
      <x:c r="B4356" s="2" t="inlineStr">
        <x:is>
          <x:t xml:space="preserve">000796</x:t>
        </x:is>
      </x:c>
      <x:c r="C4356" s="3" t="inlineStr">
        <x:is>
          <x:t xml:space="preserve">ST凯撒</x:t>
        </x:is>
      </x:c>
      <x:c r="D4356" s="3" t="inlineStr">
        <x:is>
          <x:t xml:space="preserve">凯撒旅业集团股份有限公司</x:t>
        </x:is>
      </x:c>
      <x:c r="E4356" s="2" t="inlineStr">
        <x:is>
          <x:t xml:space="preserve">海南省</x:t>
        </x:is>
      </x:c>
      <x:c r="F4356" s="2" t="inlineStr">
        <x:is>
          <x:t xml:space="preserve">三亚市</x:t>
        </x:is>
      </x:c>
      <x:c r="G4356" s="3" t="inlineStr">
        <x:is>
          <x:t xml:space="preserve">海南省-三亚市</x:t>
        </x:is>
      </x:c>
      <x:c r="H4356" s="2" t="inlineStr">
        <x:is>
          <x:t xml:space="preserve">旅游酒店</x:t>
        </x:is>
      </x:c>
      <x:c r="I4356" s="2" t="inlineStr">
        <x:is>
          <x:t xml:space="preserve">1997-07-03</x:t>
        </x:is>
      </x:c>
      <x:c r="J4356" s="3" t="inlineStr">
        <x:is>
          <x:t xml:space="preserve">海南省三亚市吉阳区迎宾路中环广场2号写字楼3A09房</x:t>
        </x:is>
      </x:c>
      <x:c r="K4356" s="12" t="str">
        <x:f>LEFT("916103002213030138",18)</x:f>
        <x:v>916103002213030100</x:v>
      </x:c>
    </x:row>
    <x:row r="4357">
      <x:c r="A4357" s="4" t="n">
        <x:v>4356</x:v>
      </x:c>
      <x:c r="B4357" s="4" t="inlineStr">
        <x:is>
          <x:t xml:space="preserve">000886</x:t>
        </x:is>
      </x:c>
      <x:c r="C4357" s="5" t="inlineStr">
        <x:is>
          <x:t xml:space="preserve">海南高速</x:t>
        </x:is>
      </x:c>
      <x:c r="D4357" s="5" t="inlineStr">
        <x:is>
          <x:t xml:space="preserve">海南高速公路股份有限公司</x:t>
        </x:is>
      </x:c>
      <x:c r="E4357" s="4" t="inlineStr">
        <x:is>
          <x:t xml:space="preserve">海南省</x:t>
        </x:is>
      </x:c>
      <x:c r="F4357" s="4" t="inlineStr">
        <x:is>
          <x:t xml:space="preserve">海口市</x:t>
        </x:is>
      </x:c>
      <x:c r="G4357" s="5" t="inlineStr">
        <x:is>
          <x:t xml:space="preserve">海南省-海口市</x:t>
        </x:is>
      </x:c>
      <x:c r="H4357" s="4" t="inlineStr">
        <x:is>
          <x:t xml:space="preserve">房地产</x:t>
        </x:is>
      </x:c>
      <x:c r="I4357" s="4" t="inlineStr">
        <x:is>
          <x:t xml:space="preserve">1998-01-23</x:t>
        </x:is>
      </x:c>
      <x:c r="J4357" s="5" t="inlineStr">
        <x:is>
          <x:t xml:space="preserve">海南省海口市蓝天路16号高速公路大楼</x:t>
        </x:is>
      </x:c>
      <x:c r="K4357" s="12" t="str">
        <x:f>LEFT("91460000284082887Y",18)</x:f>
        <x:v>91460000284082887Y</x:v>
      </x:c>
    </x:row>
    <x:row r="4358">
      <x:c r="A4358" s="2" t="n">
        <x:v>4357</x:v>
      </x:c>
      <x:c r="B4358" s="2" t="inlineStr">
        <x:is>
          <x:t xml:space="preserve">000955</x:t>
        </x:is>
      </x:c>
      <x:c r="C4358" s="3" t="inlineStr">
        <x:is>
          <x:t xml:space="preserve">欣龙控股</x:t>
        </x:is>
      </x:c>
      <x:c r="D4358" s="3" t="inlineStr">
        <x:is>
          <x:t xml:space="preserve">欣龙控股(集团)股份有限公司</x:t>
        </x:is>
      </x:c>
      <x:c r="E4358" s="2" t="inlineStr">
        <x:is>
          <x:t xml:space="preserve">海南省</x:t>
        </x:is>
      </x:c>
      <x:c r="F4358" s="2" t="inlineStr">
        <x:is>
          <x:t xml:space="preserve">海口市</x:t>
        </x:is>
      </x:c>
      <x:c r="G4358" s="3" t="inlineStr">
        <x:is>
          <x:t xml:space="preserve">海南省-海口市</x:t>
        </x:is>
      </x:c>
      <x:c r="H4358" s="2" t="inlineStr">
        <x:is>
          <x:t xml:space="preserve">纺织服装</x:t>
        </x:is>
      </x:c>
      <x:c r="I4358" s="2" t="inlineStr">
        <x:is>
          <x:t xml:space="preserve">1999-12-09</x:t>
        </x:is>
      </x:c>
      <x:c r="J4358" s="3" t="inlineStr">
        <x:is>
          <x:t xml:space="preserve">海南省澄迈县老城工业开发区</x:t>
        </x:is>
      </x:c>
      <x:c r="K4358" s="12" t="str">
        <x:f>LEFT("914600006200019600",18)</x:f>
        <x:v>914600006200019600</x:v>
      </x:c>
    </x:row>
    <x:row r="4359">
      <x:c r="A4359" s="4" t="n">
        <x:v>4358</x:v>
      </x:c>
      <x:c r="B4359" s="4" t="inlineStr">
        <x:is>
          <x:t xml:space="preserve">002320</x:t>
        </x:is>
      </x:c>
      <x:c r="C4359" s="5" t="inlineStr">
        <x:is>
          <x:t xml:space="preserve">海峡股份</x:t>
        </x:is>
      </x:c>
      <x:c r="D4359" s="5" t="inlineStr">
        <x:is>
          <x:t xml:space="preserve">海南海峡航运股份有限公司</x:t>
        </x:is>
      </x:c>
      <x:c r="E4359" s="4" t="inlineStr">
        <x:is>
          <x:t xml:space="preserve">海南省</x:t>
        </x:is>
      </x:c>
      <x:c r="F4359" s="4" t="inlineStr">
        <x:is>
          <x:t xml:space="preserve">海口市</x:t>
        </x:is>
      </x:c>
      <x:c r="G4359" s="5" t="inlineStr">
        <x:is>
          <x:t xml:space="preserve">海南省-海口市</x:t>
        </x:is>
      </x:c>
      <x:c r="H4359" s="4" t="inlineStr">
        <x:is>
          <x:t xml:space="preserve">港口水运</x:t>
        </x:is>
      </x:c>
      <x:c r="I4359" s="4" t="inlineStr">
        <x:is>
          <x:t xml:space="preserve">2009-12-16</x:t>
        </x:is>
      </x:c>
      <x:c r="J4359" s="5" t="inlineStr">
        <x:is>
          <x:t xml:space="preserve">海南省海口市秀英区滨海大道157号港航大厦14楼</x:t>
        </x:is>
      </x:c>
      <x:c r="K4359" s="12" t="str">
        <x:f>LEFT("91460000742589256A",18)</x:f>
        <x:v>91460000742589256A</x:v>
      </x:c>
    </x:row>
    <x:row r="4360">
      <x:c r="A4360" s="2" t="n">
        <x:v>4359</x:v>
      </x:c>
      <x:c r="B4360" s="2" t="inlineStr">
        <x:is>
          <x:t xml:space="preserve">002596</x:t>
        </x:is>
      </x:c>
      <x:c r="C4360" s="3" t="inlineStr">
        <x:is>
          <x:t xml:space="preserve">海南瑞泽</x:t>
        </x:is>
      </x:c>
      <x:c r="D4360" s="3" t="inlineStr">
        <x:is>
          <x:t xml:space="preserve">海南瑞泽新型建材股份有限公司</x:t>
        </x:is>
      </x:c>
      <x:c r="E4360" s="2" t="inlineStr">
        <x:is>
          <x:t xml:space="preserve">海南省</x:t>
        </x:is>
      </x:c>
      <x:c r="F4360" s="2" t="inlineStr">
        <x:is>
          <x:t xml:space="preserve">三亚市</x:t>
        </x:is>
      </x:c>
      <x:c r="G4360" s="3" t="inlineStr">
        <x:is>
          <x:t xml:space="preserve">海南省-三亚市</x:t>
        </x:is>
      </x:c>
      <x:c r="H4360" s="2" t="inlineStr">
        <x:is>
          <x:t xml:space="preserve">水泥建材</x:t>
        </x:is>
      </x:c>
      <x:c r="I4360" s="2" t="inlineStr">
        <x:is>
          <x:t xml:space="preserve">2011-07-07</x:t>
        </x:is>
      </x:c>
      <x:c r="J4360" s="3" t="inlineStr">
        <x:is>
          <x:t xml:space="preserve">海南省三亚市崖城镇创意产业园区中央大道9号</x:t>
        </x:is>
      </x:c>
      <x:c r="K4360" s="12" t="str">
        <x:f>LEFT("914600007358252730",18)</x:f>
        <x:v>914600007358252700</x:v>
      </x:c>
    </x:row>
    <x:row r="4361">
      <x:c r="A4361" s="4" t="n">
        <x:v>4360</x:v>
      </x:c>
      <x:c r="B4361" s="4" t="inlineStr">
        <x:is>
          <x:t xml:space="preserve">002693</x:t>
        </x:is>
      </x:c>
      <x:c r="C4361" s="5" t="inlineStr">
        <x:is>
          <x:t xml:space="preserve">双成药业</x:t>
        </x:is>
      </x:c>
      <x:c r="D4361" s="5" t="inlineStr">
        <x:is>
          <x:t xml:space="preserve">海南双成药业股份有限公司</x:t>
        </x:is>
      </x:c>
      <x:c r="E4361" s="4" t="inlineStr">
        <x:is>
          <x:t xml:space="preserve">海南省</x:t>
        </x:is>
      </x:c>
      <x:c r="F4361" s="4" t="inlineStr">
        <x:is>
          <x:t xml:space="preserve">海口市</x:t>
        </x:is>
      </x:c>
      <x:c r="G4361" s="5" t="inlineStr">
        <x:is>
          <x:t xml:space="preserve">海南省-海口市</x:t>
        </x:is>
      </x:c>
      <x:c r="H4361" s="4" t="inlineStr">
        <x:is>
          <x:t xml:space="preserve">生物制品</x:t>
        </x:is>
      </x:c>
      <x:c r="I4361" s="4" t="inlineStr">
        <x:is>
          <x:t xml:space="preserve">2012-08-08</x:t>
        </x:is>
      </x:c>
      <x:c r="J4361" s="5" t="inlineStr">
        <x:is>
          <x:t xml:space="preserve">海口市秀英区兴国路16号</x:t>
        </x:is>
      </x:c>
      <x:c r="K4361" s="12" t="str">
        <x:f>LEFT("9146000072122491XG",18)</x:f>
        <x:v>9146000072122491XG</x:v>
      </x:c>
    </x:row>
    <x:row r="4362">
      <x:c r="A4362" s="2" t="n">
        <x:v>4361</x:v>
      </x:c>
      <x:c r="B4362" s="2" t="inlineStr">
        <x:is>
          <x:t xml:space="preserve">002865</x:t>
        </x:is>
      </x:c>
      <x:c r="C4362" s="3" t="inlineStr">
        <x:is>
          <x:t xml:space="preserve">钧达股份</x:t>
        </x:is>
      </x:c>
      <x:c r="D4362" s="3" t="inlineStr">
        <x:is>
          <x:t xml:space="preserve">海南钧达新能源科技股份有限公司</x:t>
        </x:is>
      </x:c>
      <x:c r="E4362" s="2" t="inlineStr">
        <x:is>
          <x:t xml:space="preserve">海南省</x:t>
        </x:is>
      </x:c>
      <x:c r="F4362" s="2" t="inlineStr">
        <x:is>
          <x:t xml:space="preserve">海口市</x:t>
        </x:is>
      </x:c>
      <x:c r="G4362" s="3" t="inlineStr">
        <x:is>
          <x:t xml:space="preserve">海南省-海口市</x:t>
        </x:is>
      </x:c>
      <x:c r="H4362" s="2" t="inlineStr">
        <x:is>
          <x:t xml:space="preserve">光伏设备</x:t>
        </x:is>
      </x:c>
      <x:c r="I4362" s="2" t="inlineStr">
        <x:is>
          <x:t xml:space="preserve">2017-04-25</x:t>
        </x:is>
      </x:c>
      <x:c r="J4362" s="3" t="inlineStr">
        <x:is>
          <x:t xml:space="preserve">海口市南海大道168号海口保税区内海南钧达大楼</x:t>
        </x:is>
      </x:c>
      <x:c r="K4362" s="12" t="str">
        <x:f>LEFT("914601007477597794",18)</x:f>
        <x:v>914601007477597800</x:v>
      </x:c>
    </x:row>
    <x:row r="4363">
      <x:c r="A4363" s="4" t="n">
        <x:v>4362</x:v>
      </x:c>
      <x:c r="B4363" s="4" t="inlineStr">
        <x:is>
          <x:t xml:space="preserve">300086</x:t>
        </x:is>
      </x:c>
      <x:c r="C4363" s="5" t="inlineStr">
        <x:is>
          <x:t xml:space="preserve">康芝药业</x:t>
        </x:is>
      </x:c>
      <x:c r="D4363" s="5" t="inlineStr">
        <x:is>
          <x:t xml:space="preserve">康芝药业股份有限公司</x:t>
        </x:is>
      </x:c>
      <x:c r="E4363" s="4" t="inlineStr">
        <x:is>
          <x:t xml:space="preserve">海南省</x:t>
        </x:is>
      </x:c>
      <x:c r="F4363" s="4" t="inlineStr">
        <x:is>
          <x:t xml:space="preserve">海口市</x:t>
        </x:is>
      </x:c>
      <x:c r="G4363" s="5" t="inlineStr">
        <x:is>
          <x:t xml:space="preserve">海南省-海口市</x:t>
        </x:is>
      </x:c>
      <x:c r="H4363" s="4" t="inlineStr">
        <x:is>
          <x:t xml:space="preserve">医药制造</x:t>
        </x:is>
      </x:c>
      <x:c r="I4363" s="4" t="inlineStr">
        <x:is>
          <x:t xml:space="preserve">2010-05-26</x:t>
        </x:is>
      </x:c>
      <x:c r="J4363" s="5" t="inlineStr">
        <x:is>
          <x:t xml:space="preserve">海南省海口国家高新技术产业开发区药谷工业园药谷三路6号</x:t>
        </x:is>
      </x:c>
      <x:c r="K4363" s="12" t="str">
        <x:f>LEFT("91460000708873536T",18)</x:f>
        <x:v>91460000708873536T</x:v>
      </x:c>
    </x:row>
    <x:row r="4364">
      <x:c r="A4364" s="2" t="n">
        <x:v>4363</x:v>
      </x:c>
      <x:c r="B4364" s="2" t="inlineStr">
        <x:is>
          <x:t xml:space="preserve">300189</x:t>
        </x:is>
      </x:c>
      <x:c r="C4364" s="3" t="inlineStr">
        <x:is>
          <x:t xml:space="preserve">神农种业</x:t>
        </x:is>
      </x:c>
      <x:c r="D4364" s="3" t="inlineStr">
        <x:is>
          <x:t xml:space="preserve">海南神农种业科技股份有限公司</x:t>
        </x:is>
      </x:c>
      <x:c r="E4364" s="2" t="inlineStr">
        <x:is>
          <x:t xml:space="preserve">海南省</x:t>
        </x:is>
      </x:c>
      <x:c r="F4364" s="2" t="inlineStr">
        <x:is>
          <x:t xml:space="preserve">海口市</x:t>
        </x:is>
      </x:c>
      <x:c r="G4364" s="3" t="inlineStr">
        <x:is>
          <x:t xml:space="preserve">海南省-海口市</x:t>
        </x:is>
      </x:c>
      <x:c r="H4364" s="2" t="inlineStr">
        <x:is>
          <x:t xml:space="preserve">农牧饲渔</x:t>
        </x:is>
      </x:c>
      <x:c r="I4364" s="2" t="inlineStr">
        <x:is>
          <x:t xml:space="preserve">2011-03-16</x:t>
        </x:is>
      </x:c>
      <x:c r="J4364" s="3" t="inlineStr">
        <x:is>
          <x:t xml:space="preserve">海口市秀英区美林路8号慧远美林谷综合服务楼</x:t>
        </x:is>
      </x:c>
      <x:c r="K4364" s="12" t="str">
        <x:f>LEFT("91460000721271695E",18)</x:f>
        <x:v>91460000721271695E</x:v>
      </x:c>
    </x:row>
    <x:row r="4365">
      <x:c r="A4365" s="4" t="n">
        <x:v>4364</x:v>
      </x:c>
      <x:c r="B4365" s="4" t="inlineStr">
        <x:is>
          <x:t xml:space="preserve">600221</x:t>
        </x:is>
      </x:c>
      <x:c r="C4365" s="5" t="inlineStr">
        <x:is>
          <x:t xml:space="preserve">海航控股</x:t>
        </x:is>
      </x:c>
      <x:c r="D4365" s="5" t="inlineStr">
        <x:is>
          <x:t xml:space="preserve">海南航空控股股份有限公司</x:t>
        </x:is>
      </x:c>
      <x:c r="E4365" s="4" t="inlineStr">
        <x:is>
          <x:t xml:space="preserve">海南省</x:t>
        </x:is>
      </x:c>
      <x:c r="F4365" s="4" t="inlineStr">
        <x:is>
          <x:t xml:space="preserve">海口市</x:t>
        </x:is>
      </x:c>
      <x:c r="G4365" s="5" t="inlineStr">
        <x:is>
          <x:t xml:space="preserve">海南省-海口市</x:t>
        </x:is>
      </x:c>
      <x:c r="H4365" s="4" t="inlineStr">
        <x:is>
          <x:t xml:space="preserve">民航机场</x:t>
        </x:is>
      </x:c>
      <x:c r="I4365" s="4" t="inlineStr">
        <x:is>
          <x:t xml:space="preserve">1999-11-25</x:t>
        </x:is>
      </x:c>
      <x:c r="J4365" s="5" t="inlineStr">
        <x:is>
          <x:t xml:space="preserve">海南省海口市美兰区美兰机场路9号海南航空海口美兰基地21号楼综合办公楼</x:t>
        </x:is>
      </x:c>
      <x:c r="K4365" s="12" t="str">
        <x:f>LEFT("914600006200251612",18)</x:f>
        <x:v>914600006200251600</x:v>
      </x:c>
    </x:row>
    <x:row r="4366">
      <x:c r="A4366" s="2" t="n">
        <x:v>4365</x:v>
      </x:c>
      <x:c r="B4366" s="2" t="inlineStr">
        <x:is>
          <x:t xml:space="preserve">600238</x:t>
        </x:is>
      </x:c>
      <x:c r="C4366" s="3" t="inlineStr">
        <x:is>
          <x:t xml:space="preserve">海南椰岛</x:t>
        </x:is>
      </x:c>
      <x:c r="D4366" s="3" t="inlineStr">
        <x:is>
          <x:t xml:space="preserve">海南椰岛(集团)股份有限公司</x:t>
        </x:is>
      </x:c>
      <x:c r="E4366" s="2" t="inlineStr">
        <x:is>
          <x:t xml:space="preserve">海南省</x:t>
        </x:is>
      </x:c>
      <x:c r="F4366" s="2" t="inlineStr">
        <x:is>
          <x:t xml:space="preserve">海口市</x:t>
        </x:is>
      </x:c>
      <x:c r="G4366" s="3" t="inlineStr">
        <x:is>
          <x:t xml:space="preserve">海南省-海口市</x:t>
        </x:is>
      </x:c>
      <x:c r="H4366" s="2" t="inlineStr">
        <x:is>
          <x:t xml:space="preserve">酿酒行业</x:t>
        </x:is>
      </x:c>
      <x:c r="I4366" s="2" t="inlineStr">
        <x:is>
          <x:t xml:space="preserve">2000-01-20</x:t>
        </x:is>
      </x:c>
      <x:c r="J4366" s="3" t="inlineStr">
        <x:is>
          <x:t xml:space="preserve">海南省海口市秀英区药谷二期药谷二横路2号</x:t>
        </x:is>
      </x:c>
      <x:c r="K4366" s="12" t="str">
        <x:f>LEFT("91460000284077383J",18)</x:f>
        <x:v>91460000284077383J</x:v>
      </x:c>
    </x:row>
    <x:row r="4367">
      <x:c r="A4367" s="4" t="n">
        <x:v>4366</x:v>
      </x:c>
      <x:c r="B4367" s="4" t="inlineStr">
        <x:is>
          <x:t xml:space="preserve">600259</x:t>
        </x:is>
      </x:c>
      <x:c r="C4367" s="5" t="inlineStr">
        <x:is>
          <x:t xml:space="preserve">广晟有色</x:t>
        </x:is>
      </x:c>
      <x:c r="D4367" s="5" t="inlineStr">
        <x:is>
          <x:t xml:space="preserve">中稀有色金属股份有限公司</x:t>
        </x:is>
      </x:c>
      <x:c r="E4367" s="4" t="inlineStr">
        <x:is>
          <x:t xml:space="preserve">海南省</x:t>
        </x:is>
      </x:c>
      <x:c r="F4367" s="4" t="inlineStr">
        <x:is>
          <x:t xml:space="preserve">海口市</x:t>
        </x:is>
      </x:c>
      <x:c r="G4367" s="5" t="inlineStr">
        <x:is>
          <x:t xml:space="preserve">海南省-海口市</x:t>
        </x:is>
      </x:c>
      <x:c r="H4367" s="4" t="inlineStr">
        <x:is>
          <x:t xml:space="preserve">小金属</x:t>
        </x:is>
      </x:c>
      <x:c r="I4367" s="4" t="inlineStr">
        <x:is>
          <x:t xml:space="preserve">2000-05-25</x:t>
        </x:is>
      </x:c>
      <x:c r="J4367" s="5" t="inlineStr">
        <x:is>
          <x:t xml:space="preserve">海口市龙华区滨海大道69号海口宝华海景大酒店8楼809房</x:t>
        </x:is>
      </x:c>
      <x:c r="K4367" s="12" t="str">
        <x:f>LEFT("9146000028408134XB",18)</x:f>
        <x:v>9146000028408134XB</x:v>
      </x:c>
    </x:row>
    <x:row r="4368">
      <x:c r="A4368" s="2" t="n">
        <x:v>4367</x:v>
      </x:c>
      <x:c r="B4368" s="2" t="inlineStr">
        <x:is>
          <x:t xml:space="preserve">600515</x:t>
        </x:is>
      </x:c>
      <x:c r="C4368" s="3" t="inlineStr">
        <x:is>
          <x:t xml:space="preserve">海南机场</x:t>
        </x:is>
      </x:c>
      <x:c r="D4368" s="3" t="inlineStr">
        <x:is>
          <x:t xml:space="preserve">海南机场设施股份有限公司</x:t>
        </x:is>
      </x:c>
      <x:c r="E4368" s="2" t="inlineStr">
        <x:is>
          <x:t xml:space="preserve">海南省</x:t>
        </x:is>
      </x:c>
      <x:c r="F4368" s="2" t="inlineStr">
        <x:is>
          <x:t xml:space="preserve">海口市</x:t>
        </x:is>
      </x:c>
      <x:c r="G4368" s="3" t="inlineStr">
        <x:is>
          <x:t xml:space="preserve">海南省-海口市</x:t>
        </x:is>
      </x:c>
      <x:c r="H4368" s="2" t="inlineStr">
        <x:is>
          <x:t xml:space="preserve">航空机场</x:t>
        </x:is>
      </x:c>
      <x:c r="I4368" s="2" t="inlineStr">
        <x:is>
          <x:t xml:space="preserve">2002-08-06</x:t>
        </x:is>
      </x:c>
      <x:c r="J4368" s="3" t="inlineStr">
        <x:is>
          <x:t xml:space="preserve">海南省海口市美兰区蓝天街道国兴大道3号互联网金融大厦C座19层</x:t>
        </x:is>
      </x:c>
      <x:c r="K4368" s="12" t="str">
        <x:f>LEFT("91460000284079688H",18)</x:f>
        <x:v>91460000284079688H</x:v>
      </x:c>
    </x:row>
    <x:row r="4369">
      <x:c r="A4369" s="4" t="n">
        <x:v>4368</x:v>
      </x:c>
      <x:c r="B4369" s="4" t="inlineStr">
        <x:is>
          <x:t xml:space="preserve">600759</x:t>
        </x:is>
      </x:c>
      <x:c r="C4369" s="5" t="inlineStr">
        <x:is>
          <x:t xml:space="preserve">洲际油气</x:t>
        </x:is>
      </x:c>
      <x:c r="D4369" s="5" t="inlineStr">
        <x:is>
          <x:t xml:space="preserve">洲际油气股份有限公司</x:t>
        </x:is>
      </x:c>
      <x:c r="E4369" s="4" t="inlineStr">
        <x:is>
          <x:t xml:space="preserve">海南省</x:t>
        </x:is>
      </x:c>
      <x:c r="F4369" s="4" t="inlineStr">
        <x:is>
          <x:t xml:space="preserve">海口市</x:t>
        </x:is>
      </x:c>
      <x:c r="G4369" s="5" t="inlineStr">
        <x:is>
          <x:t xml:space="preserve">海南省-海口市</x:t>
        </x:is>
      </x:c>
      <x:c r="H4369" s="4" t="inlineStr">
        <x:is>
          <x:t xml:space="preserve">石油行业</x:t>
        </x:is>
      </x:c>
      <x:c r="I4369" s="4" t="inlineStr">
        <x:is>
          <x:t xml:space="preserve">1996-10-08</x:t>
        </x:is>
      </x:c>
      <x:c r="J4369" s="5" t="inlineStr">
        <x:is>
          <x:t xml:space="preserve">海南省海口市国贸大道2号海南时代广场17层</x:t>
        </x:is>
      </x:c>
      <x:c r="K4369" s="12" t="str">
        <x:f>LEFT("914600002012706569",18)</x:f>
        <x:v>914600002012706600</x:v>
      </x:c>
    </x:row>
    <x:row r="4370">
      <x:c r="A4370" s="2" t="n">
        <x:v>4369</x:v>
      </x:c>
      <x:c r="B4370" s="2" t="inlineStr">
        <x:is>
          <x:t xml:space="preserve">601118</x:t>
        </x:is>
      </x:c>
      <x:c r="C4370" s="3" t="inlineStr">
        <x:is>
          <x:t xml:space="preserve">海南橡胶</x:t>
        </x:is>
      </x:c>
      <x:c r="D4370" s="3" t="inlineStr">
        <x:is>
          <x:t xml:space="preserve">海南天然橡胶产业集团股份有限公司</x:t>
        </x:is>
      </x:c>
      <x:c r="E4370" s="2" t="inlineStr">
        <x:is>
          <x:t xml:space="preserve">海南省</x:t>
        </x:is>
      </x:c>
      <x:c r="F4370" s="2" t="inlineStr">
        <x:is>
          <x:t xml:space="preserve">海口市</x:t>
        </x:is>
      </x:c>
      <x:c r="G4370" s="3" t="inlineStr">
        <x:is>
          <x:t xml:space="preserve">海南省-海口市</x:t>
        </x:is>
      </x:c>
      <x:c r="H4370" s="2" t="inlineStr">
        <x:is>
          <x:t xml:space="preserve">橡胶制品</x:t>
        </x:is>
      </x:c>
      <x:c r="I4370" s="2" t="inlineStr">
        <x:is>
          <x:t xml:space="preserve">2011-01-07</x:t>
        </x:is>
      </x:c>
      <x:c r="J4370" s="3" t="inlineStr">
        <x:is>
          <x:t xml:space="preserve">海南省海口市滨海大道103号财富广场4楼</x:t>
        </x:is>
      </x:c>
      <x:c r="K4370" s="12" t="str">
        <x:f>LEFT("914600007674880643",18)</x:f>
        <x:v>914600007674880600</x:v>
      </x:c>
    </x:row>
    <x:row r="4371">
      <x:c r="A4371" s="4" t="n">
        <x:v>4370</x:v>
      </x:c>
      <x:c r="B4371" s="4" t="inlineStr">
        <x:is>
          <x:t xml:space="preserve">601969</x:t>
        </x:is>
      </x:c>
      <x:c r="C4371" s="5" t="inlineStr">
        <x:is>
          <x:t xml:space="preserve">海南矿业</x:t>
        </x:is>
      </x:c>
      <x:c r="D4371" s="5" t="inlineStr">
        <x:is>
          <x:t xml:space="preserve">海南矿业股份有限公司</x:t>
        </x:is>
      </x:c>
      <x:c r="E4371" s="4" t="inlineStr">
        <x:is>
          <x:t xml:space="preserve">海南省</x:t>
        </x:is>
      </x:c>
      <x:c r="F4371" s="4" t="inlineStr">
        <x:is>
          <x:t xml:space="preserve">昌江黎族自治县</x:t>
        </x:is>
      </x:c>
      <x:c r="G4371" s="5" t="inlineStr">
        <x:is>
          <x:t xml:space="preserve">海南省-昌江黎族自治县</x:t>
        </x:is>
      </x:c>
      <x:c r="H4371" s="4" t="inlineStr">
        <x:is>
          <x:t xml:space="preserve">钢铁行业</x:t>
        </x:is>
      </x:c>
      <x:c r="I4371" s="4" t="inlineStr">
        <x:is>
          <x:t xml:space="preserve">2014-12-09</x:t>
        </x:is>
      </x:c>
      <x:c r="J4371" s="5" t="inlineStr">
        <x:is>
          <x:t xml:space="preserve">海南省昌江县石碌镇(海钢办公大楼)</x:t>
        </x:is>
      </x:c>
      <x:c r="K4371" s="12" t="str">
        <x:f>LEFT("914600006651113978",18)</x:f>
        <x:v>914600006651114000</x:v>
      </x:c>
    </x:row>
    <x:row r="4372">
      <x:c r="A4372" s="2" t="n">
        <x:v>4371</x:v>
      </x:c>
      <x:c r="B4372" s="2" t="inlineStr">
        <x:is>
          <x:t xml:space="preserve">603069</x:t>
        </x:is>
      </x:c>
      <x:c r="C4372" s="3" t="inlineStr">
        <x:is>
          <x:t xml:space="preserve">海汽集团</x:t>
        </x:is>
      </x:c>
      <x:c r="D4372" s="3" t="inlineStr">
        <x:is>
          <x:t xml:space="preserve">海南海汽运输集团股份有限公司</x:t>
        </x:is>
      </x:c>
      <x:c r="E4372" s="2" t="inlineStr">
        <x:is>
          <x:t xml:space="preserve">海南省</x:t>
        </x:is>
      </x:c>
      <x:c r="F4372" s="2" t="inlineStr">
        <x:is>
          <x:t xml:space="preserve">海口市</x:t>
        </x:is>
      </x:c>
      <x:c r="G4372" s="3" t="inlineStr">
        <x:is>
          <x:t xml:space="preserve">海南省-海口市</x:t>
        </x:is>
      </x:c>
      <x:c r="H4372" s="2" t="inlineStr">
        <x:is>
          <x:t xml:space="preserve">高速公路</x:t>
        </x:is>
      </x:c>
      <x:c r="I4372" s="2" t="inlineStr">
        <x:is>
          <x:t xml:space="preserve">2016-07-12</x:t>
        </x:is>
      </x:c>
      <x:c r="J4372" s="3" t="inlineStr">
        <x:is>
          <x:t xml:space="preserve">海南省海口市美兰区海府路24号(海汽大厦)</x:t>
        </x:is>
      </x:c>
      <x:c r="K4372" s="12" t="str">
        <x:f>LEFT("91460000201242532C",18)</x:f>
        <x:v>91460000201242532C</x:v>
      </x:c>
    </x:row>
    <x:row r="4373">
      <x:c r="A4373" s="4" t="n">
        <x:v>4372</x:v>
      </x:c>
      <x:c r="B4373" s="4" t="inlineStr">
        <x:is>
          <x:t xml:space="preserve">605199</x:t>
        </x:is>
      </x:c>
      <x:c r="C4373" s="5" t="inlineStr">
        <x:is>
          <x:t xml:space="preserve">葫芦娃</x:t>
        </x:is>
      </x:c>
      <x:c r="D4373" s="5" t="inlineStr">
        <x:is>
          <x:t xml:space="preserve">海南葫芦娃药业集团股份有限公司</x:t>
        </x:is>
      </x:c>
      <x:c r="E4373" s="4" t="inlineStr">
        <x:is>
          <x:t xml:space="preserve">海南省</x:t>
        </x:is>
      </x:c>
      <x:c r="F4373" s="4" t="inlineStr">
        <x:is>
          <x:t xml:space="preserve">海口市</x:t>
        </x:is>
      </x:c>
      <x:c r="G4373" s="5" t="inlineStr">
        <x:is>
          <x:t xml:space="preserve">海南省-海口市</x:t>
        </x:is>
      </x:c>
      <x:c r="H4373" s="4" t="inlineStr">
        <x:is>
          <x:t xml:space="preserve">中药</x:t>
        </x:is>
      </x:c>
      <x:c r="I4373" s="4" t="inlineStr">
        <x:is>
          <x:t xml:space="preserve">2020-07-10</x:t>
        </x:is>
      </x:c>
      <x:c r="J4373" s="5" t="inlineStr">
        <x:is>
          <x:t xml:space="preserve">海南省海口市海口国家高新区药谷工业园二期药谷四路8号</x:t>
        </x:is>
      </x:c>
      <x:c r="K4373" s="12" t="str">
        <x:f>LEFT("91460100774262258E",18)</x:f>
        <x:v>91460100774262258E</x:v>
      </x:c>
    </x:row>
    <x:row r="4374">
      <x:c r="A4374" s="2" t="n">
        <x:v>4373</x:v>
      </x:c>
      <x:c r="B4374" s="2" t="inlineStr">
        <x:is>
          <x:t xml:space="preserve">688676</x:t>
        </x:is>
      </x:c>
      <x:c r="C4374" s="3" t="inlineStr">
        <x:is>
          <x:t xml:space="preserve">金盘科技</x:t>
        </x:is>
      </x:c>
      <x:c r="D4374" s="3" t="inlineStr">
        <x:is>
          <x:t xml:space="preserve">海南金盘智能科技股份有限公司</x:t>
        </x:is>
      </x:c>
      <x:c r="E4374" s="2" t="inlineStr">
        <x:is>
          <x:t xml:space="preserve">海南省</x:t>
        </x:is>
      </x:c>
      <x:c r="F4374" s="2" t="inlineStr">
        <x:is>
          <x:t xml:space="preserve">海口市</x:t>
        </x:is>
      </x:c>
      <x:c r="G4374" s="3" t="inlineStr">
        <x:is>
          <x:t xml:space="preserve">海南省-海口市</x:t>
        </x:is>
      </x:c>
      <x:c r="H4374" s="2" t="inlineStr">
        <x:is>
          <x:t xml:space="preserve">输配电气</x:t>
        </x:is>
      </x:c>
      <x:c r="I4374" s="2" t="inlineStr">
        <x:is>
          <x:t xml:space="preserve">2021-03-09</x:t>
        </x:is>
      </x:c>
      <x:c r="J4374" s="3" t="inlineStr">
        <x:is>
          <x:t xml:space="preserve">海南省海口市南海大道168-39号</x:t>
        </x:is>
      </x:c>
      <x:c r="K4374" s="12" t="str">
        <x:f>LEFT("9146010062006446XN",18)</x:f>
        <x:v>9146010062006446XN</x:v>
      </x:c>
    </x:row>
    <x:row r="4375">
      <x:c r="A4375" s="4" t="n">
        <x:v>4374</x:v>
      </x:c>
      <x:c r="B4375" s="4" t="inlineStr">
        <x:is>
          <x:t xml:space="preserve">000422</x:t>
        </x:is>
      </x:c>
      <x:c r="C4375" s="5" t="inlineStr">
        <x:is>
          <x:t xml:space="preserve">湖北宜化</x:t>
        </x:is>
      </x:c>
      <x:c r="D4375" s="5" t="inlineStr">
        <x:is>
          <x:t xml:space="preserve">湖北宜化化工股份有限公司</x:t>
        </x:is>
      </x:c>
      <x:c r="E4375" s="4" t="inlineStr">
        <x:is>
          <x:t xml:space="preserve">湖北省</x:t>
        </x:is>
      </x:c>
      <x:c r="F4375" s="4" t="inlineStr">
        <x:is>
          <x:t xml:space="preserve">北省枝江市</x:t>
        </x:is>
      </x:c>
      <x:c r="G4375" s="5" t="inlineStr">
        <x:is>
          <x:t xml:space="preserve">湖北省-北省枝江市</x:t>
        </x:is>
      </x:c>
      <x:c r="H4375" s="4" t="inlineStr">
        <x:is>
          <x:t xml:space="preserve">化肥行业</x:t>
        </x:is>
      </x:c>
      <x:c r="I4375" s="4" t="inlineStr">
        <x:is>
          <x:t xml:space="preserve">1996-08-15</x:t>
        </x:is>
      </x:c>
      <x:c r="J4375" s="5" t="inlineStr">
        <x:is>
          <x:t xml:space="preserve">湖北省枝江市白洋工业园田家河路122号</x:t>
        </x:is>
      </x:c>
      <x:c r="K4375" s="12" t="str">
        <x:f>LEFT("91420000179120378B",18)</x:f>
        <x:v>91420000179120378B</x:v>
      </x:c>
    </x:row>
    <x:row r="4376">
      <x:c r="A4376" s="2" t="n">
        <x:v>4375</x:v>
      </x:c>
      <x:c r="B4376" s="2" t="inlineStr">
        <x:is>
          <x:t xml:space="preserve">000501</x:t>
        </x:is>
      </x:c>
      <x:c r="C4376" s="3" t="inlineStr">
        <x:is>
          <x:t xml:space="preserve">武商集团</x:t>
        </x:is>
      </x:c>
      <x:c r="D4376" s="3" t="inlineStr">
        <x:is>
          <x:t xml:space="preserve">武商集团股份有限公司</x:t>
        </x:is>
      </x:c>
      <x:c r="E4376" s="2" t="inlineStr">
        <x:is>
          <x:t xml:space="preserve">湖北省</x:t>
        </x:is>
      </x:c>
      <x:c r="F4376" s="2" t="inlineStr">
        <x:is>
          <x:t xml:space="preserve">武汉市</x:t>
        </x:is>
      </x:c>
      <x:c r="G4376" s="3" t="inlineStr">
        <x:is>
          <x:t xml:space="preserve">湖北省-武汉市</x:t>
        </x:is>
      </x:c>
      <x:c r="H4376" s="2" t="inlineStr">
        <x:is>
          <x:t xml:space="preserve">商业百货</x:t>
        </x:is>
      </x:c>
      <x:c r="I4376" s="2" t="inlineStr">
        <x:is>
          <x:t xml:space="preserve">1992-11-20</x:t>
        </x:is>
      </x:c>
      <x:c r="J4376" s="3" t="inlineStr">
        <x:is>
          <x:t xml:space="preserve">武汉市江汉区解放大道690号</x:t>
        </x:is>
      </x:c>
      <x:c r="K4376" s="12" t="str">
        <x:f>LEFT("91420100300251645N",18)</x:f>
        <x:v>91420100300251645N</x:v>
      </x:c>
    </x:row>
    <x:row r="4377">
      <x:c r="A4377" s="4" t="n">
        <x:v>4376</x:v>
      </x:c>
      <x:c r="B4377" s="4" t="inlineStr">
        <x:is>
          <x:t xml:space="preserve">000520</x:t>
        </x:is>
      </x:c>
      <x:c r="C4377" s="5" t="inlineStr">
        <x:is>
          <x:t xml:space="preserve">凤凰航运</x:t>
        </x:is>
      </x:c>
      <x:c r="D4377" s="5" t="inlineStr">
        <x:is>
          <x:t xml:space="preserve">凤凰航运(武汉)股份有限公司</x:t>
        </x:is>
      </x:c>
      <x:c r="E4377" s="4" t="inlineStr">
        <x:is>
          <x:t xml:space="preserve">湖北省</x:t>
        </x:is>
      </x:c>
      <x:c r="F4377" s="4" t="inlineStr">
        <x:is>
          <x:t xml:space="preserve">武汉市</x:t>
        </x:is>
      </x:c>
      <x:c r="G4377" s="5" t="inlineStr">
        <x:is>
          <x:t xml:space="preserve">湖北省-武汉市</x:t>
        </x:is>
      </x:c>
      <x:c r="H4377" s="4" t="inlineStr">
        <x:is>
          <x:t xml:space="preserve">港口水运</x:t>
        </x:is>
      </x:c>
      <x:c r="I4377" s="4" t="inlineStr">
        <x:is>
          <x:t xml:space="preserve">1993-10-25</x:t>
        </x:is>
      </x:c>
      <x:c r="J4377" s="5" t="inlineStr">
        <x:is>
          <x:t xml:space="preserve">湖北省武汉市民权路39号汇江大厦</x:t>
        </x:is>
      </x:c>
      <x:c r="K4377" s="12" t="str">
        <x:f>LEFT("9142010017767908XR",18)</x:f>
        <x:v>9142010017767908XR</x:v>
      </x:c>
    </x:row>
    <x:row r="4378">
      <x:c r="A4378" s="2" t="n">
        <x:v>4377</x:v>
      </x:c>
      <x:c r="B4378" s="2" t="inlineStr">
        <x:is>
          <x:t xml:space="preserve">000553</x:t>
        </x:is>
      </x:c>
      <x:c r="C4378" s="3" t="inlineStr">
        <x:is>
          <x:t xml:space="preserve">安道麦A</x:t>
        </x:is>
      </x:c>
      <x:c r="D4378" s="3" t="inlineStr">
        <x:is>
          <x:t xml:space="preserve">安道麦股份有限公司</x:t>
        </x:is>
      </x:c>
      <x:c r="E4378" s="2" t="inlineStr">
        <x:is>
          <x:t xml:space="preserve">湖北省</x:t>
        </x:is>
      </x:c>
      <x:c r="F4378" s="2" t="inlineStr">
        <x:is>
          <x:t xml:space="preserve">荆州市</x:t>
        </x:is>
      </x:c>
      <x:c r="G4378" s="3" t="inlineStr">
        <x:is>
          <x:t xml:space="preserve">湖北省-荆州市</x:t>
        </x:is>
      </x:c>
      <x:c r="H4378" s="2" t="inlineStr">
        <x:is>
          <x:t xml:space="preserve">农药兽药</x:t>
        </x:is>
      </x:c>
      <x:c r="I4378" s="2" t="inlineStr">
        <x:is>
          <x:t xml:space="preserve">1993-12-03</x:t>
        </x:is>
      </x:c>
      <x:c r="J4378" s="3" t="inlineStr">
        <x:is>
          <x:t xml:space="preserve">湖北省荆州市北京东路93号</x:t>
        </x:is>
      </x:c>
      <x:c r="K4378" s="12" t="str">
        <x:f>LEFT("91420000706962287Q",18)</x:f>
        <x:v>91420000706962287Q</x:v>
      </x:c>
    </x:row>
    <x:row r="4379">
      <x:c r="A4379" s="4" t="n">
        <x:v>4378</x:v>
      </x:c>
      <x:c r="B4379" s="4" t="inlineStr">
        <x:is>
          <x:t xml:space="preserve">000615</x:t>
        </x:is>
      </x:c>
      <x:c r="C4379" s="5" t="inlineStr">
        <x:is>
          <x:t xml:space="preserve">*ST美谷</x:t>
        </x:is>
      </x:c>
      <x:c r="D4379" s="5" t="inlineStr">
        <x:is>
          <x:t xml:space="preserve">奥园美谷科技股份有限公司</x:t>
        </x:is>
      </x:c>
      <x:c r="E4379" s="4" t="inlineStr">
        <x:is>
          <x:t xml:space="preserve">湖北省</x:t>
        </x:is>
      </x:c>
      <x:c r="F4379" s="4" t="inlineStr">
        <x:is>
          <x:t xml:space="preserve">襄阳市</x:t>
        </x:is>
      </x:c>
      <x:c r="G4379" s="5" t="inlineStr">
        <x:is>
          <x:t xml:space="preserve">湖北省-襄阳市</x:t>
        </x:is>
      </x:c>
      <x:c r="H4379" s="4" t="inlineStr">
        <x:is>
          <x:t xml:space="preserve">美容护理</x:t>
        </x:is>
      </x:c>
      <x:c r="I4379" s="4" t="inlineStr">
        <x:is>
          <x:t xml:space="preserve">1996-10-16</x:t>
        </x:is>
      </x:c>
      <x:c r="J4379" s="5" t="inlineStr">
        <x:is>
          <x:t xml:space="preserve">湖北省襄阳市樊城区陈家湖</x:t>
        </x:is>
      </x:c>
      <x:c r="K4379" s="12" t="str">
        <x:f>LEFT("914200007070951895",18)</x:f>
        <x:v>914200007070952000</x:v>
      </x:c>
    </x:row>
    <x:row r="4380">
      <x:c r="A4380" s="2" t="n">
        <x:v>4379</x:v>
      </x:c>
      <x:c r="B4380" s="2" t="inlineStr">
        <x:is>
          <x:t xml:space="preserve">000665</x:t>
        </x:is>
      </x:c>
      <x:c r="C4380" s="3" t="inlineStr">
        <x:is>
          <x:t xml:space="preserve">湖北广电</x:t>
        </x:is>
      </x:c>
      <x:c r="D4380" s="3" t="inlineStr">
        <x:is>
          <x:t xml:space="preserve">湖北省广播电视信息网络股份有限公司</x:t>
        </x:is>
      </x:c>
      <x:c r="E4380" s="2" t="inlineStr">
        <x:is>
          <x:t xml:space="preserve">湖北省</x:t>
        </x:is>
      </x:c>
      <x:c r="F4380" s="2" t="inlineStr">
        <x:is>
          <x:t xml:space="preserve">武汉市</x:t>
        </x:is>
      </x:c>
      <x:c r="G4380" s="3" t="inlineStr">
        <x:is>
          <x:t xml:space="preserve">湖北省-武汉市</x:t>
        </x:is>
      </x:c>
      <x:c r="H4380" s="2" t="inlineStr">
        <x:is>
          <x:t xml:space="preserve">文化传媒</x:t>
        </x:is>
      </x:c>
      <x:c r="I4380" s="2" t="inlineStr">
        <x:is>
          <x:t xml:space="preserve">1996-12-10</x:t>
        </x:is>
      </x:c>
      <x:c r="J4380" s="3" t="inlineStr">
        <x:is>
          <x:t xml:space="preserve">湖北省武汉市经济技术开发区工业区</x:t>
        </x:is>
      </x:c>
      <x:c r="K4380" s="12" t="str">
        <x:f>LEFT("914201001777215672",18)</x:f>
        <x:v>914201001777215600</x:v>
      </x:c>
    </x:row>
    <x:row r="4381">
      <x:c r="A4381" s="4" t="n">
        <x:v>4380</x:v>
      </x:c>
      <x:c r="B4381" s="4" t="inlineStr">
        <x:is>
          <x:t xml:space="preserve">000670</x:t>
        </x:is>
      </x:c>
      <x:c r="C4381" s="5" t="inlineStr">
        <x:is>
          <x:t xml:space="preserve">盈方微</x:t>
        </x:is>
      </x:c>
      <x:c r="D4381" s="5" t="inlineStr">
        <x:is>
          <x:t xml:space="preserve">盈方微电子股份有限公司</x:t>
        </x:is>
      </x:c>
      <x:c r="E4381" s="4" t="inlineStr">
        <x:is>
          <x:t xml:space="preserve">湖北省</x:t>
        </x:is>
      </x:c>
      <x:c r="F4381" s="4" t="inlineStr">
        <x:is>
          <x:t xml:space="preserve">荆州市</x:t>
        </x:is>
      </x:c>
      <x:c r="G4381" s="5" t="inlineStr">
        <x:is>
          <x:t xml:space="preserve">湖北省-荆州市</x:t>
        </x:is>
      </x:c>
      <x:c r="H4381" s="4" t="inlineStr">
        <x:is>
          <x:t xml:space="preserve">半导体</x:t>
        </x:is>
      </x:c>
      <x:c r="I4381" s="4" t="inlineStr">
        <x:is>
          <x:t xml:space="preserve">1996-12-17</x:t>
        </x:is>
      </x:c>
      <x:c r="J4381" s="5" t="inlineStr">
        <x:is>
          <x:t xml:space="preserve">湖北省荆州市沙市区北京中路282号津谷大厦1102、1103室</x:t>
        </x:is>
      </x:c>
      <x:c r="K4381" s="12" t="str">
        <x:f>LEFT("91421000676499294W",18)</x:f>
        <x:v>91421000676499294W</x:v>
      </x:c>
    </x:row>
    <x:row r="4382">
      <x:c r="A4382" s="2" t="n">
        <x:v>4381</x:v>
      </x:c>
      <x:c r="B4382" s="2" t="inlineStr">
        <x:is>
          <x:t xml:space="preserve">000678</x:t>
        </x:is>
      </x:c>
      <x:c r="C4382" s="3" t="inlineStr">
        <x:is>
          <x:t xml:space="preserve">襄阳轴承</x:t>
        </x:is>
      </x:c>
      <x:c r="D4382" s="3" t="inlineStr">
        <x:is>
          <x:t xml:space="preserve">襄阳汽车轴承股份有限公司</x:t>
        </x:is>
      </x:c>
      <x:c r="E4382" s="2" t="inlineStr">
        <x:is>
          <x:t xml:space="preserve">湖北省</x:t>
        </x:is>
      </x:c>
      <x:c r="F4382" s="2" t="inlineStr">
        <x:is>
          <x:t xml:space="preserve">襄阳市</x:t>
        </x:is>
      </x:c>
      <x:c r="G4382" s="3" t="inlineStr">
        <x:is>
          <x:t xml:space="preserve">湖北省-襄阳市</x:t>
        </x:is>
      </x:c>
      <x:c r="H4382" s="2" t="inlineStr">
        <x:is>
          <x:t xml:space="preserve">汽车行业</x:t>
        </x:is>
      </x:c>
      <x:c r="I4382" s="2" t="inlineStr">
        <x:is>
          <x:t xml:space="preserve">1997-01-06</x:t>
        </x:is>
      </x:c>
      <x:c r="J4382" s="3" t="inlineStr">
        <x:is>
          <x:t xml:space="preserve">湖北省襄阳市高新区邓城大道97号</x:t>
        </x:is>
      </x:c>
      <x:c r="K4382" s="12" t="str">
        <x:f>LEFT("91420000177583897Q",18)</x:f>
        <x:v>91420000177583897Q</x:v>
      </x:c>
    </x:row>
    <x:row r="4383">
      <x:c r="A4383" s="4" t="n">
        <x:v>4382</x:v>
      </x:c>
      <x:c r="B4383" s="4" t="inlineStr">
        <x:is>
          <x:t xml:space="preserve">000707</x:t>
        </x:is>
      </x:c>
      <x:c r="C4383" s="5" t="inlineStr">
        <x:is>
          <x:t xml:space="preserve">双环科技</x:t>
        </x:is>
      </x:c>
      <x:c r="D4383" s="5" t="inlineStr">
        <x:is>
          <x:t xml:space="preserve">湖北双环科技股份有限公司</x:t>
        </x:is>
      </x:c>
      <x:c r="E4383" s="4" t="inlineStr">
        <x:is>
          <x:t xml:space="preserve">湖北省</x:t>
        </x:is>
      </x:c>
      <x:c r="F4383" s="4" t="inlineStr">
        <x:is>
          <x:t xml:space="preserve">北省应城市</x:t>
        </x:is>
      </x:c>
      <x:c r="G4383" s="5" t="inlineStr">
        <x:is>
          <x:t xml:space="preserve">湖北省-北省应城市</x:t>
        </x:is>
      </x:c>
      <x:c r="H4383" s="4" t="inlineStr">
        <x:is>
          <x:t xml:space="preserve">化学原料</x:t>
        </x:is>
      </x:c>
      <x:c r="I4383" s="4" t="inlineStr">
        <x:is>
          <x:t xml:space="preserve">1997-04-15</x:t>
        </x:is>
      </x:c>
      <x:c r="J4383" s="5" t="inlineStr">
        <x:is>
          <x:t xml:space="preserve">湖北省应城市东马坊团结大道26号</x:t>
        </x:is>
      </x:c>
      <x:c r="K4383" s="12" t="str">
        <x:f>LEFT("91420000706803542C",18)</x:f>
        <x:v>91420000706803542C</x:v>
      </x:c>
    </x:row>
    <x:row r="4384">
      <x:c r="A4384" s="2" t="n">
        <x:v>4383</x:v>
      </x:c>
      <x:c r="B4384" s="2" t="inlineStr">
        <x:is>
          <x:t xml:space="preserve">000708</x:t>
        </x:is>
      </x:c>
      <x:c r="C4384" s="3" t="inlineStr">
        <x:is>
          <x:t xml:space="preserve">中信特钢</x:t>
        </x:is>
      </x:c>
      <x:c r="D4384" s="3" t="inlineStr">
        <x:is>
          <x:t xml:space="preserve">中信泰富特钢集团股份有限公司</x:t>
        </x:is>
      </x:c>
      <x:c r="E4384" s="2" t="inlineStr">
        <x:is>
          <x:t xml:space="preserve">湖北省</x:t>
        </x:is>
      </x:c>
      <x:c r="F4384" s="2" t="inlineStr">
        <x:is>
          <x:t xml:space="preserve">黄石市</x:t>
        </x:is>
      </x:c>
      <x:c r="G4384" s="3" t="inlineStr">
        <x:is>
          <x:t xml:space="preserve">湖北省-黄石市</x:t>
        </x:is>
      </x:c>
      <x:c r="H4384" s="2" t="inlineStr">
        <x:is>
          <x:t xml:space="preserve">钢铁行业</x:t>
        </x:is>
      </x:c>
      <x:c r="I4384" s="2" t="inlineStr">
        <x:is>
          <x:t xml:space="preserve">1997-03-26</x:t>
        </x:is>
      </x:c>
      <x:c r="J4384" s="3" t="inlineStr">
        <x:is>
          <x:t xml:space="preserve">湖北省黄石市黄石大道316号</x:t>
        </x:is>
      </x:c>
      <x:c r="K4384" s="12" t="str">
        <x:f>LEFT("9142000027175201X4",18)</x:f>
        <x:v>9142000027175201X4</x:v>
      </x:c>
    </x:row>
    <x:row r="4385">
      <x:c r="A4385" s="4" t="n">
        <x:v>4384</x:v>
      </x:c>
      <x:c r="B4385" s="4" t="inlineStr">
        <x:is>
          <x:t xml:space="preserve">000759</x:t>
        </x:is>
      </x:c>
      <x:c r="C4385" s="5" t="inlineStr">
        <x:is>
          <x:t xml:space="preserve">中百集团</x:t>
        </x:is>
      </x:c>
      <x:c r="D4385" s="5" t="inlineStr">
        <x:is>
          <x:t xml:space="preserve">中百控股集团股份有限公司</x:t>
        </x:is>
      </x:c>
      <x:c r="E4385" s="4" t="inlineStr">
        <x:is>
          <x:t xml:space="preserve">湖北省</x:t>
        </x:is>
      </x:c>
      <x:c r="F4385" s="4" t="inlineStr">
        <x:is>
          <x:t xml:space="preserve">武汉市</x:t>
        </x:is>
      </x:c>
      <x:c r="G4385" s="5" t="inlineStr">
        <x:is>
          <x:t xml:space="preserve">湖北省-武汉市</x:t>
        </x:is>
      </x:c>
      <x:c r="H4385" s="4" t="inlineStr">
        <x:is>
          <x:t xml:space="preserve">商业百货</x:t>
        </x:is>
      </x:c>
      <x:c r="I4385" s="4" t="inlineStr">
        <x:is>
          <x:t xml:space="preserve">1997-05-19</x:t>
        </x:is>
      </x:c>
      <x:c r="J4385" s="5" t="inlineStr">
        <x:is>
          <x:t xml:space="preserve">湖北省武汉市江汉区江汉路129号</x:t>
        </x:is>
      </x:c>
      <x:c r="K4385" s="12" t="str">
        <x:f>LEFT("91420100177682019R",18)</x:f>
        <x:v>91420100177682019R</x:v>
      </x:c>
    </x:row>
    <x:row r="4386">
      <x:c r="A4386" s="2" t="n">
        <x:v>4385</x:v>
      </x:c>
      <x:c r="B4386" s="2" t="inlineStr">
        <x:is>
          <x:t xml:space="preserve">000783</x:t>
        </x:is>
      </x:c>
      <x:c r="C4386" s="3" t="inlineStr">
        <x:is>
          <x:t xml:space="preserve">长江证券</x:t>
        </x:is>
      </x:c>
      <x:c r="D4386" s="3" t="inlineStr">
        <x:is>
          <x:t xml:space="preserve">长江证券股份有限公司</x:t>
        </x:is>
      </x:c>
      <x:c r="E4386" s="2" t="inlineStr">
        <x:is>
          <x:t xml:space="preserve">湖北省</x:t>
        </x:is>
      </x:c>
      <x:c r="F4386" s="2" t="inlineStr">
        <x:is>
          <x:t xml:space="preserve">武汉市</x:t>
        </x:is>
      </x:c>
      <x:c r="G4386" s="3" t="inlineStr">
        <x:is>
          <x:t xml:space="preserve">湖北省-武汉市</x:t>
        </x:is>
      </x:c>
      <x:c r="H4386" s="2" t="inlineStr">
        <x:is>
          <x:t xml:space="preserve">券商信托</x:t>
        </x:is>
      </x:c>
      <x:c r="I4386" s="2" t="inlineStr">
        <x:is>
          <x:t xml:space="preserve">1997-07-31</x:t>
        </x:is>
      </x:c>
      <x:c r="J4386" s="3" t="inlineStr">
        <x:is>
          <x:t xml:space="preserve">湖北省武汉市江汉区淮海路88号</x:t>
        </x:is>
      </x:c>
      <x:c r="K4386" s="12" t="str">
        <x:f>LEFT("91420000700821272A",18)</x:f>
        <x:v>91420000700821272A</x:v>
      </x:c>
    </x:row>
    <x:row r="4387">
      <x:c r="A4387" s="4" t="n">
        <x:v>4386</x:v>
      </x:c>
      <x:c r="B4387" s="4" t="inlineStr">
        <x:is>
          <x:t xml:space="preserve">000785</x:t>
        </x:is>
      </x:c>
      <x:c r="C4387" s="5" t="inlineStr">
        <x:is>
          <x:t xml:space="preserve">居然智家</x:t>
        </x:is>
      </x:c>
      <x:c r="D4387" s="5" t="inlineStr">
        <x:is>
          <x:t xml:space="preserve">居然智家新零售集团股份有限公司</x:t>
        </x:is>
      </x:c>
      <x:c r="E4387" s="4" t="inlineStr">
        <x:is>
          <x:t xml:space="preserve">湖北省</x:t>
        </x:is>
      </x:c>
      <x:c r="F4387" s="4" t="inlineStr">
        <x:is>
          <x:t xml:space="preserve">武汉市</x:t>
        </x:is>
      </x:c>
      <x:c r="G4387" s="5" t="inlineStr">
        <x:is>
          <x:t xml:space="preserve">湖北省-武汉市</x:t>
        </x:is>
      </x:c>
      <x:c r="H4387" s="4" t="inlineStr">
        <x:is>
          <x:t xml:space="preserve">商业百货</x:t>
        </x:is>
      </x:c>
      <x:c r="I4387" s="4" t="inlineStr">
        <x:is>
          <x:t xml:space="preserve">1997-07-11</x:t>
        </x:is>
      </x:c>
      <x:c r="J4387" s="5" t="inlineStr">
        <x:is>
          <x:t xml:space="preserve">湖北省武汉市武昌区中南路9号</x:t>
        </x:is>
      </x:c>
      <x:c r="K4387" s="12" t="str">
        <x:f>LEFT("91420100177691433G",18)</x:f>
        <x:v>91420100177691433G</x:v>
      </x:c>
    </x:row>
    <x:row r="4388">
      <x:c r="A4388" s="2" t="n">
        <x:v>4387</x:v>
      </x:c>
      <x:c r="B4388" s="2" t="inlineStr">
        <x:is>
          <x:t xml:space="preserve">000821</x:t>
        </x:is>
      </x:c>
      <x:c r="C4388" s="3" t="inlineStr">
        <x:is>
          <x:t xml:space="preserve">京山轻机</x:t>
        </x:is>
      </x:c>
      <x:c r="D4388" s="3" t="inlineStr">
        <x:is>
          <x:t xml:space="preserve">湖北京山轻工机械股份有限公司</x:t>
        </x:is>
      </x:c>
      <x:c r="E4388" s="2" t="inlineStr">
        <x:is>
          <x:t xml:space="preserve">湖北省</x:t>
        </x:is>
      </x:c>
      <x:c r="F4388" s="2" t="inlineStr">
        <x:is>
          <x:t xml:space="preserve">北省京山市</x:t>
        </x:is>
      </x:c>
      <x:c r="G4388" s="3" t="inlineStr">
        <x:is>
          <x:t xml:space="preserve">湖北省-北省京山市</x:t>
        </x:is>
      </x:c>
      <x:c r="H4388" s="2" t="inlineStr">
        <x:is>
          <x:t xml:space="preserve">光伏设备</x:t>
        </x:is>
      </x:c>
      <x:c r="I4388" s="2" t="inlineStr">
        <x:is>
          <x:t xml:space="preserve">1998-06-26</x:t>
        </x:is>
      </x:c>
      <x:c r="J4388" s="3" t="inlineStr">
        <x:is>
          <x:t xml:space="preserve">湖北省京山市经济开发区轻机工业园</x:t>
        </x:is>
      </x:c>
      <x:c r="K4388" s="12" t="str">
        <x:f>LEFT("9142000027175092XR",18)</x:f>
        <x:v>9142000027175092XR</x:v>
      </x:c>
    </x:row>
    <x:row r="4389">
      <x:c r="A4389" s="4" t="n">
        <x:v>4388</x:v>
      </x:c>
      <x:c r="B4389" s="4" t="inlineStr">
        <x:is>
          <x:t xml:space="preserve">000826</x:t>
        </x:is>
      </x:c>
      <x:c r="C4389" s="5" t="inlineStr">
        <x:is>
          <x:t xml:space="preserve">启迪环境</x:t>
        </x:is>
      </x:c>
      <x:c r="D4389" s="5" t="inlineStr">
        <x:is>
          <x:t xml:space="preserve">启迪环境科技发展股份有限公司</x:t>
        </x:is>
      </x:c>
      <x:c r="E4389" s="4" t="inlineStr">
        <x:is>
          <x:t xml:space="preserve">湖北省</x:t>
        </x:is>
      </x:c>
      <x:c r="F4389" s="4" t="inlineStr">
        <x:is>
          <x:t xml:space="preserve">宜昌市</x:t>
        </x:is>
      </x:c>
      <x:c r="G4389" s="5" t="inlineStr">
        <x:is>
          <x:t xml:space="preserve">湖北省-宜昌市</x:t>
        </x:is>
      </x:c>
      <x:c r="H4389" s="4" t="inlineStr">
        <x:is>
          <x:t xml:space="preserve">环保工程</x:t>
        </x:is>
      </x:c>
      <x:c r="I4389" s="4" t="inlineStr">
        <x:is>
          <x:t xml:space="preserve">1998-02-25</x:t>
        </x:is>
      </x:c>
      <x:c r="J4389" s="5" t="inlineStr">
        <x:is>
          <x:t xml:space="preserve">湖北省宜昌市西陵区绿萝路77号</x:t>
        </x:is>
      </x:c>
      <x:c r="K4389" s="12" t="str">
        <x:f>LEFT("91420000179120511T",18)</x:f>
        <x:v>91420000179120511T</x:v>
      </x:c>
    </x:row>
    <x:row r="4390">
      <x:c r="A4390" s="2" t="n">
        <x:v>4389</x:v>
      </x:c>
      <x:c r="B4390" s="2" t="inlineStr">
        <x:is>
          <x:t xml:space="preserve">000852</x:t>
        </x:is>
      </x:c>
      <x:c r="C4390" s="3" t="inlineStr">
        <x:is>
          <x:t xml:space="preserve">石化机械</x:t>
        </x:is>
      </x:c>
      <x:c r="D4390" s="3" t="inlineStr">
        <x:is>
          <x:t xml:space="preserve">中石化石油机械股份有限公司</x:t>
        </x:is>
      </x:c>
      <x:c r="E4390" s="2" t="inlineStr">
        <x:is>
          <x:t xml:space="preserve">湖北省</x:t>
        </x:is>
      </x:c>
      <x:c r="F4390" s="2" t="inlineStr">
        <x:is>
          <x:t xml:space="preserve">武汉市</x:t>
        </x:is>
      </x:c>
      <x:c r="G4390" s="3" t="inlineStr">
        <x:is>
          <x:t xml:space="preserve">湖北省-武汉市</x:t>
        </x:is>
      </x:c>
      <x:c r="H4390" s="2" t="inlineStr">
        <x:is>
          <x:t xml:space="preserve">专用设备</x:t>
        </x:is>
      </x:c>
      <x:c r="I4390" s="2" t="inlineStr">
        <x:is>
          <x:t xml:space="preserve">1998-11-26</x:t>
        </x:is>
      </x:c>
      <x:c r="J4390" s="3" t="inlineStr">
        <x:is>
          <x:t xml:space="preserve">武汉市东湖新技术开发区庙山小区华工园一路5号</x:t>
        </x:is>
      </x:c>
      <x:c r="K4390" s="12" t="str">
        <x:f>LEFT("91420100711956260E",18)</x:f>
        <x:v>91420100711956260E</x:v>
      </x:c>
    </x:row>
    <x:row r="4391">
      <x:c r="A4391" s="4" t="n">
        <x:v>4390</x:v>
      </x:c>
      <x:c r="B4391" s="4" t="inlineStr">
        <x:is>
          <x:t xml:space="preserve">000883</x:t>
        </x:is>
      </x:c>
      <x:c r="C4391" s="5" t="inlineStr">
        <x:is>
          <x:t xml:space="preserve">湖北能源</x:t>
        </x:is>
      </x:c>
      <x:c r="D4391" s="5" t="inlineStr">
        <x:is>
          <x:t xml:space="preserve">湖北能源集团股份有限公司</x:t>
        </x:is>
      </x:c>
      <x:c r="E4391" s="4" t="inlineStr">
        <x:is>
          <x:t xml:space="preserve">湖北省</x:t>
        </x:is>
      </x:c>
      <x:c r="F4391" s="4" t="inlineStr">
        <x:is>
          <x:t xml:space="preserve">武汉市</x:t>
        </x:is>
      </x:c>
      <x:c r="G4391" s="5" t="inlineStr">
        <x:is>
          <x:t xml:space="preserve">湖北省-武汉市</x:t>
        </x:is>
      </x:c>
      <x:c r="H4391" s="4" t="inlineStr">
        <x:is>
          <x:t xml:space="preserve">电力行业</x:t>
        </x:is>
      </x:c>
      <x:c r="I4391" s="4" t="inlineStr">
        <x:is>
          <x:t xml:space="preserve">1998-05-19</x:t>
        </x:is>
      </x:c>
      <x:c r="J4391" s="5" t="inlineStr">
        <x:is>
          <x:t xml:space="preserve">湖北省武汉市武昌区徐东大街96号</x:t>
        </x:is>
      </x:c>
      <x:c r="K4391" s="12" t="str">
        <x:f>LEFT("91420000271750655H",18)</x:f>
        <x:v>91420000271750655H</x:v>
      </x:c>
    </x:row>
    <x:row r="4392">
      <x:c r="A4392" s="2" t="n">
        <x:v>4391</x:v>
      </x:c>
      <x:c r="B4392" s="2" t="inlineStr">
        <x:is>
          <x:t xml:space="preserve">000902</x:t>
        </x:is>
      </x:c>
      <x:c r="C4392" s="3" t="inlineStr">
        <x:is>
          <x:t xml:space="preserve">新洋丰</x:t>
        </x:is>
      </x:c>
      <x:c r="D4392" s="3" t="inlineStr">
        <x:is>
          <x:t xml:space="preserve">新洋丰农业科技股份有限公司</x:t>
        </x:is>
      </x:c>
      <x:c r="E4392" s="2" t="inlineStr">
        <x:is>
          <x:t xml:space="preserve">湖北省</x:t>
        </x:is>
      </x:c>
      <x:c r="F4392" s="2" t="inlineStr">
        <x:is>
          <x:t xml:space="preserve">荆门市</x:t>
        </x:is>
      </x:c>
      <x:c r="G4392" s="3" t="inlineStr">
        <x:is>
          <x:t xml:space="preserve">湖北省-荆门市</x:t>
        </x:is>
      </x:c>
      <x:c r="H4392" s="2" t="inlineStr">
        <x:is>
          <x:t xml:space="preserve">化肥行业</x:t>
        </x:is>
      </x:c>
      <x:c r="I4392" s="2" t="inlineStr">
        <x:is>
          <x:t xml:space="preserve">1999-04-08</x:t>
        </x:is>
      </x:c>
      <x:c r="J4392" s="3" t="inlineStr">
        <x:is>
          <x:t xml:space="preserve">湖北省荆门市月亮湖北路附7号</x:t>
        </x:is>
      </x:c>
      <x:c r="K4392" s="12" t="str">
        <x:f>LEFT("91420800764100001A",18)</x:f>
        <x:v>91420800764100001A</x:v>
      </x:c>
    </x:row>
    <x:row r="4393">
      <x:c r="A4393" s="4" t="n">
        <x:v>4392</x:v>
      </x:c>
      <x:c r="B4393" s="4" t="inlineStr">
        <x:is>
          <x:t xml:space="preserve">000926</x:t>
        </x:is>
      </x:c>
      <x:c r="C4393" s="5" t="inlineStr">
        <x:is>
          <x:t xml:space="preserve">福星股份</x:t>
        </x:is>
      </x:c>
      <x:c r="D4393" s="5" t="inlineStr">
        <x:is>
          <x:t xml:space="preserve">湖北福星科技股份有限公司</x:t>
        </x:is>
      </x:c>
      <x:c r="E4393" s="4" t="inlineStr">
        <x:is>
          <x:t xml:space="preserve">湖北省</x:t>
        </x:is>
      </x:c>
      <x:c r="F4393" s="4" t="inlineStr">
        <x:is>
          <x:t xml:space="preserve">北省汉川市</x:t>
        </x:is>
      </x:c>
      <x:c r="G4393" s="5" t="inlineStr">
        <x:is>
          <x:t xml:space="preserve">湖北省-北省汉川市</x:t>
        </x:is>
      </x:c>
      <x:c r="H4393" s="4" t="inlineStr">
        <x:is>
          <x:t xml:space="preserve">房地产</x:t>
        </x:is>
      </x:c>
      <x:c r="I4393" s="4" t="inlineStr">
        <x:is>
          <x:t xml:space="preserve">1999-06-18</x:t>
        </x:is>
      </x:c>
      <x:c r="J4393" s="5" t="inlineStr">
        <x:is>
          <x:t xml:space="preserve">湖北省汉川市沉湖镇福星街1号</x:t>
        </x:is>
      </x:c>
      <x:c r="K4393" s="12" t="str">
        <x:f>LEFT("914200007069595043",18)</x:f>
        <x:v>914200007069595000</x:v>
      </x:c>
    </x:row>
    <x:row r="4394">
      <x:c r="A4394" s="2" t="n">
        <x:v>4393</x:v>
      </x:c>
      <x:c r="B4394" s="2" t="inlineStr">
        <x:is>
          <x:t xml:space="preserve">000952</x:t>
        </x:is>
      </x:c>
      <x:c r="C4394" s="3" t="inlineStr">
        <x:is>
          <x:t xml:space="preserve">广济药业</x:t>
        </x:is>
      </x:c>
      <x:c r="D4394" s="3" t="inlineStr">
        <x:is>
          <x:t xml:space="preserve">湖北广济药业股份有限公司</x:t>
        </x:is>
      </x:c>
      <x:c r="E4394" s="2" t="inlineStr">
        <x:is>
          <x:t xml:space="preserve">湖北省</x:t>
        </x:is>
      </x:c>
      <x:c r="F4394" s="2" t="inlineStr">
        <x:is>
          <x:t xml:space="preserve">北省武穴市</x:t>
        </x:is>
      </x:c>
      <x:c r="G4394" s="3" t="inlineStr">
        <x:is>
          <x:t xml:space="preserve">湖北省-北省武穴市</x:t>
        </x:is>
      </x:c>
      <x:c r="H4394" s="2" t="inlineStr">
        <x:is>
          <x:t xml:space="preserve">医药制造</x:t>
        </x:is>
      </x:c>
      <x:c r="I4394" s="2" t="inlineStr">
        <x:is>
          <x:t xml:space="preserve">1999-11-12</x:t>
        </x:is>
      </x:c>
      <x:c r="J4394" s="3" t="inlineStr">
        <x:is>
          <x:t xml:space="preserve">湖北省武穴市大金镇梅武路100号</x:t>
        </x:is>
      </x:c>
      <x:c r="K4394" s="12" t="str">
        <x:f>LEFT("91420000707016110B",18)</x:f>
        <x:v>91420000707016110B</x:v>
      </x:c>
    </x:row>
    <x:row r="4395">
      <x:c r="A4395" s="4" t="n">
        <x:v>4394</x:v>
      </x:c>
      <x:c r="B4395" s="4" t="inlineStr">
        <x:is>
          <x:t xml:space="preserve">000966</x:t>
        </x:is>
      </x:c>
      <x:c r="C4395" s="5" t="inlineStr">
        <x:is>
          <x:t xml:space="preserve">长源电力</x:t>
        </x:is>
      </x:c>
      <x:c r="D4395" s="5" t="inlineStr">
        <x:is>
          <x:t xml:space="preserve">国家能源集团长源电力股份有限公司</x:t>
        </x:is>
      </x:c>
      <x:c r="E4395" s="4" t="inlineStr">
        <x:is>
          <x:t xml:space="preserve">湖北省</x:t>
        </x:is>
      </x:c>
      <x:c r="F4395" s="4" t="inlineStr">
        <x:is>
          <x:t xml:space="preserve">武汉市</x:t>
        </x:is>
      </x:c>
      <x:c r="G4395" s="5" t="inlineStr">
        <x:is>
          <x:t xml:space="preserve">湖北省-武汉市</x:t>
        </x:is>
      </x:c>
      <x:c r="H4395" s="4" t="inlineStr">
        <x:is>
          <x:t xml:space="preserve">电力行业</x:t>
        </x:is>
      </x:c>
      <x:c r="I4395" s="4" t="inlineStr">
        <x:is>
          <x:t xml:space="preserve">2000-03-16</x:t>
        </x:is>
      </x:c>
      <x:c r="J4395" s="5" t="inlineStr">
        <x:is>
          <x:t xml:space="preserve">湖北省武汉市洪山区徐东大街63号国家能源大厦</x:t>
        </x:is>
      </x:c>
      <x:c r="K4395" s="12" t="str">
        <x:f>LEFT("91420000177597420R",18)</x:f>
        <x:v>91420000177597420R</x:v>
      </x:c>
    </x:row>
    <x:row r="4396">
      <x:c r="A4396" s="2" t="n">
        <x:v>4395</x:v>
      </x:c>
      <x:c r="B4396" s="2" t="inlineStr">
        <x:is>
          <x:t xml:space="preserve">000988</x:t>
        </x:is>
      </x:c>
      <x:c r="C4396" s="3" t="inlineStr">
        <x:is>
          <x:t xml:space="preserve">华工科技</x:t>
        </x:is>
      </x:c>
      <x:c r="D4396" s="3" t="inlineStr">
        <x:is>
          <x:t xml:space="preserve">华工科技产业股份有限公司</x:t>
        </x:is>
      </x:c>
      <x:c r="E4396" s="2" t="inlineStr">
        <x:is>
          <x:t xml:space="preserve">湖北省</x:t>
        </x:is>
      </x:c>
      <x:c r="F4396" s="2" t="inlineStr">
        <x:is>
          <x:t xml:space="preserve">武汉市</x:t>
        </x:is>
      </x:c>
      <x:c r="G4396" s="3" t="inlineStr">
        <x:is>
          <x:t xml:space="preserve">湖北省-武汉市</x:t>
        </x:is>
      </x:c>
      <x:c r="H4396" s="2" t="inlineStr">
        <x:is>
          <x:t xml:space="preserve">电子元件</x:t>
        </x:is>
      </x:c>
      <x:c r="I4396" s="2" t="inlineStr">
        <x:is>
          <x:t xml:space="preserve">2000-06-08</x:t>
        </x:is>
      </x:c>
      <x:c r="J4396" s="3" t="inlineStr">
        <x:is>
          <x:t xml:space="preserve">湖北省武汉东湖新技术开发区未来二路66号四号楼3楼(自贸区武汉片区)</x:t>
        </x:is>
      </x:c>
      <x:c r="K4396" s="12" t="str">
        <x:f>LEFT("91420000714584749G",18)</x:f>
        <x:v>91420000714584749G</x:v>
      </x:c>
    </x:row>
    <x:row r="4397">
      <x:c r="A4397" s="4" t="n">
        <x:v>4396</x:v>
      </x:c>
      <x:c r="B4397" s="4" t="inlineStr">
        <x:is>
          <x:t xml:space="preserve">001267</x:t>
        </x:is>
      </x:c>
      <x:c r="C4397" s="5" t="inlineStr">
        <x:is>
          <x:t xml:space="preserve">汇绿生态</x:t>
        </x:is>
      </x:c>
      <x:c r="D4397" s="5" t="inlineStr">
        <x:is>
          <x:t xml:space="preserve">汇绿生态科技集团股份有限公司</x:t>
        </x:is>
      </x:c>
      <x:c r="E4397" s="4" t="inlineStr">
        <x:is>
          <x:t xml:space="preserve">湖北省</x:t>
        </x:is>
      </x:c>
      <x:c r="F4397" s="4" t="inlineStr">
        <x:is>
          <x:t xml:space="preserve">武汉市</x:t>
        </x:is>
      </x:c>
      <x:c r="G4397" s="5" t="inlineStr">
        <x:is>
          <x:t xml:space="preserve">湖北省-武汉市</x:t>
        </x:is>
      </x:c>
      <x:c r="H4397" s="4" t="inlineStr">
        <x:is>
          <x:t xml:space="preserve">工程建设</x:t>
        </x:is>
      </x:c>
      <x:c r="I4397" s="4" t="inlineStr">
        <x:is>
          <x:t xml:space="preserve">2021-11-17</x:t>
        </x:is>
      </x:c>
      <x:c r="J4397" s="5" t="inlineStr">
        <x:is>
          <x:t xml:space="preserve">湖北省武汉市江汉区青年路556号房开大厦写字楼37楼(青洲盛汇写字楼)</x:t>
        </x:is>
      </x:c>
      <x:c r="K4397" s="12" t="str">
        <x:f>LEFT("91420100177840339L",18)</x:f>
        <x:v>91420100177840339L</x:v>
      </x:c>
    </x:row>
    <x:row r="4398">
      <x:c r="A4398" s="2" t="n">
        <x:v>4397</x:v>
      </x:c>
      <x:c r="B4398" s="2" t="inlineStr">
        <x:is>
          <x:t xml:space="preserve">001359</x:t>
        </x:is>
      </x:c>
      <x:c r="C4398" s="3" t="inlineStr">
        <x:is>
          <x:t xml:space="preserve">平安电工</x:t>
        </x:is>
      </x:c>
      <x:c r="D4398" s="3" t="inlineStr">
        <x:is>
          <x:t xml:space="preserve">湖北平安电工科技股份公司</x:t>
        </x:is>
      </x:c>
      <x:c r="E4398" s="2" t="inlineStr">
        <x:is>
          <x:t xml:space="preserve">湖北省</x:t>
        </x:is>
      </x:c>
      <x:c r="F4398" s="2" t="inlineStr">
        <x:is>
          <x:t xml:space="preserve">咸宁市</x:t>
        </x:is>
      </x:c>
      <x:c r="G4398" s="3" t="inlineStr">
        <x:is>
          <x:t xml:space="preserve">湖北省-咸宁市</x:t>
        </x:is>
      </x:c>
      <x:c r="H4398" s="2" t="inlineStr">
        <x:is>
          <x:t xml:space="preserve">非金属材料</x:t>
        </x:is>
      </x:c>
      <x:c r="I4398" s="2" t="inlineStr">
        <x:is>
          <x:t xml:space="preserve">2024-03-28</x:t>
        </x:is>
      </x:c>
      <x:c r="J4398" s="3" t="inlineStr">
        <x:is>
          <x:t xml:space="preserve">湖北省咸宁市通城县通城大道242号</x:t>
        </x:is>
      </x:c>
      <x:c r="K4398" s="12" t="str">
        <x:f>LEFT("91421200331822340K",18)</x:f>
        <x:v>91421200331822340K</x:v>
      </x:c>
    </x:row>
    <x:row r="4399">
      <x:c r="A4399" s="4" t="n">
        <x:v>4398</x:v>
      </x:c>
      <x:c r="B4399" s="4" t="inlineStr">
        <x:is>
          <x:t xml:space="preserve">002072</x:t>
        </x:is>
      </x:c>
      <x:c r="C4399" s="5" t="inlineStr">
        <x:is>
          <x:t xml:space="preserve">凯瑞德</x:t>
        </x:is>
      </x:c>
      <x:c r="D4399" s="5" t="inlineStr">
        <x:is>
          <x:t xml:space="preserve">凯瑞德控股股份有限公司</x:t>
        </x:is>
      </x:c>
      <x:c r="E4399" s="4" t="inlineStr">
        <x:is>
          <x:t xml:space="preserve">湖北省</x:t>
        </x:is>
      </x:c>
      <x:c r="F4399" s="4" t="inlineStr">
        <x:is>
          <x:t xml:space="preserve">荆门市</x:t>
        </x:is>
      </x:c>
      <x:c r="G4399" s="5" t="inlineStr">
        <x:is>
          <x:t xml:space="preserve">湖北省-荆门市</x:t>
        </x:is>
      </x:c>
      <x:c r="H4399" s="4" t="inlineStr">
        <x:is>
          <x:t xml:space="preserve">贸易行业</x:t>
        </x:is>
      </x:c>
      <x:c r="I4399" s="4" t="inlineStr">
        <x:is>
          <x:t xml:space="preserve">2006-10-18</x:t>
        </x:is>
      </x:c>
      <x:c r="J4399" s="5" t="inlineStr">
        <x:is>
          <x:t xml:space="preserve">湖北省荆门市漳河新区天山路1号4幢15楼1521号房</x:t>
        </x:is>
      </x:c>
      <x:c r="K4399" s="12" t="str">
        <x:f>LEFT("9137000072389938X9",18)</x:f>
        <x:v>9137000072389938X9</x:v>
      </x:c>
    </x:row>
    <x:row r="4400">
      <x:c r="A4400" s="2" t="n">
        <x:v>4399</x:v>
      </x:c>
      <x:c r="B4400" s="2" t="inlineStr">
        <x:is>
          <x:t xml:space="preserve">002102</x:t>
        </x:is>
      </x:c>
      <x:c r="C4400" s="3" t="inlineStr">
        <x:is>
          <x:t xml:space="preserve">能特科技</x:t>
        </x:is>
      </x:c>
      <x:c r="D4400" s="3" t="inlineStr">
        <x:is>
          <x:t xml:space="preserve">湖北能特科技股份有限公司</x:t>
        </x:is>
      </x:c>
      <x:c r="E4400" s="2" t="inlineStr">
        <x:is>
          <x:t xml:space="preserve">湖北省</x:t>
        </x:is>
      </x:c>
      <x:c r="F4400" s="2" t="inlineStr">
        <x:is>
          <x:t xml:space="preserve">荆州市</x:t>
        </x:is>
      </x:c>
      <x:c r="G4400" s="3" t="inlineStr">
        <x:is>
          <x:t xml:space="preserve">湖北省-荆州市</x:t>
        </x:is>
      </x:c>
      <x:c r="H4400" s="2" t="inlineStr">
        <x:is>
          <x:t xml:space="preserve">医药制造</x:t>
        </x:is>
      </x:c>
      <x:c r="I4400" s="2" t="inlineStr">
        <x:is>
          <x:t xml:space="preserve">2006-12-29</x:t>
        </x:is>
      </x:c>
      <x:c r="J4400" s="3" t="inlineStr">
        <x:is>
          <x:t xml:space="preserve">荆州开发区深圳大道118号</x:t>
        </x:is>
      </x:c>
      <x:c r="K4400" s="12" t="str">
        <x:f>LEFT("9135000070536404XU",18)</x:f>
        <x:v>9135000070536404XU</x:v>
      </x:c>
    </x:row>
    <x:row r="4401">
      <x:c r="A4401" s="4" t="n">
        <x:v>4400</x:v>
      </x:c>
      <x:c r="B4401" s="4" t="inlineStr">
        <x:is>
          <x:t xml:space="preserve">002159</x:t>
        </x:is>
      </x:c>
      <x:c r="C4401" s="5" t="inlineStr">
        <x:is>
          <x:t xml:space="preserve">三特索道</x:t>
        </x:is>
      </x:c>
      <x:c r="D4401" s="5" t="inlineStr">
        <x:is>
          <x:t xml:space="preserve">武汉三特索道集团股份有限公司</x:t>
        </x:is>
      </x:c>
      <x:c r="E4401" s="4" t="inlineStr">
        <x:is>
          <x:t xml:space="preserve">湖北省</x:t>
        </x:is>
      </x:c>
      <x:c r="F4401" s="4" t="inlineStr">
        <x:is>
          <x:t xml:space="preserve">武汉市</x:t>
        </x:is>
      </x:c>
      <x:c r="G4401" s="5" t="inlineStr">
        <x:is>
          <x:t xml:space="preserve">湖北省-武汉市</x:t>
        </x:is>
      </x:c>
      <x:c r="H4401" s="4" t="inlineStr">
        <x:is>
          <x:t xml:space="preserve">旅游酒店</x:t>
        </x:is>
      </x:c>
      <x:c r="I4401" s="4" t="inlineStr">
        <x:is>
          <x:t xml:space="preserve">2007-08-17</x:t>
        </x:is>
      </x:c>
      <x:c r="J4401" s="5" t="inlineStr">
        <x:is>
          <x:t xml:space="preserve">武汉市东湖新技术开发区关山一路特1号光谷软件园D1栋</x:t>
        </x:is>
      </x:c>
      <x:c r="K4401" s="12" t="str">
        <x:f>LEFT("91420000177730287E",18)</x:f>
        <x:v>91420000177730287E</x:v>
      </x:c>
    </x:row>
    <x:row r="4402">
      <x:c r="A4402" s="2" t="n">
        <x:v>4401</x:v>
      </x:c>
      <x:c r="B4402" s="2" t="inlineStr">
        <x:is>
          <x:t xml:space="preserve">002194</x:t>
        </x:is>
      </x:c>
      <x:c r="C4402" s="3" t="inlineStr">
        <x:is>
          <x:t xml:space="preserve">武汉凡谷</x:t>
        </x:is>
      </x:c>
      <x:c r="D4402" s="3" t="inlineStr">
        <x:is>
          <x:t xml:space="preserve">武汉凡谷电子技术股份有限公司</x:t>
        </x:is>
      </x:c>
      <x:c r="E4402" s="2" t="inlineStr">
        <x:is>
          <x:t xml:space="preserve">湖北省</x:t>
        </x:is>
      </x:c>
      <x:c r="F4402" s="2" t="inlineStr">
        <x:is>
          <x:t xml:space="preserve">武汉市</x:t>
        </x:is>
      </x:c>
      <x:c r="G4402" s="3" t="inlineStr">
        <x:is>
          <x:t xml:space="preserve">湖北省-武汉市</x:t>
        </x:is>
      </x:c>
      <x:c r="H4402" s="2" t="inlineStr">
        <x:is>
          <x:t xml:space="preserve">通讯行业</x:t>
        </x:is>
      </x:c>
      <x:c r="I4402" s="2" t="inlineStr">
        <x:is>
          <x:t xml:space="preserve">2007-12-07</x:t>
        </x:is>
      </x:c>
      <x:c r="J4402" s="3" t="inlineStr">
        <x:is>
          <x:t xml:space="preserve">武汉市洪山区关东科技园三号区二号楼</x:t>
        </x:is>
      </x:c>
      <x:c r="K4402" s="12" t="str">
        <x:f>LEFT("914201001776620187",18)</x:f>
        <x:v>914201001776620200</x:v>
      </x:c>
    </x:row>
    <x:row r="4403">
      <x:c r="A4403" s="4" t="n">
        <x:v>4402</x:v>
      </x:c>
      <x:c r="B4403" s="4" t="inlineStr">
        <x:is>
          <x:t xml:space="preserve">002281</x:t>
        </x:is>
      </x:c>
      <x:c r="C4403" s="5" t="inlineStr">
        <x:is>
          <x:t xml:space="preserve">光迅科技</x:t>
        </x:is>
      </x:c>
      <x:c r="D4403" s="5" t="inlineStr">
        <x:is>
          <x:t xml:space="preserve">武汉光迅科技股份有限公司</x:t>
        </x:is>
      </x:c>
      <x:c r="E4403" s="4" t="inlineStr">
        <x:is>
          <x:t xml:space="preserve">湖北省</x:t>
        </x:is>
      </x:c>
      <x:c r="F4403" s="4" t="inlineStr">
        <x:is>
          <x:t xml:space="preserve">武汉市</x:t>
        </x:is>
      </x:c>
      <x:c r="G4403" s="5" t="inlineStr">
        <x:is>
          <x:t xml:space="preserve">湖北省-武汉市</x:t>
        </x:is>
      </x:c>
      <x:c r="H4403" s="4" t="inlineStr">
        <x:is>
          <x:t xml:space="preserve">通讯行业</x:t>
        </x:is>
      </x:c>
      <x:c r="I4403" s="4" t="inlineStr">
        <x:is>
          <x:t xml:space="preserve">2009-08-21</x:t>
        </x:is>
      </x:c>
      <x:c r="J4403" s="5" t="inlineStr">
        <x:is>
          <x:t xml:space="preserve">武汉东湖新技术开发区流苏南路1号</x:t>
        </x:is>
      </x:c>
      <x:c r="K4403" s="12" t="str">
        <x:f>LEFT("9142010072576928XD",18)</x:f>
        <x:v>9142010072576928XD</x:v>
      </x:c>
    </x:row>
    <x:row r="4404">
      <x:c r="A4404" s="2" t="n">
        <x:v>4403</x:v>
      </x:c>
      <x:c r="B4404" s="2" t="inlineStr">
        <x:is>
          <x:t xml:space="preserve">002305</x:t>
        </x:is>
      </x:c>
      <x:c r="C4404" s="3" t="inlineStr">
        <x:is>
          <x:t xml:space="preserve">南国置业</x:t>
        </x:is>
      </x:c>
      <x:c r="D4404" s="3" t="inlineStr">
        <x:is>
          <x:t xml:space="preserve">南国置业股份有限公司</x:t>
        </x:is>
      </x:c>
      <x:c r="E4404" s="2" t="inlineStr">
        <x:is>
          <x:t xml:space="preserve">湖北省</x:t>
        </x:is>
      </x:c>
      <x:c r="F4404" s="2" t="inlineStr">
        <x:is>
          <x:t xml:space="preserve">武汉市</x:t>
        </x:is>
      </x:c>
      <x:c r="G4404" s="3" t="inlineStr">
        <x:is>
          <x:t xml:space="preserve">湖北省-武汉市</x:t>
        </x:is>
      </x:c>
      <x:c r="H4404" s="2" t="inlineStr">
        <x:is>
          <x:t xml:space="preserve">房地产</x:t>
        </x:is>
      </x:c>
      <x:c r="I4404" s="2" t="inlineStr">
        <x:is>
          <x:t xml:space="preserve">2009-11-06</x:t>
        </x:is>
      </x:c>
      <x:c r="J4404" s="3" t="inlineStr">
        <x:is>
          <x:t xml:space="preserve">武汉市武昌区南湖中央花园会所</x:t>
        </x:is>
      </x:c>
      <x:c r="K4404" s="12" t="str">
        <x:f>LEFT("914201007071989703",18)</x:f>
        <x:v>914201007071989800</x:v>
      </x:c>
    </x:row>
    <x:row r="4405">
      <x:c r="A4405" s="4" t="n">
        <x:v>4404</x:v>
      </x:c>
      <x:c r="B4405" s="4" t="inlineStr">
        <x:is>
          <x:t xml:space="preserve">002365</x:t>
        </x:is>
      </x:c>
      <x:c r="C4405" s="5" t="inlineStr">
        <x:is>
          <x:t xml:space="preserve">永安药业</x:t>
        </x:is>
      </x:c>
      <x:c r="D4405" s="5" t="inlineStr">
        <x:is>
          <x:t xml:space="preserve">潜江永安药业股份有限公司</x:t>
        </x:is>
      </x:c>
      <x:c r="E4405" s="4" t="inlineStr">
        <x:is>
          <x:t xml:space="preserve">湖北省</x:t>
        </x:is>
      </x:c>
      <x:c r="F4405" s="4" t="inlineStr">
        <x:is>
          <x:t xml:space="preserve">潜江市</x:t>
        </x:is>
      </x:c>
      <x:c r="G4405" s="5" t="inlineStr">
        <x:is>
          <x:t xml:space="preserve">湖北省-潜江市</x:t>
        </x:is>
      </x:c>
      <x:c r="H4405" s="4" t="inlineStr">
        <x:is>
          <x:t xml:space="preserve">医药制造</x:t>
        </x:is>
      </x:c>
      <x:c r="I4405" s="4" t="inlineStr">
        <x:is>
          <x:t xml:space="preserve">2010-03-05</x:t>
        </x:is>
      </x:c>
      <x:c r="J4405" s="5" t="inlineStr">
        <x:is>
          <x:t xml:space="preserve">潜江经济开发区广泽大道2号</x:t>
        </x:is>
      </x:c>
      <x:c r="K4405" s="12" t="str">
        <x:f>LEFT("91429005728313974F",18)</x:f>
        <x:v>91429005728313974F</x:v>
      </x:c>
    </x:row>
    <x:row r="4406">
      <x:c r="A4406" s="2" t="n">
        <x:v>4405</x:v>
      </x:c>
      <x:c r="B4406" s="2" t="inlineStr">
        <x:is>
          <x:t xml:space="preserve">002377</x:t>
        </x:is>
      </x:c>
      <x:c r="C4406" s="3" t="inlineStr">
        <x:is>
          <x:t xml:space="preserve">国创高新</x:t>
        </x:is>
      </x:c>
      <x:c r="D4406" s="3" t="inlineStr">
        <x:is>
          <x:t xml:space="preserve">湖北国创高新材料股份有限公司</x:t>
        </x:is>
      </x:c>
      <x:c r="E4406" s="2" t="inlineStr">
        <x:is>
          <x:t xml:space="preserve">湖北省</x:t>
        </x:is>
      </x:c>
      <x:c r="F4406" s="2" t="inlineStr">
        <x:is>
          <x:t xml:space="preserve">武汉市</x:t>
        </x:is>
      </x:c>
      <x:c r="G4406" s="3" t="inlineStr">
        <x:is>
          <x:t xml:space="preserve">湖北省-武汉市</x:t>
        </x:is>
      </x:c>
      <x:c r="H4406" s="2" t="inlineStr">
        <x:is>
          <x:t xml:space="preserve">化学制品</x:t>
        </x:is>
      </x:c>
      <x:c r="I4406" s="2" t="inlineStr">
        <x:is>
          <x:t xml:space="preserve">2010-03-23</x:t>
        </x:is>
      </x:c>
      <x:c r="J4406" s="3" t="inlineStr">
        <x:is>
          <x:t xml:space="preserve">武汉市东湖新技术开发区武大园三路8号</x:t>
        </x:is>
      </x:c>
      <x:c r="K4406" s="12" t="str">
        <x:f>LEFT("91420000737132913D",18)</x:f>
        <x:v>91420000737132913D</x:v>
      </x:c>
    </x:row>
    <x:row r="4407">
      <x:c r="A4407" s="4" t="n">
        <x:v>4406</x:v>
      </x:c>
      <x:c r="B4407" s="4" t="inlineStr">
        <x:is>
          <x:t xml:space="preserve">002414</x:t>
        </x:is>
      </x:c>
      <x:c r="C4407" s="5" t="inlineStr">
        <x:is>
          <x:t xml:space="preserve">高德红外</x:t>
        </x:is>
      </x:c>
      <x:c r="D4407" s="5" t="inlineStr">
        <x:is>
          <x:t xml:space="preserve">武汉高德红外股份有限公司</x:t>
        </x:is>
      </x:c>
      <x:c r="E4407" s="4" t="inlineStr">
        <x:is>
          <x:t xml:space="preserve">湖北省</x:t>
        </x:is>
      </x:c>
      <x:c r="F4407" s="4" t="inlineStr">
        <x:is>
          <x:t xml:space="preserve">武汉市</x:t>
        </x:is>
      </x:c>
      <x:c r="G4407" s="5" t="inlineStr">
        <x:is>
          <x:t xml:space="preserve">湖北省-武汉市</x:t>
        </x:is>
      </x:c>
      <x:c r="H4407" s="4" t="inlineStr">
        <x:is>
          <x:t xml:space="preserve">电子元件</x:t>
        </x:is>
      </x:c>
      <x:c r="I4407" s="4" t="inlineStr">
        <x:is>
          <x:t xml:space="preserve">2010-07-16</x:t>
        </x:is>
      </x:c>
      <x:c r="J4407" s="5" t="inlineStr">
        <x:is>
          <x:t xml:space="preserve">湖北省武汉市东湖开发区黄龙山南路6号</x:t>
        </x:is>
      </x:c>
      <x:c r="K4407" s="12" t="str">
        <x:f>LEFT("91420100764602490E",18)</x:f>
        <x:v>91420100764602490E</x:v>
      </x:c>
    </x:row>
    <x:row r="4408">
      <x:c r="A4408" s="2" t="n">
        <x:v>4407</x:v>
      </x:c>
      <x:c r="B4408" s="2" t="inlineStr">
        <x:is>
          <x:t xml:space="preserve">002627</x:t>
        </x:is>
      </x:c>
      <x:c r="C4408" s="3" t="inlineStr">
        <x:is>
          <x:t xml:space="preserve">三峡旅游</x:t>
        </x:is>
      </x:c>
      <x:c r="D4408" s="3" t="inlineStr">
        <x:is>
          <x:t xml:space="preserve">湖北三峡旅游集团股份有限公司</x:t>
        </x:is>
      </x:c>
      <x:c r="E4408" s="2" t="inlineStr">
        <x:is>
          <x:t xml:space="preserve">湖北省</x:t>
        </x:is>
      </x:c>
      <x:c r="F4408" s="2" t="inlineStr">
        <x:is>
          <x:t xml:space="preserve">宜昌市</x:t>
        </x:is>
      </x:c>
      <x:c r="G4408" s="3" t="inlineStr">
        <x:is>
          <x:t xml:space="preserve">湖北省-宜昌市</x:t>
        </x:is>
      </x:c>
      <x:c r="H4408" s="2" t="inlineStr">
        <x:is>
          <x:t xml:space="preserve">旅游酒店</x:t>
        </x:is>
      </x:c>
      <x:c r="I4408" s="2" t="inlineStr">
        <x:is>
          <x:t xml:space="preserve">2011-11-03</x:t>
        </x:is>
      </x:c>
      <x:c r="J4408" s="3" t="inlineStr">
        <x:is>
          <x:t xml:space="preserve">湖北省宜昌市港窑路5号</x:t>
        </x:is>
      </x:c>
      <x:c r="K4408" s="12" t="str">
        <x:f>LEFT("914205007068512884",18)</x:f>
        <x:v>914205007068512900</x:v>
      </x:c>
    </x:row>
    <x:row r="4409">
      <x:c r="A4409" s="4" t="n">
        <x:v>4408</x:v>
      </x:c>
      <x:c r="B4409" s="4" t="inlineStr">
        <x:is>
          <x:t xml:space="preserve">002694</x:t>
        </x:is>
      </x:c>
      <x:c r="C4409" s="5" t="inlineStr">
        <x:is>
          <x:t xml:space="preserve">顾地科技</x:t>
        </x:is>
      </x:c>
      <x:c r="D4409" s="5" t="inlineStr">
        <x:is>
          <x:t xml:space="preserve">顾地科技股份有限公司</x:t>
        </x:is>
      </x:c>
      <x:c r="E4409" s="4" t="inlineStr">
        <x:is>
          <x:t xml:space="preserve">湖北省</x:t>
        </x:is>
      </x:c>
      <x:c r="F4409" s="4" t="inlineStr">
        <x:is>
          <x:t xml:space="preserve">鄂州市</x:t>
        </x:is>
      </x:c>
      <x:c r="G4409" s="5" t="inlineStr">
        <x:is>
          <x:t xml:space="preserve">湖北省-鄂州市</x:t>
        </x:is>
      </x:c>
      <x:c r="H4409" s="4" t="inlineStr">
        <x:is>
          <x:t xml:space="preserve">装修建材</x:t>
        </x:is>
      </x:c>
      <x:c r="I4409" s="4" t="inlineStr">
        <x:is>
          <x:t xml:space="preserve">2012-08-16</x:t>
        </x:is>
      </x:c>
      <x:c r="J4409" s="5" t="inlineStr">
        <x:is>
          <x:t xml:space="preserve">湖北省鄂州经济开发区吴楚大道18号</x:t>
        </x:is>
      </x:c>
      <x:c r="K4409" s="12" t="str">
        <x:f>LEFT("91420700714676520L",18)</x:f>
        <x:v>91420700714676520L</x:v>
      </x:c>
    </x:row>
    <x:row r="4410">
      <x:c r="A4410" s="2" t="n">
        <x:v>4409</x:v>
      </x:c>
      <x:c r="B4410" s="2" t="inlineStr">
        <x:is>
          <x:t xml:space="preserve">002783</x:t>
        </x:is>
      </x:c>
      <x:c r="C4410" s="3" t="inlineStr">
        <x:is>
          <x:t xml:space="preserve">凯龙股份</x:t>
        </x:is>
      </x:c>
      <x:c r="D4410" s="3" t="inlineStr">
        <x:is>
          <x:t xml:space="preserve">湖北凯龙化工集团股份有限公司</x:t>
        </x:is>
      </x:c>
      <x:c r="E4410" s="2" t="inlineStr">
        <x:is>
          <x:t xml:space="preserve">湖北省</x:t>
        </x:is>
      </x:c>
      <x:c r="F4410" s="2" t="inlineStr">
        <x:is>
          <x:t xml:space="preserve">荆门市</x:t>
        </x:is>
      </x:c>
      <x:c r="G4410" s="3" t="inlineStr">
        <x:is>
          <x:t xml:space="preserve">湖北省-荆门市</x:t>
        </x:is>
      </x:c>
      <x:c r="H4410" s="2" t="inlineStr">
        <x:is>
          <x:t xml:space="preserve">化工行业</x:t>
        </x:is>
      </x:c>
      <x:c r="I4410" s="2" t="inlineStr">
        <x:is>
          <x:t xml:space="preserve">2015-12-09</x:t>
        </x:is>
      </x:c>
      <x:c r="J4410" s="3" t="inlineStr">
        <x:is>
          <x:t xml:space="preserve">湖北省荆门市东宝区泉口路20号</x:t>
        </x:is>
      </x:c>
      <x:c r="K4410" s="12" t="str">
        <x:f>LEFT("91420800271750145D",18)</x:f>
        <x:v>91420800271750145D</x:v>
      </x:c>
    </x:row>
    <x:row r="4411">
      <x:c r="A4411" s="4" t="n">
        <x:v>4410</x:v>
      </x:c>
      <x:c r="B4411" s="4" t="inlineStr">
        <x:is>
          <x:t xml:space="preserve">002861</x:t>
        </x:is>
      </x:c>
      <x:c r="C4411" s="5" t="inlineStr">
        <x:is>
          <x:t xml:space="preserve">瀛通通讯</x:t>
        </x:is>
      </x:c>
      <x:c r="D4411" s="5" t="inlineStr">
        <x:is>
          <x:t xml:space="preserve">瀛通通讯股份有限公司</x:t>
        </x:is>
      </x:c>
      <x:c r="E4411" s="4" t="inlineStr">
        <x:is>
          <x:t xml:space="preserve">湖北省</x:t>
        </x:is>
      </x:c>
      <x:c r="F4411" s="4" t="inlineStr">
        <x:is>
          <x:t xml:space="preserve">咸宁市</x:t>
        </x:is>
      </x:c>
      <x:c r="G4411" s="5" t="inlineStr">
        <x:is>
          <x:t xml:space="preserve">湖北省-咸宁市</x:t>
        </x:is>
      </x:c>
      <x:c r="H4411" s="4" t="inlineStr">
        <x:is>
          <x:t xml:space="preserve">消费电子</x:t>
        </x:is>
      </x:c>
      <x:c r="I4411" s="4" t="inlineStr">
        <x:is>
          <x:t xml:space="preserve">2017-04-13</x:t>
        </x:is>
      </x:c>
      <x:c r="J4411" s="5" t="inlineStr">
        <x:is>
          <x:t xml:space="preserve">湖北省通城县隽水镇经济开发区新塔社区</x:t>
        </x:is>
      </x:c>
      <x:c r="K4411" s="12" t="str">
        <x:f>LEFT("91421200562722881P",18)</x:f>
        <x:v>91421200562722881P</x:v>
      </x:c>
    </x:row>
    <x:row r="4412">
      <x:c r="A4412" s="2" t="n">
        <x:v>4411</x:v>
      </x:c>
      <x:c r="B4412" s="2" t="inlineStr">
        <x:is>
          <x:t xml:space="preserve">002932</x:t>
        </x:is>
      </x:c>
      <x:c r="C4412" s="3" t="inlineStr">
        <x:is>
          <x:t xml:space="preserve">明德生物</x:t>
        </x:is>
      </x:c>
      <x:c r="D4412" s="3" t="inlineStr">
        <x:is>
          <x:t xml:space="preserve">武汉明德生物科技股份有限公司</x:t>
        </x:is>
      </x:c>
      <x:c r="E4412" s="2" t="inlineStr">
        <x:is>
          <x:t xml:space="preserve">湖北省</x:t>
        </x:is>
      </x:c>
      <x:c r="F4412" s="2" t="inlineStr">
        <x:is>
          <x:t xml:space="preserve">武汉市</x:t>
        </x:is>
      </x:c>
      <x:c r="G4412" s="3" t="inlineStr">
        <x:is>
          <x:t xml:space="preserve">湖北省-武汉市</x:t>
        </x:is>
      </x:c>
      <x:c r="H4412" s="2" t="inlineStr">
        <x:is>
          <x:t xml:space="preserve">医疗器械</x:t>
        </x:is>
      </x:c>
      <x:c r="I4412" s="2" t="inlineStr">
        <x:is>
          <x:t xml:space="preserve">2018-07-10</x:t>
        </x:is>
      </x:c>
      <x:c r="J4412" s="3" t="inlineStr">
        <x:is>
          <x:t xml:space="preserve">湖北省武汉市东湖新技术开发区九龙中路77号武汉明德生物科技产业园(一期)(全部自用)1栋1单元1层1号C区</x:t>
        </x:is>
      </x:c>
      <x:c r="K4412" s="12" t="str">
        <x:f>LEFT("9142010066953862X0",18)</x:f>
        <x:v>9142010066953862X0</x:v>
      </x:c>
    </x:row>
    <x:row r="4413">
      <x:c r="A4413" s="4" t="n">
        <x:v>4412</x:v>
      </x:c>
      <x:c r="B4413" s="4" t="inlineStr">
        <x:is>
          <x:t xml:space="preserve">002950</x:t>
        </x:is>
      </x:c>
      <x:c r="C4413" s="5" t="inlineStr">
        <x:is>
          <x:t xml:space="preserve">奥美医疗</x:t>
        </x:is>
      </x:c>
      <x:c r="D4413" s="5" t="inlineStr">
        <x:is>
          <x:t xml:space="preserve">奥美医疗用品股份有限公司</x:t>
        </x:is>
      </x:c>
      <x:c r="E4413" s="4" t="inlineStr">
        <x:is>
          <x:t xml:space="preserve">湖北省</x:t>
        </x:is>
      </x:c>
      <x:c r="F4413" s="4" t="inlineStr">
        <x:is>
          <x:t xml:space="preserve">北省枝江市</x:t>
        </x:is>
      </x:c>
      <x:c r="G4413" s="5" t="inlineStr">
        <x:is>
          <x:t xml:space="preserve">湖北省-北省枝江市</x:t>
        </x:is>
      </x:c>
      <x:c r="H4413" s="4" t="inlineStr">
        <x:is>
          <x:t xml:space="preserve">医疗器械</x:t>
        </x:is>
      </x:c>
      <x:c r="I4413" s="4" t="inlineStr">
        <x:is>
          <x:t xml:space="preserve">2019-03-11</x:t>
        </x:is>
      </x:c>
      <x:c r="J4413" s="5" t="inlineStr">
        <x:is>
          <x:t xml:space="preserve">湖北省枝江市马家店七星大道18号</x:t>
        </x:is>
      </x:c>
      <x:c r="K4413" s="12" t="str">
        <x:f>LEFT("9142058373914001XH",18)</x:f>
        <x:v>9142058373914001XH</x:v>
      </x:c>
    </x:row>
    <x:row r="4414">
      <x:c r="A4414" s="2" t="n">
        <x:v>4413</x:v>
      </x:c>
      <x:c r="B4414" s="2" t="inlineStr">
        <x:is>
          <x:t xml:space="preserve">002962</x:t>
        </x:is>
      </x:c>
      <x:c r="C4414" s="3" t="inlineStr">
        <x:is>
          <x:t xml:space="preserve">五方光电</x:t>
        </x:is>
      </x:c>
      <x:c r="D4414" s="3" t="inlineStr">
        <x:is>
          <x:t xml:space="preserve">湖北五方光电股份有限公司</x:t>
        </x:is>
      </x:c>
      <x:c r="E4414" s="2" t="inlineStr">
        <x:is>
          <x:t xml:space="preserve">湖北省</x:t>
        </x:is>
      </x:c>
      <x:c r="F4414" s="2" t="inlineStr">
        <x:is>
          <x:t xml:space="preserve">荆州市</x:t>
        </x:is>
      </x:c>
      <x:c r="G4414" s="3" t="inlineStr">
        <x:is>
          <x:t xml:space="preserve">湖北省-荆州市</x:t>
        </x:is>
      </x:c>
      <x:c r="H4414" s="2" t="inlineStr">
        <x:is>
          <x:t xml:space="preserve">光学光电子</x:t>
        </x:is>
      </x:c>
      <x:c r="I4414" s="2" t="inlineStr">
        <x:is>
          <x:t xml:space="preserve">2019-09-17</x:t>
        </x:is>
      </x:c>
      <x:c r="J4414" s="3" t="inlineStr">
        <x:is>
          <x:t xml:space="preserve">荆州市深圳大道55号</x:t>
        </x:is>
      </x:c>
      <x:c r="K4414" s="12" t="str">
        <x:f>LEFT("91421000597171477D",18)</x:f>
        <x:v>91421000597171477D</x:v>
      </x:c>
    </x:row>
    <x:row r="4415">
      <x:c r="A4415" s="4" t="n">
        <x:v>4414</x:v>
      </x:c>
      <x:c r="B4415" s="4" t="inlineStr">
        <x:is>
          <x:t xml:space="preserve">002971</x:t>
        </x:is>
      </x:c>
      <x:c r="C4415" s="5" t="inlineStr">
        <x:is>
          <x:t xml:space="preserve">和远气体</x:t>
        </x:is>
      </x:c>
      <x:c r="D4415" s="5" t="inlineStr">
        <x:is>
          <x:t xml:space="preserve">湖北和远气体股份有限公司</x:t>
        </x:is>
      </x:c>
      <x:c r="E4415" s="4" t="inlineStr">
        <x:is>
          <x:t xml:space="preserve">湖北省</x:t>
        </x:is>
      </x:c>
      <x:c r="F4415" s="4" t="inlineStr">
        <x:is>
          <x:t xml:space="preserve">宜昌市</x:t>
        </x:is>
      </x:c>
      <x:c r="G4415" s="5" t="inlineStr">
        <x:is>
          <x:t xml:space="preserve">湖北省-宜昌市</x:t>
        </x:is>
      </x:c>
      <x:c r="H4415" s="4" t="inlineStr">
        <x:is>
          <x:t xml:space="preserve">化工行业</x:t>
        </x:is>
      </x:c>
      <x:c r="I4415" s="4" t="inlineStr">
        <x:is>
          <x:t xml:space="preserve">2020-01-13</x:t>
        </x:is>
      </x:c>
      <x:c r="J4415" s="5" t="inlineStr">
        <x:is>
          <x:t xml:space="preserve">长阳土家族自治县龙舟坪镇龙舟大道52号(馨农家园)2栋1102号</x:t>
        </x:is>
      </x:c>
      <x:c r="K4415" s="12" t="str">
        <x:f>LEFT("91420500757003537G",18)</x:f>
        <x:v>91420500757003537G</x:v>
      </x:c>
    </x:row>
    <x:row r="4416">
      <x:c r="A4416" s="2" t="n">
        <x:v>4415</x:v>
      </x:c>
      <x:c r="B4416" s="2" t="inlineStr">
        <x:is>
          <x:t xml:space="preserve">300018</x:t>
        </x:is>
      </x:c>
      <x:c r="C4416" s="3" t="inlineStr">
        <x:is>
          <x:t xml:space="preserve">中元股份</x:t>
        </x:is>
      </x:c>
      <x:c r="D4416" s="3" t="inlineStr">
        <x:is>
          <x:t xml:space="preserve">武汉中元华电科技股份有限公司</x:t>
        </x:is>
      </x:c>
      <x:c r="E4416" s="2" t="inlineStr">
        <x:is>
          <x:t xml:space="preserve">湖北省</x:t>
        </x:is>
      </x:c>
      <x:c r="F4416" s="2" t="inlineStr">
        <x:is>
          <x:t xml:space="preserve">武汉市</x:t>
        </x:is>
      </x:c>
      <x:c r="G4416" s="3" t="inlineStr">
        <x:is>
          <x:t xml:space="preserve">湖北省-武汉市</x:t>
        </x:is>
      </x:c>
      <x:c r="H4416" s="2" t="inlineStr">
        <x:is>
          <x:t xml:space="preserve">输配电气</x:t>
        </x:is>
      </x:c>
      <x:c r="I4416" s="2" t="inlineStr">
        <x:is>
          <x:t xml:space="preserve">2009-10-30</x:t>
        </x:is>
      </x:c>
      <x:c r="J4416" s="3" t="inlineStr">
        <x:is>
          <x:t xml:space="preserve">中国湖北武汉东湖新技术开发区华中科技大学科技园六路6号</x:t>
        </x:is>
      </x:c>
      <x:c r="K4416" s="12" t="str">
        <x:f>LEFT("91420100731084500Y",18)</x:f>
        <x:v>91420100731084500Y</x:v>
      </x:c>
    </x:row>
    <x:row r="4417">
      <x:c r="A4417" s="4" t="n">
        <x:v>4416</x:v>
      </x:c>
      <x:c r="B4417" s="4" t="inlineStr">
        <x:is>
          <x:t xml:space="preserve">300041</x:t>
        </x:is>
      </x:c>
      <x:c r="C4417" s="5" t="inlineStr">
        <x:is>
          <x:t xml:space="preserve">回天新材</x:t>
        </x:is>
      </x:c>
      <x:c r="D4417" s="5" t="inlineStr">
        <x:is>
          <x:t xml:space="preserve">湖北回天新材料股份有限公司</x:t>
        </x:is>
      </x:c>
      <x:c r="E4417" s="4" t="inlineStr">
        <x:is>
          <x:t xml:space="preserve">湖北省</x:t>
        </x:is>
      </x:c>
      <x:c r="F4417" s="4" t="inlineStr">
        <x:is>
          <x:t xml:space="preserve">襄阳市</x:t>
        </x:is>
      </x:c>
      <x:c r="G4417" s="5" t="inlineStr">
        <x:is>
          <x:t xml:space="preserve">湖北省-襄阳市</x:t>
        </x:is>
      </x:c>
      <x:c r="H4417" s="4" t="inlineStr">
        <x:is>
          <x:t xml:space="preserve">化工行业</x:t>
        </x:is>
      </x:c>
      <x:c r="I4417" s="4" t="inlineStr">
        <x:is>
          <x:t xml:space="preserve">2010-01-08</x:t>
        </x:is>
      </x:c>
      <x:c r="J4417" s="5" t="inlineStr">
        <x:is>
          <x:t xml:space="preserve">湖北省襄阳市高新技术产业开发区关羽路1号</x:t>
        </x:is>
      </x:c>
      <x:c r="K4417" s="12" t="str">
        <x:f>LEFT("91420000714693195A",18)</x:f>
        <x:v>91420000714693195A</x:v>
      </x:c>
    </x:row>
    <x:row r="4418">
      <x:c r="A4418" s="2" t="n">
        <x:v>4417</x:v>
      </x:c>
      <x:c r="B4418" s="2" t="inlineStr">
        <x:is>
          <x:t xml:space="preserve">300046</x:t>
        </x:is>
      </x:c>
      <x:c r="C4418" s="3" t="inlineStr">
        <x:is>
          <x:t xml:space="preserve">台基股份</x:t>
        </x:is>
      </x:c>
      <x:c r="D4418" s="3" t="inlineStr">
        <x:is>
          <x:t xml:space="preserve">湖北台基半导体股份有限公司</x:t>
        </x:is>
      </x:c>
      <x:c r="E4418" s="2" t="inlineStr">
        <x:is>
          <x:t xml:space="preserve">湖北省</x:t>
        </x:is>
      </x:c>
      <x:c r="F4418" s="2" t="inlineStr">
        <x:is>
          <x:t xml:space="preserve">襄阳市</x:t>
        </x:is>
      </x:c>
      <x:c r="G4418" s="3" t="inlineStr">
        <x:is>
          <x:t xml:space="preserve">湖北省-襄阳市</x:t>
        </x:is>
      </x:c>
      <x:c r="H4418" s="2" t="inlineStr">
        <x:is>
          <x:t xml:space="preserve">半导体</x:t>
        </x:is>
      </x:c>
      <x:c r="I4418" s="2" t="inlineStr">
        <x:is>
          <x:t xml:space="preserve">2010-01-20</x:t>
        </x:is>
      </x:c>
      <x:c r="J4418" s="3" t="inlineStr">
        <x:is>
          <x:t xml:space="preserve">湖北省襄阳市襄城区胜利街162号</x:t>
        </x:is>
      </x:c>
      <x:c r="K4418" s="12" t="str">
        <x:f>LEFT("91420600757011852J",18)</x:f>
        <x:v>91420600757011852J</x:v>
      </x:c>
    </x:row>
    <x:row r="4419">
      <x:c r="A4419" s="4" t="n">
        <x:v>4418</x:v>
      </x:c>
      <x:c r="B4419" s="4" t="inlineStr">
        <x:is>
          <x:t xml:space="preserve">300054</x:t>
        </x:is>
      </x:c>
      <x:c r="C4419" s="5" t="inlineStr">
        <x:is>
          <x:t xml:space="preserve">鼎龙股份</x:t>
        </x:is>
      </x:c>
      <x:c r="D4419" s="5" t="inlineStr">
        <x:is>
          <x:t xml:space="preserve">湖北鼎龙控股股份有限公司</x:t>
        </x:is>
      </x:c>
      <x:c r="E4419" s="4" t="inlineStr">
        <x:is>
          <x:t xml:space="preserve">湖北省</x:t>
        </x:is>
      </x:c>
      <x:c r="F4419" s="4" t="inlineStr">
        <x:is>
          <x:t xml:space="preserve">武汉市</x:t>
        </x:is>
      </x:c>
      <x:c r="G4419" s="5" t="inlineStr">
        <x:is>
          <x:t xml:space="preserve">湖北省-武汉市</x:t>
        </x:is>
      </x:c>
      <x:c r="H4419" s="4" t="inlineStr">
        <x:is>
          <x:t xml:space="preserve">电子化学品</x:t>
        </x:is>
      </x:c>
      <x:c r="I4419" s="4" t="inlineStr">
        <x:is>
          <x:t xml:space="preserve">2010-02-11</x:t>
        </x:is>
      </x:c>
      <x:c r="J4419" s="5" t="inlineStr">
        <x:is>
          <x:t xml:space="preserve">武汉市经济技术开发区东荆河路1号</x:t>
        </x:is>
      </x:c>
      <x:c r="K4419" s="12" t="str">
        <x:f>LEFT("91420000722034843M",18)</x:f>
        <x:v>91420000722034843M</x:v>
      </x:c>
    </x:row>
    <x:row r="4420">
      <x:c r="A4420" s="2" t="n">
        <x:v>4419</x:v>
      </x:c>
      <x:c r="B4420" s="2" t="inlineStr">
        <x:is>
          <x:t xml:space="preserve">300161</x:t>
        </x:is>
      </x:c>
      <x:c r="C4420" s="3" t="inlineStr">
        <x:is>
          <x:t xml:space="preserve">华中数控</x:t>
        </x:is>
      </x:c>
      <x:c r="D4420" s="3" t="inlineStr">
        <x:is>
          <x:t xml:space="preserve">武汉华中数控股份有限公司</x:t>
        </x:is>
      </x:c>
      <x:c r="E4420" s="2" t="inlineStr">
        <x:is>
          <x:t xml:space="preserve">湖北省</x:t>
        </x:is>
      </x:c>
      <x:c r="F4420" s="2" t="inlineStr">
        <x:is>
          <x:t xml:space="preserve">武汉市</x:t>
        </x:is>
      </x:c>
      <x:c r="G4420" s="3" t="inlineStr">
        <x:is>
          <x:t xml:space="preserve">湖北省-武汉市</x:t>
        </x:is>
      </x:c>
      <x:c r="H4420" s="2" t="inlineStr">
        <x:is>
          <x:t xml:space="preserve">机械行业</x:t>
        </x:is>
      </x:c>
      <x:c r="I4420" s="2" t="inlineStr">
        <x:is>
          <x:t xml:space="preserve">2011-01-13</x:t>
        </x:is>
      </x:c>
      <x:c r="J4420" s="3" t="inlineStr">
        <x:is>
          <x:t xml:space="preserve">湖北省武汉市东湖开发区华工科技园</x:t>
        </x:is>
      </x:c>
      <x:c r="K4420" s="12" t="str">
        <x:f>LEFT("914200006164176058",18)</x:f>
        <x:v>914200006164176000</x:v>
      </x:c>
    </x:row>
    <x:row r="4421">
      <x:c r="A4421" s="4" t="n">
        <x:v>4420</x:v>
      </x:c>
      <x:c r="B4421" s="4" t="inlineStr">
        <x:is>
          <x:t xml:space="preserve">300184</x:t>
        </x:is>
      </x:c>
      <x:c r="C4421" s="5" t="inlineStr">
        <x:is>
          <x:t xml:space="preserve">力源信息</x:t>
        </x:is>
      </x:c>
      <x:c r="D4421" s="5" t="inlineStr">
        <x:is>
          <x:t xml:space="preserve">武汉力源信息技术股份有限公司</x:t>
        </x:is>
      </x:c>
      <x:c r="E4421" s="4" t="inlineStr">
        <x:is>
          <x:t xml:space="preserve">湖北省</x:t>
        </x:is>
      </x:c>
      <x:c r="F4421" s="4" t="inlineStr">
        <x:is>
          <x:t xml:space="preserve">武汉市</x:t>
        </x:is>
      </x:c>
      <x:c r="G4421" s="5" t="inlineStr">
        <x:is>
          <x:t xml:space="preserve">湖北省-武汉市</x:t>
        </x:is>
      </x:c>
      <x:c r="H4421" s="4" t="inlineStr">
        <x:is>
          <x:t xml:space="preserve">贸易行业</x:t>
        </x:is>
      </x:c>
      <x:c r="I4421" s="4" t="inlineStr">
        <x:is>
          <x:t xml:space="preserve">2011-02-22</x:t>
        </x:is>
      </x:c>
      <x:c r="J4421" s="5" t="inlineStr">
        <x:is>
          <x:t xml:space="preserve">武汉市东湖新技术开发区光谷大道武大园三路5号</x:t>
        </x:is>
      </x:c>
      <x:c r="K4421" s="12" t="str">
        <x:f>LEFT("9142010073104498XQ",18)</x:f>
        <x:v>9142010073104498XQ</x:v>
      </x:c>
    </x:row>
    <x:row r="4422">
      <x:c r="A4422" s="2" t="n">
        <x:v>4421</x:v>
      </x:c>
      <x:c r="B4422" s="2" t="inlineStr">
        <x:is>
          <x:t xml:space="preserve">300205</x:t>
        </x:is>
      </x:c>
      <x:c r="C4422" s="3" t="inlineStr">
        <x:is>
          <x:t xml:space="preserve">ST天喻</x:t>
        </x:is>
      </x:c>
      <x:c r="D4422" s="3" t="inlineStr">
        <x:is>
          <x:t xml:space="preserve">武汉天喻信息产业股份有限公司</x:t>
        </x:is>
      </x:c>
      <x:c r="E4422" s="2" t="inlineStr">
        <x:is>
          <x:t xml:space="preserve">湖北省</x:t>
        </x:is>
      </x:c>
      <x:c r="F4422" s="2" t="inlineStr">
        <x:is>
          <x:t xml:space="preserve">武汉市</x:t>
        </x:is>
      </x:c>
      <x:c r="G4422" s="3" t="inlineStr">
        <x:is>
          <x:t xml:space="preserve">湖北省-武汉市</x:t>
        </x:is>
      </x:c>
      <x:c r="H4422" s="2" t="inlineStr">
        <x:is>
          <x:t xml:space="preserve">通信设备</x:t>
        </x:is>
      </x:c>
      <x:c r="I4422" s="2" t="inlineStr">
        <x:is>
          <x:t xml:space="preserve">2011-04-21</x:t>
        </x:is>
      </x:c>
      <x:c r="J4422" s="3" t="inlineStr">
        <x:is>
          <x:t xml:space="preserve">武汉市东湖新技术开发区华工大学科技园</x:t>
        </x:is>
      </x:c>
      <x:c r="K4422" s="12" t="str">
        <x:f>LEFT("91420000714587800U",18)</x:f>
        <x:v>91420000714587800U</x:v>
      </x:c>
    </x:row>
    <x:row r="4423">
      <x:c r="A4423" s="4" t="n">
        <x:v>4422</x:v>
      </x:c>
      <x:c r="B4423" s="4" t="inlineStr">
        <x:is>
          <x:t xml:space="preserve">300220</x:t>
        </x:is>
      </x:c>
      <x:c r="C4423" s="5" t="inlineStr">
        <x:is>
          <x:t xml:space="preserve">金运激光</x:t>
        </x:is>
      </x:c>
      <x:c r="D4423" s="5" t="inlineStr">
        <x:is>
          <x:t xml:space="preserve">武汉金运激光股份有限公司</x:t>
        </x:is>
      </x:c>
      <x:c r="E4423" s="4" t="inlineStr">
        <x:is>
          <x:t xml:space="preserve">湖北省</x:t>
        </x:is>
      </x:c>
      <x:c r="F4423" s="4" t="inlineStr">
        <x:is>
          <x:t xml:space="preserve">武汉市</x:t>
        </x:is>
      </x:c>
      <x:c r="G4423" s="5" t="inlineStr">
        <x:is>
          <x:t xml:space="preserve">湖北省-武汉市</x:t>
        </x:is>
      </x:c>
      <x:c r="H4423" s="4" t="inlineStr">
        <x:is>
          <x:t xml:space="preserve">电子元件</x:t>
        </x:is>
      </x:c>
      <x:c r="I4423" s="4" t="inlineStr">
        <x:is>
          <x:t xml:space="preserve">2011-05-25</x:t>
        </x:is>
      </x:c>
      <x:c r="J4423" s="5" t="inlineStr">
        <x:is>
          <x:t xml:space="preserve">武汉市江岸区后湖街石桥一路3号3栋</x:t>
        </x:is>
      </x:c>
      <x:c r="K4423" s="12" t="str">
        <x:f>LEFT("91420100771373833D",18)</x:f>
        <x:v>91420100771373833D</x:v>
      </x:c>
    </x:row>
    <x:row r="4424">
      <x:c r="A4424" s="2" t="n">
        <x:v>4423</x:v>
      </x:c>
      <x:c r="B4424" s="2" t="inlineStr">
        <x:is>
          <x:t xml:space="preserve">300276</x:t>
        </x:is>
      </x:c>
      <x:c r="C4424" s="3" t="inlineStr">
        <x:is>
          <x:t xml:space="preserve">三丰智能</x:t>
        </x:is>
      </x:c>
      <x:c r="D4424" s="3" t="inlineStr">
        <x:is>
          <x:t xml:space="preserve">三丰智能装备集团股份有限公司</x:t>
        </x:is>
      </x:c>
      <x:c r="E4424" s="2" t="inlineStr">
        <x:is>
          <x:t xml:space="preserve">湖北省</x:t>
        </x:is>
      </x:c>
      <x:c r="F4424" s="2" t="inlineStr">
        <x:is>
          <x:t xml:space="preserve">黄石市</x:t>
        </x:is>
      </x:c>
      <x:c r="G4424" s="3" t="inlineStr">
        <x:is>
          <x:t xml:space="preserve">湖北省-黄石市</x:t>
        </x:is>
      </x:c>
      <x:c r="H4424" s="2" t="inlineStr">
        <x:is>
          <x:t xml:space="preserve">专用设备</x:t>
        </x:is>
      </x:c>
      <x:c r="I4424" s="2" t="inlineStr">
        <x:is>
          <x:t xml:space="preserve">2011-11-15</x:t>
        </x:is>
      </x:c>
      <x:c r="J4424" s="3" t="inlineStr">
        <x:is>
          <x:t xml:space="preserve">湖北省黄石市开铁区金山街道鹏程大道98号办公楼</x:t>
        </x:is>
      </x:c>
      <x:c r="K4424" s="12" t="str">
        <x:f>LEFT("91420200714697006M",18)</x:f>
        <x:v>91420200714697006M</x:v>
      </x:c>
    </x:row>
    <x:row r="4425">
      <x:c r="A4425" s="4" t="n">
        <x:v>4424</x:v>
      </x:c>
      <x:c r="B4425" s="4" t="inlineStr">
        <x:is>
          <x:t xml:space="preserve">300278</x:t>
        </x:is>
      </x:c>
      <x:c r="C4425" s="5" t="inlineStr">
        <x:is>
          <x:t xml:space="preserve">华昌达</x:t>
        </x:is>
      </x:c>
      <x:c r="D4425" s="5" t="inlineStr">
        <x:is>
          <x:t xml:space="preserve">华昌达智能装备集团股份有限公司</x:t>
        </x:is>
      </x:c>
      <x:c r="E4425" s="4" t="inlineStr">
        <x:is>
          <x:t xml:space="preserve">湖北省</x:t>
        </x:is>
      </x:c>
      <x:c r="F4425" s="4" t="inlineStr">
        <x:is>
          <x:t xml:space="preserve">十堰市</x:t>
        </x:is>
      </x:c>
      <x:c r="G4425" s="5" t="inlineStr">
        <x:is>
          <x:t xml:space="preserve">湖北省-十堰市</x:t>
        </x:is>
      </x:c>
      <x:c r="H4425" s="4" t="inlineStr">
        <x:is>
          <x:t xml:space="preserve">机械行业</x:t>
        </x:is>
      </x:c>
      <x:c r="I4425" s="4" t="inlineStr">
        <x:is>
          <x:t xml:space="preserve">2011-12-16</x:t>
        </x:is>
      </x:c>
      <x:c r="J4425" s="5" t="inlineStr">
        <x:is>
          <x:t xml:space="preserve">十堰市东益大道9号</x:t>
        </x:is>
      </x:c>
      <x:c r="K4425" s="12" t="str">
        <x:f>LEFT("91420300744646082Y",18)</x:f>
        <x:v>91420300744646082Y</x:v>
      </x:c>
    </x:row>
    <x:row r="4426">
      <x:c r="A4426" s="2" t="n">
        <x:v>4425</x:v>
      </x:c>
      <x:c r="B4426" s="2" t="inlineStr">
        <x:is>
          <x:t xml:space="preserve">300323</x:t>
        </x:is>
      </x:c>
      <x:c r="C4426" s="3" t="inlineStr">
        <x:is>
          <x:t xml:space="preserve">华灿光电</x:t>
        </x:is>
      </x:c>
      <x:c r="D4426" s="3" t="inlineStr">
        <x:is>
          <x:t xml:space="preserve">京东方华灿光电股份有限公司</x:t>
        </x:is>
      </x:c>
      <x:c r="E4426" s="2" t="inlineStr">
        <x:is>
          <x:t xml:space="preserve">湖北省</x:t>
        </x:is>
      </x:c>
      <x:c r="F4426" s="2" t="inlineStr">
        <x:is>
          <x:t xml:space="preserve">武汉市</x:t>
        </x:is>
      </x:c>
      <x:c r="G4426" s="3" t="inlineStr">
        <x:is>
          <x:t xml:space="preserve">湖北省-武汉市</x:t>
        </x:is>
      </x:c>
      <x:c r="H4426" s="2" t="inlineStr">
        <x:is>
          <x:t xml:space="preserve">光学光电子</x:t>
        </x:is>
      </x:c>
      <x:c r="I4426" s="2" t="inlineStr">
        <x:is>
          <x:t xml:space="preserve">2012-06-01</x:t>
        </x:is>
      </x:c>
      <x:c r="J4426" s="3" t="inlineStr">
        <x:is>
          <x:t xml:space="preserve">武汉市东湖开发区滨湖路8号</x:t>
        </x:is>
      </x:c>
      <x:c r="K4426" s="12" t="str">
        <x:f>LEFT("914201007819530811",18)</x:f>
        <x:v>914201007819530800</x:v>
      </x:c>
    </x:row>
    <x:row r="4427">
      <x:c r="A4427" s="4" t="n">
        <x:v>4426</x:v>
      </x:c>
      <x:c r="B4427" s="4" t="inlineStr">
        <x:is>
          <x:t xml:space="preserve">300387</x:t>
        </x:is>
      </x:c>
      <x:c r="C4427" s="5" t="inlineStr">
        <x:is>
          <x:t xml:space="preserve">富邦科技</x:t>
        </x:is>
      </x:c>
      <x:c r="D4427" s="5" t="inlineStr">
        <x:is>
          <x:t xml:space="preserve">湖北富邦科技股份有限公司</x:t>
        </x:is>
      </x:c>
      <x:c r="E4427" s="4" t="inlineStr">
        <x:is>
          <x:t xml:space="preserve">湖北省</x:t>
        </x:is>
      </x:c>
      <x:c r="F4427" s="4" t="inlineStr">
        <x:is>
          <x:t xml:space="preserve">应城市</x:t>
        </x:is>
      </x:c>
      <x:c r="G4427" s="5" t="inlineStr">
        <x:is>
          <x:t xml:space="preserve">湖北省-应城市</x:t>
        </x:is>
      </x:c>
      <x:c r="H4427" s="4" t="inlineStr">
        <x:is>
          <x:t xml:space="preserve">化肥行业</x:t>
        </x:is>
      </x:c>
      <x:c r="I4427" s="4" t="inlineStr">
        <x:is>
          <x:t xml:space="preserve">2014-07-02</x:t>
        </x:is>
      </x:c>
      <x:c r="J4427" s="5" t="inlineStr">
        <x:is>
          <x:t xml:space="preserve">应城市经济技术开发区</x:t>
        </x:is>
      </x:c>
      <x:c r="K4427" s="12" t="str">
        <x:f>LEFT("91420000795935802X",18)</x:f>
        <x:v>91420000795935802X</x:v>
      </x:c>
    </x:row>
    <x:row r="4428">
      <x:c r="A4428" s="2" t="n">
        <x:v>4427</x:v>
      </x:c>
      <x:c r="B4428" s="2" t="inlineStr">
        <x:is>
          <x:t xml:space="preserve">300391</x:t>
        </x:is>
      </x:c>
      <x:c r="C4428" s="3" t="inlineStr">
        <x:is>
          <x:t xml:space="preserve">长药退</x:t>
        </x:is>
      </x:c>
      <x:c r="D4428" s="3" t="inlineStr">
        <x:is>
          <x:t xml:space="preserve">长江医药控股股份有限公司</x:t>
        </x:is>
      </x:c>
      <x:c r="E4428" s="2" t="inlineStr">
        <x:is>
          <x:t xml:space="preserve">湖北省</x:t>
        </x:is>
      </x:c>
      <x:c r="F4428" s="2" t="inlineStr">
        <x:is>
          <x:t xml:space="preserve">十堰市</x:t>
        </x:is>
      </x:c>
      <x:c r="G4428" s="3" t="inlineStr">
        <x:is>
          <x:t xml:space="preserve">湖北省-十堰市</x:t>
        </x:is>
      </x:c>
      <x:c r="H4428" s="2" t="inlineStr">
        <x:is>
          <x:t xml:space="preserve">中药</x:t>
        </x:is>
      </x:c>
      <x:c r="I4428" s="2" t="inlineStr">
        <x:is>
          <x:t xml:space="preserve">2014-08-01</x:t>
        </x:is>
      </x:c>
      <x:c r="J4428" s="3" t="inlineStr">
        <x:is>
          <x:t xml:space="preserve">湖北省十堰市郧阳经济开发区天马大道特69号</x:t>
        </x:is>
      </x:c>
      <x:c r="K4428" s="12" t="str">
        <x:f>LEFT("913707007392666598",18)</x:f>
        <x:v>913707007392666600</x:v>
      </x:c>
    </x:row>
    <x:row r="4429">
      <x:c r="A4429" s="4" t="n">
        <x:v>4428</x:v>
      </x:c>
      <x:c r="B4429" s="4" t="inlineStr">
        <x:is>
          <x:t xml:space="preserve">300395</x:t>
        </x:is>
      </x:c>
      <x:c r="C4429" s="5" t="inlineStr">
        <x:is>
          <x:t xml:space="preserve">菲利华</x:t>
        </x:is>
      </x:c>
      <x:c r="D4429" s="5" t="inlineStr">
        <x:is>
          <x:t xml:space="preserve">湖北菲利华石英玻璃股份有限公司</x:t>
        </x:is>
      </x:c>
      <x:c r="E4429" s="4" t="inlineStr">
        <x:is>
          <x:t xml:space="preserve">湖北省</x:t>
        </x:is>
      </x:c>
      <x:c r="F4429" s="4" t="inlineStr">
        <x:is>
          <x:t xml:space="preserve">荆州市</x:t>
        </x:is>
      </x:c>
      <x:c r="G4429" s="5" t="inlineStr">
        <x:is>
          <x:t xml:space="preserve">湖北省-荆州市</x:t>
        </x:is>
      </x:c>
      <x:c r="H4429" s="4" t="inlineStr">
        <x:is>
          <x:t xml:space="preserve">非金属材料</x:t>
        </x:is>
      </x:c>
      <x:c r="I4429" s="4" t="inlineStr">
        <x:is>
          <x:t xml:space="preserve">2014-09-10</x:t>
        </x:is>
      </x:c>
      <x:c r="J4429" s="5" t="inlineStr">
        <x:is>
          <x:t xml:space="preserve">荆州市东方大道68号</x:t>
        </x:is>
      </x:c>
      <x:c r="K4429" s="12" t="str">
        <x:f>LEFT("91421000178966806F",18)</x:f>
        <x:v>91421000178966806F</x:v>
      </x:c>
    </x:row>
    <x:row r="4430">
      <x:c r="A4430" s="2" t="n">
        <x:v>4429</x:v>
      </x:c>
      <x:c r="B4430" s="2" t="inlineStr">
        <x:is>
          <x:t xml:space="preserve">300494</x:t>
        </x:is>
      </x:c>
      <x:c r="C4430" s="3" t="inlineStr">
        <x:is>
          <x:t xml:space="preserve">盛天网络</x:t>
        </x:is>
      </x:c>
      <x:c r="D4430" s="3" t="inlineStr">
        <x:is>
          <x:t xml:space="preserve">湖北盛天网络技术股份有限公司</x:t>
        </x:is>
      </x:c>
      <x:c r="E4430" s="2" t="inlineStr">
        <x:is>
          <x:t xml:space="preserve">湖北省</x:t>
        </x:is>
      </x:c>
      <x:c r="F4430" s="2" t="inlineStr">
        <x:is>
          <x:t xml:space="preserve">武汉市</x:t>
        </x:is>
      </x:c>
      <x:c r="G4430" s="3" t="inlineStr">
        <x:is>
          <x:t xml:space="preserve">湖北省-武汉市</x:t>
        </x:is>
      </x:c>
      <x:c r="H4430" s="2" t="inlineStr">
        <x:is>
          <x:t xml:space="preserve">游戏</x:t>
        </x:is>
      </x:c>
      <x:c r="I4430" s="2" t="inlineStr">
        <x:is>
          <x:t xml:space="preserve">2015-12-31</x:t>
        </x:is>
      </x:c>
      <x:c r="J4430" s="3" t="inlineStr">
        <x:is>
          <x:t xml:space="preserve">武汉市东湖新技术开发区光谷大道77号金融港B7栋9-11楼</x:t>
        </x:is>
      </x:c>
      <x:c r="K4430" s="12" t="str">
        <x:f>LEFT("91420100695349435J",18)</x:f>
        <x:v>91420100695349435J</x:v>
      </x:c>
    </x:row>
    <x:row r="4431">
      <x:c r="A4431" s="4" t="n">
        <x:v>4430</x:v>
      </x:c>
      <x:c r="B4431" s="4" t="inlineStr">
        <x:is>
          <x:t xml:space="preserve">300516</x:t>
        </x:is>
      </x:c>
      <x:c r="C4431" s="5" t="inlineStr">
        <x:is>
          <x:t xml:space="preserve">久之洋</x:t>
        </x:is>
      </x:c>
      <x:c r="D4431" s="5" t="inlineStr">
        <x:is>
          <x:t xml:space="preserve">湖北久之洋红外系统股份有限公司</x:t>
        </x:is>
      </x:c>
      <x:c r="E4431" s="4" t="inlineStr">
        <x:is>
          <x:t xml:space="preserve">湖北省</x:t>
        </x:is>
      </x:c>
      <x:c r="F4431" s="4" t="inlineStr">
        <x:is>
          <x:t xml:space="preserve">武汉市</x:t>
        </x:is>
      </x:c>
      <x:c r="G4431" s="5" t="inlineStr">
        <x:is>
          <x:t xml:space="preserve">湖北省-武汉市</x:t>
        </x:is>
      </x:c>
      <x:c r="H4431" s="4" t="inlineStr">
        <x:is>
          <x:t xml:space="preserve">电子元件</x:t>
        </x:is>
      </x:c>
      <x:c r="I4431" s="4" t="inlineStr">
        <x:is>
          <x:t xml:space="preserve">2016-06-02</x:t>
        </x:is>
      </x:c>
      <x:c r="J4431" s="5" t="inlineStr">
        <x:is>
          <x:t xml:space="preserve">武汉市江夏区庙山开发区明泽街9号</x:t>
        </x:is>
      </x:c>
      <x:c r="K4431" s="12" t="str">
        <x:f>LEFT("91420115726148813F",18)</x:f>
        <x:v>91420115726148813F</x:v>
      </x:c>
    </x:row>
    <x:row r="4432">
      <x:c r="A4432" s="2" t="n">
        <x:v>4431</x:v>
      </x:c>
      <x:c r="B4432" s="2" t="inlineStr">
        <x:is>
          <x:t xml:space="preserve">300517</x:t>
        </x:is>
      </x:c>
      <x:c r="C4432" s="3" t="inlineStr">
        <x:is>
          <x:t xml:space="preserve">海波重科</x:t>
        </x:is>
      </x:c>
      <x:c r="D4432" s="3" t="inlineStr">
        <x:is>
          <x:t xml:space="preserve">海波重型工程科技股份有限公司</x:t>
        </x:is>
      </x:c>
      <x:c r="E4432" s="2" t="inlineStr">
        <x:is>
          <x:t xml:space="preserve">湖北省</x:t>
        </x:is>
      </x:c>
      <x:c r="F4432" s="2" t="inlineStr">
        <x:is>
          <x:t xml:space="preserve">武汉市</x:t>
        </x:is>
      </x:c>
      <x:c r="G4432" s="3" t="inlineStr">
        <x:is>
          <x:t xml:space="preserve">湖北省-武汉市</x:t>
        </x:is>
      </x:c>
      <x:c r="H4432" s="2" t="inlineStr">
        <x:is>
          <x:t xml:space="preserve">工程建设</x:t>
        </x:is>
      </x:c>
      <x:c r="I4432" s="2" t="inlineStr">
        <x:is>
          <x:t xml:space="preserve">2016-07-19</x:t>
        </x:is>
      </x:c>
      <x:c r="J4432" s="3" t="inlineStr">
        <x:is>
          <x:t xml:space="preserve">湖北省武汉市江夏区郑店街黄金桥工业园6号</x:t>
        </x:is>
      </x:c>
      <x:c r="K4432" s="12" t="str">
        <x:f>LEFT("91420115271830540B",18)</x:f>
        <x:v>91420115271830540B</x:v>
      </x:c>
    </x:row>
    <x:row r="4433">
      <x:c r="A4433" s="4" t="n">
        <x:v>4432</x:v>
      </x:c>
      <x:c r="B4433" s="4" t="inlineStr">
        <x:is>
          <x:t xml:space="preserve">300527</x:t>
        </x:is>
      </x:c>
      <x:c r="C4433" s="5" t="inlineStr">
        <x:is>
          <x:t xml:space="preserve">ST应急</x:t>
        </x:is>
      </x:c>
      <x:c r="D4433" s="5" t="inlineStr">
        <x:is>
          <x:t xml:space="preserve">中国船舶重工集团应急预警与救援装备股份有限公司</x:t>
        </x:is>
      </x:c>
      <x:c r="E4433" s="4" t="inlineStr">
        <x:is>
          <x:t xml:space="preserve">湖北省</x:t>
        </x:is>
      </x:c>
      <x:c r="F4433" s="4" t="inlineStr">
        <x:is>
          <x:t xml:space="preserve">武汉市</x:t>
        </x:is>
      </x:c>
      <x:c r="G4433" s="5" t="inlineStr">
        <x:is>
          <x:t xml:space="preserve">湖北省-武汉市</x:t>
        </x:is>
      </x:c>
      <x:c r="H4433" s="4" t="inlineStr">
        <x:is>
          <x:t xml:space="preserve">专用设备</x:t>
        </x:is>
      </x:c>
      <x:c r="I4433" s="4" t="inlineStr">
        <x:is>
          <x:t xml:space="preserve">2016-08-05</x:t>
        </x:is>
      </x:c>
      <x:c r="J4433" s="5" t="inlineStr">
        <x:is>
          <x:t xml:space="preserve">武汉市江夏区庙山开发区阳光大道5号</x:t>
        </x:is>
      </x:c>
      <x:c r="K4433" s="12" t="str">
        <x:f>LEFT("91420000670357025U",18)</x:f>
        <x:v>91420000670357025U</x:v>
      </x:c>
    </x:row>
    <x:row r="4434">
      <x:c r="A4434" s="2" t="n">
        <x:v>4433</x:v>
      </x:c>
      <x:c r="B4434" s="2" t="inlineStr">
        <x:is>
          <x:t xml:space="preserve">300536</x:t>
        </x:is>
      </x:c>
      <x:c r="C4434" s="3" t="inlineStr">
        <x:is>
          <x:t xml:space="preserve">农尚环境</x:t>
        </x:is>
      </x:c>
      <x:c r="D4434" s="3" t="inlineStr">
        <x:is>
          <x:t xml:space="preserve">武汉农尚环境股份有限公司</x:t>
        </x:is>
      </x:c>
      <x:c r="E4434" s="2" t="inlineStr">
        <x:is>
          <x:t xml:space="preserve">湖北省</x:t>
        </x:is>
      </x:c>
      <x:c r="F4434" s="2" t="inlineStr">
        <x:is>
          <x:t xml:space="preserve">武汉市</x:t>
        </x:is>
      </x:c>
      <x:c r="G4434" s="3" t="inlineStr">
        <x:is>
          <x:t xml:space="preserve">湖北省-武汉市</x:t>
        </x:is>
      </x:c>
      <x:c r="H4434" s="2" t="inlineStr">
        <x:is>
          <x:t xml:space="preserve">工程建设</x:t>
        </x:is>
      </x:c>
      <x:c r="I4434" s="2" t="inlineStr">
        <x:is>
          <x:t xml:space="preserve">2016-09-20</x:t>
        </x:is>
      </x:c>
      <x:c r="J4434" s="3" t="inlineStr">
        <x:is>
          <x:t xml:space="preserve">湖北省武汉市江岸区健康街66号绿地·汉口中心(二期)S11号楼27层办公(7)室-办公(9)室</x:t>
        </x:is>
      </x:c>
      <x:c r="K4434" s="12" t="str">
        <x:f>LEFT("914201007179941889",18)</x:f>
        <x:v>914201007179941900</x:v>
      </x:c>
    </x:row>
    <x:row r="4435">
      <x:c r="A4435" s="4" t="n">
        <x:v>4434</x:v>
      </x:c>
      <x:c r="B4435" s="4" t="inlineStr">
        <x:is>
          <x:t xml:space="preserve">300557</x:t>
        </x:is>
      </x:c>
      <x:c r="C4435" s="5" t="inlineStr">
        <x:is>
          <x:t xml:space="preserve">理工光科</x:t>
        </x:is>
      </x:c>
      <x:c r="D4435" s="5" t="inlineStr">
        <x:is>
          <x:t xml:space="preserve">武汉理工光科股份有限公司</x:t>
        </x:is>
      </x:c>
      <x:c r="E4435" s="4" t="inlineStr">
        <x:is>
          <x:t xml:space="preserve">湖北省</x:t>
        </x:is>
      </x:c>
      <x:c r="F4435" s="4" t="inlineStr">
        <x:is>
          <x:t xml:space="preserve">武汉市</x:t>
        </x:is>
      </x:c>
      <x:c r="G4435" s="5" t="inlineStr">
        <x:is>
          <x:t xml:space="preserve">湖北省-武汉市</x:t>
        </x:is>
      </x:c>
      <x:c r="H4435" s="4" t="inlineStr">
        <x:is>
          <x:t xml:space="preserve">仪器仪表</x:t>
        </x:is>
      </x:c>
      <x:c r="I4435" s="4" t="inlineStr">
        <x:is>
          <x:t xml:space="preserve">2016-11-01</x:t>
        </x:is>
      </x:c>
      <x:c r="J4435" s="5" t="inlineStr">
        <x:is>
          <x:t xml:space="preserve">武汉市东湖开发区武汉理工大学科技园</x:t>
        </x:is>
      </x:c>
      <x:c r="K4435" s="12" t="str">
        <x:f>LEFT("9142010072466171X0",18)</x:f>
        <x:v>9142010072466171X0</x:v>
      </x:c>
    </x:row>
    <x:row r="4436">
      <x:c r="A4436" s="2" t="n">
        <x:v>4435</x:v>
      </x:c>
      <x:c r="B4436" s="2" t="inlineStr">
        <x:is>
          <x:t xml:space="preserve">300567</x:t>
        </x:is>
      </x:c>
      <x:c r="C4436" s="3" t="inlineStr">
        <x:is>
          <x:t xml:space="preserve">精测电子</x:t>
        </x:is>
      </x:c>
      <x:c r="D4436" s="3" t="inlineStr">
        <x:is>
          <x:t xml:space="preserve">武汉精测电子集团股份有限公司</x:t>
        </x:is>
      </x:c>
      <x:c r="E4436" s="2" t="inlineStr">
        <x:is>
          <x:t xml:space="preserve">湖北省</x:t>
        </x:is>
      </x:c>
      <x:c r="F4436" s="2" t="inlineStr">
        <x:is>
          <x:t xml:space="preserve">武汉市</x:t>
        </x:is>
      </x:c>
      <x:c r="G4436" s="3" t="inlineStr">
        <x:is>
          <x:t xml:space="preserve">湖北省-武汉市</x:t>
        </x:is>
      </x:c>
      <x:c r="H4436" s="2" t="inlineStr">
        <x:is>
          <x:t xml:space="preserve">仪器仪表</x:t>
        </x:is>
      </x:c>
      <x:c r="I4436" s="2" t="inlineStr">
        <x:is>
          <x:t xml:space="preserve">2016-11-22</x:t>
        </x:is>
      </x:c>
      <x:c r="J4436" s="3" t="inlineStr">
        <x:is>
          <x:t xml:space="preserve">洪山区书城路48#(北港工业园)1栋11层</x:t>
        </x:is>
      </x:c>
      <x:c r="K4436" s="12" t="str">
        <x:f>LEFT("91420111783183308C",18)</x:f>
        <x:v>91420111783183308C</x:v>
      </x:c>
    </x:row>
    <x:row r="4437">
      <x:c r="A4437" s="4" t="n">
        <x:v>4436</x:v>
      </x:c>
      <x:c r="B4437" s="4" t="inlineStr">
        <x:is>
          <x:t xml:space="preserve">300683</x:t>
        </x:is>
      </x:c>
      <x:c r="C4437" s="5" t="inlineStr">
        <x:is>
          <x:t xml:space="preserve">海特生物</x:t>
        </x:is>
      </x:c>
      <x:c r="D4437" s="5" t="inlineStr">
        <x:is>
          <x:t xml:space="preserve">武汉海特生物制药股份有限公司</x:t>
        </x:is>
      </x:c>
      <x:c r="E4437" s="4" t="inlineStr">
        <x:is>
          <x:t xml:space="preserve">湖北省</x:t>
        </x:is>
      </x:c>
      <x:c r="F4437" s="4" t="inlineStr">
        <x:is>
          <x:t xml:space="preserve">武汉市</x:t>
        </x:is>
      </x:c>
      <x:c r="G4437" s="5" t="inlineStr">
        <x:is>
          <x:t xml:space="preserve">湖北省-武汉市</x:t>
        </x:is>
      </x:c>
      <x:c r="H4437" s="4" t="inlineStr">
        <x:is>
          <x:t xml:space="preserve">生物制品</x:t>
        </x:is>
      </x:c>
      <x:c r="I4437" s="4" t="inlineStr">
        <x:is>
          <x:t xml:space="preserve">2017-08-08</x:t>
        </x:is>
      </x:c>
      <x:c r="J4437" s="5" t="inlineStr">
        <x:is>
          <x:t xml:space="preserve">武汉经济技术开发区海特科技园</x:t>
        </x:is>
      </x:c>
      <x:c r="K4437" s="12" t="str">
        <x:f>LEFT("91420100724667038L",18)</x:f>
        <x:v>91420100724667038L</x:v>
      </x:c>
    </x:row>
    <x:row r="4438">
      <x:c r="A4438" s="2" t="n">
        <x:v>4437</x:v>
      </x:c>
      <x:c r="B4438" s="2" t="inlineStr">
        <x:is>
          <x:t xml:space="preserve">300747</x:t>
        </x:is>
      </x:c>
      <x:c r="C4438" s="3" t="inlineStr">
        <x:is>
          <x:t xml:space="preserve">锐科激光</x:t>
        </x:is>
      </x:c>
      <x:c r="D4438" s="3" t="inlineStr">
        <x:is>
          <x:t xml:space="preserve">武汉锐科光纤激光技术股份有限公司</x:t>
        </x:is>
      </x:c>
      <x:c r="E4438" s="2" t="inlineStr">
        <x:is>
          <x:t xml:space="preserve">湖北省</x:t>
        </x:is>
      </x:c>
      <x:c r="F4438" s="2" t="inlineStr">
        <x:is>
          <x:t xml:space="preserve">武汉市</x:t>
        </x:is>
      </x:c>
      <x:c r="G4438" s="3" t="inlineStr">
        <x:is>
          <x:t xml:space="preserve">湖北省-武汉市</x:t>
        </x:is>
      </x:c>
      <x:c r="H4438" s="2" t="inlineStr">
        <x:is>
          <x:t xml:space="preserve">电子元件</x:t>
        </x:is>
      </x:c>
      <x:c r="I4438" s="2" t="inlineStr">
        <x:is>
          <x:t xml:space="preserve">2018-06-25</x:t>
        </x:is>
      </x:c>
      <x:c r="J4438" s="3" t="inlineStr">
        <x:is>
          <x:t xml:space="preserve">武汉市东湖新技术开发区未来科技城龙山南街一号</x:t>
        </x:is>
      </x:c>
      <x:c r="K4438" s="12" t="str">
        <x:f>LEFT("914201007997656362",18)</x:f>
        <x:v>914201007997656300</x:v>
      </x:c>
    </x:row>
    <x:row r="4439">
      <x:c r="A4439" s="4" t="n">
        <x:v>4438</x:v>
      </x:c>
      <x:c r="B4439" s="4" t="inlineStr">
        <x:is>
          <x:t xml:space="preserve">300776</x:t>
        </x:is>
      </x:c>
      <x:c r="C4439" s="5" t="inlineStr">
        <x:is>
          <x:t xml:space="preserve">帝尔激光</x:t>
        </x:is>
      </x:c>
      <x:c r="D4439" s="5" t="inlineStr">
        <x:is>
          <x:t xml:space="preserve">武汉帝尔激光科技股份有限公司</x:t>
        </x:is>
      </x:c>
      <x:c r="E4439" s="4" t="inlineStr">
        <x:is>
          <x:t xml:space="preserve">湖北省</x:t>
        </x:is>
      </x:c>
      <x:c r="F4439" s="4" t="inlineStr">
        <x:is>
          <x:t xml:space="preserve">武汉市</x:t>
        </x:is>
      </x:c>
      <x:c r="G4439" s="5" t="inlineStr">
        <x:is>
          <x:t xml:space="preserve">湖北省-武汉市</x:t>
        </x:is>
      </x:c>
      <x:c r="H4439" s="4" t="inlineStr">
        <x:is>
          <x:t xml:space="preserve">光伏设备</x:t>
        </x:is>
      </x:c>
      <x:c r="I4439" s="4" t="inlineStr">
        <x:is>
          <x:t xml:space="preserve">2019-05-17</x:t>
        </x:is>
      </x:c>
      <x:c r="J4439" s="5" t="inlineStr">
        <x:is>
          <x:t xml:space="preserve">武汉东湖新技术开发区九龙湖街88号</x:t>
        </x:is>
      </x:c>
      <x:c r="K4439" s="12" t="str">
        <x:f>LEFT("91420100672784354A",18)</x:f>
        <x:v>91420100672784354A</x:v>
      </x:c>
    </x:row>
    <x:row r="4440">
      <x:c r="A4440" s="2" t="n">
        <x:v>4439</x:v>
      </x:c>
      <x:c r="B4440" s="2" t="inlineStr">
        <x:is>
          <x:t xml:space="preserve">300808</x:t>
        </x:is>
      </x:c>
      <x:c r="C4440" s="3" t="inlineStr">
        <x:is>
          <x:t xml:space="preserve">久量股份</x:t>
        </x:is>
      </x:c>
      <x:c r="D4440" s="3" t="inlineStr">
        <x:is>
          <x:t xml:space="preserve">湖北久量股份有限公司</x:t>
        </x:is>
      </x:c>
      <x:c r="E4440" s="2" t="inlineStr">
        <x:is>
          <x:t xml:space="preserve">湖北省</x:t>
        </x:is>
      </x:c>
      <x:c r="F4440" s="2" t="inlineStr">
        <x:is>
          <x:t xml:space="preserve">十堰市</x:t>
        </x:is>
      </x:c>
      <x:c r="G4440" s="3" t="inlineStr">
        <x:is>
          <x:t xml:space="preserve">湖北省-十堰市</x:t>
        </x:is>
      </x:c>
      <x:c r="H4440" s="2" t="inlineStr">
        <x:is>
          <x:t xml:space="preserve">光学光电子</x:t>
        </x:is>
      </x:c>
      <x:c r="I4440" s="2" t="inlineStr">
        <x:is>
          <x:t xml:space="preserve">2019-11-29</x:t>
        </x:is>
      </x:c>
      <x:c r="J4440" s="3" t="inlineStr">
        <x:is>
          <x:t xml:space="preserve">湖北省十堰市郧阳区城关镇沿江大道88号综合服务楼15楼</x:t>
        </x:is>
      </x:c>
      <x:c r="K4440" s="12" t="str">
        <x:f>LEFT("91440101743574830D",18)</x:f>
        <x:v>91440101743574830D</x:v>
      </x:c>
    </x:row>
    <x:row r="4441">
      <x:c r="A4441" s="4" t="n">
        <x:v>4440</x:v>
      </x:c>
      <x:c r="B4441" s="4" t="inlineStr">
        <x:is>
          <x:t xml:space="preserve">300871</x:t>
        </x:is>
      </x:c>
      <x:c r="C4441" s="5" t="inlineStr">
        <x:is>
          <x:t xml:space="preserve">回盛生物</x:t>
        </x:is>
      </x:c>
      <x:c r="D4441" s="5" t="inlineStr">
        <x:is>
          <x:t xml:space="preserve">武汉回盛生物科技股份有限公司</x:t>
        </x:is>
      </x:c>
      <x:c r="E4441" s="4" t="inlineStr">
        <x:is>
          <x:t xml:space="preserve">湖北省</x:t>
        </x:is>
      </x:c>
      <x:c r="F4441" s="4" t="inlineStr">
        <x:is>
          <x:t xml:space="preserve">武汉市</x:t>
        </x:is>
      </x:c>
      <x:c r="G4441" s="5" t="inlineStr">
        <x:is>
          <x:t xml:space="preserve">湖北省-武汉市</x:t>
        </x:is>
      </x:c>
      <x:c r="H4441" s="4" t="inlineStr">
        <x:is>
          <x:t xml:space="preserve">农药兽药</x:t>
        </x:is>
      </x:c>
      <x:c r="I4441" s="4" t="inlineStr">
        <x:is>
          <x:t xml:space="preserve">2020-08-24</x:t>
        </x:is>
      </x:c>
      <x:c r="J4441" s="5" t="inlineStr">
        <x:is>
          <x:t xml:space="preserve">武汉市东西湖区新沟街道办事处油纱路52号</x:t>
        </x:is>
      </x:c>
      <x:c r="K4441" s="12" t="str">
        <x:f>LEFT("9142011273354032X9",18)</x:f>
        <x:v>9142011273354032X9</x:v>
      </x:c>
    </x:row>
    <x:row r="4442">
      <x:c r="A4442" s="2" t="n">
        <x:v>4441</x:v>
      </x:c>
      <x:c r="B4442" s="2" t="inlineStr">
        <x:is>
          <x:t xml:space="preserve">300966</x:t>
        </x:is>
      </x:c>
      <x:c r="C4442" s="3" t="inlineStr">
        <x:is>
          <x:t xml:space="preserve">共同药业</x:t>
        </x:is>
      </x:c>
      <x:c r="D4442" s="3" t="inlineStr">
        <x:is>
          <x:t xml:space="preserve">湖北共同药业股份有限公司</x:t>
        </x:is>
      </x:c>
      <x:c r="E4442" s="2" t="inlineStr">
        <x:is>
          <x:t xml:space="preserve">湖北省</x:t>
        </x:is>
      </x:c>
      <x:c r="F4442" s="2" t="inlineStr">
        <x:is>
          <x:t xml:space="preserve">宜城市</x:t>
        </x:is>
      </x:c>
      <x:c r="G4442" s="3" t="inlineStr">
        <x:is>
          <x:t xml:space="preserve">湖北省-宜城市</x:t>
        </x:is>
      </x:c>
      <x:c r="H4442" s="2" t="inlineStr">
        <x:is>
          <x:t xml:space="preserve">医药制造</x:t>
        </x:is>
      </x:c>
      <x:c r="I4442" s="2" t="inlineStr">
        <x:is>
          <x:t xml:space="preserve">2021-04-09</x:t>
        </x:is>
      </x:c>
      <x:c r="J4442" s="3" t="inlineStr">
        <x:is>
          <x:t xml:space="preserve">宜城市小河镇高坑一组</x:t>
        </x:is>
      </x:c>
      <x:c r="K4442" s="12" t="str">
        <x:f>LEFT("91420684795913849E",18)</x:f>
        <x:v>91420684795913849E</x:v>
      </x:c>
    </x:row>
    <x:row r="4443">
      <x:c r="A4443" s="4" t="n">
        <x:v>4442</x:v>
      </x:c>
      <x:c r="B4443" s="4" t="inlineStr">
        <x:is>
          <x:t xml:space="preserve">300971</x:t>
        </x:is>
      </x:c>
      <x:c r="C4443" s="5" t="inlineStr">
        <x:is>
          <x:t xml:space="preserve">博亚精工</x:t>
        </x:is>
      </x:c>
      <x:c r="D4443" s="5" t="inlineStr">
        <x:is>
          <x:t xml:space="preserve">襄阳博亚精工装备股份有限公司</x:t>
        </x:is>
      </x:c>
      <x:c r="E4443" s="4" t="inlineStr">
        <x:is>
          <x:t xml:space="preserve">湖北省</x:t>
        </x:is>
      </x:c>
      <x:c r="F4443" s="4" t="inlineStr">
        <x:is>
          <x:t xml:space="preserve">襄阳市</x:t>
        </x:is>
      </x:c>
      <x:c r="G4443" s="5" t="inlineStr">
        <x:is>
          <x:t xml:space="preserve">湖北省-襄阳市</x:t>
        </x:is>
      </x:c>
      <x:c r="H4443" s="4" t="inlineStr">
        <x:is>
          <x:t xml:space="preserve">机械行业</x:t>
        </x:is>
      </x:c>
      <x:c r="I4443" s="4" t="inlineStr">
        <x:is>
          <x:t xml:space="preserve">2021-04-15</x:t>
        </x:is>
      </x:c>
      <x:c r="J4443" s="5" t="inlineStr">
        <x:is>
          <x:t xml:space="preserve">襄阳市高新技术产业开发区天籁大道3号</x:t>
        </x:is>
      </x:c>
      <x:c r="K4443" s="12" t="str">
        <x:f>LEFT("91420600714657151N",18)</x:f>
        <x:v>91420600714657151N</x:v>
      </x:c>
    </x:row>
    <x:row r="4444">
      <x:c r="A4444" s="2" t="n">
        <x:v>4443</x:v>
      </x:c>
      <x:c r="B4444" s="2" t="inlineStr">
        <x:is>
          <x:t xml:space="preserve">300980</x:t>
        </x:is>
      </x:c>
      <x:c r="C4444" s="3" t="inlineStr">
        <x:is>
          <x:t xml:space="preserve">祥源新材</x:t>
        </x:is>
      </x:c>
      <x:c r="D4444" s="3" t="inlineStr">
        <x:is>
          <x:t xml:space="preserve">湖北祥源新材科技股份有限公司</x:t>
        </x:is>
      </x:c>
      <x:c r="E4444" s="2" t="inlineStr">
        <x:is>
          <x:t xml:space="preserve">湖北省</x:t>
        </x:is>
      </x:c>
      <x:c r="F4444" s="2" t="inlineStr">
        <x:is>
          <x:t xml:space="preserve">北省汉川市</x:t>
        </x:is>
      </x:c>
      <x:c r="G4444" s="3" t="inlineStr">
        <x:is>
          <x:t xml:space="preserve">湖北省-北省汉川市</x:t>
        </x:is>
      </x:c>
      <x:c r="H4444" s="2" t="inlineStr">
        <x:is>
          <x:t xml:space="preserve">塑胶制品</x:t>
        </x:is>
      </x:c>
      <x:c r="I4444" s="2" t="inlineStr">
        <x:is>
          <x:t xml:space="preserve">2021-04-21</x:t>
        </x:is>
      </x:c>
      <x:c r="J4444" s="3" t="inlineStr">
        <x:is>
          <x:t xml:space="preserve">湖北省汉川市经济开发区华一村</x:t>
        </x:is>
      </x:c>
      <x:c r="K4444" s="12" t="str">
        <x:f>LEFT("91420900747664278E",18)</x:f>
        <x:v>91420900747664278E</x:v>
      </x:c>
    </x:row>
    <x:row r="4445">
      <x:c r="A4445" s="4" t="n">
        <x:v>4444</x:v>
      </x:c>
      <x:c r="B4445" s="4" t="inlineStr">
        <x:is>
          <x:t xml:space="preserve">301048</x:t>
        </x:is>
      </x:c>
      <x:c r="C4445" s="5" t="inlineStr">
        <x:is>
          <x:t xml:space="preserve">金鹰重工</x:t>
        </x:is>
      </x:c>
      <x:c r="D4445" s="5" t="inlineStr">
        <x:is>
          <x:t xml:space="preserve">金鹰重型工程机械股份有限公司</x:t>
        </x:is>
      </x:c>
      <x:c r="E4445" s="4" t="inlineStr">
        <x:is>
          <x:t xml:space="preserve">湖北省</x:t>
        </x:is>
      </x:c>
      <x:c r="F4445" s="4" t="inlineStr">
        <x:is>
          <x:t xml:space="preserve">襄阳市</x:t>
        </x:is>
      </x:c>
      <x:c r="G4445" s="5" t="inlineStr">
        <x:is>
          <x:t xml:space="preserve">湖北省-襄阳市</x:t>
        </x:is>
      </x:c>
      <x:c r="H4445" s="4" t="inlineStr">
        <x:is>
          <x:t xml:space="preserve">交运设备</x:t>
        </x:is>
      </x:c>
      <x:c r="I4445" s="4" t="inlineStr">
        <x:is>
          <x:t xml:space="preserve">2021-08-18</x:t>
        </x:is>
      </x:c>
      <x:c r="J4445" s="5" t="inlineStr">
        <x:is>
          <x:t xml:space="preserve">湖北省襄阳市樊城区高新区新明路1号</x:t>
        </x:is>
      </x:c>
      <x:c r="K4445" s="12" t="str">
        <x:f>LEFT("914206001793145000",18)</x:f>
        <x:v>914206001793145000</x:v>
      </x:c>
    </x:row>
    <x:row r="4446">
      <x:c r="A4446" s="2" t="n">
        <x:v>4445</x:v>
      </x:c>
      <x:c r="B4446" s="2" t="inlineStr">
        <x:is>
          <x:t xml:space="preserve">301127</x:t>
        </x:is>
      </x:c>
      <x:c r="C4446" s="3" t="inlineStr">
        <x:is>
          <x:t xml:space="preserve">武汉天源</x:t>
        </x:is>
      </x:c>
      <x:c r="D4446" s="3" t="inlineStr">
        <x:is>
          <x:t xml:space="preserve">武汉天源集团股份有限公司</x:t>
        </x:is>
      </x:c>
      <x:c r="E4446" s="2" t="inlineStr">
        <x:is>
          <x:t xml:space="preserve">湖北省</x:t>
        </x:is>
      </x:c>
      <x:c r="F4446" s="2" t="inlineStr">
        <x:is>
          <x:t xml:space="preserve">武汉市</x:t>
        </x:is>
      </x:c>
      <x:c r="G4446" s="3" t="inlineStr">
        <x:is>
          <x:t xml:space="preserve">湖北省-武汉市</x:t>
        </x:is>
      </x:c>
      <x:c r="H4446" s="2" t="inlineStr">
        <x:is>
          <x:t xml:space="preserve">环保行业</x:t>
        </x:is>
      </x:c>
      <x:c r="I4446" s="2" t="inlineStr">
        <x:is>
          <x:t xml:space="preserve">2021-12-30</x:t>
        </x:is>
      </x:c>
      <x:c r="J4446" s="3" t="inlineStr">
        <x:is>
          <x:t xml:space="preserve">湖北省武汉市武汉经济技术开发区军山大道209号</x:t>
        </x:is>
      </x:c>
      <x:c r="K4446" s="12" t="str">
        <x:f>LEFT("91420113695318989W",18)</x:f>
        <x:v>91420113695318989W</x:v>
      </x:c>
    </x:row>
    <x:row r="4447">
      <x:c r="A4447" s="4" t="n">
        <x:v>4446</x:v>
      </x:c>
      <x:c r="B4447" s="4" t="inlineStr">
        <x:is>
          <x:t xml:space="preserve">301150</x:t>
        </x:is>
      </x:c>
      <x:c r="C4447" s="5" t="inlineStr">
        <x:is>
          <x:t xml:space="preserve">中一科技</x:t>
        </x:is>
      </x:c>
      <x:c r="D4447" s="5" t="inlineStr">
        <x:is>
          <x:t xml:space="preserve">湖北中一科技股份有限公司</x:t>
        </x:is>
      </x:c>
      <x:c r="E4447" s="4" t="inlineStr">
        <x:is>
          <x:t xml:space="preserve">湖北省</x:t>
        </x:is>
      </x:c>
      <x:c r="F4447" s="4" t="inlineStr">
        <x:is>
          <x:t xml:space="preserve">孝感市</x:t>
        </x:is>
      </x:c>
      <x:c r="G4447" s="5" t="inlineStr">
        <x:is>
          <x:t xml:space="preserve">湖北省-孝感市</x:t>
        </x:is>
      </x:c>
      <x:c r="H4447" s="4" t="inlineStr">
        <x:is>
          <x:t xml:space="preserve">电池</x:t>
        </x:is>
      </x:c>
      <x:c r="I4447" s="4" t="inlineStr">
        <x:is>
          <x:t xml:space="preserve">2022-04-21</x:t>
        </x:is>
      </x:c>
      <x:c r="J4447" s="5" t="inlineStr">
        <x:is>
          <x:t xml:space="preserve">云梦县经济开发区梦泽大道南47号</x:t>
        </x:is>
      </x:c>
      <x:c r="K4447" s="12" t="str">
        <x:f>LEFT("91420923665482649P",18)</x:f>
        <x:v>91420923665482649P</x:v>
      </x:c>
    </x:row>
    <x:row r="4448">
      <x:c r="A4448" s="2" t="n">
        <x:v>4447</x:v>
      </x:c>
      <x:c r="B4448" s="2" t="inlineStr">
        <x:is>
          <x:t xml:space="preserve">301183</x:t>
        </x:is>
      </x:c>
      <x:c r="C4448" s="3" t="inlineStr">
        <x:is>
          <x:t xml:space="preserve">东田微</x:t>
        </x:is>
      </x:c>
      <x:c r="D4448" s="3" t="inlineStr">
        <x:is>
          <x:t xml:space="preserve">湖北东田微科技股份有限公司</x:t>
        </x:is>
      </x:c>
      <x:c r="E4448" s="2" t="inlineStr">
        <x:is>
          <x:t xml:space="preserve">湖北省</x:t>
        </x:is>
      </x:c>
      <x:c r="F4448" s="2" t="inlineStr">
        <x:is>
          <x:t xml:space="preserve">当阳市</x:t>
        </x:is>
      </x:c>
      <x:c r="G4448" s="3" t="inlineStr">
        <x:is>
          <x:t xml:space="preserve">湖北省-当阳市</x:t>
        </x:is>
      </x:c>
      <x:c r="H4448" s="2" t="inlineStr">
        <x:is>
          <x:t xml:space="preserve">光学光电子</x:t>
        </x:is>
      </x:c>
      <x:c r="I4448" s="2" t="inlineStr">
        <x:is>
          <x:t xml:space="preserve">2022-05-24</x:t>
        </x:is>
      </x:c>
      <x:c r="J4448" s="3" t="inlineStr">
        <x:is>
          <x:t xml:space="preserve">当阳市玉泉办事处长坂路南段188号</x:t>
        </x:is>
      </x:c>
      <x:c r="K4448" s="12" t="str">
        <x:f>LEFT("914205826917618954",18)</x:f>
        <x:v>914205826917619000</x:v>
      </x:c>
    </x:row>
    <x:row r="4449">
      <x:c r="A4449" s="4" t="n">
        <x:v>4448</x:v>
      </x:c>
      <x:c r="B4449" s="4" t="inlineStr">
        <x:is>
          <x:t xml:space="preserve">301192</x:t>
        </x:is>
      </x:c>
      <x:c r="C4449" s="5" t="inlineStr">
        <x:is>
          <x:t xml:space="preserve">泰祥股份</x:t>
        </x:is>
      </x:c>
      <x:c r="D4449" s="5" t="inlineStr">
        <x:is>
          <x:t xml:space="preserve">十堰市泰祥实业股份有限公司</x:t>
        </x:is>
      </x:c>
      <x:c r="E4449" s="4" t="inlineStr">
        <x:is>
          <x:t xml:space="preserve">湖北省</x:t>
        </x:is>
      </x:c>
      <x:c r="F4449" s="4" t="inlineStr">
        <x:is>
          <x:t xml:space="preserve">十堰市</x:t>
        </x:is>
      </x:c>
      <x:c r="G4449" s="5" t="inlineStr">
        <x:is>
          <x:t xml:space="preserve">湖北省-十堰市</x:t>
        </x:is>
      </x:c>
      <x:c r="H4449" s="4" t="inlineStr">
        <x:is>
          <x:t xml:space="preserve">汽车零部件</x:t>
        </x:is>
      </x:c>
      <x:c r="I4449" s="4" t="inlineStr">
        <x:is>
          <x:t xml:space="preserve">2022-08-11</x:t>
        </x:is>
      </x:c>
      <x:c r="J4449" s="5" t="inlineStr">
        <x:is>
          <x:t xml:space="preserve">湖北省十堰市经济开发区吉林路258号</x:t>
        </x:is>
      </x:c>
      <x:c r="K4449" s="12" t="str">
        <x:f>LEFT("91420300178856869P",18)</x:f>
        <x:v>91420300178856869P</x:v>
      </x:c>
    </x:row>
    <x:row r="4450">
      <x:c r="A4450" s="2" t="n">
        <x:v>4449</x:v>
      </x:c>
      <x:c r="B4450" s="2" t="inlineStr">
        <x:is>
          <x:t xml:space="preserve">301205</x:t>
        </x:is>
      </x:c>
      <x:c r="C4450" s="3" t="inlineStr">
        <x:is>
          <x:t xml:space="preserve">联特科技</x:t>
        </x:is>
      </x:c>
      <x:c r="D4450" s="3" t="inlineStr">
        <x:is>
          <x:t xml:space="preserve">武汉联特科技股份有限公司</x:t>
        </x:is>
      </x:c>
      <x:c r="E4450" s="2" t="inlineStr">
        <x:is>
          <x:t xml:space="preserve">湖北省</x:t>
        </x:is>
      </x:c>
      <x:c r="F4450" s="2" t="inlineStr">
        <x:is>
          <x:t xml:space="preserve">武汉市</x:t>
        </x:is>
      </x:c>
      <x:c r="G4450" s="3" t="inlineStr">
        <x:is>
          <x:t xml:space="preserve">湖北省-武汉市</x:t>
        </x:is>
      </x:c>
      <x:c r="H4450" s="2" t="inlineStr">
        <x:is>
          <x:t xml:space="preserve">通信设备</x:t>
        </x:is>
      </x:c>
      <x:c r="I4450" s="2" t="inlineStr">
        <x:is>
          <x:t xml:space="preserve">2022-09-13</x:t>
        </x:is>
      </x:c>
      <x:c r="J4450" s="3" t="inlineStr">
        <x:is>
          <x:t xml:space="preserve">武汉市东湖新技术开发区九龙湖街19号</x:t>
        </x:is>
      </x:c>
      <x:c r="K4450" s="12" t="str">
        <x:f>LEFT("91420100584861858K",18)</x:f>
        <x:v>91420100584861858K</x:v>
      </x:c>
    </x:row>
    <x:row r="4451">
      <x:c r="A4451" s="4" t="n">
        <x:v>4450</x:v>
      </x:c>
      <x:c r="B4451" s="4" t="inlineStr">
        <x:is>
          <x:t xml:space="preserve">301211</x:t>
        </x:is>
      </x:c>
      <x:c r="C4451" s="5" t="inlineStr">
        <x:is>
          <x:t xml:space="preserve">亨迪药业</x:t>
        </x:is>
      </x:c>
      <x:c r="D4451" s="5" t="inlineStr">
        <x:is>
          <x:t xml:space="preserve">湖北亨迪药业股份有限公司</x:t>
        </x:is>
      </x:c>
      <x:c r="E4451" s="4" t="inlineStr">
        <x:is>
          <x:t xml:space="preserve">湖北省</x:t>
        </x:is>
      </x:c>
      <x:c r="F4451" s="4" t="inlineStr">
        <x:is>
          <x:t xml:space="preserve">荆门市</x:t>
        </x:is>
      </x:c>
      <x:c r="G4451" s="5" t="inlineStr">
        <x:is>
          <x:t xml:space="preserve">湖北省-荆门市</x:t>
        </x:is>
      </x:c>
      <x:c r="H4451" s="4" t="inlineStr">
        <x:is>
          <x:t xml:space="preserve">化学制药</x:t>
        </x:is>
      </x:c>
      <x:c r="I4451" s="4" t="inlineStr">
        <x:is>
          <x:t xml:space="preserve">2021-12-22</x:t>
        </x:is>
      </x:c>
      <x:c r="J4451" s="5" t="inlineStr">
        <x:is>
          <x:t xml:space="preserve">荆门高新区掇刀区杨湾路122号</x:t>
        </x:is>
      </x:c>
      <x:c r="K4451" s="12" t="str">
        <x:f>LEFT("91420800615406429F",18)</x:f>
        <x:v>91420800615406429F</x:v>
      </x:c>
    </x:row>
    <x:row r="4452">
      <x:c r="A4452" s="2" t="n">
        <x:v>4451</x:v>
      </x:c>
      <x:c r="B4452" s="2" t="inlineStr">
        <x:is>
          <x:t xml:space="preserve">301221</x:t>
        </x:is>
      </x:c>
      <x:c r="C4452" s="3" t="inlineStr">
        <x:is>
          <x:t xml:space="preserve">光庭信息</x:t>
        </x:is>
      </x:c>
      <x:c r="D4452" s="3" t="inlineStr">
        <x:is>
          <x:t xml:space="preserve">武汉光庭信息技术股份有限公司</x:t>
        </x:is>
      </x:c>
      <x:c r="E4452" s="2" t="inlineStr">
        <x:is>
          <x:t xml:space="preserve">湖北省</x:t>
        </x:is>
      </x:c>
      <x:c r="F4452" s="2" t="inlineStr">
        <x:is>
          <x:t xml:space="preserve">武汉市</x:t>
        </x:is>
      </x:c>
      <x:c r="G4452" s="3" t="inlineStr">
        <x:is>
          <x:t xml:space="preserve">湖北省-武汉市</x:t>
        </x:is>
      </x:c>
      <x:c r="H4452" s="2" t="inlineStr">
        <x:is>
          <x:t xml:space="preserve">软件服务</x:t>
        </x:is>
      </x:c>
      <x:c r="I4452" s="2" t="inlineStr">
        <x:is>
          <x:t xml:space="preserve">2021-12-22</x:t>
        </x:is>
      </x:c>
      <x:c r="J4452" s="3" t="inlineStr">
        <x:is>
          <x:t xml:space="preserve">湖北省武汉东湖新技术开发区港边田一路6号(自贸区武汉片区)</x:t>
        </x:is>
      </x:c>
      <x:c r="K4452" s="12" t="str">
        <x:f>LEFT("91420100568359390C",18)</x:f>
        <x:v>91420100568359390C</x:v>
      </x:c>
    </x:row>
    <x:row r="4453">
      <x:c r="A4453" s="4" t="n">
        <x:v>4452</x:v>
      </x:c>
      <x:c r="B4453" s="4" t="inlineStr">
        <x:is>
          <x:t xml:space="preserve">301235</x:t>
        </x:is>
      </x:c>
      <x:c r="C4453" s="5" t="inlineStr">
        <x:is>
          <x:t xml:space="preserve">华康洁净</x:t>
        </x:is>
      </x:c>
      <x:c r="D4453" s="5" t="inlineStr">
        <x:is>
          <x:t xml:space="preserve">武汉华康世纪洁净科技股份有限公司</x:t>
        </x:is>
      </x:c>
      <x:c r="E4453" s="4" t="inlineStr">
        <x:is>
          <x:t xml:space="preserve">湖北省</x:t>
        </x:is>
      </x:c>
      <x:c r="F4453" s="4" t="inlineStr">
        <x:is>
          <x:t xml:space="preserve">武汉市</x:t>
        </x:is>
      </x:c>
      <x:c r="G4453" s="5" t="inlineStr">
        <x:is>
          <x:t xml:space="preserve">湖北省-武汉市</x:t>
        </x:is>
      </x:c>
      <x:c r="H4453" s="4" t="inlineStr">
        <x:is>
          <x:t xml:space="preserve">医疗服务</x:t>
        </x:is>
      </x:c>
      <x:c r="I4453" s="4" t="inlineStr">
        <x:is>
          <x:t xml:space="preserve">2022-01-28</x:t>
        </x:is>
      </x:c>
      <x:c r="J4453" s="5" t="inlineStr">
        <x:is>
          <x:t xml:space="preserve">武汉市东湖新技术开发区高新大道718号3栋</x:t>
        </x:is>
      </x:c>
      <x:c r="K4453" s="12" t="str">
        <x:f>LEFT("91420100682300843F",18)</x:f>
        <x:v>91420100682300843F</x:v>
      </x:c>
    </x:row>
    <x:row r="4454">
      <x:c r="A4454" s="2" t="n">
        <x:v>4453</x:v>
      </x:c>
      <x:c r="B4454" s="2" t="inlineStr">
        <x:is>
          <x:t xml:space="preserve">301246</x:t>
        </x:is>
      </x:c>
      <x:c r="C4454" s="3" t="inlineStr">
        <x:is>
          <x:t xml:space="preserve">宏源药业</x:t>
        </x:is>
      </x:c>
      <x:c r="D4454" s="3" t="inlineStr">
        <x:is>
          <x:t xml:space="preserve">湖北省宏源药业科技股份有限公司</x:t>
        </x:is>
      </x:c>
      <x:c r="E4454" s="2" t="inlineStr">
        <x:is>
          <x:t xml:space="preserve">湖北省</x:t>
        </x:is>
      </x:c>
      <x:c r="F4454" s="2" t="inlineStr">
        <x:is>
          <x:t xml:space="preserve">黄冈市</x:t>
        </x:is>
      </x:c>
      <x:c r="G4454" s="3" t="inlineStr">
        <x:is>
          <x:t xml:space="preserve">湖北省-黄冈市</x:t>
        </x:is>
      </x:c>
      <x:c r="H4454" s="2" t="inlineStr">
        <x:is>
          <x:t xml:space="preserve">化学制药</x:t>
        </x:is>
      </x:c>
      <x:c r="I4454" s="2" t="inlineStr">
        <x:is>
          <x:t xml:space="preserve">2023-03-20</x:t>
        </x:is>
      </x:c>
      <x:c r="J4454" s="3" t="inlineStr">
        <x:is>
          <x:t xml:space="preserve">湖北省黄冈市罗田县凤山镇经济开发区宏源路8号</x:t>
        </x:is>
      </x:c>
      <x:c r="K4454" s="12" t="str">
        <x:f>LEFT("9142110073519634XF",18)</x:f>
        <x:v>9142110073519634XF</x:v>
      </x:c>
    </x:row>
    <x:row r="4455">
      <x:c r="A4455" s="4" t="n">
        <x:v>4454</x:v>
      </x:c>
      <x:c r="B4455" s="4" t="inlineStr">
        <x:is>
          <x:t xml:space="preserve">301633</x:t>
        </x:is>
      </x:c>
      <x:c r="C4455" s="5" t="inlineStr">
        <x:is>
          <x:t xml:space="preserve">港迪技术</x:t>
        </x:is>
      </x:c>
      <x:c r="D4455" s="5" t="inlineStr">
        <x:is>
          <x:t xml:space="preserve">武汉港迪技术股份有限公司</x:t>
        </x:is>
      </x:c>
      <x:c r="E4455" s="4" t="inlineStr">
        <x:is>
          <x:t xml:space="preserve">湖北省</x:t>
        </x:is>
      </x:c>
      <x:c r="F4455" s="4" t="inlineStr">
        <x:is>
          <x:t xml:space="preserve">武汉市</x:t>
        </x:is>
      </x:c>
      <x:c r="G4455" s="5" t="inlineStr">
        <x:is>
          <x:t xml:space="preserve">湖北省-武汉市</x:t>
        </x:is>
      </x:c>
      <x:c r="H4455" s="4" t="inlineStr">
        <x:is>
          <x:t xml:space="preserve">--</x:t>
        </x:is>
      </x:c>
      <x:c r="I4455" s="4" t="inlineStr">
        <x:is>
          <x:t xml:space="preserve">2024-11-07</x:t>
        </x:is>
      </x:c>
      <x:c r="J4455" s="5" t="inlineStr">
        <x:is>
          <x:t xml:space="preserve">武汉市东湖开发区武汉理工大学科技园理工园路6号D车间</x:t>
        </x:is>
      </x:c>
      <x:c r="K4455" s="12" t="str">
        <x:f>LEFT("91420100MA4KL3B99W",18)</x:f>
        <x:v>91420100MA4KL3B99W</x:v>
      </x:c>
    </x:row>
    <x:row r="4456">
      <x:c r="A4456" s="2" t="n">
        <x:v>4455</x:v>
      </x:c>
      <x:c r="B4456" s="2" t="inlineStr">
        <x:is>
          <x:t xml:space="preserve">600006</x:t>
        </x:is>
      </x:c>
      <x:c r="C4456" s="3" t="inlineStr">
        <x:is>
          <x:t xml:space="preserve">东风股份</x:t>
        </x:is>
      </x:c>
      <x:c r="D4456" s="3" t="inlineStr">
        <x:is>
          <x:t xml:space="preserve">东风汽车股份有限公司</x:t>
        </x:is>
      </x:c>
      <x:c r="E4456" s="2" t="inlineStr">
        <x:is>
          <x:t xml:space="preserve">湖北省</x:t>
        </x:is>
      </x:c>
      <x:c r="F4456" s="2" t="inlineStr">
        <x:is>
          <x:t xml:space="preserve">襄阳市</x:t>
        </x:is>
      </x:c>
      <x:c r="G4456" s="3" t="inlineStr">
        <x:is>
          <x:t xml:space="preserve">湖北省-襄阳市</x:t>
        </x:is>
      </x:c>
      <x:c r="H4456" s="2" t="inlineStr">
        <x:is>
          <x:t xml:space="preserve">汽车整车</x:t>
        </x:is>
      </x:c>
      <x:c r="I4456" s="2" t="inlineStr">
        <x:is>
          <x:t xml:space="preserve">1999-07-27</x:t>
        </x:is>
      </x:c>
      <x:c r="J4456" s="3" t="inlineStr">
        <x:is>
          <x:t xml:space="preserve">湖北省襄阳市高新区东风汽车大道劲风路3幢</x:t>
        </x:is>
      </x:c>
      <x:c r="K4456" s="12" t="str">
        <x:f>LEFT("9142000070689187XB",18)</x:f>
        <x:v>9142000070689187XB</x:v>
      </x:c>
    </x:row>
    <x:row r="4457">
      <x:c r="A4457" s="4" t="n">
        <x:v>4456</x:v>
      </x:c>
      <x:c r="B4457" s="4" t="inlineStr">
        <x:is>
          <x:t xml:space="preserve">600035</x:t>
        </x:is>
      </x:c>
      <x:c r="C4457" s="5" t="inlineStr">
        <x:is>
          <x:t xml:space="preserve">楚天高速</x:t>
        </x:is>
      </x:c>
      <x:c r="D4457" s="5" t="inlineStr">
        <x:is>
          <x:t xml:space="preserve">湖北楚天智能交通股份有限公司</x:t>
        </x:is>
      </x:c>
      <x:c r="E4457" s="4" t="inlineStr">
        <x:is>
          <x:t xml:space="preserve">湖北省</x:t>
        </x:is>
      </x:c>
      <x:c r="F4457" s="4" t="inlineStr">
        <x:is>
          <x:t xml:space="preserve">武汉市</x:t>
        </x:is>
      </x:c>
      <x:c r="G4457" s="5" t="inlineStr">
        <x:is>
          <x:t xml:space="preserve">湖北省-武汉市</x:t>
        </x:is>
      </x:c>
      <x:c r="H4457" s="4" t="inlineStr">
        <x:is>
          <x:t xml:space="preserve">高速公路</x:t>
        </x:is>
      </x:c>
      <x:c r="I4457" s="4" t="inlineStr">
        <x:is>
          <x:t xml:space="preserve">2004-03-10</x:t>
        </x:is>
      </x:c>
      <x:c r="J4457" s="5" t="inlineStr">
        <x:is>
          <x:t xml:space="preserve">湖北省武汉市汉阳区四新大道26号湖北国展中心广场东塔23—24层</x:t>
        </x:is>
      </x:c>
      <x:c r="K4457" s="12" t="str">
        <x:f>LEFT("91420000722084584J",18)</x:f>
        <x:v>91420000722084584J</x:v>
      </x:c>
    </x:row>
    <x:row r="4458">
      <x:c r="A4458" s="2" t="n">
        <x:v>4457</x:v>
      </x:c>
      <x:c r="B4458" s="2" t="inlineStr">
        <x:is>
          <x:t xml:space="preserve">600079</x:t>
        </x:is>
      </x:c>
      <x:c r="C4458" s="3" t="inlineStr">
        <x:is>
          <x:t xml:space="preserve">ST人福</x:t>
        </x:is>
      </x:c>
      <x:c r="D4458" s="3" t="inlineStr">
        <x:is>
          <x:t xml:space="preserve">人福医药集团股份公司</x:t>
        </x:is>
      </x:c>
      <x:c r="E4458" s="2" t="inlineStr">
        <x:is>
          <x:t xml:space="preserve">湖北省</x:t>
        </x:is>
      </x:c>
      <x:c r="F4458" s="2" t="inlineStr">
        <x:is>
          <x:t xml:space="preserve">武汉市</x:t>
        </x:is>
      </x:c>
      <x:c r="G4458" s="3" t="inlineStr">
        <x:is>
          <x:t xml:space="preserve">湖北省-武汉市</x:t>
        </x:is>
      </x:c>
      <x:c r="H4458" s="2" t="inlineStr">
        <x:is>
          <x:t xml:space="preserve">医药制造</x:t>
        </x:is>
      </x:c>
      <x:c r="I4458" s="2" t="inlineStr">
        <x:is>
          <x:t xml:space="preserve">1997-06-06</x:t>
        </x:is>
      </x:c>
      <x:c r="J4458" s="3" t="inlineStr">
        <x:is>
          <x:t xml:space="preserve">武汉东湖高新区高新大道666号</x:t>
        </x:is>
      </x:c>
      <x:c r="K4458" s="12" t="str">
        <x:f>LEFT("914201003000148505",18)</x:f>
        <x:v>914201003000148500</x:v>
      </x:c>
    </x:row>
    <x:row r="4459">
      <x:c r="A4459" s="4" t="n">
        <x:v>4458</x:v>
      </x:c>
      <x:c r="B4459" s="4" t="inlineStr">
        <x:is>
          <x:t xml:space="preserve">600107</x:t>
        </x:is>
      </x:c>
      <x:c r="C4459" s="5" t="inlineStr">
        <x:is>
          <x:t xml:space="preserve">美尔雅</x:t>
        </x:is>
      </x:c>
      <x:c r="D4459" s="5" t="inlineStr">
        <x:is>
          <x:t xml:space="preserve">湖北美尔雅股份有限公司</x:t>
        </x:is>
      </x:c>
      <x:c r="E4459" s="4" t="inlineStr">
        <x:is>
          <x:t xml:space="preserve">湖北省</x:t>
        </x:is>
      </x:c>
      <x:c r="F4459" s="4" t="inlineStr">
        <x:is>
          <x:t xml:space="preserve">黄石市</x:t>
        </x:is>
      </x:c>
      <x:c r="G4459" s="5" t="inlineStr">
        <x:is>
          <x:t xml:space="preserve">湖北省-黄石市</x:t>
        </x:is>
      </x:c>
      <x:c r="H4459" s="4" t="inlineStr">
        <x:is>
          <x:t xml:space="preserve">纺织服装</x:t>
        </x:is>
      </x:c>
      <x:c r="I4459" s="4" t="inlineStr">
        <x:is>
          <x:t xml:space="preserve">1997-11-06</x:t>
        </x:is>
      </x:c>
      <x:c r="J4459" s="5" t="inlineStr">
        <x:is>
          <x:t xml:space="preserve">湖北省黄石市黄石港区消防路29号</x:t>
        </x:is>
      </x:c>
      <x:c r="K4459" s="12" t="str">
        <x:f>LEFT("91420000178428346D",18)</x:f>
        <x:v>91420000178428346D</x:v>
      </x:c>
    </x:row>
    <x:row r="4460">
      <x:c r="A4460" s="2" t="n">
        <x:v>4459</x:v>
      </x:c>
      <x:c r="B4460" s="2" t="inlineStr">
        <x:is>
          <x:t xml:space="preserve">600133</x:t>
        </x:is>
      </x:c>
      <x:c r="C4460" s="3" t="inlineStr">
        <x:is>
          <x:t xml:space="preserve">东湖高新</x:t>
        </x:is>
      </x:c>
      <x:c r="D4460" s="3" t="inlineStr">
        <x:is>
          <x:t xml:space="preserve">武汉东湖高新集团股份有限公司</x:t>
        </x:is>
      </x:c>
      <x:c r="E4460" s="2" t="inlineStr">
        <x:is>
          <x:t xml:space="preserve">湖北省</x:t>
        </x:is>
      </x:c>
      <x:c r="F4460" s="2" t="inlineStr">
        <x:is>
          <x:t xml:space="preserve">武汉市</x:t>
        </x:is>
      </x:c>
      <x:c r="G4460" s="3" t="inlineStr">
        <x:is>
          <x:t xml:space="preserve">湖北省-武汉市</x:t>
        </x:is>
      </x:c>
      <x:c r="H4460" s="2" t="inlineStr">
        <x:is>
          <x:t xml:space="preserve">工程建设</x:t>
        </x:is>
      </x:c>
      <x:c r="I4460" s="2" t="inlineStr">
        <x:is>
          <x:t xml:space="preserve">1998-02-12</x:t>
        </x:is>
      </x:c>
      <x:c r="J4460" s="3" t="inlineStr">
        <x:is>
          <x:t xml:space="preserve">湖北省武汉市东湖新技术开发区花城大道9号武汉软件新城1.1期A8栋(原A3栋)1层、4层、5层</x:t>
        </x:is>
      </x:c>
      <x:c r="K4460" s="12" t="str">
        <x:f>LEFT("91420100300010462Q",18)</x:f>
        <x:v>91420100300010462Q</x:v>
      </x:c>
    </x:row>
    <x:row r="4461">
      <x:c r="A4461" s="4" t="n">
        <x:v>4460</x:v>
      </x:c>
      <x:c r="B4461" s="4" t="inlineStr">
        <x:is>
          <x:t xml:space="preserve">600136</x:t>
        </x:is>
      </x:c>
      <x:c r="C4461" s="5" t="inlineStr">
        <x:is>
          <x:t xml:space="preserve">ST明诚</x:t>
        </x:is>
      </x:c>
      <x:c r="D4461" s="5" t="inlineStr">
        <x:is>
          <x:t xml:space="preserve">武汉明诚文化体育集团股份有限公司</x:t>
        </x:is>
      </x:c>
      <x:c r="E4461" s="4" t="inlineStr">
        <x:is>
          <x:t xml:space="preserve">湖北省</x:t>
        </x:is>
      </x:c>
      <x:c r="F4461" s="4" t="inlineStr">
        <x:is>
          <x:t xml:space="preserve">武汉市</x:t>
        </x:is>
      </x:c>
      <x:c r="G4461" s="5" t="inlineStr">
        <x:is>
          <x:t xml:space="preserve">湖北省-武汉市</x:t>
        </x:is>
      </x:c>
      <x:c r="H4461" s="4" t="inlineStr">
        <x:is>
          <x:t xml:space="preserve">文化传媒</x:t>
        </x:is>
      </x:c>
      <x:c r="I4461" s="4" t="inlineStr">
        <x:is>
          <x:t xml:space="preserve">1998-03-03</x:t>
        </x:is>
      </x:c>
      <x:c r="J4461" s="5" t="inlineStr">
        <x:is>
          <x:t xml:space="preserve">武汉市东湖新技术开发区光谷大道116号当代国际花园总部基地15号楼15层</x:t>
        </x:is>
      </x:c>
      <x:c r="K4461" s="12" t="str">
        <x:f>LEFT("914201003001005805",18)</x:f>
        <x:v>914201003001005800</x:v>
      </x:c>
    </x:row>
    <x:row r="4462">
      <x:c r="A4462" s="2" t="n">
        <x:v>4461</x:v>
      </x:c>
      <x:c r="B4462" s="2" t="inlineStr">
        <x:is>
          <x:t xml:space="preserve">600141</x:t>
        </x:is>
      </x:c>
      <x:c r="C4462" s="3" t="inlineStr">
        <x:is>
          <x:t xml:space="preserve">兴发集团</x:t>
        </x:is>
      </x:c>
      <x:c r="D4462" s="3" t="inlineStr">
        <x:is>
          <x:t xml:space="preserve">湖北兴发化工集团股份有限公司</x:t>
        </x:is>
      </x:c>
      <x:c r="E4462" s="2" t="inlineStr">
        <x:is>
          <x:t xml:space="preserve">湖北省</x:t>
        </x:is>
      </x:c>
      <x:c r="F4462" s="2" t="inlineStr">
        <x:is>
          <x:t xml:space="preserve">宜昌市</x:t>
        </x:is>
      </x:c>
      <x:c r="G4462" s="3" t="inlineStr">
        <x:is>
          <x:t xml:space="preserve">湖北省-宜昌市</x:t>
        </x:is>
      </x:c>
      <x:c r="H4462" s="2" t="inlineStr">
        <x:is>
          <x:t xml:space="preserve">化肥行业</x:t>
        </x:is>
      </x:c>
      <x:c r="I4462" s="2" t="inlineStr">
        <x:is>
          <x:t xml:space="preserve">1999-06-16</x:t>
        </x:is>
      </x:c>
      <x:c r="J4462" s="3" t="inlineStr">
        <x:is>
          <x:t xml:space="preserve">湖北省宜昌市兴山县古夫镇高阳大道58号</x:t>
        </x:is>
      </x:c>
      <x:c r="K4462" s="12" t="str">
        <x:f>LEFT("91420500271750612X",18)</x:f>
        <x:v>91420500271750612X</x:v>
      </x:c>
    </x:row>
    <x:row r="4463">
      <x:c r="A4463" s="4" t="n">
        <x:v>4462</x:v>
      </x:c>
      <x:c r="B4463" s="4" t="inlineStr">
        <x:is>
          <x:t xml:space="preserve">600168</x:t>
        </x:is>
      </x:c>
      <x:c r="C4463" s="5" t="inlineStr">
        <x:is>
          <x:t xml:space="preserve">武汉控股</x:t>
        </x:is>
      </x:c>
      <x:c r="D4463" s="5" t="inlineStr">
        <x:is>
          <x:t xml:space="preserve">武汉三镇实业控股股份有限公司</x:t>
        </x:is>
      </x:c>
      <x:c r="E4463" s="4" t="inlineStr">
        <x:is>
          <x:t xml:space="preserve">湖北省</x:t>
        </x:is>
      </x:c>
      <x:c r="F4463" s="4" t="inlineStr">
        <x:is>
          <x:t xml:space="preserve">武汉市</x:t>
        </x:is>
      </x:c>
      <x:c r="G4463" s="5" t="inlineStr">
        <x:is>
          <x:t xml:space="preserve">湖北省-武汉市</x:t>
        </x:is>
      </x:c>
      <x:c r="H4463" s="4" t="inlineStr">
        <x:is>
          <x:t xml:space="preserve">公用事业</x:t>
        </x:is>
      </x:c>
      <x:c r="I4463" s="4" t="inlineStr">
        <x:is>
          <x:t xml:space="preserve">1998-04-27</x:t>
        </x:is>
      </x:c>
      <x:c r="J4463" s="5" t="inlineStr">
        <x:is>
          <x:t xml:space="preserve">武汉经济技术开发区联发大厦</x:t>
        </x:is>
      </x:c>
      <x:c r="K4463" s="12" t="str">
        <x:f>LEFT("914201007071163060",18)</x:f>
        <x:v>914201007071163000</x:v>
      </x:c>
    </x:row>
    <x:row r="4464">
      <x:c r="A4464" s="2" t="n">
        <x:v>4463</x:v>
      </x:c>
      <x:c r="B4464" s="2" t="inlineStr">
        <x:is>
          <x:t xml:space="preserve">600184</x:t>
        </x:is>
      </x:c>
      <x:c r="C4464" s="3" t="inlineStr">
        <x:is>
          <x:t xml:space="preserve">光电股份</x:t>
        </x:is>
      </x:c>
      <x:c r="D4464" s="3" t="inlineStr">
        <x:is>
          <x:t xml:space="preserve">北方光电股份有限公司</x:t>
        </x:is>
      </x:c>
      <x:c r="E4464" s="2" t="inlineStr">
        <x:is>
          <x:t xml:space="preserve">湖北省</x:t>
        </x:is>
      </x:c>
      <x:c r="F4464" s="2" t="inlineStr">
        <x:is>
          <x:t xml:space="preserve">襄阳市</x:t>
        </x:is>
      </x:c>
      <x:c r="G4464" s="3" t="inlineStr">
        <x:is>
          <x:t xml:space="preserve">湖北省-襄阳市</x:t>
        </x:is>
      </x:c>
      <x:c r="H4464" s="2" t="inlineStr">
        <x:is>
          <x:t xml:space="preserve">专用设备</x:t>
        </x:is>
      </x:c>
      <x:c r="I4464" s="2" t="inlineStr">
        <x:is>
          <x:t xml:space="preserve">2003-11-06</x:t>
        </x:is>
      </x:c>
      <x:c r="J4464" s="3" t="inlineStr">
        <x:is>
          <x:t xml:space="preserve">湖北省襄阳市长虹北路67号</x:t>
        </x:is>
      </x:c>
      <x:c r="K4464" s="12" t="str">
        <x:f>LEFT("914200007220290598",18)</x:f>
        <x:v>914200007220290600</x:v>
      </x:c>
    </x:row>
    <x:row r="4465">
      <x:c r="A4465" s="4" t="n">
        <x:v>4464</x:v>
      </x:c>
      <x:c r="B4465" s="4" t="inlineStr">
        <x:is>
          <x:t xml:space="preserve">600293</x:t>
        </x:is>
      </x:c>
      <x:c r="C4465" s="5" t="inlineStr">
        <x:is>
          <x:t xml:space="preserve">三峡新材</x:t>
        </x:is>
      </x:c>
      <x:c r="D4465" s="5" t="inlineStr">
        <x:is>
          <x:t xml:space="preserve">湖北三峡新型建材股份有限公司</x:t>
        </x:is>
      </x:c>
      <x:c r="E4465" s="4" t="inlineStr">
        <x:is>
          <x:t xml:space="preserve">湖北省</x:t>
        </x:is>
      </x:c>
      <x:c r="F4465" s="4" t="inlineStr">
        <x:is>
          <x:t xml:space="preserve">北省当阳市</x:t>
        </x:is>
      </x:c>
      <x:c r="G4465" s="5" t="inlineStr">
        <x:is>
          <x:t xml:space="preserve">湖北省-北省当阳市</x:t>
        </x:is>
      </x:c>
      <x:c r="H4465" s="4" t="inlineStr">
        <x:is>
          <x:t xml:space="preserve">玻璃玻纤</x:t>
        </x:is>
      </x:c>
      <x:c r="I4465" s="4" t="inlineStr">
        <x:is>
          <x:t xml:space="preserve">2000-09-19</x:t>
        </x:is>
      </x:c>
      <x:c r="J4465" s="5" t="inlineStr">
        <x:is>
          <x:t xml:space="preserve">湖北省当阳市经济技术开发区</x:t>
        </x:is>
      </x:c>
      <x:c r="K4465" s="12" t="str">
        <x:f>LEFT("914200007068757492",18)</x:f>
        <x:v>914200007068757500</x:v>
      </x:c>
    </x:row>
    <x:row r="4466">
      <x:c r="A4466" s="2" t="n">
        <x:v>4465</x:v>
      </x:c>
      <x:c r="B4466" s="2" t="inlineStr">
        <x:is>
          <x:t xml:space="preserve">600298</x:t>
        </x:is>
      </x:c>
      <x:c r="C4466" s="3" t="inlineStr">
        <x:is>
          <x:t xml:space="preserve">安琪酵母</x:t>
        </x:is>
      </x:c>
      <x:c r="D4466" s="3" t="inlineStr">
        <x:is>
          <x:t xml:space="preserve">安琪酵母股份有限公司</x:t>
        </x:is>
      </x:c>
      <x:c r="E4466" s="2" t="inlineStr">
        <x:is>
          <x:t xml:space="preserve">湖北省</x:t>
        </x:is>
      </x:c>
      <x:c r="F4466" s="2" t="inlineStr">
        <x:is>
          <x:t xml:space="preserve">宜昌市</x:t>
        </x:is>
      </x:c>
      <x:c r="G4466" s="3" t="inlineStr">
        <x:is>
          <x:t xml:space="preserve">湖北省-宜昌市</x:t>
        </x:is>
      </x:c>
      <x:c r="H4466" s="2" t="inlineStr">
        <x:is>
          <x:t xml:space="preserve">食品饮料</x:t>
        </x:is>
      </x:c>
      <x:c r="I4466" s="2" t="inlineStr">
        <x:is>
          <x:t xml:space="preserve">2000-08-18</x:t>
        </x:is>
      </x:c>
      <x:c r="J4466" s="3" t="inlineStr">
        <x:is>
          <x:t xml:space="preserve">湖北省宜昌市城东大道168号</x:t>
        </x:is>
      </x:c>
      <x:c r="K4466" s="12" t="str">
        <x:f>LEFT("91420000271756344P",18)</x:f>
        <x:v>91420000271756344P</x:v>
      </x:c>
    </x:row>
    <x:row r="4467">
      <x:c r="A4467" s="4" t="n">
        <x:v>4466</x:v>
      </x:c>
      <x:c r="B4467" s="4" t="inlineStr">
        <x:is>
          <x:t xml:space="preserve">600345</x:t>
        </x:is>
      </x:c>
      <x:c r="C4467" s="5" t="inlineStr">
        <x:is>
          <x:t xml:space="preserve">长江通信</x:t>
        </x:is>
      </x:c>
      <x:c r="D4467" s="5" t="inlineStr">
        <x:is>
          <x:t xml:space="preserve">武汉长江通信产业集团股份有限公司</x:t>
        </x:is>
      </x:c>
      <x:c r="E4467" s="4" t="inlineStr">
        <x:is>
          <x:t xml:space="preserve">湖北省</x:t>
        </x:is>
      </x:c>
      <x:c r="F4467" s="4" t="inlineStr">
        <x:is>
          <x:t xml:space="preserve">武汉市</x:t>
        </x:is>
      </x:c>
      <x:c r="G4467" s="5" t="inlineStr">
        <x:is>
          <x:t xml:space="preserve">湖北省-武汉市</x:t>
        </x:is>
      </x:c>
      <x:c r="H4467" s="4" t="inlineStr">
        <x:is>
          <x:t xml:space="preserve">通讯行业</x:t>
        </x:is>
      </x:c>
      <x:c r="I4467" s="4" t="inlineStr">
        <x:is>
          <x:t xml:space="preserve">2000-12-22</x:t>
        </x:is>
      </x:c>
      <x:c r="J4467" s="5" t="inlineStr">
        <x:is>
          <x:t xml:space="preserve">武汉市东湖开发区关东工业园文华路2号</x:t>
        </x:is>
      </x:c>
      <x:c r="K4467" s="12" t="str">
        <x:f>LEFT("9142000030019146XY",18)</x:f>
        <x:v>9142000030019146XY</x:v>
      </x:c>
    </x:row>
    <x:row r="4468">
      <x:c r="A4468" s="2" t="n">
        <x:v>4467</x:v>
      </x:c>
      <x:c r="B4468" s="2" t="inlineStr">
        <x:is>
          <x:t xml:space="preserve">600355</x:t>
        </x:is>
      </x:c>
      <x:c r="C4468" s="3" t="inlineStr">
        <x:is>
          <x:t xml:space="preserve">*ST精伦</x:t>
        </x:is>
      </x:c>
      <x:c r="D4468" s="3" t="inlineStr">
        <x:is>
          <x:t xml:space="preserve">精伦电子股份有限公司</x:t>
        </x:is>
      </x:c>
      <x:c r="E4468" s="2" t="inlineStr">
        <x:is>
          <x:t xml:space="preserve">湖北省</x:t>
        </x:is>
      </x:c>
      <x:c r="F4468" s="2" t="inlineStr">
        <x:is>
          <x:t xml:space="preserve">武汉市</x:t>
        </x:is>
      </x:c>
      <x:c r="G4468" s="3" t="inlineStr">
        <x:is>
          <x:t xml:space="preserve">湖北省-武汉市</x:t>
        </x:is>
      </x:c>
      <x:c r="H4468" s="2" t="inlineStr">
        <x:is>
          <x:t xml:space="preserve">通信设备</x:t>
        </x:is>
      </x:c>
      <x:c r="I4468" s="2" t="inlineStr">
        <x:is>
          <x:t xml:space="preserve">2002-06-13</x:t>
        </x:is>
      </x:c>
      <x:c r="J4468" s="3" t="inlineStr">
        <x:is>
          <x:t xml:space="preserve">武汉市东湖开发区光谷大道70号</x:t>
        </x:is>
      </x:c>
      <x:c r="K4468" s="12" t="str">
        <x:f>LEFT("91420000300018894D",18)</x:f>
        <x:v>91420000300018894D</x:v>
      </x:c>
    </x:row>
    <x:row r="4469">
      <x:c r="A4469" s="4" t="n">
        <x:v>4468</x:v>
      </x:c>
      <x:c r="B4469" s="4" t="inlineStr">
        <x:is>
          <x:t xml:space="preserve">600421</x:t>
        </x:is>
      </x:c>
      <x:c r="C4469" s="5" t="inlineStr">
        <x:is>
          <x:t xml:space="preserve">*ST华嵘</x:t>
        </x:is>
      </x:c>
      <x:c r="D4469" s="5" t="inlineStr">
        <x:is>
          <x:t xml:space="preserve">湖北华嵘控股股份有限公司</x:t>
        </x:is>
      </x:c>
      <x:c r="E4469" s="4" t="inlineStr">
        <x:is>
          <x:t xml:space="preserve">湖北省</x:t>
        </x:is>
      </x:c>
      <x:c r="F4469" s="4" t="inlineStr">
        <x:is>
          <x:t xml:space="preserve">武汉市</x:t>
        </x:is>
      </x:c>
      <x:c r="G4469" s="5" t="inlineStr">
        <x:is>
          <x:t xml:space="preserve">湖北省-武汉市</x:t>
        </x:is>
      </x:c>
      <x:c r="H4469" s="4" t="inlineStr">
        <x:is>
          <x:t xml:space="preserve">机械行业</x:t>
        </x:is>
      </x:c>
      <x:c r="I4469" s="4" t="inlineStr">
        <x:is>
          <x:t xml:space="preserve">2004-06-07</x:t>
        </x:is>
      </x:c>
      <x:c r="J4469" s="5" t="inlineStr">
        <x:is>
          <x:t xml:space="preserve">湖北省武汉东湖新技术开发区光谷五路28号商务、商业项目(光谷和昌中心)2、3、4号商业楼4号办公楼栋11层01商号</x:t>
        </x:is>
      </x:c>
      <x:c r="K4469" s="12" t="str">
        <x:f>LEFT("914200007146087391",18)</x:f>
        <x:v>914200007146087400</x:v>
      </x:c>
    </x:row>
    <x:row r="4470">
      <x:c r="A4470" s="2" t="n">
        <x:v>4469</x:v>
      </x:c>
      <x:c r="B4470" s="2" t="inlineStr">
        <x:is>
          <x:t xml:space="preserve">600498</x:t>
        </x:is>
      </x:c>
      <x:c r="C4470" s="3" t="inlineStr">
        <x:is>
          <x:t xml:space="preserve">烽火通信</x:t>
        </x:is>
      </x:c>
      <x:c r="D4470" s="3" t="inlineStr">
        <x:is>
          <x:t xml:space="preserve">烽火通信科技股份有限公司</x:t>
        </x:is>
      </x:c>
      <x:c r="E4470" s="2" t="inlineStr">
        <x:is>
          <x:t xml:space="preserve">湖北省</x:t>
        </x:is>
      </x:c>
      <x:c r="F4470" s="2" t="inlineStr">
        <x:is>
          <x:t xml:space="preserve">武汉市</x:t>
        </x:is>
      </x:c>
      <x:c r="G4470" s="3" t="inlineStr">
        <x:is>
          <x:t xml:space="preserve">湖北省-武汉市</x:t>
        </x:is>
      </x:c>
      <x:c r="H4470" s="2" t="inlineStr">
        <x:is>
          <x:t xml:space="preserve">通讯行业</x:t>
        </x:is>
      </x:c>
      <x:c r="I4470" s="2" t="inlineStr">
        <x:is>
          <x:t xml:space="preserve">2001-08-23</x:t>
        </x:is>
      </x:c>
      <x:c r="J4470" s="3" t="inlineStr">
        <x:is>
          <x:t xml:space="preserve">武汉市洪山区邮科院路88号</x:t>
        </x:is>
      </x:c>
      <x:c r="K4470" s="12" t="str">
        <x:f>LEFT("914200007146661114",18)</x:f>
        <x:v>914200007146661100</x:v>
      </x:c>
    </x:row>
    <x:row r="4471">
      <x:c r="A4471" s="4" t="n">
        <x:v>4470</x:v>
      </x:c>
      <x:c r="B4471" s="4" t="inlineStr">
        <x:is>
          <x:t xml:space="preserve">600566</x:t>
        </x:is>
      </x:c>
      <x:c r="C4471" s="5" t="inlineStr">
        <x:is>
          <x:t xml:space="preserve">济川药业</x:t>
        </x:is>
      </x:c>
      <x:c r="D4471" s="5" t="inlineStr">
        <x:is>
          <x:t xml:space="preserve">湖北济川药业股份有限公司</x:t>
        </x:is>
      </x:c>
      <x:c r="E4471" s="4" t="inlineStr">
        <x:is>
          <x:t xml:space="preserve">湖北省</x:t>
        </x:is>
      </x:c>
      <x:c r="F4471" s="4" t="inlineStr">
        <x:is>
          <x:t xml:space="preserve">荆州市</x:t>
        </x:is>
      </x:c>
      <x:c r="G4471" s="5" t="inlineStr">
        <x:is>
          <x:t xml:space="preserve">湖北省-荆州市</x:t>
        </x:is>
      </x:c>
      <x:c r="H4471" s="4" t="inlineStr">
        <x:is>
          <x:t xml:space="preserve">中药</x:t>
        </x:is>
      </x:c>
      <x:c r="I4471" s="4" t="inlineStr">
        <x:is>
          <x:t xml:space="preserve">2001-08-22</x:t>
        </x:is>
      </x:c>
      <x:c r="J4471" s="5" t="inlineStr">
        <x:is>
          <x:t xml:space="preserve">湖北省荆州市沙市区园林路时尚豪庭602室</x:t>
        </x:is>
      </x:c>
      <x:c r="K4471" s="12" t="str">
        <x:f>LEFT("91420000706963132M",18)</x:f>
        <x:v>91420000706963132M</x:v>
      </x:c>
    </x:row>
    <x:row r="4472">
      <x:c r="A4472" s="2" t="n">
        <x:v>4471</x:v>
      </x:c>
      <x:c r="B4472" s="2" t="inlineStr">
        <x:is>
          <x:t xml:space="preserve">600568</x:t>
        </x:is>
      </x:c>
      <x:c r="C4472" s="3" t="inlineStr">
        <x:is>
          <x:t xml:space="preserve">ST中珠</x:t>
        </x:is>
      </x:c>
      <x:c r="D4472" s="3" t="inlineStr">
        <x:is>
          <x:t xml:space="preserve">中珠医疗控股股份有限公司</x:t>
        </x:is>
      </x:c>
      <x:c r="E4472" s="2" t="inlineStr">
        <x:is>
          <x:t xml:space="preserve">湖北省</x:t>
        </x:is>
      </x:c>
      <x:c r="F4472" s="2" t="inlineStr">
        <x:is>
          <x:t xml:space="preserve">北省潜江市</x:t>
        </x:is>
      </x:c>
      <x:c r="G4472" s="3" t="inlineStr">
        <x:is>
          <x:t xml:space="preserve">湖北省-北省潜江市</x:t>
        </x:is>
      </x:c>
      <x:c r="H4472" s="2" t="inlineStr">
        <x:is>
          <x:t xml:space="preserve">综合行业</x:t>
        </x:is>
      </x:c>
      <x:c r="I4472" s="2" t="inlineStr">
        <x:is>
          <x:t xml:space="preserve">2001-05-18</x:t>
        </x:is>
      </x:c>
      <x:c r="J4472" s="3" t="inlineStr">
        <x:is>
          <x:t xml:space="preserve">湖北省潜江市章华南路特1号</x:t>
        </x:is>
      </x:c>
      <x:c r="K4472" s="12" t="str">
        <x:f>LEFT("91420000707079234K",18)</x:f>
        <x:v>91420000707079234K</x:v>
      </x:c>
    </x:row>
    <x:row r="4473">
      <x:c r="A4473" s="4" t="n">
        <x:v>4472</x:v>
      </x:c>
      <x:c r="B4473" s="4" t="inlineStr">
        <x:is>
          <x:t xml:space="preserve">600654</x:t>
        </x:is>
      </x:c>
      <x:c r="C4473" s="5" t="inlineStr">
        <x:is>
          <x:t xml:space="preserve">中安科</x:t>
        </x:is>
      </x:c>
      <x:c r="D4473" s="5" t="inlineStr">
        <x:is>
          <x:t xml:space="preserve">中安科股份有限公司</x:t>
        </x:is>
      </x:c>
      <x:c r="E4473" s="4" t="inlineStr">
        <x:is>
          <x:t xml:space="preserve">湖北省</x:t>
        </x:is>
      </x:c>
      <x:c r="F4473" s="4" t="inlineStr">
        <x:is>
          <x:t xml:space="preserve">武汉市</x:t>
        </x:is>
      </x:c>
      <x:c r="G4473" s="5" t="inlineStr">
        <x:is>
          <x:t xml:space="preserve">湖北省-武汉市</x:t>
        </x:is>
      </x:c>
      <x:c r="H4473" s="4" t="inlineStr">
        <x:is>
          <x:t xml:space="preserve">软件服务</x:t>
        </x:is>
      </x:c>
      <x:c r="I4473" s="4" t="inlineStr">
        <x:is>
          <x:t xml:space="preserve">1990-12-19</x:t>
        </x:is>
      </x:c>
      <x:c r="J4473" s="5" t="inlineStr">
        <x:is>
          <x:t xml:space="preserve">武汉市武昌区水果湖横路3号1幢2层007室</x:t>
        </x:is>
      </x:c>
      <x:c r="K4473" s="12" t="str">
        <x:f>LEFT("913100001322013497",18)</x:f>
        <x:v>913100001322013400</x:v>
      </x:c>
    </x:row>
    <x:row r="4474">
      <x:c r="A4474" s="2" t="n">
        <x:v>4473</x:v>
      </x:c>
      <x:c r="B4474" s="2" t="inlineStr">
        <x:is>
          <x:t xml:space="preserve">600681</x:t>
        </x:is>
      </x:c>
      <x:c r="C4474" s="3" t="inlineStr">
        <x:is>
          <x:t xml:space="preserve">百川能源</x:t>
        </x:is>
      </x:c>
      <x:c r="D4474" s="3" t="inlineStr">
        <x:is>
          <x:t xml:space="preserve">百川能源股份有限公司</x:t>
        </x:is>
      </x:c>
      <x:c r="E4474" s="2" t="inlineStr">
        <x:is>
          <x:t xml:space="preserve">湖北省</x:t>
        </x:is>
      </x:c>
      <x:c r="F4474" s="2" t="inlineStr">
        <x:is>
          <x:t xml:space="preserve">武汉市</x:t>
        </x:is>
      </x:c>
      <x:c r="G4474" s="3" t="inlineStr">
        <x:is>
          <x:t xml:space="preserve">湖北省-武汉市</x:t>
        </x:is>
      </x:c>
      <x:c r="H4474" s="2" t="inlineStr">
        <x:is>
          <x:t xml:space="preserve">燃气</x:t>
        </x:is>
      </x:c>
      <x:c r="I4474" s="2" t="inlineStr">
        <x:is>
          <x:t xml:space="preserve">1993-10-18</x:t>
        </x:is>
      </x:c>
      <x:c r="J4474" s="3" t="inlineStr">
        <x:is>
          <x:t xml:space="preserve">武汉市汉阳区阳新路特一号</x:t>
        </x:is>
      </x:c>
      <x:c r="K4474" s="12" t="str">
        <x:f>LEFT("91420100177674772Q",18)</x:f>
        <x:v>91420100177674772Q</x:v>
      </x:c>
    </x:row>
    <x:row r="4475">
      <x:c r="A4475" s="4" t="n">
        <x:v>4474</x:v>
      </x:c>
      <x:c r="B4475" s="4" t="inlineStr">
        <x:is>
          <x:t xml:space="preserve">600703</x:t>
        </x:is>
      </x:c>
      <x:c r="C4475" s="5" t="inlineStr">
        <x:is>
          <x:t xml:space="preserve">三安光电</x:t>
        </x:is>
      </x:c>
      <x:c r="D4475" s="5" t="inlineStr">
        <x:is>
          <x:t xml:space="preserve">三安光电股份有限公司</x:t>
        </x:is>
      </x:c>
      <x:c r="E4475" s="4" t="inlineStr">
        <x:is>
          <x:t xml:space="preserve">湖北省</x:t>
        </x:is>
      </x:c>
      <x:c r="F4475" s="4" t="inlineStr">
        <x:is>
          <x:t xml:space="preserve">荆州市</x:t>
        </x:is>
      </x:c>
      <x:c r="G4475" s="5" t="inlineStr">
        <x:is>
          <x:t xml:space="preserve">湖北省-荆州市</x:t>
        </x:is>
      </x:c>
      <x:c r="H4475" s="4" t="inlineStr">
        <x:is>
          <x:t xml:space="preserve">光学光电子</x:t>
        </x:is>
      </x:c>
      <x:c r="I4475" s="4" t="inlineStr">
        <x:is>
          <x:t xml:space="preserve">1996-05-28</x:t>
        </x:is>
      </x:c>
      <x:c r="J4475" s="5" t="inlineStr">
        <x:is>
          <x:t xml:space="preserve">湖北省荆州市荆州开发区东方大道131号</x:t>
        </x:is>
      </x:c>
      <x:c r="K4475" s="12" t="str">
        <x:f>LEFT("91420000271752845A",18)</x:f>
        <x:v>91420000271752845A</x:v>
      </x:c>
    </x:row>
    <x:row r="4476">
      <x:c r="A4476" s="2" t="n">
        <x:v>4475</x:v>
      </x:c>
      <x:c r="B4476" s="2" t="inlineStr">
        <x:is>
          <x:t xml:space="preserve">600745</x:t>
        </x:is>
      </x:c>
      <x:c r="C4476" s="3" t="inlineStr">
        <x:is>
          <x:t xml:space="preserve">闻泰科技</x:t>
        </x:is>
      </x:c>
      <x:c r="D4476" s="3" t="inlineStr">
        <x:is>
          <x:t xml:space="preserve">闻泰科技股份有限公司</x:t>
        </x:is>
      </x:c>
      <x:c r="E4476" s="2" t="inlineStr">
        <x:is>
          <x:t xml:space="preserve">湖北省</x:t>
        </x:is>
      </x:c>
      <x:c r="F4476" s="2" t="inlineStr">
        <x:is>
          <x:t xml:space="preserve">黄石市</x:t>
        </x:is>
      </x:c>
      <x:c r="G4476" s="3" t="inlineStr">
        <x:is>
          <x:t xml:space="preserve">湖北省-黄石市</x:t>
        </x:is>
      </x:c>
      <x:c r="H4476" s="2" t="inlineStr">
        <x:is>
          <x:t xml:space="preserve">半导体</x:t>
        </x:is>
      </x:c>
      <x:c r="I4476" s="2" t="inlineStr">
        <x:is>
          <x:t xml:space="preserve">1996-08-28</x:t>
        </x:is>
      </x:c>
      <x:c r="J4476" s="3" t="inlineStr">
        <x:is>
          <x:t xml:space="preserve">湖北省黄石市开发区铁山区汪仁镇新城路东18号</x:t>
        </x:is>
      </x:c>
      <x:c r="K4476" s="12" t="str">
        <x:f>LEFT("91420000706811358X",18)</x:f>
        <x:v>91420000706811358X</x:v>
      </x:c>
    </x:row>
    <x:row r="4477">
      <x:c r="A4477" s="4" t="n">
        <x:v>4476</x:v>
      </x:c>
      <x:c r="B4477" s="4" t="inlineStr">
        <x:is>
          <x:t xml:space="preserve">600757</x:t>
        </x:is>
      </x:c>
      <x:c r="C4477" s="5" t="inlineStr">
        <x:is>
          <x:t xml:space="preserve">长江传媒</x:t>
        </x:is>
      </x:c>
      <x:c r="D4477" s="5" t="inlineStr">
        <x:is>
          <x:t xml:space="preserve">长江出版传媒股份有限公司</x:t>
        </x:is>
      </x:c>
      <x:c r="E4477" s="4" t="inlineStr">
        <x:is>
          <x:t xml:space="preserve">湖北省</x:t>
        </x:is>
      </x:c>
      <x:c r="F4477" s="4" t="inlineStr">
        <x:is>
          <x:t xml:space="preserve">武汉市</x:t>
        </x:is>
      </x:c>
      <x:c r="G4477" s="5" t="inlineStr">
        <x:is>
          <x:t xml:space="preserve">湖北省-武汉市</x:t>
        </x:is>
      </x:c>
      <x:c r="H4477" s="4" t="inlineStr">
        <x:is>
          <x:t xml:space="preserve">文化传媒</x:t>
        </x:is>
      </x:c>
      <x:c r="I4477" s="4" t="inlineStr">
        <x:is>
          <x:t xml:space="preserve">1996-10-03</x:t>
        </x:is>
      </x:c>
      <x:c r="J4477" s="5" t="inlineStr">
        <x:is>
          <x:t xml:space="preserve">湖北省武汉市武昌雄楚大街268号B座</x:t>
        </x:is>
      </x:c>
      <x:c r="K4477" s="12" t="str">
        <x:f>LEFT("914200001322795099",18)</x:f>
        <x:v>914200001322795100</x:v>
      </x:c>
    </x:row>
    <x:row r="4478">
      <x:c r="A4478" s="2" t="n">
        <x:v>4477</x:v>
      </x:c>
      <x:c r="B4478" s="2" t="inlineStr">
        <x:is>
          <x:t xml:space="preserve">600769</x:t>
        </x:is>
      </x:c>
      <x:c r="C4478" s="3" t="inlineStr">
        <x:is>
          <x:t xml:space="preserve">祥龙电业</x:t>
        </x:is>
      </x:c>
      <x:c r="D4478" s="3" t="inlineStr">
        <x:is>
          <x:t xml:space="preserve">武汉祥龙电业股份有限公司</x:t>
        </x:is>
      </x:c>
      <x:c r="E4478" s="2" t="inlineStr">
        <x:is>
          <x:t xml:space="preserve">湖北省</x:t>
        </x:is>
      </x:c>
      <x:c r="F4478" s="2" t="inlineStr">
        <x:is>
          <x:t xml:space="preserve">武汉市</x:t>
        </x:is>
      </x:c>
      <x:c r="G4478" s="3" t="inlineStr">
        <x:is>
          <x:t xml:space="preserve">湖北省-武汉市</x:t>
        </x:is>
      </x:c>
      <x:c r="H4478" s="2" t="inlineStr">
        <x:is>
          <x:t xml:space="preserve">工程建设</x:t>
        </x:is>
      </x:c>
      <x:c r="I4478" s="2" t="inlineStr">
        <x:is>
          <x:t xml:space="preserve">1996-11-01</x:t>
        </x:is>
      </x:c>
      <x:c r="J4478" s="3" t="inlineStr">
        <x:is>
          <x:t xml:space="preserve">武汉市东湖新技术开发区高新大道1059号</x:t>
        </x:is>
      </x:c>
      <x:c r="K4478" s="12" t="str">
        <x:f>LEFT("91420100300053761B",18)</x:f>
        <x:v>91420100300053761B</x:v>
      </x:c>
    </x:row>
    <x:row r="4479">
      <x:c r="A4479" s="4" t="n">
        <x:v>4478</x:v>
      </x:c>
      <x:c r="B4479" s="4" t="inlineStr">
        <x:is>
          <x:t xml:space="preserve">600774</x:t>
        </x:is>
      </x:c>
      <x:c r="C4479" s="5" t="inlineStr">
        <x:is>
          <x:t xml:space="preserve">汉商集团</x:t>
        </x:is>
      </x:c>
      <x:c r="D4479" s="5" t="inlineStr">
        <x:is>
          <x:t xml:space="preserve">汉商集团股份有限公司</x:t>
        </x:is>
      </x:c>
      <x:c r="E4479" s="4" t="inlineStr">
        <x:is>
          <x:t xml:space="preserve">湖北省</x:t>
        </x:is>
      </x:c>
      <x:c r="F4479" s="4" t="inlineStr">
        <x:is>
          <x:t xml:space="preserve">武汉市</x:t>
        </x:is>
      </x:c>
      <x:c r="G4479" s="5" t="inlineStr">
        <x:is>
          <x:t xml:space="preserve">湖北省-武汉市</x:t>
        </x:is>
      </x:c>
      <x:c r="H4479" s="4" t="inlineStr">
        <x:is>
          <x:t xml:space="preserve">化学制药</x:t>
        </x:is>
      </x:c>
      <x:c r="I4479" s="4" t="inlineStr">
        <x:is>
          <x:t xml:space="preserve">1996-11-08</x:t>
        </x:is>
      </x:c>
      <x:c r="J4479" s="5" t="inlineStr">
        <x:is>
          <x:t xml:space="preserve">湖北省武汉市汉阳大道134号</x:t>
        </x:is>
      </x:c>
      <x:c r="K4479" s="12" t="str">
        <x:f>LEFT("914201001779184151",18)</x:f>
        <x:v>914201001779184100</x:v>
      </x:c>
    </x:row>
    <x:row r="4480">
      <x:c r="A4480" s="2" t="n">
        <x:v>4479</x:v>
      </x:c>
      <x:c r="B4480" s="2" t="inlineStr">
        <x:is>
          <x:t xml:space="preserve">600801</x:t>
        </x:is>
      </x:c>
      <x:c r="C4480" s="3" t="inlineStr">
        <x:is>
          <x:t xml:space="preserve">华新建材</x:t>
        </x:is>
      </x:c>
      <x:c r="D4480" s="3" t="inlineStr">
        <x:is>
          <x:t xml:space="preserve">华新建材集团股份有限公司</x:t>
        </x:is>
      </x:c>
      <x:c r="E4480" s="2" t="inlineStr">
        <x:is>
          <x:t xml:space="preserve">湖北省</x:t>
        </x:is>
      </x:c>
      <x:c r="F4480" s="2" t="inlineStr">
        <x:is>
          <x:t xml:space="preserve">黄石市</x:t>
        </x:is>
      </x:c>
      <x:c r="G4480" s="3" t="inlineStr">
        <x:is>
          <x:t xml:space="preserve">湖北省-黄石市</x:t>
        </x:is>
      </x:c>
      <x:c r="H4480" s="2" t="inlineStr">
        <x:is>
          <x:t xml:space="preserve">水泥建材</x:t>
        </x:is>
      </x:c>
      <x:c r="I4480" s="2" t="inlineStr">
        <x:is>
          <x:t xml:space="preserve">1994-01-03</x:t>
        </x:is>
      </x:c>
      <x:c r="J4480" s="3" t="inlineStr">
        <x:is>
          <x:t xml:space="preserve">湖北省黄石市大棋大道东600号</x:t>
        </x:is>
      </x:c>
      <x:c r="K4480" s="12" t="str">
        <x:f>LEFT("914200007068068827",18)</x:f>
        <x:v>914200007068068900</x:v>
      </x:c>
    </x:row>
    <x:row r="4481">
      <x:c r="A4481" s="4" t="n">
        <x:v>4480</x:v>
      </x:c>
      <x:c r="B4481" s="4" t="inlineStr">
        <x:is>
          <x:t xml:space="preserve">600879</x:t>
        </x:is>
      </x:c>
      <x:c r="C4481" s="5" t="inlineStr">
        <x:is>
          <x:t xml:space="preserve">航天电子</x:t>
        </x:is>
      </x:c>
      <x:c r="D4481" s="5" t="inlineStr">
        <x:is>
          <x:t xml:space="preserve">航天时代电子技术股份有限公司</x:t>
        </x:is>
      </x:c>
      <x:c r="E4481" s="4" t="inlineStr">
        <x:is>
          <x:t xml:space="preserve">湖北省</x:t>
        </x:is>
      </x:c>
      <x:c r="F4481" s="4" t="inlineStr">
        <x:is>
          <x:t xml:space="preserve">武汉市</x:t>
        </x:is>
      </x:c>
      <x:c r="G4481" s="5" t="inlineStr">
        <x:is>
          <x:t xml:space="preserve">湖北省-武汉市</x:t>
        </x:is>
      </x:c>
      <x:c r="H4481" s="4" t="inlineStr">
        <x:is>
          <x:t xml:space="preserve">航天航空</x:t>
        </x:is>
      </x:c>
      <x:c r="I4481" s="4" t="inlineStr">
        <x:is>
          <x:t xml:space="preserve">1995-11-15</x:t>
        </x:is>
      </x:c>
      <x:c r="J4481" s="5" t="inlineStr">
        <x:is>
          <x:t xml:space="preserve">武汉经济技术开发区高科技园</x:t>
        </x:is>
      </x:c>
      <x:c r="K4481" s="12" t="str">
        <x:f>LEFT("91420100177716821Q",18)</x:f>
        <x:v>91420100177716821Q</x:v>
      </x:c>
    </x:row>
    <x:row r="4482">
      <x:c r="A4482" s="2" t="n">
        <x:v>4481</x:v>
      </x:c>
      <x:c r="B4482" s="2" t="inlineStr">
        <x:is>
          <x:t xml:space="preserve">600885</x:t>
        </x:is>
      </x:c>
      <x:c r="C4482" s="3" t="inlineStr">
        <x:is>
          <x:t xml:space="preserve">宏发股份</x:t>
        </x:is>
      </x:c>
      <x:c r="D4482" s="3" t="inlineStr">
        <x:is>
          <x:t xml:space="preserve">宏发科技股份有限公司</x:t>
        </x:is>
      </x:c>
      <x:c r="E4482" s="2" t="inlineStr">
        <x:is>
          <x:t xml:space="preserve">湖北省</x:t>
        </x:is>
      </x:c>
      <x:c r="F4482" s="2" t="inlineStr">
        <x:is>
          <x:t xml:space="preserve">武汉市</x:t>
        </x:is>
      </x:c>
      <x:c r="G4482" s="3" t="inlineStr">
        <x:is>
          <x:t xml:space="preserve">湖北省-武汉市</x:t>
        </x:is>
      </x:c>
      <x:c r="H4482" s="2" t="inlineStr">
        <x:is>
          <x:t xml:space="preserve">电网设备</x:t>
        </x:is>
      </x:c>
      <x:c r="I4482" s="2" t="inlineStr">
        <x:is>
          <x:t xml:space="preserve">1996-02-05</x:t>
        </x:is>
      </x:c>
      <x:c r="J4482" s="3" t="inlineStr">
        <x:is>
          <x:t xml:space="preserve">武汉市硚口区解放大道21号汉正街都市工业区A107-131</x:t>
        </x:is>
      </x:c>
      <x:c r="K4482" s="12" t="str">
        <x:f>LEFT("914201001776660197",18)</x:f>
        <x:v>914201001776660200</x:v>
      </x:c>
    </x:row>
    <x:row r="4483">
      <x:c r="A4483" s="4" t="n">
        <x:v>4482</x:v>
      </x:c>
      <x:c r="B4483" s="4" t="inlineStr">
        <x:is>
          <x:t xml:space="preserve">600976</x:t>
        </x:is>
      </x:c>
      <x:c r="C4483" s="5" t="inlineStr">
        <x:is>
          <x:t xml:space="preserve">健民集团</x:t>
        </x:is>
      </x:c>
      <x:c r="D4483" s="5" t="inlineStr">
        <x:is>
          <x:t xml:space="preserve">健民药业集团股份有限公司</x:t>
        </x:is>
      </x:c>
      <x:c r="E4483" s="4" t="inlineStr">
        <x:is>
          <x:t xml:space="preserve">湖北省</x:t>
        </x:is>
      </x:c>
      <x:c r="F4483" s="4" t="inlineStr">
        <x:is>
          <x:t xml:space="preserve">武汉市</x:t>
        </x:is>
      </x:c>
      <x:c r="G4483" s="5" t="inlineStr">
        <x:is>
          <x:t xml:space="preserve">湖北省-武汉市</x:t>
        </x:is>
      </x:c>
      <x:c r="H4483" s="4" t="inlineStr">
        <x:is>
          <x:t xml:space="preserve">中药</x:t>
        </x:is>
      </x:c>
      <x:c r="I4483" s="4" t="inlineStr">
        <x:is>
          <x:t xml:space="preserve">2004-04-19</x:t>
        </x:is>
      </x:c>
      <x:c r="J4483" s="5" t="inlineStr">
        <x:is>
          <x:t xml:space="preserve">武汉市汉阳区鹦鹉大道484号</x:t>
        </x:is>
      </x:c>
      <x:c r="K4483" s="12" t="str">
        <x:f>LEFT("91420100177701849P",18)</x:f>
        <x:v>91420100177701849P</x:v>
      </x:c>
    </x:row>
    <x:row r="4484">
      <x:c r="A4484" s="2" t="n">
        <x:v>4483</x:v>
      </x:c>
      <x:c r="B4484" s="2" t="inlineStr">
        <x:is>
          <x:t xml:space="preserve">600993</x:t>
        </x:is>
      </x:c>
      <x:c r="C4484" s="3" t="inlineStr">
        <x:is>
          <x:t xml:space="preserve">马应龙</x:t>
        </x:is>
      </x:c>
      <x:c r="D4484" s="3" t="inlineStr">
        <x:is>
          <x:t xml:space="preserve">马应龙药业集团股份有限公司</x:t>
        </x:is>
      </x:c>
      <x:c r="E4484" s="2" t="inlineStr">
        <x:is>
          <x:t xml:space="preserve">湖北省</x:t>
        </x:is>
      </x:c>
      <x:c r="F4484" s="2" t="inlineStr">
        <x:is>
          <x:t xml:space="preserve">武汉市</x:t>
        </x:is>
      </x:c>
      <x:c r="G4484" s="3" t="inlineStr">
        <x:is>
          <x:t xml:space="preserve">湖北省-武汉市</x:t>
        </x:is>
      </x:c>
      <x:c r="H4484" s="2" t="inlineStr">
        <x:is>
          <x:t xml:space="preserve">中药</x:t>
        </x:is>
      </x:c>
      <x:c r="I4484" s="2" t="inlineStr">
        <x:is>
          <x:t xml:space="preserve">2004-05-17</x:t>
        </x:is>
      </x:c>
      <x:c r="J4484" s="3" t="inlineStr">
        <x:is>
          <x:t xml:space="preserve">湖北省武汉市武昌南湖周家湾100号</x:t>
        </x:is>
      </x:c>
      <x:c r="K4484" s="12" t="str">
        <x:f>LEFT("91420100177701670K",18)</x:f>
        <x:v>91420100177701670K</x:v>
      </x:c>
    </x:row>
    <x:row r="4485">
      <x:c r="A4485" s="4" t="n">
        <x:v>4484</x:v>
      </x:c>
      <x:c r="B4485" s="4" t="inlineStr">
        <x:is>
          <x:t xml:space="preserve">600998</x:t>
        </x:is>
      </x:c>
      <x:c r="C4485" s="5" t="inlineStr">
        <x:is>
          <x:t xml:space="preserve">九州通</x:t>
        </x:is>
      </x:c>
      <x:c r="D4485" s="5" t="inlineStr">
        <x:is>
          <x:t xml:space="preserve">九州通医药集团股份有限公司</x:t>
        </x:is>
      </x:c>
      <x:c r="E4485" s="4" t="inlineStr">
        <x:is>
          <x:t xml:space="preserve">湖北省</x:t>
        </x:is>
      </x:c>
      <x:c r="F4485" s="4" t="inlineStr">
        <x:is>
          <x:t xml:space="preserve">武汉市</x:t>
        </x:is>
      </x:c>
      <x:c r="G4485" s="5" t="inlineStr">
        <x:is>
          <x:t xml:space="preserve">湖北省-武汉市</x:t>
        </x:is>
      </x:c>
      <x:c r="H4485" s="4" t="inlineStr">
        <x:is>
          <x:t xml:space="preserve">医药商业</x:t>
        </x:is>
      </x:c>
      <x:c r="I4485" s="4" t="inlineStr">
        <x:is>
          <x:t xml:space="preserve">2010-11-02</x:t>
        </x:is>
      </x:c>
      <x:c r="J4485" s="5" t="inlineStr">
        <x:is>
          <x:t xml:space="preserve">湖北省武汉市汉阳区龙兴西街5号</x:t>
        </x:is>
      </x:c>
      <x:c r="K4485" s="12" t="str">
        <x:f>LEFT("9142000071451795XA",18)</x:f>
        <x:v>9142000071451795XA</x:v>
      </x:c>
    </x:row>
    <x:row r="4486">
      <x:c r="A4486" s="2" t="n">
        <x:v>4485</x:v>
      </x:c>
      <x:c r="B4486" s="2" t="inlineStr">
        <x:is>
          <x:t xml:space="preserve">601162</x:t>
        </x:is>
      </x:c>
      <x:c r="C4486" s="3" t="inlineStr">
        <x:is>
          <x:t xml:space="preserve">天风证券</x:t>
        </x:is>
      </x:c>
      <x:c r="D4486" s="3" t="inlineStr">
        <x:is>
          <x:t xml:space="preserve">天风证券股份有限公司</x:t>
        </x:is>
      </x:c>
      <x:c r="E4486" s="2" t="inlineStr">
        <x:is>
          <x:t xml:space="preserve">湖北省</x:t>
        </x:is>
      </x:c>
      <x:c r="F4486" s="2" t="inlineStr">
        <x:is>
          <x:t xml:space="preserve">武汉市</x:t>
        </x:is>
      </x:c>
      <x:c r="G4486" s="3" t="inlineStr">
        <x:is>
          <x:t xml:space="preserve">湖北省-武汉市</x:t>
        </x:is>
      </x:c>
      <x:c r="H4486" s="2" t="inlineStr">
        <x:is>
          <x:t xml:space="preserve">券商信托</x:t>
        </x:is>
      </x:c>
      <x:c r="I4486" s="2" t="inlineStr">
        <x:is>
          <x:t xml:space="preserve">2018-10-19</x:t>
        </x:is>
      </x:c>
      <x:c r="J4486" s="3" t="inlineStr">
        <x:is>
          <x:t xml:space="preserve">湖北省武汉市东湖新技术开发区高新大道446号天风证券大厦20层</x:t>
        </x:is>
      </x:c>
      <x:c r="K4486" s="12" t="str">
        <x:f>LEFT("91420100711894442U",18)</x:f>
        <x:v>91420100711894442U</x:v>
      </x:c>
    </x:row>
    <x:row r="4487">
      <x:c r="A4487" s="4" t="n">
        <x:v>4486</x:v>
      </x:c>
      <x:c r="B4487" s="4" t="inlineStr">
        <x:is>
          <x:t xml:space="preserve">601311</x:t>
        </x:is>
      </x:c>
      <x:c r="C4487" s="5" t="inlineStr">
        <x:is>
          <x:t xml:space="preserve">骆驼股份</x:t>
        </x:is>
      </x:c>
      <x:c r="D4487" s="5" t="inlineStr">
        <x:is>
          <x:t xml:space="preserve">骆驼集团股份有限公司</x:t>
        </x:is>
      </x:c>
      <x:c r="E4487" s="4" t="inlineStr">
        <x:is>
          <x:t xml:space="preserve">湖北省</x:t>
        </x:is>
      </x:c>
      <x:c r="F4487" s="4" t="inlineStr">
        <x:is>
          <x:t xml:space="preserve">襄阳市</x:t>
        </x:is>
      </x:c>
      <x:c r="G4487" s="5" t="inlineStr">
        <x:is>
          <x:t xml:space="preserve">湖北省-襄阳市</x:t>
        </x:is>
      </x:c>
      <x:c r="H4487" s="4" t="inlineStr">
        <x:is>
          <x:t xml:space="preserve">电池</x:t>
        </x:is>
      </x:c>
      <x:c r="I4487" s="4" t="inlineStr">
        <x:is>
          <x:t xml:space="preserve">2011-06-02</x:t>
        </x:is>
      </x:c>
      <x:c r="J4487" s="5" t="inlineStr">
        <x:is>
          <x:t xml:space="preserve">湖北省谷城县经济开发区谷水路16号</x:t>
        </x:is>
      </x:c>
      <x:c r="K4487" s="12" t="str">
        <x:f>LEFT("91420600706893517D",18)</x:f>
        <x:v>91420600706893517D</x:v>
      </x:c>
    </x:row>
    <x:row r="4488">
      <x:c r="A4488" s="2" t="n">
        <x:v>4487</x:v>
      </x:c>
      <x:c r="B4488" s="2" t="inlineStr">
        <x:is>
          <x:t xml:space="preserve">601869</x:t>
        </x:is>
      </x:c>
      <x:c r="C4488" s="3" t="inlineStr">
        <x:is>
          <x:t xml:space="preserve">长飞光纤</x:t>
        </x:is>
      </x:c>
      <x:c r="D4488" s="3" t="inlineStr">
        <x:is>
          <x:t xml:space="preserve">长飞光纤光缆股份有限公司</x:t>
        </x:is>
      </x:c>
      <x:c r="E4488" s="2" t="inlineStr">
        <x:is>
          <x:t xml:space="preserve">湖北省</x:t>
        </x:is>
      </x:c>
      <x:c r="F4488" s="2" t="inlineStr">
        <x:is>
          <x:t xml:space="preserve">武汉市</x:t>
        </x:is>
      </x:c>
      <x:c r="G4488" s="3" t="inlineStr">
        <x:is>
          <x:t xml:space="preserve">湖北省-武汉市</x:t>
        </x:is>
      </x:c>
      <x:c r="H4488" s="2" t="inlineStr">
        <x:is>
          <x:t xml:space="preserve">通讯行业</x:t>
        </x:is>
      </x:c>
      <x:c r="I4488" s="2" t="inlineStr">
        <x:is>
          <x:t xml:space="preserve">2018-07-20</x:t>
        </x:is>
      </x:c>
      <x:c r="J4488" s="3" t="inlineStr">
        <x:is>
          <x:t xml:space="preserve">湖北省武汉市东湖高新技术开发区光谷大道9号</x:t>
        </x:is>
      </x:c>
      <x:c r="K4488" s="12" t="str">
        <x:f>LEFT("91420100616400352X",18)</x:f>
        <x:v>91420100616400352X</x:v>
      </x:c>
    </x:row>
    <x:row r="4489">
      <x:c r="A4489" s="4" t="n">
        <x:v>4488</x:v>
      </x:c>
      <x:c r="B4489" s="4" t="inlineStr">
        <x:is>
          <x:t xml:space="preserve">601956</x:t>
        </x:is>
      </x:c>
      <x:c r="C4489" s="5" t="inlineStr">
        <x:is>
          <x:t xml:space="preserve">东贝集团</x:t>
        </x:is>
      </x:c>
      <x:c r="D4489" s="5" t="inlineStr">
        <x:is>
          <x:t xml:space="preserve">湖北东贝机电集团股份有限公司</x:t>
        </x:is>
      </x:c>
      <x:c r="E4489" s="4" t="inlineStr">
        <x:is>
          <x:t xml:space="preserve">湖北省</x:t>
        </x:is>
      </x:c>
      <x:c r="F4489" s="4" t="inlineStr">
        <x:is>
          <x:t xml:space="preserve">黄石市</x:t>
        </x:is>
      </x:c>
      <x:c r="G4489" s="5" t="inlineStr">
        <x:is>
          <x:t xml:space="preserve">湖北省-黄石市</x:t>
        </x:is>
      </x:c>
      <x:c r="H4489" s="4" t="inlineStr">
        <x:is>
          <x:t xml:space="preserve">家电行业</x:t>
        </x:is>
      </x:c>
      <x:c r="I4489" s="4" t="inlineStr">
        <x:is>
          <x:t xml:space="preserve">2020-12-25</x:t>
        </x:is>
      </x:c>
      <x:c r="J4489" s="5" t="inlineStr">
        <x:is>
          <x:t xml:space="preserve">湖北省黄石经济技术开发区.铁山区金山大道东6号</x:t>
        </x:is>
      </x:c>
      <x:c r="K4489" s="12" t="str">
        <x:f>LEFT("91420200736837639B",18)</x:f>
        <x:v>91420200736837639B</x:v>
      </x:c>
    </x:row>
    <x:row r="4490">
      <x:c r="A4490" s="2" t="n">
        <x:v>4489</x:v>
      </x:c>
      <x:c r="B4490" s="2" t="inlineStr">
        <x:is>
          <x:t xml:space="preserve">603067</x:t>
        </x:is>
      </x:c>
      <x:c r="C4490" s="3" t="inlineStr">
        <x:is>
          <x:t xml:space="preserve">振华股份</x:t>
        </x:is>
      </x:c>
      <x:c r="D4490" s="3" t="inlineStr">
        <x:is>
          <x:t xml:space="preserve">湖北振华化学股份有限公司</x:t>
        </x:is>
      </x:c>
      <x:c r="E4490" s="2" t="inlineStr">
        <x:is>
          <x:t xml:space="preserve">湖北省</x:t>
        </x:is>
      </x:c>
      <x:c r="F4490" s="2" t="inlineStr">
        <x:is>
          <x:t xml:space="preserve">黄石市</x:t>
        </x:is>
      </x:c>
      <x:c r="G4490" s="3" t="inlineStr">
        <x:is>
          <x:t xml:space="preserve">湖北省-黄石市</x:t>
        </x:is>
      </x:c>
      <x:c r="H4490" s="2" t="inlineStr">
        <x:is>
          <x:t xml:space="preserve">化学原料</x:t>
        </x:is>
      </x:c>
      <x:c r="I4490" s="2" t="inlineStr">
        <x:is>
          <x:t xml:space="preserve">2016-09-13</x:t>
        </x:is>
      </x:c>
      <x:c r="J4490" s="3" t="inlineStr">
        <x:is>
          <x:t xml:space="preserve">湖北省黄石市西塞山区黄石大道668号</x:t>
        </x:is>
      </x:c>
      <x:c r="K4490" s="12" t="str">
        <x:f>LEFT("91420200178435765F",18)</x:f>
        <x:v>91420200178435765F</x:v>
      </x:c>
    </x:row>
    <x:row r="4491">
      <x:c r="A4491" s="4" t="n">
        <x:v>4490</x:v>
      </x:c>
      <x:c r="B4491" s="4" t="inlineStr">
        <x:is>
          <x:t xml:space="preserve">603175</x:t>
        </x:is>
      </x:c>
      <x:c r="C4491" s="5" t="inlineStr">
        <x:is>
          <x:t xml:space="preserve">超颖电子</x:t>
        </x:is>
      </x:c>
      <x:c r="D4491" s="5" t="inlineStr">
        <x:is>
          <x:t xml:space="preserve">超颖电子电路股份有限公司</x:t>
        </x:is>
      </x:c>
      <x:c r="E4491" s="4" t="inlineStr">
        <x:is>
          <x:t xml:space="preserve">湖北省</x:t>
        </x:is>
      </x:c>
      <x:c r="F4491" s="4" t="inlineStr">
        <x:is>
          <x:t xml:space="preserve">黄石市</x:t>
        </x:is>
      </x:c>
      <x:c r="G4491" s="5" t="inlineStr">
        <x:is>
          <x:t xml:space="preserve">湖北省-黄石市</x:t>
        </x:is>
      </x:c>
      <x:c r="H4491" s="4" t="inlineStr">
        <x:is>
          <x:t xml:space="preserve">电子元件</x:t>
        </x:is>
      </x:c>
      <x:c r="I4491" s="4" t="inlineStr">
        <x:is>
          <x:t xml:space="preserve">2025-10-24</x:t>
        </x:is>
      </x:c>
      <x:c r="J4491" s="5" t="inlineStr">
        <x:is>
          <x:t xml:space="preserve">湖北省黄石市经济技术开发区汪仁镇大棋大道特88号</x:t>
        </x:is>
      </x:c>
      <x:c r="K4491" s="12" t="str">
        <x:f>LEFT("91420200MA487KTF17",18)</x:f>
        <x:v>91420200MA487KTF17</x:v>
      </x:c>
    </x:row>
    <x:row r="4492">
      <x:c r="A4492" s="2" t="n">
        <x:v>4491</x:v>
      </x:c>
      <x:c r="B4492" s="2" t="inlineStr">
        <x:is>
          <x:t xml:space="preserve">603220</x:t>
        </x:is>
      </x:c>
      <x:c r="C4492" s="3" t="inlineStr">
        <x:is>
          <x:t xml:space="preserve">中贝通信</x:t>
        </x:is>
      </x:c>
      <x:c r="D4492" s="3" t="inlineStr">
        <x:is>
          <x:t xml:space="preserve">中贝通信集团股份有限公司</x:t>
        </x:is>
      </x:c>
      <x:c r="E4492" s="2" t="inlineStr">
        <x:is>
          <x:t xml:space="preserve">湖北省</x:t>
        </x:is>
      </x:c>
      <x:c r="F4492" s="2" t="inlineStr">
        <x:is>
          <x:t xml:space="preserve">武汉市</x:t>
        </x:is>
      </x:c>
      <x:c r="G4492" s="3" t="inlineStr">
        <x:is>
          <x:t xml:space="preserve">湖北省-武汉市</x:t>
        </x:is>
      </x:c>
      <x:c r="H4492" s="2" t="inlineStr">
        <x:is>
          <x:t xml:space="preserve">通信服务</x:t>
        </x:is>
      </x:c>
      <x:c r="I4492" s="2" t="inlineStr">
        <x:is>
          <x:t xml:space="preserve">2018-11-15</x:t>
        </x:is>
      </x:c>
      <x:c r="J4492" s="3" t="inlineStr">
        <x:is>
          <x:t xml:space="preserve">湖北省武汉市江汉区江汉经济开发区江兴路1号</x:t>
        </x:is>
      </x:c>
      <x:c r="K4492" s="12" t="str">
        <x:f>LEFT("9142010317784054XA",18)</x:f>
        <x:v>9142010317784054XA</x:v>
      </x:c>
    </x:row>
    <x:row r="4493">
      <x:c r="A4493" s="4" t="n">
        <x:v>4492</x:v>
      </x:c>
      <x:c r="B4493" s="4" t="inlineStr">
        <x:is>
          <x:t xml:space="preserve">603281</x:t>
        </x:is>
      </x:c>
      <x:c r="C4493" s="5" t="inlineStr">
        <x:is>
          <x:t xml:space="preserve">江瀚新材</x:t>
        </x:is>
      </x:c>
      <x:c r="D4493" s="5" t="inlineStr">
        <x:is>
          <x:t xml:space="preserve">湖北江瀚新材料股份有限公司</x:t>
        </x:is>
      </x:c>
      <x:c r="E4493" s="4" t="inlineStr">
        <x:is>
          <x:t xml:space="preserve">湖北省</x:t>
        </x:is>
      </x:c>
      <x:c r="F4493" s="4" t="inlineStr">
        <x:is>
          <x:t xml:space="preserve">荆州市</x:t>
        </x:is>
      </x:c>
      <x:c r="G4493" s="5" t="inlineStr">
        <x:is>
          <x:t xml:space="preserve">湖北省-荆州市</x:t>
        </x:is>
      </x:c>
      <x:c r="H4493" s="4" t="inlineStr">
        <x:is>
          <x:t xml:space="preserve">化学制品</x:t>
        </x:is>
      </x:c>
      <x:c r="I4493" s="4" t="inlineStr">
        <x:is>
          <x:t xml:space="preserve">2023-01-31</x:t>
        </x:is>
      </x:c>
      <x:c r="J4493" s="5" t="inlineStr">
        <x:is>
          <x:t xml:space="preserve">湖北省荆州市沙市区东方大道259号</x:t>
        </x:is>
      </x:c>
      <x:c r="K4493" s="12" t="str">
        <x:f>LEFT("914210007070225296",18)</x:f>
        <x:v>914210007070225300</x:v>
      </x:c>
    </x:row>
    <x:row r="4494">
      <x:c r="A4494" s="2" t="n">
        <x:v>4493</x:v>
      </x:c>
      <x:c r="B4494" s="2" t="inlineStr">
        <x:is>
          <x:t xml:space="preserve">603716</x:t>
        </x:is>
      </x:c>
      <x:c r="C4494" s="3" t="inlineStr">
        <x:is>
          <x:t xml:space="preserve">塞力医疗</x:t>
        </x:is>
      </x:c>
      <x:c r="D4494" s="3" t="inlineStr">
        <x:is>
          <x:t xml:space="preserve">塞力斯医疗科技集团股份有限公司</x:t>
        </x:is>
      </x:c>
      <x:c r="E4494" s="2" t="inlineStr">
        <x:is>
          <x:t xml:space="preserve">湖北省</x:t>
        </x:is>
      </x:c>
      <x:c r="F4494" s="2" t="inlineStr">
        <x:is>
          <x:t xml:space="preserve">武汉市</x:t>
        </x:is>
      </x:c>
      <x:c r="G4494" s="3" t="inlineStr">
        <x:is>
          <x:t xml:space="preserve">湖北省-武汉市</x:t>
        </x:is>
      </x:c>
      <x:c r="H4494" s="2" t="inlineStr">
        <x:is>
          <x:t xml:space="preserve">医药商业</x:t>
        </x:is>
      </x:c>
      <x:c r="I4494" s="2" t="inlineStr">
        <x:is>
          <x:t xml:space="preserve">2016-10-31</x:t>
        </x:is>
      </x:c>
      <x:c r="J4494" s="3" t="inlineStr">
        <x:is>
          <x:t xml:space="preserve">武汉市东西湖区金山大道1310号</x:t>
        </x:is>
      </x:c>
      <x:c r="K4494" s="12" t="str">
        <x:f>LEFT("91420100758158557H",18)</x:f>
        <x:v>91420100758158557H</x:v>
      </x:c>
    </x:row>
    <x:row r="4495">
      <x:c r="A4495" s="4" t="n">
        <x:v>4494</x:v>
      </x:c>
      <x:c r="B4495" s="4" t="inlineStr">
        <x:is>
          <x:t xml:space="preserve">603719</x:t>
        </x:is>
      </x:c>
      <x:c r="C4495" s="5" t="inlineStr">
        <x:is>
          <x:t xml:space="preserve">良品铺子</x:t>
        </x:is>
      </x:c>
      <x:c r="D4495" s="5" t="inlineStr">
        <x:is>
          <x:t xml:space="preserve">良品铺子股份有限公司</x:t>
        </x:is>
      </x:c>
      <x:c r="E4495" s="4" t="inlineStr">
        <x:is>
          <x:t xml:space="preserve">湖北省</x:t>
        </x:is>
      </x:c>
      <x:c r="F4495" s="4" t="inlineStr">
        <x:is>
          <x:t xml:space="preserve">武汉市</x:t>
        </x:is>
      </x:c>
      <x:c r="G4495" s="5" t="inlineStr">
        <x:is>
          <x:t xml:space="preserve">湖北省-武汉市</x:t>
        </x:is>
      </x:c>
      <x:c r="H4495" s="4" t="inlineStr">
        <x:is>
          <x:t xml:space="preserve">食品饮料</x:t>
        </x:is>
      </x:c>
      <x:c r="I4495" s="4" t="inlineStr">
        <x:is>
          <x:t xml:space="preserve">2020-02-24</x:t>
        </x:is>
      </x:c>
      <x:c r="J4495" s="5" t="inlineStr">
        <x:is>
          <x:t xml:space="preserve">湖北省武汉市东西湖区走马岭革新大道8号</x:t>
        </x:is>
      </x:c>
      <x:c r="K4495" s="12" t="str">
        <x:f>LEFT("91420112558423184N",18)</x:f>
        <x:v>91420112558423184N</x:v>
      </x:c>
    </x:row>
    <x:row r="4496">
      <x:c r="A4496" s="2" t="n">
        <x:v>4495</x:v>
      </x:c>
      <x:c r="B4496" s="2" t="inlineStr">
        <x:is>
          <x:t xml:space="preserve">603738</x:t>
        </x:is>
      </x:c>
      <x:c r="C4496" s="3" t="inlineStr">
        <x:is>
          <x:t xml:space="preserve">泰晶科技</x:t>
        </x:is>
      </x:c>
      <x:c r="D4496" s="3" t="inlineStr">
        <x:is>
          <x:t xml:space="preserve">泰晶科技股份有限公司</x:t>
        </x:is>
      </x:c>
      <x:c r="E4496" s="2" t="inlineStr">
        <x:is>
          <x:t xml:space="preserve">湖北省</x:t>
        </x:is>
      </x:c>
      <x:c r="F4496" s="2" t="inlineStr">
        <x:is>
          <x:t xml:space="preserve">随州市</x:t>
        </x:is>
      </x:c>
      <x:c r="G4496" s="3" t="inlineStr">
        <x:is>
          <x:t xml:space="preserve">湖北省-随州市</x:t>
        </x:is>
      </x:c>
      <x:c r="H4496" s="2" t="inlineStr">
        <x:is>
          <x:t xml:space="preserve">电子元件</x:t>
        </x:is>
      </x:c>
      <x:c r="I4496" s="2" t="inlineStr">
        <x:is>
          <x:t xml:space="preserve">2016-09-28</x:t>
        </x:is>
      </x:c>
      <x:c r="J4496" s="3" t="inlineStr">
        <x:is>
          <x:t xml:space="preserve">湖北省随州市曾都经济开发区</x:t>
        </x:is>
      </x:c>
      <x:c r="K4496" s="12" t="str">
        <x:f>LEFT("91421300780912560J",18)</x:f>
        <x:v>91421300780912560J</x:v>
      </x:c>
    </x:row>
    <x:row r="4497">
      <x:c r="A4497" s="4" t="n">
        <x:v>4496</x:v>
      </x:c>
      <x:c r="B4497" s="4" t="inlineStr">
        <x:is>
          <x:t xml:space="preserve">603950</x:t>
        </x:is>
      </x:c>
      <x:c r="C4497" s="5" t="inlineStr">
        <x:is>
          <x:t xml:space="preserve">长源东谷</x:t>
        </x:is>
      </x:c>
      <x:c r="D4497" s="5" t="inlineStr">
        <x:is>
          <x:t xml:space="preserve">襄阳长源东谷实业股份有限公司</x:t>
        </x:is>
      </x:c>
      <x:c r="E4497" s="4" t="inlineStr">
        <x:is>
          <x:t xml:space="preserve">湖北省</x:t>
        </x:is>
      </x:c>
      <x:c r="F4497" s="4" t="inlineStr">
        <x:is>
          <x:t xml:space="preserve">襄阳市</x:t>
        </x:is>
      </x:c>
      <x:c r="G4497" s="5" t="inlineStr">
        <x:is>
          <x:t xml:space="preserve">湖北省-襄阳市</x:t>
        </x:is>
      </x:c>
      <x:c r="H4497" s="4" t="inlineStr">
        <x:is>
          <x:t xml:space="preserve">汽车行业</x:t>
        </x:is>
      </x:c>
      <x:c r="I4497" s="4" t="inlineStr">
        <x:is>
          <x:t xml:space="preserve">2020-05-26</x:t>
        </x:is>
      </x:c>
      <x:c r="J4497" s="5" t="inlineStr">
        <x:is>
          <x:t xml:space="preserve">襄阳市襄州区钻石大道(洪山头工业园)</x:t>
        </x:is>
      </x:c>
      <x:c r="K4497" s="12" t="str">
        <x:f>LEFT("91420000790571325M",18)</x:f>
        <x:v>91420000790571325M</x:v>
      </x:c>
    </x:row>
    <x:row r="4498">
      <x:c r="A4498" s="2" t="n">
        <x:v>4497</x:v>
      </x:c>
      <x:c r="B4498" s="2" t="inlineStr">
        <x:is>
          <x:t xml:space="preserve">605388</x:t>
        </x:is>
      </x:c>
      <x:c r="C4498" s="3" t="inlineStr">
        <x:is>
          <x:t xml:space="preserve">均瑶健康</x:t>
        </x:is>
      </x:c>
      <x:c r="D4498" s="3" t="inlineStr">
        <x:is>
          <x:t xml:space="preserve">湖北均瑶大健康饮品股份有限公司</x:t>
        </x:is>
      </x:c>
      <x:c r="E4498" s="2" t="inlineStr">
        <x:is>
          <x:t xml:space="preserve">湖北省</x:t>
        </x:is>
      </x:c>
      <x:c r="F4498" s="2" t="inlineStr">
        <x:is>
          <x:t xml:space="preserve">宜昌市</x:t>
        </x:is>
      </x:c>
      <x:c r="G4498" s="3" t="inlineStr">
        <x:is>
          <x:t xml:space="preserve">湖北省-宜昌市</x:t>
        </x:is>
      </x:c>
      <x:c r="H4498" s="2" t="inlineStr">
        <x:is>
          <x:t xml:space="preserve">食品饮料</x:t>
        </x:is>
      </x:c>
      <x:c r="I4498" s="2" t="inlineStr">
        <x:is>
          <x:t xml:space="preserve">2020-08-18</x:t>
        </x:is>
      </x:c>
      <x:c r="J4498" s="3" t="inlineStr">
        <x:is>
          <x:t xml:space="preserve">宜昌市夷陵区东城城乡统筹发展试验区东城路22号</x:t>
        </x:is>
      </x:c>
      <x:c r="K4498" s="12" t="str">
        <x:f>LEFT("914205007146625835",18)</x:f>
        <x:v>914205007146625800</x:v>
      </x:c>
    </x:row>
    <x:row r="4499">
      <x:c r="A4499" s="4" t="n">
        <x:v>4498</x:v>
      </x:c>
      <x:c r="B4499" s="4" t="inlineStr">
        <x:is>
          <x:t xml:space="preserve">688038</x:t>
        </x:is>
      </x:c>
      <x:c r="C4499" s="5" t="inlineStr">
        <x:is>
          <x:t xml:space="preserve">中科通达</x:t>
        </x:is>
      </x:c>
      <x:c r="D4499" s="5" t="inlineStr">
        <x:is>
          <x:t xml:space="preserve">武汉中科通达高新技术股份有限公司</x:t>
        </x:is>
      </x:c>
      <x:c r="E4499" s="4" t="inlineStr">
        <x:is>
          <x:t xml:space="preserve">湖北省</x:t>
        </x:is>
      </x:c>
      <x:c r="F4499" s="4" t="inlineStr">
        <x:is>
          <x:t xml:space="preserve">武汉市</x:t>
        </x:is>
      </x:c>
      <x:c r="G4499" s="5" t="inlineStr">
        <x:is>
          <x:t xml:space="preserve">湖北省-武汉市</x:t>
        </x:is>
      </x:c>
      <x:c r="H4499" s="4" t="inlineStr">
        <x:is>
          <x:t xml:space="preserve">软件开发</x:t>
        </x:is>
      </x:c>
      <x:c r="I4499" s="4" t="inlineStr">
        <x:is>
          <x:t xml:space="preserve">2021-07-13</x:t>
        </x:is>
      </x:c>
      <x:c r="J4499" s="5" t="inlineStr">
        <x:is>
          <x:t xml:space="preserve">武汉东湖新技术开发区关山大道1号软件产业三期A3栋10层</x:t>
        </x:is>
      </x:c>
      <x:c r="K4499" s="12" t="str">
        <x:f>LEFT("914201006634595767",18)</x:f>
        <x:v>914201006634595700</x:v>
      </x:c>
    </x:row>
    <x:row r="4500">
      <x:c r="A4500" s="2" t="n">
        <x:v>4499</x:v>
      </x:c>
      <x:c r="B4500" s="2" t="inlineStr">
        <x:is>
          <x:t xml:space="preserve">688081</x:t>
        </x:is>
      </x:c>
      <x:c r="C4500" s="3" t="inlineStr">
        <x:is>
          <x:t xml:space="preserve">兴图新科</x:t>
        </x:is>
      </x:c>
      <x:c r="D4500" s="3" t="inlineStr">
        <x:is>
          <x:t xml:space="preserve">武汉兴图新科电子股份有限公司</x:t>
        </x:is>
      </x:c>
      <x:c r="E4500" s="2" t="inlineStr">
        <x:is>
          <x:t xml:space="preserve">湖北省</x:t>
        </x:is>
      </x:c>
      <x:c r="F4500" s="2" t="inlineStr">
        <x:is>
          <x:t xml:space="preserve">武汉市</x:t>
        </x:is>
      </x:c>
      <x:c r="G4500" s="3" t="inlineStr">
        <x:is>
          <x:t xml:space="preserve">湖北省-武汉市</x:t>
        </x:is>
      </x:c>
      <x:c r="H4500" s="2" t="inlineStr">
        <x:is>
          <x:t xml:space="preserve">通信服务</x:t>
        </x:is>
      </x:c>
      <x:c r="I4500" s="2" t="inlineStr">
        <x:is>
          <x:t xml:space="preserve">2020-01-06</x:t>
        </x:is>
      </x:c>
      <x:c r="J4500" s="3" t="inlineStr">
        <x:is>
          <x:t xml:space="preserve">湖北省武汉市东湖新技术开发区华中科技大学科技园现代服务业示范基地二期5号楼4-9层</x:t>
        </x:is>
      </x:c>
      <x:c r="K4500" s="12" t="str">
        <x:f>LEFT("914201007612421861",18)</x:f>
        <x:v>914201007612421900</x:v>
      </x:c>
    </x:row>
    <x:row r="4501">
      <x:c r="A4501" s="4" t="n">
        <x:v>4500</x:v>
      </x:c>
      <x:c r="B4501" s="4" t="inlineStr">
        <x:is>
          <x:t xml:space="preserve">688089</x:t>
        </x:is>
      </x:c>
      <x:c r="C4501" s="5" t="inlineStr">
        <x:is>
          <x:t xml:space="preserve">嘉必优</x:t>
        </x:is>
      </x:c>
      <x:c r="D4501" s="5" t="inlineStr">
        <x:is>
          <x:t xml:space="preserve">嘉必优生物技术(武汉)股份有限公司</x:t>
        </x:is>
      </x:c>
      <x:c r="E4501" s="4" t="inlineStr">
        <x:is>
          <x:t xml:space="preserve">湖北省</x:t>
        </x:is>
      </x:c>
      <x:c r="F4501" s="4" t="inlineStr">
        <x:is>
          <x:t xml:space="preserve">武汉市</x:t>
        </x:is>
      </x:c>
      <x:c r="G4501" s="5" t="inlineStr">
        <x:is>
          <x:t xml:space="preserve">湖北省-武汉市</x:t>
        </x:is>
      </x:c>
      <x:c r="H4501" s="4" t="inlineStr">
        <x:is>
          <x:t xml:space="preserve">食品饮料</x:t>
        </x:is>
      </x:c>
      <x:c r="I4501" s="4" t="inlineStr">
        <x:is>
          <x:t xml:space="preserve">2019-12-19</x:t>
        </x:is>
      </x:c>
      <x:c r="J4501" s="5" t="inlineStr">
        <x:is>
          <x:t xml:space="preserve">武汉市东湖新技术开发区高新大道999号</x:t>
        </x:is>
      </x:c>
      <x:c r="K4501" s="12" t="str">
        <x:f>LEFT("914201007646299848",18)</x:f>
        <x:v>914201007646299900</x:v>
      </x:c>
    </x:row>
    <x:row r="4502">
      <x:c r="A4502" s="2" t="n">
        <x:v>4501</x:v>
      </x:c>
      <x:c r="B4502" s="2" t="inlineStr">
        <x:is>
          <x:t xml:space="preserve">688143</x:t>
        </x:is>
      </x:c>
      <x:c r="C4502" s="3" t="inlineStr">
        <x:is>
          <x:t xml:space="preserve">长盈通</x:t>
        </x:is>
      </x:c>
      <x:c r="D4502" s="3" t="inlineStr">
        <x:is>
          <x:t xml:space="preserve">武汉长盈通光电技术股份有限公司</x:t>
        </x:is>
      </x:c>
      <x:c r="E4502" s="2" t="inlineStr">
        <x:is>
          <x:t xml:space="preserve">湖北省</x:t>
        </x:is>
      </x:c>
      <x:c r="F4502" s="2" t="inlineStr">
        <x:is>
          <x:t xml:space="preserve">武汉市</x:t>
        </x:is>
      </x:c>
      <x:c r="G4502" s="3" t="inlineStr">
        <x:is>
          <x:t xml:space="preserve">湖北省-武汉市</x:t>
        </x:is>
      </x:c>
      <x:c r="H4502" s="2" t="inlineStr">
        <x:is>
          <x:t xml:space="preserve">电子元件</x:t>
        </x:is>
      </x:c>
      <x:c r="I4502" s="2" t="inlineStr">
        <x:is>
          <x:t xml:space="preserve">2022-12-12</x:t>
        </x:is>
      </x:c>
      <x:c r="J4502" s="3" t="inlineStr">
        <x:is>
          <x:t xml:space="preserve">武汉市东湖开发区高新五路80号</x:t>
        </x:is>
      </x:c>
      <x:c r="K4502" s="12" t="str">
        <x:f>LEFT("914201005550145025",18)</x:f>
        <x:v>914201005550145000</x:v>
      </x:c>
    </x:row>
    <x:row r="4503">
      <x:c r="A4503" s="4" t="n">
        <x:v>4502</x:v>
      </x:c>
      <x:c r="B4503" s="4" t="inlineStr">
        <x:is>
          <x:t xml:space="preserve">688151</x:t>
        </x:is>
      </x:c>
      <x:c r="C4503" s="5" t="inlineStr">
        <x:is>
          <x:t xml:space="preserve">华强科技</x:t>
        </x:is>
      </x:c>
      <x:c r="D4503" s="5" t="inlineStr">
        <x:is>
          <x:t xml:space="preserve">湖北华强科技股份有限公司</x:t>
        </x:is>
      </x:c>
      <x:c r="E4503" s="4" t="inlineStr">
        <x:is>
          <x:t xml:space="preserve">湖北省</x:t>
        </x:is>
      </x:c>
      <x:c r="F4503" s="4" t="inlineStr">
        <x:is>
          <x:t xml:space="preserve">宜昌市</x:t>
        </x:is>
      </x:c>
      <x:c r="G4503" s="5" t="inlineStr">
        <x:is>
          <x:t xml:space="preserve">湖北省-宜昌市</x:t>
        </x:is>
      </x:c>
      <x:c r="H4503" s="4" t="inlineStr">
        <x:is>
          <x:t xml:space="preserve">专用设备</x:t>
        </x:is>
      </x:c>
      <x:c r="I4503" s="4" t="inlineStr">
        <x:is>
          <x:t xml:space="preserve">2021-12-06</x:t>
        </x:is>
      </x:c>
      <x:c r="J4503" s="5" t="inlineStr">
        <x:is>
          <x:t xml:space="preserve">中国(湖北)自贸区宜昌片区生物产业园东临路499号</x:t>
        </x:is>
      </x:c>
      <x:c r="K4503" s="12" t="str">
        <x:f>LEFT("91420500732701005B",18)</x:f>
        <x:v>91420500732701005B</x:v>
      </x:c>
    </x:row>
    <x:row r="4504">
      <x:c r="A4504" s="2" t="n">
        <x:v>4503</x:v>
      </x:c>
      <x:c r="B4504" s="2" t="inlineStr">
        <x:is>
          <x:t xml:space="preserve">688156</x:t>
        </x:is>
      </x:c>
      <x:c r="C4504" s="3" t="inlineStr">
        <x:is>
          <x:t xml:space="preserve">路德科技</x:t>
        </x:is>
      </x:c>
      <x:c r="D4504" s="3" t="inlineStr">
        <x:is>
          <x:t xml:space="preserve">路德生物环保科技股份有限公司</x:t>
        </x:is>
      </x:c>
      <x:c r="E4504" s="2" t="inlineStr">
        <x:is>
          <x:t xml:space="preserve">湖北省</x:t>
        </x:is>
      </x:c>
      <x:c r="F4504" s="2" t="inlineStr">
        <x:is>
          <x:t xml:space="preserve">武汉市</x:t>
        </x:is>
      </x:c>
      <x:c r="G4504" s="3" t="inlineStr">
        <x:is>
          <x:t xml:space="preserve">湖北省-武汉市</x:t>
        </x:is>
      </x:c>
      <x:c r="H4504" s="2" t="inlineStr">
        <x:is>
          <x:t xml:space="preserve">农牧饲渔</x:t>
        </x:is>
      </x:c>
      <x:c r="I4504" s="2" t="inlineStr">
        <x:is>
          <x:t xml:space="preserve">2020-09-22</x:t>
        </x:is>
      </x:c>
      <x:c r="J4504" s="3" t="inlineStr">
        <x:is>
          <x:t xml:space="preserve">武汉市东湖新技术开发区未来科技城九龙湖街51号</x:t>
        </x:is>
      </x:c>
      <x:c r="K4504" s="12" t="str">
        <x:f>LEFT("914201007893460244",18)</x:f>
        <x:v>914201007893460200</x:v>
      </x:c>
    </x:row>
    <x:row r="4505">
      <x:c r="A4505" s="4" t="n">
        <x:v>4504</x:v>
      </x:c>
      <x:c r="B4505" s="4" t="inlineStr">
        <x:is>
          <x:t xml:space="preserve">688237</x:t>
        </x:is>
      </x:c>
      <x:c r="C4505" s="5" t="inlineStr">
        <x:is>
          <x:t xml:space="preserve">超卓航科</x:t>
        </x:is>
      </x:c>
      <x:c r="D4505" s="5" t="inlineStr">
        <x:is>
          <x:t xml:space="preserve">湖北超卓航空科技股份有限公司</x:t>
        </x:is>
      </x:c>
      <x:c r="E4505" s="4" t="inlineStr">
        <x:is>
          <x:t xml:space="preserve">湖北省</x:t>
        </x:is>
      </x:c>
      <x:c r="F4505" s="4" t="inlineStr">
        <x:is>
          <x:t xml:space="preserve">襄阳市</x:t>
        </x:is>
      </x:c>
      <x:c r="G4505" s="5" t="inlineStr">
        <x:is>
          <x:t xml:space="preserve">湖北省-襄阳市</x:t>
        </x:is>
      </x:c>
      <x:c r="H4505" s="4" t="inlineStr">
        <x:is>
          <x:t xml:space="preserve">航天航空</x:t>
        </x:is>
      </x:c>
      <x:c r="I4505" s="4" t="inlineStr">
        <x:is>
          <x:t xml:space="preserve">2022-07-01</x:t>
        </x:is>
      </x:c>
      <x:c r="J4505" s="5" t="inlineStr">
        <x:is>
          <x:t xml:space="preserve">湖北省襄阳市高新区台子湾路118号</x:t>
        </x:is>
      </x:c>
      <x:c r="K4505" s="12" t="str">
        <x:f>LEFT("914206007932973335",18)</x:f>
        <x:v>914206007932973300</x:v>
      </x:c>
    </x:row>
    <x:row r="4506">
      <x:c r="A4506" s="2" t="n">
        <x:v>4505</x:v>
      </x:c>
      <x:c r="B4506" s="2" t="inlineStr">
        <x:is>
          <x:t xml:space="preserve">688275</x:t>
        </x:is>
      </x:c>
      <x:c r="C4506" s="3" t="inlineStr">
        <x:is>
          <x:t xml:space="preserve">万润新能</x:t>
        </x:is>
      </x:c>
      <x:c r="D4506" s="3" t="inlineStr">
        <x:is>
          <x:t xml:space="preserve">湖北万润新能源科技股份有限公司</x:t>
        </x:is>
      </x:c>
      <x:c r="E4506" s="2" t="inlineStr">
        <x:is>
          <x:t xml:space="preserve">湖北省</x:t>
        </x:is>
      </x:c>
      <x:c r="F4506" s="2" t="inlineStr">
        <x:is>
          <x:t xml:space="preserve">十堰市</x:t>
        </x:is>
      </x:c>
      <x:c r="G4506" s="3" t="inlineStr">
        <x:is>
          <x:t xml:space="preserve">湖北省-十堰市</x:t>
        </x:is>
      </x:c>
      <x:c r="H4506" s="2" t="inlineStr">
        <x:is>
          <x:t xml:space="preserve">电池</x:t>
        </x:is>
      </x:c>
      <x:c r="I4506" s="2" t="inlineStr">
        <x:is>
          <x:t xml:space="preserve">2022-09-29</x:t>
        </x:is>
      </x:c>
      <x:c r="J4506" s="3" t="inlineStr">
        <x:is>
          <x:t xml:space="preserve">湖北省十堰市郧阳经济开发区天马大道557号</x:t>
        </x:is>
      </x:c>
      <x:c r="K4506" s="12" t="str">
        <x:f>LEFT("914203005654858771",18)</x:f>
        <x:v>914203005654858800</x:v>
      </x:c>
    </x:row>
    <x:row r="4507">
      <x:c r="A4507" s="4" t="n">
        <x:v>4506</x:v>
      </x:c>
      <x:c r="B4507" s="4" t="inlineStr">
        <x:is>
          <x:t xml:space="preserve">688387</x:t>
        </x:is>
      </x:c>
      <x:c r="C4507" s="5" t="inlineStr">
        <x:is>
          <x:t xml:space="preserve">信科移动</x:t>
        </x:is>
      </x:c>
      <x:c r="D4507" s="5" t="inlineStr">
        <x:is>
          <x:t xml:space="preserve">中信科移动通信技术股份有限公司</x:t>
        </x:is>
      </x:c>
      <x:c r="E4507" s="4" t="inlineStr">
        <x:is>
          <x:t xml:space="preserve">湖北省</x:t>
        </x:is>
      </x:c>
      <x:c r="F4507" s="4" t="inlineStr">
        <x:is>
          <x:t xml:space="preserve">武汉市</x:t>
        </x:is>
      </x:c>
      <x:c r="G4507" s="5" t="inlineStr">
        <x:is>
          <x:t xml:space="preserve">湖北省-武汉市</x:t>
        </x:is>
      </x:c>
      <x:c r="H4507" s="4" t="inlineStr">
        <x:is>
          <x:t xml:space="preserve">通信设备</x:t>
        </x:is>
      </x:c>
      <x:c r="I4507" s="4" t="inlineStr">
        <x:is>
          <x:t xml:space="preserve">2022-09-26</x:t>
        </x:is>
      </x:c>
      <x:c r="J4507" s="5" t="inlineStr">
        <x:is>
          <x:t xml:space="preserve">武汉东湖新技术开发区邮科院路88号</x:t>
        </x:is>
      </x:c>
      <x:c r="K4507" s="12" t="str">
        <x:f>LEFT("91420100714508850F",18)</x:f>
        <x:v>91420100714508850F</x:v>
      </x:c>
    </x:row>
    <x:row r="4508">
      <x:c r="A4508" s="2" t="n">
        <x:v>4507</x:v>
      </x:c>
      <x:c r="B4508" s="2" t="inlineStr">
        <x:is>
          <x:t xml:space="preserve">688526</x:t>
        </x:is>
      </x:c>
      <x:c r="C4508" s="3" t="inlineStr">
        <x:is>
          <x:t xml:space="preserve">科前生物</x:t>
        </x:is>
      </x:c>
      <x:c r="D4508" s="3" t="inlineStr">
        <x:is>
          <x:t xml:space="preserve">武汉科前生物股份有限公司</x:t>
        </x:is>
      </x:c>
      <x:c r="E4508" s="2" t="inlineStr">
        <x:is>
          <x:t xml:space="preserve">湖北省</x:t>
        </x:is>
      </x:c>
      <x:c r="F4508" s="2" t="inlineStr">
        <x:is>
          <x:t xml:space="preserve">武汉市</x:t>
        </x:is>
      </x:c>
      <x:c r="G4508" s="3" t="inlineStr">
        <x:is>
          <x:t xml:space="preserve">湖北省-武汉市</x:t>
        </x:is>
      </x:c>
      <x:c r="H4508" s="2" t="inlineStr">
        <x:is>
          <x:t xml:space="preserve">农药兽药</x:t>
        </x:is>
      </x:c>
      <x:c r="I4508" s="2" t="inlineStr">
        <x:is>
          <x:t xml:space="preserve">2020-09-22</x:t>
        </x:is>
      </x:c>
      <x:c r="J4508" s="3" t="inlineStr">
        <x:is>
          <x:t xml:space="preserve">武汉市东湖新技术开发区高新二路419号</x:t>
        </x:is>
      </x:c>
      <x:c r="K4508" s="12" t="str">
        <x:f>LEFT("91420100725767014Y",18)</x:f>
        <x:v>91420100725767014Y</x:v>
      </x:c>
    </x:row>
    <x:row r="4509">
      <x:c r="A4509" s="4" t="n">
        <x:v>4508</x:v>
      </x:c>
      <x:c r="B4509" s="4" t="inlineStr">
        <x:is>
          <x:t xml:space="preserve">688545</x:t>
        </x:is>
      </x:c>
      <x:c r="C4509" s="5" t="inlineStr">
        <x:is>
          <x:t xml:space="preserve">兴福电子</x:t>
        </x:is>
      </x:c>
      <x:c r="D4509" s="5" t="inlineStr">
        <x:is>
          <x:t xml:space="preserve">湖北兴福电子材料股份有限公司</x:t>
        </x:is>
      </x:c>
      <x:c r="E4509" s="4" t="inlineStr">
        <x:is>
          <x:t xml:space="preserve">湖北省</x:t>
        </x:is>
      </x:c>
      <x:c r="F4509" s="4" t="inlineStr">
        <x:is>
          <x:t xml:space="preserve">宜昌市</x:t>
        </x:is>
      </x:c>
      <x:c r="G4509" s="5" t="inlineStr">
        <x:is>
          <x:t xml:space="preserve">湖北省-宜昌市</x:t>
        </x:is>
      </x:c>
      <x:c r="H4509" s="4" t="inlineStr">
        <x:is>
          <x:t xml:space="preserve">电子化学品</x:t>
        </x:is>
      </x:c>
      <x:c r="I4509" s="4" t="inlineStr">
        <x:is>
          <x:t xml:space="preserve">2025-01-22</x:t>
        </x:is>
      </x:c>
      <x:c r="J4509" s="5" t="inlineStr">
        <x:is>
          <x:t xml:space="preserve">宜昌市猇亭区猇亭大道66-3号</x:t>
        </x:is>
      </x:c>
      <x:c r="K4509" s="12" t="str">
        <x:f>LEFT("91420500679782802W",18)</x:f>
        <x:v>91420500679782802W</x:v>
      </x:c>
    </x:row>
    <x:row r="4510">
      <x:c r="A4510" s="2" t="n">
        <x:v>4509</x:v>
      </x:c>
      <x:c r="B4510" s="2" t="inlineStr">
        <x:is>
          <x:t xml:space="preserve">688552</x:t>
        </x:is>
      </x:c>
      <x:c r="C4510" s="3" t="inlineStr">
        <x:is>
          <x:t xml:space="preserve">航天南湖</x:t>
        </x:is>
      </x:c>
      <x:c r="D4510" s="3" t="inlineStr">
        <x:is>
          <x:t xml:space="preserve">航天南湖电子信息技术股份有限公司</x:t>
        </x:is>
      </x:c>
      <x:c r="E4510" s="2" t="inlineStr">
        <x:is>
          <x:t xml:space="preserve">湖北省</x:t>
        </x:is>
      </x:c>
      <x:c r="F4510" s="2" t="inlineStr">
        <x:is>
          <x:t xml:space="preserve">荆州市</x:t>
        </x:is>
      </x:c>
      <x:c r="G4510" s="3" t="inlineStr">
        <x:is>
          <x:t xml:space="preserve">湖北省-荆州市</x:t>
        </x:is>
      </x:c>
      <x:c r="H4510" s="2" t="inlineStr">
        <x:is>
          <x:t xml:space="preserve">通信设备</x:t>
        </x:is>
      </x:c>
      <x:c r="I4510" s="2" t="inlineStr">
        <x:is>
          <x:t xml:space="preserve">2023-05-18</x:t>
        </x:is>
      </x:c>
      <x:c r="J4510" s="3" t="inlineStr">
        <x:is>
          <x:t xml:space="preserve">湖北省荆州市经济技术开发区江津东路9号</x:t>
        </x:is>
      </x:c>
      <x:c r="K4510" s="12" t="str">
        <x:f>LEFT("91421000178961298Q",18)</x:f>
        <x:v>91421000178961298Q</x:v>
      </x:c>
    </x:row>
    <x:row r="4511">
      <x:c r="A4511" s="4" t="n">
        <x:v>4510</x:v>
      </x:c>
      <x:c r="B4511" s="4" t="inlineStr">
        <x:is>
          <x:t xml:space="preserve">688646</x:t>
        </x:is>
      </x:c>
      <x:c r="C4511" s="5" t="inlineStr">
        <x:is>
          <x:t xml:space="preserve">逸飞激光</x:t>
        </x:is>
      </x:c>
      <x:c r="D4511" s="5" t="inlineStr">
        <x:is>
          <x:t xml:space="preserve">武汉逸飞激光股份有限公司</x:t>
        </x:is>
      </x:c>
      <x:c r="E4511" s="4" t="inlineStr">
        <x:is>
          <x:t xml:space="preserve">湖北省</x:t>
        </x:is>
      </x:c>
      <x:c r="F4511" s="4" t="inlineStr">
        <x:is>
          <x:t xml:space="preserve">武汉市</x:t>
        </x:is>
      </x:c>
      <x:c r="G4511" s="5" t="inlineStr">
        <x:is>
          <x:t xml:space="preserve">湖北省-武汉市</x:t>
        </x:is>
      </x:c>
      <x:c r="H4511" s="4" t="inlineStr">
        <x:is>
          <x:t xml:space="preserve">专用设备</x:t>
        </x:is>
      </x:c>
      <x:c r="I4511" s="4" t="inlineStr">
        <x:is>
          <x:t xml:space="preserve">2023-07-28</x:t>
        </x:is>
      </x:c>
      <x:c r="J4511" s="5" t="inlineStr">
        <x:is>
          <x:t xml:space="preserve">武汉东湖新技术开发区高新大道999号武汉未来科技城龙山创新园一期C1栋1101室(自贸区武汉片区)</x:t>
        </x:is>
      </x:c>
      <x:c r="K4511" s="12" t="str">
        <x:f>LEFT("91420100781982958N",18)</x:f>
        <x:v>91420100781982958N</x:v>
      </x:c>
    </x:row>
    <x:row r="4512">
      <x:c r="A4512" s="2" t="n">
        <x:v>4511</x:v>
      </x:c>
      <x:c r="B4512" s="2" t="inlineStr">
        <x:is>
          <x:t xml:space="preserve">688665</x:t>
        </x:is>
      </x:c>
      <x:c r="C4512" s="3" t="inlineStr">
        <x:is>
          <x:t xml:space="preserve">四方光电</x:t>
        </x:is>
      </x:c>
      <x:c r="D4512" s="3" t="inlineStr">
        <x:is>
          <x:t xml:space="preserve">四方光电股份有限公司</x:t>
        </x:is>
      </x:c>
      <x:c r="E4512" s="2" t="inlineStr">
        <x:is>
          <x:t xml:space="preserve">湖北省</x:t>
        </x:is>
      </x:c>
      <x:c r="F4512" s="2" t="inlineStr">
        <x:is>
          <x:t xml:space="preserve">武汉市</x:t>
        </x:is>
      </x:c>
      <x:c r="G4512" s="3" t="inlineStr">
        <x:is>
          <x:t xml:space="preserve">湖北省-武汉市</x:t>
        </x:is>
      </x:c>
      <x:c r="H4512" s="2" t="inlineStr">
        <x:is>
          <x:t xml:space="preserve">仪器仪表</x:t>
        </x:is>
      </x:c>
      <x:c r="I4512" s="2" t="inlineStr">
        <x:is>
          <x:t xml:space="preserve">2021-02-09</x:t>
        </x:is>
      </x:c>
      <x:c r="J4512" s="3" t="inlineStr">
        <x:is>
          <x:t xml:space="preserve">武汉市东湖新技术开发区凤凰产业园凤凰园三路3号</x:t>
        </x:is>
      </x:c>
      <x:c r="K4512" s="12" t="str">
        <x:f>LEFT("91420100748345842P",18)</x:f>
        <x:v>91420100748345842P</x:v>
      </x:c>
    </x:row>
    <x:row r="4513">
      <x:c r="A4513" s="4" t="n">
        <x:v>4512</x:v>
      </x:c>
      <x:c r="B4513" s="4" t="inlineStr">
        <x:is>
          <x:t xml:space="preserve">688667</x:t>
        </x:is>
      </x:c>
      <x:c r="C4513" s="5" t="inlineStr">
        <x:is>
          <x:t xml:space="preserve">菱电电控</x:t>
        </x:is>
      </x:c>
      <x:c r="D4513" s="5" t="inlineStr">
        <x:is>
          <x:t xml:space="preserve">武汉菱电汽车电控系统股份有限公司</x:t>
        </x:is>
      </x:c>
      <x:c r="E4513" s="4" t="inlineStr">
        <x:is>
          <x:t xml:space="preserve">湖北省</x:t>
        </x:is>
      </x:c>
      <x:c r="F4513" s="4" t="inlineStr">
        <x:is>
          <x:t xml:space="preserve">武汉市</x:t>
        </x:is>
      </x:c>
      <x:c r="G4513" s="5" t="inlineStr">
        <x:is>
          <x:t xml:space="preserve">湖北省-武汉市</x:t>
        </x:is>
      </x:c>
      <x:c r="H4513" s="4" t="inlineStr">
        <x:is>
          <x:t xml:space="preserve">汽车行业</x:t>
        </x:is>
      </x:c>
      <x:c r="I4513" s="4" t="inlineStr">
        <x:is>
          <x:t xml:space="preserve">2021-03-12</x:t>
        </x:is>
      </x:c>
      <x:c r="J4513" s="5" t="inlineStr">
        <x:is>
          <x:t xml:space="preserve">湖北省武汉市东西湖区金银湖街清水路特8号(11)</x:t>
        </x:is>
      </x:c>
      <x:c r="K4513" s="12" t="str">
        <x:f>LEFT("91420112768092336G",18)</x:f>
        <x:v>91420112768092336G</x:v>
      </x:c>
    </x:row>
    <x:row r="4514">
      <x:c r="A4514" s="2" t="n">
        <x:v>4513</x:v>
      </x:c>
      <x:c r="B4514" s="2" t="inlineStr">
        <x:is>
          <x:t xml:space="preserve">688692</x:t>
        </x:is>
      </x:c>
      <x:c r="C4514" s="3" t="inlineStr">
        <x:is>
          <x:t xml:space="preserve">达梦数据</x:t>
        </x:is>
      </x:c>
      <x:c r="D4514" s="3" t="inlineStr">
        <x:is>
          <x:t xml:space="preserve">武汉达梦数据库股份有限公司</x:t>
        </x:is>
      </x:c>
      <x:c r="E4514" s="2" t="inlineStr">
        <x:is>
          <x:t xml:space="preserve">湖北省</x:t>
        </x:is>
      </x:c>
      <x:c r="F4514" s="2" t="inlineStr">
        <x:is>
          <x:t xml:space="preserve">武汉市</x:t>
        </x:is>
      </x:c>
      <x:c r="G4514" s="3" t="inlineStr">
        <x:is>
          <x:t xml:space="preserve">湖北省-武汉市</x:t>
        </x:is>
      </x:c>
      <x:c r="H4514" s="2" t="inlineStr">
        <x:is>
          <x:t xml:space="preserve">软件开发</x:t>
        </x:is>
      </x:c>
      <x:c r="I4514" s="2" t="inlineStr">
        <x:is>
          <x:t xml:space="preserve">2024-06-12</x:t>
        </x:is>
      </x:c>
      <x:c r="J4514" s="3" t="inlineStr">
        <x:is>
          <x:t xml:space="preserve">武汉东湖新技术开发区高新大道999号未来科技大厦C3栋16-19层</x:t>
        </x:is>
      </x:c>
      <x:c r="K4514" s="12" t="str">
        <x:f>LEFT("914201007246920224",18)</x:f>
        <x:v>914201007246920200</x:v>
      </x:c>
    </x:row>
    <x:row r="4515">
      <x:c r="A4515" s="4" t="n">
        <x:v>4514</x:v>
      </x:c>
      <x:c r="B4515" s="4" t="inlineStr">
        <x:is>
          <x:t xml:space="preserve">688765</x:t>
        </x:is>
      </x:c>
      <x:c r="C4515" s="5" t="inlineStr">
        <x:is>
          <x:t xml:space="preserve">禾元生物</x:t>
        </x:is>
      </x:c>
      <x:c r="D4515" s="5" t="inlineStr">
        <x:is>
          <x:t xml:space="preserve">武汉禾元生物科技股份有限公司</x:t>
        </x:is>
      </x:c>
      <x:c r="E4515" s="4" t="inlineStr">
        <x:is>
          <x:t xml:space="preserve">湖北省</x:t>
        </x:is>
      </x:c>
      <x:c r="F4515" s="4" t="inlineStr">
        <x:is>
          <x:t xml:space="preserve">武汉市</x:t>
        </x:is>
      </x:c>
      <x:c r="G4515" s="5" t="inlineStr">
        <x:is>
          <x:t xml:space="preserve">湖北省-武汉市</x:t>
        </x:is>
      </x:c>
      <x:c r="H4515" s="4" t="inlineStr">
        <x:is>
          <x:t xml:space="preserve">生物制品</x:t>
        </x:is>
      </x:c>
      <x:c r="I4515" s="4" t="inlineStr">
        <x:is>
          <x:t xml:space="preserve">2025-10-28</x:t>
        </x:is>
      </x:c>
      <x:c r="J4515" s="5" t="inlineStr">
        <x:is>
          <x:t xml:space="preserve">武汉东湖新技术开发区神墩五路268号</x:t>
        </x:is>
      </x:c>
      <x:c r="K4515" s="12" t="str">
        <x:f>LEFT("91420100792447416G",18)</x:f>
        <x:v>91420100792447416G</x:v>
      </x:c>
    </x:row>
    <x:row r="4516">
      <x:c r="A4516" s="2" t="n">
        <x:v>4515</x:v>
      </x:c>
      <x:c r="B4516" s="2" t="inlineStr">
        <x:is>
          <x:t xml:space="preserve">000157</x:t>
        </x:is>
      </x:c>
      <x:c r="C4516" s="3" t="inlineStr">
        <x:is>
          <x:t xml:space="preserve">中联重科</x:t>
        </x:is>
      </x:c>
      <x:c r="D4516" s="3" t="inlineStr">
        <x:is>
          <x:t xml:space="preserve">中联重科股份有限公司</x:t>
        </x:is>
      </x:c>
      <x:c r="E4516" s="2" t="inlineStr">
        <x:is>
          <x:t xml:space="preserve">湖南省</x:t>
        </x:is>
      </x:c>
      <x:c r="F4516" s="2" t="inlineStr">
        <x:is>
          <x:t xml:space="preserve">长沙市</x:t>
        </x:is>
      </x:c>
      <x:c r="G4516" s="3" t="inlineStr">
        <x:is>
          <x:t xml:space="preserve">湖南省-长沙市</x:t>
        </x:is>
      </x:c>
      <x:c r="H4516" s="2" t="inlineStr">
        <x:is>
          <x:t xml:space="preserve">工程机械</x:t>
        </x:is>
      </x:c>
      <x:c r="I4516" s="2" t="inlineStr">
        <x:is>
          <x:t xml:space="preserve">2000-10-12</x:t>
        </x:is>
      </x:c>
      <x:c r="J4516" s="3" t="inlineStr">
        <x:is>
          <x:t xml:space="preserve">湖南省长沙市银盆南路361号</x:t>
        </x:is>
      </x:c>
      <x:c r="K4516" s="12" t="str">
        <x:f>LEFT("914300007121944054",18)</x:f>
        <x:v>914300007121944000</x:v>
      </x:c>
    </x:row>
    <x:row r="4517">
      <x:c r="A4517" s="4" t="n">
        <x:v>4516</x:v>
      </x:c>
      <x:c r="B4517" s="4" t="inlineStr">
        <x:is>
          <x:t xml:space="preserve">000419</x:t>
        </x:is>
      </x:c>
      <x:c r="C4517" s="5" t="inlineStr">
        <x:is>
          <x:t xml:space="preserve">通程控股</x:t>
        </x:is>
      </x:c>
      <x:c r="D4517" s="5" t="inlineStr">
        <x:is>
          <x:t xml:space="preserve">长沙通程控股股份有限公司</x:t>
        </x:is>
      </x:c>
      <x:c r="E4517" s="4" t="inlineStr">
        <x:is>
          <x:t xml:space="preserve">湖南省</x:t>
        </x:is>
      </x:c>
      <x:c r="F4517" s="4" t="inlineStr">
        <x:is>
          <x:t xml:space="preserve">长沙市</x:t>
        </x:is>
      </x:c>
      <x:c r="G4517" s="5" t="inlineStr">
        <x:is>
          <x:t xml:space="preserve">湖南省-长沙市</x:t>
        </x:is>
      </x:c>
      <x:c r="H4517" s="4" t="inlineStr">
        <x:is>
          <x:t xml:space="preserve">商业百货</x:t>
        </x:is>
      </x:c>
      <x:c r="I4517" s="4" t="inlineStr">
        <x:is>
          <x:t xml:space="preserve">1996-08-16</x:t>
        </x:is>
      </x:c>
      <x:c r="J4517" s="5" t="inlineStr">
        <x:is>
          <x:t xml:space="preserve">中国湖南长沙市劳动西路589号</x:t>
        </x:is>
      </x:c>
      <x:c r="K4517" s="12" t="str">
        <x:f>LEFT("91430000183800499R",18)</x:f>
        <x:v>91430000183800499R</x:v>
      </x:c>
    </x:row>
    <x:row r="4518">
      <x:c r="A4518" s="2" t="n">
        <x:v>4517</x:v>
      </x:c>
      <x:c r="B4518" s="2" t="inlineStr">
        <x:is>
          <x:t xml:space="preserve">000428</x:t>
        </x:is>
      </x:c>
      <x:c r="C4518" s="3" t="inlineStr">
        <x:is>
          <x:t xml:space="preserve">华天酒店</x:t>
        </x:is>
      </x:c>
      <x:c r="D4518" s="3" t="inlineStr">
        <x:is>
          <x:t xml:space="preserve">华天酒店集团股份有限公司</x:t>
        </x:is>
      </x:c>
      <x:c r="E4518" s="2" t="inlineStr">
        <x:is>
          <x:t xml:space="preserve">湖南省</x:t>
        </x:is>
      </x:c>
      <x:c r="F4518" s="2" t="inlineStr">
        <x:is>
          <x:t xml:space="preserve">长沙市</x:t>
        </x:is>
      </x:c>
      <x:c r="G4518" s="3" t="inlineStr">
        <x:is>
          <x:t xml:space="preserve">湖南省-长沙市</x:t>
        </x:is>
      </x:c>
      <x:c r="H4518" s="2" t="inlineStr">
        <x:is>
          <x:t xml:space="preserve">旅游酒店</x:t>
        </x:is>
      </x:c>
      <x:c r="I4518" s="2" t="inlineStr">
        <x:is>
          <x:t xml:space="preserve">1996-08-08</x:t>
        </x:is>
      </x:c>
      <x:c r="J4518" s="3" t="inlineStr">
        <x:is>
          <x:t xml:space="preserve">长沙市芙蓉区解放东路300号</x:t>
        </x:is>
      </x:c>
      <x:c r="K4518" s="12" t="str">
        <x:f>LEFT("914300006167701771",18)</x:f>
        <x:v>914300006167701800</x:v>
      </x:c>
    </x:row>
    <x:row r="4519">
      <x:c r="A4519" s="4" t="n">
        <x:v>4518</x:v>
      </x:c>
      <x:c r="B4519" s="4" t="inlineStr">
        <x:is>
          <x:t xml:space="preserve">000430</x:t>
        </x:is>
      </x:c>
      <x:c r="C4519" s="5" t="inlineStr">
        <x:is>
          <x:t xml:space="preserve">ST张家界</x:t>
        </x:is>
      </x:c>
      <x:c r="D4519" s="5" t="inlineStr">
        <x:is>
          <x:t xml:space="preserve">张家界旅游集团股份有限公司</x:t>
        </x:is>
      </x:c>
      <x:c r="E4519" s="4" t="inlineStr">
        <x:is>
          <x:t xml:space="preserve">湖南省</x:t>
        </x:is>
      </x:c>
      <x:c r="F4519" s="4" t="inlineStr">
        <x:is>
          <x:t xml:space="preserve">张家界市</x:t>
        </x:is>
      </x:c>
      <x:c r="G4519" s="5" t="inlineStr">
        <x:is>
          <x:t xml:space="preserve">湖南省-张家界市</x:t>
        </x:is>
      </x:c>
      <x:c r="H4519" s="4" t="inlineStr">
        <x:is>
          <x:t xml:space="preserve">旅游酒店</x:t>
        </x:is>
      </x:c>
      <x:c r="I4519" s="4" t="inlineStr">
        <x:is>
          <x:t xml:space="preserve">1996-08-29</x:t>
        </x:is>
      </x:c>
      <x:c r="J4519" s="5" t="inlineStr">
        <x:is>
          <x:t xml:space="preserve">湖南省张家界市南庄坪</x:t>
        </x:is>
      </x:c>
      <x:c r="K4519" s="12" t="str">
        <x:f>LEFT("91430800186881407B",18)</x:f>
        <x:v>91430800186881407B</x:v>
      </x:c>
    </x:row>
    <x:row r="4520">
      <x:c r="A4520" s="2" t="n">
        <x:v>4519</x:v>
      </x:c>
      <x:c r="B4520" s="2" t="inlineStr">
        <x:is>
          <x:t xml:space="preserve">000504</x:t>
        </x:is>
      </x:c>
      <x:c r="C4520" s="3" t="inlineStr">
        <x:is>
          <x:t xml:space="preserve">南华生物</x:t>
        </x:is>
      </x:c>
      <x:c r="D4520" s="3" t="inlineStr">
        <x:is>
          <x:t xml:space="preserve">南华生物医药股份有限公司</x:t>
        </x:is>
      </x:c>
      <x:c r="E4520" s="2" t="inlineStr">
        <x:is>
          <x:t xml:space="preserve">湖南省</x:t>
        </x:is>
      </x:c>
      <x:c r="F4520" s="2" t="inlineStr">
        <x:is>
          <x:t xml:space="preserve">长沙市</x:t>
        </x:is>
      </x:c>
      <x:c r="G4520" s="3" t="inlineStr">
        <x:is>
          <x:t xml:space="preserve">湖南省-长沙市</x:t>
        </x:is>
      </x:c>
      <x:c r="H4520" s="2" t="inlineStr">
        <x:is>
          <x:t xml:space="preserve">医疗服务</x:t>
        </x:is>
      </x:c>
      <x:c r="I4520" s="2" t="inlineStr">
        <x:is>
          <x:t xml:space="preserve">1992-12-08</x:t>
        </x:is>
      </x:c>
      <x:c r="J4520" s="3" t="inlineStr">
        <x:is>
          <x:t xml:space="preserve">长沙市高新区岳麓西大道1698号麓谷科技创新创业园B1栋3楼</x:t>
        </x:is>
      </x:c>
      <x:c r="K4520" s="12" t="str">
        <x:f>LEFT("91430000700227986F",18)</x:f>
        <x:v>91430000700227986F</x:v>
      </x:c>
    </x:row>
    <x:row r="4521">
      <x:c r="A4521" s="4" t="n">
        <x:v>4520</x:v>
      </x:c>
      <x:c r="B4521" s="4" t="inlineStr">
        <x:is>
          <x:t xml:space="preserve">000548</x:t>
        </x:is>
      </x:c>
      <x:c r="C4521" s="5" t="inlineStr">
        <x:is>
          <x:t xml:space="preserve">湖南投资</x:t>
        </x:is>
      </x:c>
      <x:c r="D4521" s="5" t="inlineStr">
        <x:is>
          <x:t xml:space="preserve">湖南投资集团股份有限公司</x:t>
        </x:is>
      </x:c>
      <x:c r="E4521" s="4" t="inlineStr">
        <x:is>
          <x:t xml:space="preserve">湖南省</x:t>
        </x:is>
      </x:c>
      <x:c r="F4521" s="4" t="inlineStr">
        <x:is>
          <x:t xml:space="preserve">长沙市</x:t>
        </x:is>
      </x:c>
      <x:c r="G4521" s="5" t="inlineStr">
        <x:is>
          <x:t xml:space="preserve">湖南省-长沙市</x:t>
        </x:is>
      </x:c>
      <x:c r="H4521" s="4" t="inlineStr">
        <x:is>
          <x:t xml:space="preserve">高速公路</x:t>
        </x:is>
      </x:c>
      <x:c r="I4521" s="4" t="inlineStr">
        <x:is>
          <x:t xml:space="preserve">1993-12-20</x:t>
        </x:is>
      </x:c>
      <x:c r="J4521" s="5" t="inlineStr">
        <x:is>
          <x:t xml:space="preserve">长沙市芙蓉区五一大道447号湖南投资大厦二十一楼</x:t>
        </x:is>
      </x:c>
      <x:c r="K4521" s="12" t="str">
        <x:f>LEFT("91430000183783561L",18)</x:f>
        <x:v>91430000183783561L</x:v>
      </x:c>
    </x:row>
    <x:row r="4522">
      <x:c r="A4522" s="2" t="n">
        <x:v>4521</x:v>
      </x:c>
      <x:c r="B4522" s="2" t="inlineStr">
        <x:is>
          <x:t xml:space="preserve">000590</x:t>
        </x:is>
      </x:c>
      <x:c r="C4522" s="3" t="inlineStr">
        <x:is>
          <x:t xml:space="preserve">古汉医药</x:t>
        </x:is>
      </x:c>
      <x:c r="D4522" s="3" t="inlineStr">
        <x:is>
          <x:t xml:space="preserve">古汉医药集团股份公司</x:t>
        </x:is>
      </x:c>
      <x:c r="E4522" s="2" t="inlineStr">
        <x:is>
          <x:t xml:space="preserve">湖南省</x:t>
        </x:is>
      </x:c>
      <x:c r="F4522" s="2" t="inlineStr">
        <x:is>
          <x:t xml:space="preserve">衡阳市</x:t>
        </x:is>
      </x:c>
      <x:c r="G4522" s="3" t="inlineStr">
        <x:is>
          <x:t xml:space="preserve">湖南省-衡阳市</x:t>
        </x:is>
      </x:c>
      <x:c r="H4522" s="2" t="inlineStr">
        <x:is>
          <x:t xml:space="preserve">中药</x:t>
        </x:is>
      </x:c>
      <x:c r="I4522" s="2" t="inlineStr">
        <x:is>
          <x:t xml:space="preserve">1996-01-19</x:t>
        </x:is>
      </x:c>
      <x:c r="J4522" s="3" t="inlineStr">
        <x:is>
          <x:t xml:space="preserve">湖南省衡阳市高新区杨柳路33号</x:t>
        </x:is>
      </x:c>
      <x:c r="K4522" s="12" t="str">
        <x:f>LEFT("91430400185034724L",18)</x:f>
        <x:v>91430400185034724L</x:v>
      </x:c>
    </x:row>
    <x:row r="4523">
      <x:c r="A4523" s="4" t="n">
        <x:v>4522</x:v>
      </x:c>
      <x:c r="B4523" s="4" t="inlineStr">
        <x:is>
          <x:t xml:space="preserve">000669</x:t>
        </x:is>
      </x:c>
      <x:c r="C4523" s="5" t="inlineStr">
        <x:is>
          <x:t xml:space="preserve">ST金鸿</x:t>
        </x:is>
      </x:c>
      <x:c r="D4523" s="5" t="inlineStr">
        <x:is>
          <x:t xml:space="preserve">金鸿控股集团股份有限公司</x:t>
        </x:is>
      </x:c>
      <x:c r="E4523" s="4" t="inlineStr">
        <x:is>
          <x:t xml:space="preserve">湖南省</x:t>
        </x:is>
      </x:c>
      <x:c r="F4523" s="4" t="inlineStr">
        <x:is>
          <x:t xml:space="preserve">衡阳市</x:t>
        </x:is>
      </x:c>
      <x:c r="G4523" s="5" t="inlineStr">
        <x:is>
          <x:t xml:space="preserve">湖南省-衡阳市</x:t>
        </x:is>
      </x:c>
      <x:c r="H4523" s="4" t="inlineStr">
        <x:is>
          <x:t xml:space="preserve">燃气</x:t>
        </x:is>
      </x:c>
      <x:c r="I4523" s="4" t="inlineStr">
        <x:is>
          <x:t xml:space="preserve">1996-12-10</x:t>
        </x:is>
      </x:c>
      <x:c r="J4523" s="5" t="inlineStr">
        <x:is>
          <x:t xml:space="preserve">湖南省衡阳市石鼓区合江街道计量大道88号4号栋</x:t>
        </x:is>
      </x:c>
      <x:c r="K4523" s="12" t="str">
        <x:f>LEFT("91220000124483526G",18)</x:f>
        <x:v>91220000124483526G</x:v>
      </x:c>
    </x:row>
    <x:row r="4524">
      <x:c r="A4524" s="2" t="n">
        <x:v>4523</x:v>
      </x:c>
      <x:c r="B4524" s="2" t="inlineStr">
        <x:is>
          <x:t xml:space="preserve">000702</x:t>
        </x:is>
      </x:c>
      <x:c r="C4524" s="3" t="inlineStr">
        <x:is>
          <x:t xml:space="preserve">正虹科技</x:t>
        </x:is>
      </x:c>
      <x:c r="D4524" s="3" t="inlineStr">
        <x:is>
          <x:t xml:space="preserve">湖南正虹科技发展股份有限公司</x:t>
        </x:is>
      </x:c>
      <x:c r="E4524" s="2" t="inlineStr">
        <x:is>
          <x:t xml:space="preserve">湖南省</x:t>
        </x:is>
      </x:c>
      <x:c r="F4524" s="2" t="inlineStr">
        <x:is>
          <x:t xml:space="preserve">岳阳市</x:t>
        </x:is>
      </x:c>
      <x:c r="G4524" s="3" t="inlineStr">
        <x:is>
          <x:t xml:space="preserve">湖南省-岳阳市</x:t>
        </x:is>
      </x:c>
      <x:c r="H4524" s="2" t="inlineStr">
        <x:is>
          <x:t xml:space="preserve">农牧饲渔</x:t>
        </x:is>
      </x:c>
      <x:c r="I4524" s="2" t="inlineStr">
        <x:is>
          <x:t xml:space="preserve">1997-03-18</x:t>
        </x:is>
      </x:c>
      <x:c r="J4524" s="3" t="inlineStr">
        <x:is>
          <x:t xml:space="preserve">岳阳市云溪区云港路CCTC保税大厦12楼</x:t>
        </x:is>
      </x:c>
      <x:c r="K4524" s="12" t="str">
        <x:f>LEFT("914306001838041075",18)</x:f>
        <x:v>914306001838041100</x:v>
      </x:c>
    </x:row>
    <x:row r="4525">
      <x:c r="A4525" s="4" t="n">
        <x:v>4524</x:v>
      </x:c>
      <x:c r="B4525" s="4" t="inlineStr">
        <x:is>
          <x:t xml:space="preserve">000722</x:t>
        </x:is>
      </x:c>
      <x:c r="C4525" s="5" t="inlineStr">
        <x:is>
          <x:t xml:space="preserve">湖南发展</x:t>
        </x:is>
      </x:c>
      <x:c r="D4525" s="5" t="inlineStr">
        <x:is>
          <x:t xml:space="preserve">湖南能源集团发展股份有限公司</x:t>
        </x:is>
      </x:c>
      <x:c r="E4525" s="4" t="inlineStr">
        <x:is>
          <x:t xml:space="preserve">湖南省</x:t>
        </x:is>
      </x:c>
      <x:c r="F4525" s="4" t="inlineStr">
        <x:is>
          <x:t xml:space="preserve">长沙市</x:t>
        </x:is>
      </x:c>
      <x:c r="G4525" s="5" t="inlineStr">
        <x:is>
          <x:t xml:space="preserve">湖南省-长沙市</x:t>
        </x:is>
      </x:c>
      <x:c r="H4525" s="4" t="inlineStr">
        <x:is>
          <x:t xml:space="preserve">电力行业</x:t>
        </x:is>
      </x:c>
      <x:c r="I4525" s="4" t="inlineStr">
        <x:is>
          <x:t xml:space="preserve">1997-05-22</x:t>
        </x:is>
      </x:c>
      <x:c r="J4525" s="5" t="inlineStr">
        <x:is>
          <x:t xml:space="preserve">长沙市天心区芙蓉中路三段142号光大发展大厦2708</x:t>
        </x:is>
      </x:c>
      <x:c r="K4525" s="12" t="str">
        <x:f>LEFT("91430000185034687R",18)</x:f>
        <x:v>91430000185034687R</x:v>
      </x:c>
    </x:row>
    <x:row r="4526">
      <x:c r="A4526" s="2" t="n">
        <x:v>4525</x:v>
      </x:c>
      <x:c r="B4526" s="2" t="inlineStr">
        <x:is>
          <x:t xml:space="preserve">000799</x:t>
        </x:is>
      </x:c>
      <x:c r="C4526" s="3" t="inlineStr">
        <x:is>
          <x:t xml:space="preserve">酒鬼酒</x:t>
        </x:is>
      </x:c>
      <x:c r="D4526" s="3" t="inlineStr">
        <x:is>
          <x:t xml:space="preserve">酒鬼酒股份有限公司</x:t>
        </x:is>
      </x:c>
      <x:c r="E4526" s="2" t="inlineStr">
        <x:is>
          <x:t xml:space="preserve">湖南省</x:t>
        </x:is>
      </x:c>
      <x:c r="F4526" s="2" t="inlineStr">
        <x:is>
          <x:t xml:space="preserve">南省吉首市</x:t>
        </x:is>
      </x:c>
      <x:c r="G4526" s="3" t="inlineStr">
        <x:is>
          <x:t xml:space="preserve">湖南省-南省吉首市</x:t>
        </x:is>
      </x:c>
      <x:c r="H4526" s="2" t="inlineStr">
        <x:is>
          <x:t xml:space="preserve">酿酒行业</x:t>
        </x:is>
      </x:c>
      <x:c r="I4526" s="2" t="inlineStr">
        <x:is>
          <x:t xml:space="preserve">1997-07-18</x:t>
        </x:is>
      </x:c>
      <x:c r="J4526" s="3" t="inlineStr">
        <x:is>
          <x:t xml:space="preserve">湖南省吉首市峒河街道振武营村</x:t>
        </x:is>
      </x:c>
      <x:c r="K4526" s="12" t="str">
        <x:f>LEFT("91433100183806380W",18)</x:f>
        <x:v>91433100183806380W</x:v>
      </x:c>
    </x:row>
    <x:row r="4527">
      <x:c r="A4527" s="4" t="n">
        <x:v>4526</x:v>
      </x:c>
      <x:c r="B4527" s="4" t="inlineStr">
        <x:is>
          <x:t xml:space="preserve">000819</x:t>
        </x:is>
      </x:c>
      <x:c r="C4527" s="5" t="inlineStr">
        <x:is>
          <x:t xml:space="preserve">岳阳兴长</x:t>
        </x:is>
      </x:c>
      <x:c r="D4527" s="5" t="inlineStr">
        <x:is>
          <x:t xml:space="preserve">岳阳兴长石化股份有限公司</x:t>
        </x:is>
      </x:c>
      <x:c r="E4527" s="4" t="inlineStr">
        <x:is>
          <x:t xml:space="preserve">湖南省</x:t>
        </x:is>
      </x:c>
      <x:c r="F4527" s="4" t="inlineStr">
        <x:is>
          <x:t xml:space="preserve">岳阳市</x:t>
        </x:is>
      </x:c>
      <x:c r="G4527" s="5" t="inlineStr">
        <x:is>
          <x:t xml:space="preserve">湖南省-岳阳市</x:t>
        </x:is>
      </x:c>
      <x:c r="H4527" s="4" t="inlineStr">
        <x:is>
          <x:t xml:space="preserve">石油行业</x:t>
        </x:is>
      </x:c>
      <x:c r="I4527" s="4" t="inlineStr">
        <x:is>
          <x:t xml:space="preserve">1997-06-25</x:t>
        </x:is>
      </x:c>
      <x:c r="J4527" s="5" t="inlineStr">
        <x:is>
          <x:t xml:space="preserve">岳阳市云溪区路口镇</x:t>
        </x:is>
      </x:c>
      <x:c r="K4527" s="12" t="str">
        <x:f>LEFT("91430600186201870U",18)</x:f>
        <x:v>91430600186201870U</x:v>
      </x:c>
    </x:row>
    <x:row r="4528">
      <x:c r="A4528" s="2" t="n">
        <x:v>4527</x:v>
      </x:c>
      <x:c r="B4528" s="2" t="inlineStr">
        <x:is>
          <x:t xml:space="preserve">000900</x:t>
        </x:is>
      </x:c>
      <x:c r="C4528" s="3" t="inlineStr">
        <x:is>
          <x:t xml:space="preserve">现代投资</x:t>
        </x:is>
      </x:c>
      <x:c r="D4528" s="3" t="inlineStr">
        <x:is>
          <x:t xml:space="preserve">现代投资股份有限公司</x:t>
        </x:is>
      </x:c>
      <x:c r="E4528" s="2" t="inlineStr">
        <x:is>
          <x:t xml:space="preserve">湖南省</x:t>
        </x:is>
      </x:c>
      <x:c r="F4528" s="2" t="inlineStr">
        <x:is>
          <x:t xml:space="preserve">长沙市</x:t>
        </x:is>
      </x:c>
      <x:c r="G4528" s="3" t="inlineStr">
        <x:is>
          <x:t xml:space="preserve">湖南省-长沙市</x:t>
        </x:is>
      </x:c>
      <x:c r="H4528" s="2" t="inlineStr">
        <x:is>
          <x:t xml:space="preserve">高速公路</x:t>
        </x:is>
      </x:c>
      <x:c r="I4528" s="2" t="inlineStr">
        <x:is>
          <x:t xml:space="preserve">1999-01-28</x:t>
        </x:is>
      </x:c>
      <x:c r="J4528" s="3" t="inlineStr">
        <x:is>
          <x:t xml:space="preserve">长沙市天心区芙蓉南路二段128号现代广场</x:t>
        </x:is>
      </x:c>
      <x:c r="K4528" s="12" t="str">
        <x:f>LEFT("914300001837784984",18)</x:f>
        <x:v>914300001837785000</x:v>
      </x:c>
    </x:row>
    <x:row r="4529">
      <x:c r="A4529" s="4" t="n">
        <x:v>4528</x:v>
      </x:c>
      <x:c r="B4529" s="4" t="inlineStr">
        <x:is>
          <x:t xml:space="preserve">000908</x:t>
        </x:is>
      </x:c>
      <x:c r="C4529" s="5" t="inlineStr">
        <x:is>
          <x:t xml:space="preserve">ST景峰</x:t>
        </x:is>
      </x:c>
      <x:c r="D4529" s="5" t="inlineStr">
        <x:is>
          <x:t xml:space="preserve">湖南景峰医药股份有限公司</x:t>
        </x:is>
      </x:c>
      <x:c r="E4529" s="4" t="inlineStr">
        <x:is>
          <x:t xml:space="preserve">湖南省</x:t>
        </x:is>
      </x:c>
      <x:c r="F4529" s="4" t="inlineStr">
        <x:is>
          <x:t xml:space="preserve">常德市</x:t>
        </x:is>
      </x:c>
      <x:c r="G4529" s="5" t="inlineStr">
        <x:is>
          <x:t xml:space="preserve">湖南省-常德市</x:t>
        </x:is>
      </x:c>
      <x:c r="H4529" s="4" t="inlineStr">
        <x:is>
          <x:t xml:space="preserve">医药制造</x:t>
        </x:is>
      </x:c>
      <x:c r="I4529" s="4" t="inlineStr">
        <x:is>
          <x:t xml:space="preserve">1999-02-03</x:t>
        </x:is>
      </x:c>
      <x:c r="J4529" s="5" t="inlineStr">
        <x:is>
          <x:t xml:space="preserve">湖南省常德经济技术开发区樟木桥街道双岗社区桃林路661号(双创大厦1703室)</x:t>
        </x:is>
      </x:c>
      <x:c r="K4529" s="12" t="str">
        <x:f>LEFT("914306007121062680",18)</x:f>
        <x:v>914306007121062700</x:v>
      </x:c>
    </x:row>
    <x:row r="4530">
      <x:c r="A4530" s="2" t="n">
        <x:v>4529</x:v>
      </x:c>
      <x:c r="B4530" s="2" t="inlineStr">
        <x:is>
          <x:t xml:space="preserve">000917</x:t>
        </x:is>
      </x:c>
      <x:c r="C4530" s="3" t="inlineStr">
        <x:is>
          <x:t xml:space="preserve">电广传媒</x:t>
        </x:is>
      </x:c>
      <x:c r="D4530" s="3" t="inlineStr">
        <x:is>
          <x:t xml:space="preserve">湖南电广传媒股份有限公司</x:t>
        </x:is>
      </x:c>
      <x:c r="E4530" s="2" t="inlineStr">
        <x:is>
          <x:t xml:space="preserve">湖南省</x:t>
        </x:is>
      </x:c>
      <x:c r="F4530" s="2" t="inlineStr">
        <x:is>
          <x:t xml:space="preserve">长沙市</x:t>
        </x:is>
      </x:c>
      <x:c r="G4530" s="3" t="inlineStr">
        <x:is>
          <x:t xml:space="preserve">湖南省-长沙市</x:t>
        </x:is>
      </x:c>
      <x:c r="H4530" s="2" t="inlineStr">
        <x:is>
          <x:t xml:space="preserve">文化传媒</x:t>
        </x:is>
      </x:c>
      <x:c r="I4530" s="2" t="inlineStr">
        <x:is>
          <x:t xml:space="preserve">1999-03-25</x:t>
        </x:is>
      </x:c>
      <x:c r="J4530" s="3" t="inlineStr">
        <x:is>
          <x:t xml:space="preserve">长沙市浏阳河大桥东</x:t>
        </x:is>
      </x:c>
      <x:c r="K4530" s="12" t="str">
        <x:f>LEFT("91430000712106217Q",18)</x:f>
        <x:v>91430000712106217Q</x:v>
      </x:c>
    </x:row>
    <x:row r="4531">
      <x:c r="A4531" s="4" t="n">
        <x:v>4530</x:v>
      </x:c>
      <x:c r="B4531" s="4" t="inlineStr">
        <x:is>
          <x:t xml:space="preserve">000932</x:t>
        </x:is>
      </x:c>
      <x:c r="C4531" s="5" t="inlineStr">
        <x:is>
          <x:t xml:space="preserve">华菱钢铁</x:t>
        </x:is>
      </x:c>
      <x:c r="D4531" s="5" t="inlineStr">
        <x:is>
          <x:t xml:space="preserve">湖南华菱钢铁股份有限公司</x:t>
        </x:is>
      </x:c>
      <x:c r="E4531" s="4" t="inlineStr">
        <x:is>
          <x:t xml:space="preserve">湖南省</x:t>
        </x:is>
      </x:c>
      <x:c r="F4531" s="4" t="inlineStr">
        <x:is>
          <x:t xml:space="preserve">长沙市</x:t>
        </x:is>
      </x:c>
      <x:c r="G4531" s="5" t="inlineStr">
        <x:is>
          <x:t xml:space="preserve">湖南省-长沙市</x:t>
        </x:is>
      </x:c>
      <x:c r="H4531" s="4" t="inlineStr">
        <x:is>
          <x:t xml:space="preserve">钢铁行业</x:t>
        </x:is>
      </x:c>
      <x:c r="I4531" s="4" t="inlineStr">
        <x:is>
          <x:t xml:space="preserve">1999-08-03</x:t>
        </x:is>
      </x:c>
      <x:c r="J4531" s="5" t="inlineStr">
        <x:is>
          <x:t xml:space="preserve">湖南省长沙市天心区湘府西路222号</x:t>
        </x:is>
      </x:c>
      <x:c r="K4531" s="12" t="str">
        <x:f>LEFT("91430000712190148K",18)</x:f>
        <x:v>91430000712190148K</x:v>
      </x:c>
    </x:row>
    <x:row r="4532">
      <x:c r="A4532" s="2" t="n">
        <x:v>4531</x:v>
      </x:c>
      <x:c r="B4532" s="2" t="inlineStr">
        <x:is>
          <x:t xml:space="preserve">000989</x:t>
        </x:is>
      </x:c>
      <x:c r="C4532" s="3" t="inlineStr">
        <x:is>
          <x:t xml:space="preserve">ST九芝</x:t>
        </x:is>
      </x:c>
      <x:c r="D4532" s="3" t="inlineStr">
        <x:is>
          <x:t xml:space="preserve">九芝堂股份有限公司</x:t>
        </x:is>
      </x:c>
      <x:c r="E4532" s="2" t="inlineStr">
        <x:is>
          <x:t xml:space="preserve">湖南省</x:t>
        </x:is>
      </x:c>
      <x:c r="F4532" s="2" t="inlineStr">
        <x:is>
          <x:t xml:space="preserve">长沙市</x:t>
        </x:is>
      </x:c>
      <x:c r="G4532" s="3" t="inlineStr">
        <x:is>
          <x:t xml:space="preserve">湖南省-长沙市</x:t>
        </x:is>
      </x:c>
      <x:c r="H4532" s="2" t="inlineStr">
        <x:is>
          <x:t xml:space="preserve">中药</x:t>
        </x:is>
      </x:c>
      <x:c r="I4532" s="2" t="inlineStr">
        <x:is>
          <x:t xml:space="preserve">2000-06-28</x:t>
        </x:is>
      </x:c>
      <x:c r="J4532" s="3" t="inlineStr">
        <x:is>
          <x:t xml:space="preserve">长沙市高新区桐梓坡西路339号</x:t>
        </x:is>
      </x:c>
      <x:c r="K4532" s="12" t="str">
        <x:f>LEFT("91430000712191079B",18)</x:f>
        <x:v>91430000712191079B</x:v>
      </x:c>
    </x:row>
    <x:row r="4533">
      <x:c r="A4533" s="4" t="n">
        <x:v>4532</x:v>
      </x:c>
      <x:c r="B4533" s="4" t="inlineStr">
        <x:is>
          <x:t xml:space="preserve">000998</x:t>
        </x:is>
      </x:c>
      <x:c r="C4533" s="5" t="inlineStr">
        <x:is>
          <x:t xml:space="preserve">隆平高科</x:t>
        </x:is>
      </x:c>
      <x:c r="D4533" s="5" t="inlineStr">
        <x:is>
          <x:t xml:space="preserve">袁隆平农业高科技股份有限公司</x:t>
        </x:is>
      </x:c>
      <x:c r="E4533" s="4" t="inlineStr">
        <x:is>
          <x:t xml:space="preserve">湖南省</x:t>
        </x:is>
      </x:c>
      <x:c r="F4533" s="4" t="inlineStr">
        <x:is>
          <x:t xml:space="preserve">长沙市</x:t>
        </x:is>
      </x:c>
      <x:c r="G4533" s="5" t="inlineStr">
        <x:is>
          <x:t xml:space="preserve">湖南省-长沙市</x:t>
        </x:is>
      </x:c>
      <x:c r="H4533" s="4" t="inlineStr">
        <x:is>
          <x:t xml:space="preserve">农牧饲渔</x:t>
        </x:is>
      </x:c>
      <x:c r="I4533" s="4" t="inlineStr">
        <x:is>
          <x:t xml:space="preserve">2000-12-11</x:t>
        </x:is>
      </x:c>
      <x:c r="J4533" s="5" t="inlineStr">
        <x:is>
          <x:t xml:space="preserve">长沙芙蓉区合平路618号A座518</x:t>
        </x:is>
      </x:c>
      <x:c r="K4533" s="12" t="str">
        <x:f>LEFT("914300007121924698",18)</x:f>
        <x:v>914300007121924700</x:v>
      </x:c>
    </x:row>
    <x:row r="4534">
      <x:c r="A4534" s="2" t="n">
        <x:v>4533</x:v>
      </x:c>
      <x:c r="B4534" s="2" t="inlineStr">
        <x:is>
          <x:t xml:space="preserve">001208</x:t>
        </x:is>
      </x:c>
      <x:c r="C4534" s="3" t="inlineStr">
        <x:is>
          <x:t xml:space="preserve">华菱线缆</x:t>
        </x:is>
      </x:c>
      <x:c r="D4534" s="3" t="inlineStr">
        <x:is>
          <x:t xml:space="preserve">湖南华菱线缆股份有限公司</x:t>
        </x:is>
      </x:c>
      <x:c r="E4534" s="2" t="inlineStr">
        <x:is>
          <x:t xml:space="preserve">湖南省</x:t>
        </x:is>
      </x:c>
      <x:c r="F4534" s="2" t="inlineStr">
        <x:is>
          <x:t xml:space="preserve">湘潭市</x:t>
        </x:is>
      </x:c>
      <x:c r="G4534" s="3" t="inlineStr">
        <x:is>
          <x:t xml:space="preserve">湖南省-湘潭市</x:t>
        </x:is>
      </x:c>
      <x:c r="H4534" s="2" t="inlineStr">
        <x:is>
          <x:t xml:space="preserve">输配电气</x:t>
        </x:is>
      </x:c>
      <x:c r="I4534" s="2" t="inlineStr">
        <x:is>
          <x:t xml:space="preserve">2021-06-24</x:t>
        </x:is>
      </x:c>
      <x:c r="J4534" s="3" t="inlineStr">
        <x:is>
          <x:t xml:space="preserve">湘潭市高新区建设南路1号</x:t>
        </x:is>
      </x:c>
      <x:c r="K4534" s="12" t="str">
        <x:f>LEFT("914303007483865809",18)</x:f>
        <x:v>914303007483865900</x:v>
      </x:c>
    </x:row>
    <x:row r="4535">
      <x:c r="A4535" s="4" t="n">
        <x:v>4534</x:v>
      </x:c>
      <x:c r="B4535" s="4" t="inlineStr">
        <x:is>
          <x:t xml:space="preserve">001216</x:t>
        </x:is>
      </x:c>
      <x:c r="C4535" s="5" t="inlineStr">
        <x:is>
          <x:t xml:space="preserve">华瓷股份</x:t>
        </x:is>
      </x:c>
      <x:c r="D4535" s="5" t="inlineStr">
        <x:is>
          <x:t xml:space="preserve">湖南华联瓷业股份有限公司</x:t>
        </x:is>
      </x:c>
      <x:c r="E4535" s="4" t="inlineStr">
        <x:is>
          <x:t xml:space="preserve">湖南省</x:t>
        </x:is>
      </x:c>
      <x:c r="F4535" s="4" t="inlineStr">
        <x:is>
          <x:t xml:space="preserve">株洲市</x:t>
        </x:is>
      </x:c>
      <x:c r="G4535" s="5" t="inlineStr">
        <x:is>
          <x:t xml:space="preserve">湖南省-株洲市</x:t>
        </x:is>
      </x:c>
      <x:c r="H4535" s="4" t="inlineStr">
        <x:is>
          <x:t xml:space="preserve">装修建材</x:t>
        </x:is>
      </x:c>
      <x:c r="I4535" s="4" t="inlineStr">
        <x:is>
          <x:t xml:space="preserve">2021-10-19</x:t>
        </x:is>
      </x:c>
      <x:c r="J4535" s="5" t="inlineStr">
        <x:is>
          <x:t xml:space="preserve">湖南醴陵经济开发区瓷谷大道</x:t>
        </x:is>
      </x:c>
      <x:c r="K4535" s="12" t="str">
        <x:f>LEFT("91430000616610579W",18)</x:f>
        <x:v>91430000616610579W</x:v>
      </x:c>
    </x:row>
    <x:row r="4536">
      <x:c r="A4536" s="2" t="n">
        <x:v>4535</x:v>
      </x:c>
      <x:c r="B4536" s="2" t="inlineStr">
        <x:is>
          <x:t xml:space="preserve">001218</x:t>
        </x:is>
      </x:c>
      <x:c r="C4536" s="3" t="inlineStr">
        <x:is>
          <x:t xml:space="preserve">丽臣实业</x:t>
        </x:is>
      </x:c>
      <x:c r="D4536" s="3" t="inlineStr">
        <x:is>
          <x:t xml:space="preserve">湖南丽臣实业股份有限公司</x:t>
        </x:is>
      </x:c>
      <x:c r="E4536" s="2" t="inlineStr">
        <x:is>
          <x:t xml:space="preserve">湖南省</x:t>
        </x:is>
      </x:c>
      <x:c r="F4536" s="2" t="inlineStr">
        <x:is>
          <x:t xml:space="preserve">长沙市</x:t>
        </x:is>
      </x:c>
      <x:c r="G4536" s="3" t="inlineStr">
        <x:is>
          <x:t xml:space="preserve">湖南省-长沙市</x:t>
        </x:is>
      </x:c>
      <x:c r="H4536" s="2" t="inlineStr">
        <x:is>
          <x:t xml:space="preserve">化工行业</x:t>
        </x:is>
      </x:c>
      <x:c r="I4536" s="2" t="inlineStr">
        <x:is>
          <x:t xml:space="preserve">2021-10-15</x:t>
        </x:is>
      </x:c>
      <x:c r="J4536" s="3" t="inlineStr">
        <x:is>
          <x:t xml:space="preserve">长沙经济技术开发区泉塘街道社塘路399号</x:t>
        </x:is>
      </x:c>
      <x:c r="K4536" s="12" t="str">
        <x:f>LEFT("914301001838435017",18)</x:f>
        <x:v>914301001838435100</x:v>
      </x:c>
    </x:row>
    <x:row r="4537">
      <x:c r="A4537" s="4" t="n">
        <x:v>4536</x:v>
      </x:c>
      <x:c r="B4537" s="4" t="inlineStr">
        <x:is>
          <x:t xml:space="preserve">001239</x:t>
        </x:is>
      </x:c>
      <x:c r="C4537" s="5" t="inlineStr">
        <x:is>
          <x:t xml:space="preserve">永达股份</x:t>
        </x:is>
      </x:c>
      <x:c r="D4537" s="5" t="inlineStr">
        <x:is>
          <x:t xml:space="preserve">湘潭永达机械制造股份有限公司</x:t>
        </x:is>
      </x:c>
      <x:c r="E4537" s="4" t="inlineStr">
        <x:is>
          <x:t xml:space="preserve">湖南省</x:t>
        </x:is>
      </x:c>
      <x:c r="F4537" s="4" t="inlineStr">
        <x:is>
          <x:t xml:space="preserve">湘潭市</x:t>
        </x:is>
      </x:c>
      <x:c r="G4537" s="5" t="inlineStr">
        <x:is>
          <x:t xml:space="preserve">湖南省-湘潭市</x:t>
        </x:is>
      </x:c>
      <x:c r="H4537" s="4" t="inlineStr">
        <x:is>
          <x:t xml:space="preserve">专用设备</x:t>
        </x:is>
      </x:c>
      <x:c r="I4537" s="4" t="inlineStr">
        <x:is>
          <x:t xml:space="preserve">2023-12-12</x:t>
        </x:is>
      </x:c>
      <x:c r="J4537" s="5" t="inlineStr">
        <x:is>
          <x:t xml:space="preserve">湘潭九华工业园伏林路1号</x:t>
        </x:is>
      </x:c>
      <x:c r="K4537" s="12" t="str">
        <x:f>LEFT("914303007767693780",18)</x:f>
        <x:v>914303007767693800</x:v>
      </x:c>
    </x:row>
    <x:row r="4538">
      <x:c r="A4538" s="2" t="n">
        <x:v>4537</x:v>
      </x:c>
      <x:c r="B4538" s="2" t="inlineStr">
        <x:is>
          <x:t xml:space="preserve">002096</x:t>
        </x:is>
      </x:c>
      <x:c r="C4538" s="3" t="inlineStr">
        <x:is>
          <x:t xml:space="preserve">易普力</x:t>
        </x:is>
      </x:c>
      <x:c r="D4538" s="3" t="inlineStr">
        <x:is>
          <x:t xml:space="preserve">易普力股份有限公司</x:t>
        </x:is>
      </x:c>
      <x:c r="E4538" s="2" t="inlineStr">
        <x:is>
          <x:t xml:space="preserve">湖南省</x:t>
        </x:is>
      </x:c>
      <x:c r="F4538" s="2" t="inlineStr">
        <x:is>
          <x:t xml:space="preserve">长沙市</x:t>
        </x:is>
      </x:c>
      <x:c r="G4538" s="3" t="inlineStr">
        <x:is>
          <x:t xml:space="preserve">湖南省-长沙市</x:t>
        </x:is>
      </x:c>
      <x:c r="H4538" s="2" t="inlineStr">
        <x:is>
          <x:t xml:space="preserve">化工行业</x:t>
        </x:is>
      </x:c>
      <x:c r="I4538" s="2" t="inlineStr">
        <x:is>
          <x:t xml:space="preserve">2006-12-22</x:t>
        </x:is>
      </x:c>
      <x:c r="J4538" s="3" t="inlineStr">
        <x:is>
          <x:t xml:space="preserve">湖南省长沙市岳麓区金星中路319号</x:t>
        </x:is>
      </x:c>
      <x:c r="K4538" s="12" t="str">
        <x:f>LEFT("9143000073051349XL",18)</x:f>
        <x:v>9143000073051349XL</x:v>
      </x:c>
    </x:row>
    <x:row r="4539">
      <x:c r="A4539" s="4" t="n">
        <x:v>4538</x:v>
      </x:c>
      <x:c r="B4539" s="4" t="inlineStr">
        <x:is>
          <x:t xml:space="preserve">002097</x:t>
        </x:is>
      </x:c>
      <x:c r="C4539" s="5" t="inlineStr">
        <x:is>
          <x:t xml:space="preserve">山河智能</x:t>
        </x:is>
      </x:c>
      <x:c r="D4539" s="5" t="inlineStr">
        <x:is>
          <x:t xml:space="preserve">山河智能装备股份有限公司</x:t>
        </x:is>
      </x:c>
      <x:c r="E4539" s="4" t="inlineStr">
        <x:is>
          <x:t xml:space="preserve">湖南省</x:t>
        </x:is>
      </x:c>
      <x:c r="F4539" s="4" t="inlineStr">
        <x:is>
          <x:t xml:space="preserve">长沙市</x:t>
        </x:is>
      </x:c>
      <x:c r="G4539" s="5" t="inlineStr">
        <x:is>
          <x:t xml:space="preserve">湖南省-长沙市</x:t>
        </x:is>
      </x:c>
      <x:c r="H4539" s="4" t="inlineStr">
        <x:is>
          <x:t xml:space="preserve">工程机械</x:t>
        </x:is>
      </x:c>
      <x:c r="I4539" s="4" t="inlineStr">
        <x:is>
          <x:t xml:space="preserve">2006-12-22</x:t>
        </x:is>
      </x:c>
      <x:c r="J4539" s="5" t="inlineStr">
        <x:is>
          <x:t xml:space="preserve">长沙经济技术开发区凉塘东路1335号</x:t>
        </x:is>
      </x:c>
      <x:c r="K4539" s="12" t="str">
        <x:f>LEFT("91430000712164273J",18)</x:f>
        <x:v>91430000712164273J</x:v>
      </x:c>
    </x:row>
    <x:row r="4540">
      <x:c r="A4540" s="2" t="n">
        <x:v>4539</x:v>
      </x:c>
      <x:c r="B4540" s="2" t="inlineStr">
        <x:is>
          <x:t xml:space="preserve">002125</x:t>
        </x:is>
      </x:c>
      <x:c r="C4540" s="3" t="inlineStr">
        <x:is>
          <x:t xml:space="preserve">湘潭电化</x:t>
        </x:is>
      </x:c>
      <x:c r="D4540" s="3" t="inlineStr">
        <x:is>
          <x:t xml:space="preserve">湘潭电化科技股份有限公司</x:t>
        </x:is>
      </x:c>
      <x:c r="E4540" s="2" t="inlineStr">
        <x:is>
          <x:t xml:space="preserve">湖南省</x:t>
        </x:is>
      </x:c>
      <x:c r="F4540" s="2" t="inlineStr">
        <x:is>
          <x:t xml:space="preserve">湘潭市</x:t>
        </x:is>
      </x:c>
      <x:c r="G4540" s="3" t="inlineStr">
        <x:is>
          <x:t xml:space="preserve">湖南省-湘潭市</x:t>
        </x:is>
      </x:c>
      <x:c r="H4540" s="2" t="inlineStr">
        <x:is>
          <x:t xml:space="preserve">化学原料</x:t>
        </x:is>
      </x:c>
      <x:c r="I4540" s="2" t="inlineStr">
        <x:is>
          <x:t xml:space="preserve">2007-04-03</x:t>
        </x:is>
      </x:c>
      <x:c r="J4540" s="3" t="inlineStr">
        <x:is>
          <x:t xml:space="preserve">湘潭市雨湖区鹤岭镇</x:t>
        </x:is>
      </x:c>
      <x:c r="K4540" s="12" t="str">
        <x:f>LEFT("91430300722573708K",18)</x:f>
        <x:v>91430300722573708K</x:v>
      </x:c>
    </x:row>
    <x:row r="4541">
      <x:c r="A4541" s="4" t="n">
        <x:v>4540</x:v>
      </x:c>
      <x:c r="B4541" s="4" t="inlineStr">
        <x:is>
          <x:t xml:space="preserve">002155</x:t>
        </x:is>
      </x:c>
      <x:c r="C4541" s="5" t="inlineStr">
        <x:is>
          <x:t xml:space="preserve">湖南黄金</x:t>
        </x:is>
      </x:c>
      <x:c r="D4541" s="5" t="inlineStr">
        <x:is>
          <x:t xml:space="preserve">湖南黄金股份有限公司</x:t>
        </x:is>
      </x:c>
      <x:c r="E4541" s="4" t="inlineStr">
        <x:is>
          <x:t xml:space="preserve">湖南省</x:t>
        </x:is>
      </x:c>
      <x:c r="F4541" s="4" t="inlineStr">
        <x:is>
          <x:t xml:space="preserve">长沙市</x:t>
        </x:is>
      </x:c>
      <x:c r="G4541" s="5" t="inlineStr">
        <x:is>
          <x:t xml:space="preserve">湖南省-长沙市</x:t>
        </x:is>
      </x:c>
      <x:c r="H4541" s="4" t="inlineStr">
        <x:is>
          <x:t xml:space="preserve">贵金属</x:t>
        </x:is>
      </x:c>
      <x:c r="I4541" s="4" t="inlineStr">
        <x:is>
          <x:t xml:space="preserve">2007-08-16</x:t>
        </x:is>
      </x:c>
      <x:c r="J4541" s="5" t="inlineStr">
        <x:is>
          <x:t xml:space="preserve">长沙经济技术开发区人民东路217号201室</x:t>
        </x:is>
      </x:c>
      <x:c r="K4541" s="12" t="str">
        <x:f>LEFT("914300001891221230",18)</x:f>
        <x:v>914300001891221200</x:v>
      </x:c>
    </x:row>
    <x:row r="4542">
      <x:c r="A4542" s="2" t="n">
        <x:v>4541</x:v>
      </x:c>
      <x:c r="B4542" s="2" t="inlineStr">
        <x:is>
          <x:t xml:space="preserve">002251</x:t>
        </x:is>
      </x:c>
      <x:c r="C4542" s="3" t="inlineStr">
        <x:is>
          <x:t xml:space="preserve">步步高</x:t>
        </x:is>
      </x:c>
      <x:c r="D4542" s="3" t="inlineStr">
        <x:is>
          <x:t xml:space="preserve">步步高商业连锁股份有限公司</x:t>
        </x:is>
      </x:c>
      <x:c r="E4542" s="2" t="inlineStr">
        <x:is>
          <x:t xml:space="preserve">湖南省</x:t>
        </x:is>
      </x:c>
      <x:c r="F4542" s="2" t="inlineStr">
        <x:is>
          <x:t xml:space="preserve">湘潭市</x:t>
        </x:is>
      </x:c>
      <x:c r="G4542" s="3" t="inlineStr">
        <x:is>
          <x:t xml:space="preserve">湖南省-湘潭市</x:t>
        </x:is>
      </x:c>
      <x:c r="H4542" s="2" t="inlineStr">
        <x:is>
          <x:t xml:space="preserve">商业百货</x:t>
        </x:is>
      </x:c>
      <x:c r="I4542" s="2" t="inlineStr">
        <x:is>
          <x:t xml:space="preserve">2008-06-19</x:t>
        </x:is>
      </x:c>
      <x:c r="J4542" s="3" t="inlineStr">
        <x:is>
          <x:t xml:space="preserve">湘潭市韶山西路309号步步高大厦</x:t>
        </x:is>
      </x:c>
      <x:c r="K4542" s="12" t="str">
        <x:f>LEFT("91430300755843372T",18)</x:f>
        <x:v>91430300755843372T</x:v>
      </x:c>
    </x:row>
    <x:row r="4543">
      <x:c r="A4543" s="4" t="n">
        <x:v>4542</x:v>
      </x:c>
      <x:c r="B4543" s="4" t="inlineStr">
        <x:is>
          <x:t xml:space="preserve">002261</x:t>
        </x:is>
      </x:c>
      <x:c r="C4543" s="5" t="inlineStr">
        <x:is>
          <x:t xml:space="preserve">拓维信息</x:t>
        </x:is>
      </x:c>
      <x:c r="D4543" s="5" t="inlineStr">
        <x:is>
          <x:t xml:space="preserve">拓维信息系统股份有限公司</x:t>
        </x:is>
      </x:c>
      <x:c r="E4543" s="4" t="inlineStr">
        <x:is>
          <x:t xml:space="preserve">湖南省</x:t>
        </x:is>
      </x:c>
      <x:c r="F4543" s="4" t="inlineStr">
        <x:is>
          <x:t xml:space="preserve">长沙市</x:t>
        </x:is>
      </x:c>
      <x:c r="G4543" s="5" t="inlineStr">
        <x:is>
          <x:t xml:space="preserve">湖南省-长沙市</x:t>
        </x:is>
      </x:c>
      <x:c r="H4543" s="4" t="inlineStr">
        <x:is>
          <x:t xml:space="preserve">软件开发</x:t>
        </x:is>
      </x:c>
      <x:c r="I4543" s="4" t="inlineStr">
        <x:is>
          <x:t xml:space="preserve">2008-07-23</x:t>
        </x:is>
      </x:c>
      <x:c r="J4543" s="5" t="inlineStr">
        <x:is>
          <x:t xml:space="preserve">湖南省长沙市岳麓区桐梓坡西路298号</x:t>
        </x:is>
      </x:c>
      <x:c r="K4543" s="12" t="str">
        <x:f>LEFT("914300006168008586",18)</x:f>
        <x:v>914300006168008600</x:v>
      </x:c>
    </x:row>
    <x:row r="4544">
      <x:c r="A4544" s="2" t="n">
        <x:v>4543</x:v>
      </x:c>
      <x:c r="B4544" s="2" t="inlineStr">
        <x:is>
          <x:t xml:space="preserve">002277</x:t>
        </x:is>
      </x:c>
      <x:c r="C4544" s="3" t="inlineStr">
        <x:is>
          <x:t xml:space="preserve">友阿股份</x:t>
        </x:is>
      </x:c>
      <x:c r="D4544" s="3" t="inlineStr">
        <x:is>
          <x:t xml:space="preserve">湖南友谊阿波罗商业股份有限公司</x:t>
        </x:is>
      </x:c>
      <x:c r="E4544" s="2" t="inlineStr">
        <x:is>
          <x:t xml:space="preserve">湖南省</x:t>
        </x:is>
      </x:c>
      <x:c r="F4544" s="2" t="inlineStr">
        <x:is>
          <x:t xml:space="preserve">长沙市</x:t>
        </x:is>
      </x:c>
      <x:c r="G4544" s="3" t="inlineStr">
        <x:is>
          <x:t xml:space="preserve">湖南省-长沙市</x:t>
        </x:is>
      </x:c>
      <x:c r="H4544" s="2" t="inlineStr">
        <x:is>
          <x:t xml:space="preserve">商业百货</x:t>
        </x:is>
      </x:c>
      <x:c r="I4544" s="2" t="inlineStr">
        <x:is>
          <x:t xml:space="preserve">2009-07-17</x:t>
        </x:is>
      </x:c>
      <x:c r="J4544" s="3" t="inlineStr">
        <x:is>
          <x:t xml:space="preserve">湖南省长沙市芙蓉区朝阳前街9号湖南友谊阿波罗商业股份有限公司友阿总部办公大楼</x:t>
        </x:is>
      </x:c>
      <x:c r="K4544" s="12" t="str">
        <x:f>LEFT("914300007632582966",18)</x:f>
        <x:v>914300007632582900</x:v>
      </x:c>
    </x:row>
    <x:row r="4545">
      <x:c r="A4545" s="4" t="n">
        <x:v>4544</x:v>
      </x:c>
      <x:c r="B4545" s="4" t="inlineStr">
        <x:is>
          <x:t xml:space="preserve">002297</x:t>
        </x:is>
      </x:c>
      <x:c r="C4545" s="5" t="inlineStr">
        <x:is>
          <x:t xml:space="preserve">博云新材</x:t>
        </x:is>
      </x:c>
      <x:c r="D4545" s="5" t="inlineStr">
        <x:is>
          <x:t xml:space="preserve">湖南博云新材料股份有限公司</x:t>
        </x:is>
      </x:c>
      <x:c r="E4545" s="4" t="inlineStr">
        <x:is>
          <x:t xml:space="preserve">湖南省</x:t>
        </x:is>
      </x:c>
      <x:c r="F4545" s="4" t="inlineStr">
        <x:is>
          <x:t xml:space="preserve">长沙市</x:t>
        </x:is>
      </x:c>
      <x:c r="G4545" s="5" t="inlineStr">
        <x:is>
          <x:t xml:space="preserve">湖南省-长沙市</x:t>
        </x:is>
      </x:c>
      <x:c r="H4545" s="4" t="inlineStr">
        <x:is>
          <x:t xml:space="preserve">航天航空</x:t>
        </x:is>
      </x:c>
      <x:c r="I4545" s="4" t="inlineStr">
        <x:is>
          <x:t xml:space="preserve">2009-09-29</x:t>
        </x:is>
      </x:c>
      <x:c r="J4545" s="5" t="inlineStr">
        <x:is>
          <x:t xml:space="preserve">长沙市岳麓区高新技术产业开发区麓松路500号</x:t>
        </x:is>
      </x:c>
      <x:c r="K4545" s="12" t="str">
        <x:f>LEFT("91430000183898967C",18)</x:f>
        <x:v>91430000183898967C</x:v>
      </x:c>
    </x:row>
    <x:row r="4546">
      <x:c r="A4546" s="2" t="n">
        <x:v>4545</x:v>
      </x:c>
      <x:c r="B4546" s="2" t="inlineStr">
        <x:is>
          <x:t xml:space="preserve">002397</x:t>
        </x:is>
      </x:c>
      <x:c r="C4546" s="3" t="inlineStr">
        <x:is>
          <x:t xml:space="preserve">梦洁股份</x:t>
        </x:is>
      </x:c>
      <x:c r="D4546" s="3" t="inlineStr">
        <x:is>
          <x:t xml:space="preserve">湖南梦洁家纺股份有限公司</x:t>
        </x:is>
      </x:c>
      <x:c r="E4546" s="2" t="inlineStr">
        <x:is>
          <x:t xml:space="preserve">湖南省</x:t>
        </x:is>
      </x:c>
      <x:c r="F4546" s="2" t="inlineStr">
        <x:is>
          <x:t xml:space="preserve">长沙市</x:t>
        </x:is>
      </x:c>
      <x:c r="G4546" s="3" t="inlineStr">
        <x:is>
          <x:t xml:space="preserve">湖南省-长沙市</x:t>
        </x:is>
      </x:c>
      <x:c r="H4546" s="2" t="inlineStr">
        <x:is>
          <x:t xml:space="preserve">纺织服装</x:t>
        </x:is>
      </x:c>
      <x:c r="I4546" s="2" t="inlineStr">
        <x:is>
          <x:t xml:space="preserve">2010-04-29</x:t>
        </x:is>
      </x:c>
      <x:c r="J4546" s="3" t="inlineStr">
        <x:is>
          <x:t xml:space="preserve">湖南省长沙市高新技术产业开发区麓谷产业基地谷苑路168号</x:t>
        </x:is>
      </x:c>
      <x:c r="K4546" s="12" t="str">
        <x:f>LEFT("91430000184049246H",18)</x:f>
        <x:v>91430000184049246H</x:v>
      </x:c>
    </x:row>
    <x:row r="4547">
      <x:c r="A4547" s="4" t="n">
        <x:v>4546</x:v>
      </x:c>
      <x:c r="B4547" s="4" t="inlineStr">
        <x:is>
          <x:t xml:space="preserve">002412</x:t>
        </x:is>
      </x:c>
      <x:c r="C4547" s="5" t="inlineStr">
        <x:is>
          <x:t xml:space="preserve">汉森制药</x:t>
        </x:is>
      </x:c>
      <x:c r="D4547" s="5" t="inlineStr">
        <x:is>
          <x:t xml:space="preserve">湖南汉森制药股份有限公司</x:t>
        </x:is>
      </x:c>
      <x:c r="E4547" s="4" t="inlineStr">
        <x:is>
          <x:t xml:space="preserve">湖南省</x:t>
        </x:is>
      </x:c>
      <x:c r="F4547" s="4" t="inlineStr">
        <x:is>
          <x:t xml:space="preserve">益阳市</x:t>
        </x:is>
      </x:c>
      <x:c r="G4547" s="5" t="inlineStr">
        <x:is>
          <x:t xml:space="preserve">湖南省-益阳市</x:t>
        </x:is>
      </x:c>
      <x:c r="H4547" s="4" t="inlineStr">
        <x:is>
          <x:t xml:space="preserve">中药</x:t>
        </x:is>
      </x:c>
      <x:c r="I4547" s="4" t="inlineStr">
        <x:is>
          <x:t xml:space="preserve">2010-05-25</x:t>
        </x:is>
      </x:c>
      <x:c r="J4547" s="5" t="inlineStr">
        <x:is>
          <x:t xml:space="preserve">益阳市赫山区银城大道2688号</x:t>
        </x:is>
      </x:c>
      <x:c r="K4547" s="12" t="str">
        <x:f>LEFT("91430900MA4L101B51",18)</x:f>
        <x:v>91430900MA4L101B51</x:v>
      </x:c>
    </x:row>
    <x:row r="4548">
      <x:c r="A4548" s="2" t="n">
        <x:v>4547</x:v>
      </x:c>
      <x:c r="B4548" s="2" t="inlineStr">
        <x:is>
          <x:t xml:space="preserve">002452</x:t>
        </x:is>
      </x:c>
      <x:c r="C4548" s="3" t="inlineStr">
        <x:is>
          <x:t xml:space="preserve">长高电新</x:t>
        </x:is>
      </x:c>
      <x:c r="D4548" s="3" t="inlineStr">
        <x:is>
          <x:t xml:space="preserve">长高电新科技股份公司</x:t>
        </x:is>
      </x:c>
      <x:c r="E4548" s="2" t="inlineStr">
        <x:is>
          <x:t xml:space="preserve">湖南省</x:t>
        </x:is>
      </x:c>
      <x:c r="F4548" s="2" t="inlineStr">
        <x:is>
          <x:t xml:space="preserve">长沙市</x:t>
        </x:is>
      </x:c>
      <x:c r="G4548" s="3" t="inlineStr">
        <x:is>
          <x:t xml:space="preserve">湖南省-长沙市</x:t>
        </x:is>
      </x:c>
      <x:c r="H4548" s="2" t="inlineStr">
        <x:is>
          <x:t xml:space="preserve">输配电气</x:t>
        </x:is>
      </x:c>
      <x:c r="I4548" s="2" t="inlineStr">
        <x:is>
          <x:t xml:space="preserve">2010-07-20</x:t>
        </x:is>
      </x:c>
      <x:c r="J4548" s="3" t="inlineStr">
        <x:is>
          <x:t xml:space="preserve">湖南省长沙市望城经济技术开发区金星北路三段393号</x:t>
        </x:is>
      </x:c>
      <x:c r="K4548" s="12" t="str">
        <x:f>LEFT("914300001839655251",18)</x:f>
        <x:v>914300001839655300</x:v>
      </x:c>
    </x:row>
    <x:row r="4549">
      <x:c r="A4549" s="4" t="n">
        <x:v>4548</x:v>
      </x:c>
      <x:c r="B4549" s="4" t="inlineStr">
        <x:is>
          <x:t xml:space="preserve">002516</x:t>
        </x:is>
      </x:c>
      <x:c r="C4549" s="5" t="inlineStr">
        <x:is>
          <x:t xml:space="preserve">旷达科技</x:t>
        </x:is>
      </x:c>
      <x:c r="D4549" s="5" t="inlineStr">
        <x:is>
          <x:t xml:space="preserve">旷达科技集团股份有限公司</x:t>
        </x:is>
      </x:c>
      <x:c r="E4549" s="4" t="inlineStr">
        <x:is>
          <x:t xml:space="preserve">湖南省</x:t>
        </x:is>
      </x:c>
      <x:c r="F4549" s="4" t="inlineStr">
        <x:is>
          <x:t xml:space="preserve">株洲市</x:t>
        </x:is>
      </x:c>
      <x:c r="G4549" s="5" t="inlineStr">
        <x:is>
          <x:t xml:space="preserve">湖南省-株洲市</x:t>
        </x:is>
      </x:c>
      <x:c r="H4549" s="4" t="inlineStr">
        <x:is>
          <x:t xml:space="preserve">汽车零部件</x:t>
        </x:is>
      </x:c>
      <x:c r="I4549" s="4" t="inlineStr">
        <x:is>
          <x:t xml:space="preserve">2010-12-07</x:t>
        </x:is>
      </x:c>
      <x:c r="J4549" s="5" t="inlineStr">
        <x:is>
          <x:t xml:space="preserve">湖南省株洲市天元区奔腾路66号株洲汽博园服务中心1栋11层1101</x:t>
        </x:is>
      </x:c>
      <x:c r="K4549" s="12" t="str">
        <x:f>LEFT("91320400250870180E",18)</x:f>
        <x:v>91320400250870180E</x:v>
      </x:c>
    </x:row>
    <x:row r="4550">
      <x:c r="A4550" s="2" t="n">
        <x:v>4549</x:v>
      </x:c>
      <x:c r="B4550" s="2" t="inlineStr">
        <x:is>
          <x:t xml:space="preserve">002523</x:t>
        </x:is>
      </x:c>
      <x:c r="C4550" s="3" t="inlineStr">
        <x:is>
          <x:t xml:space="preserve">天桥起重</x:t>
        </x:is>
      </x:c>
      <x:c r="D4550" s="3" t="inlineStr">
        <x:is>
          <x:t xml:space="preserve">株洲天桥起重机股份有限公司</x:t>
        </x:is>
      </x:c>
      <x:c r="E4550" s="2" t="inlineStr">
        <x:is>
          <x:t xml:space="preserve">湖南省</x:t>
        </x:is>
      </x:c>
      <x:c r="F4550" s="2" t="inlineStr">
        <x:is>
          <x:t xml:space="preserve">株洲市</x:t>
        </x:is>
      </x:c>
      <x:c r="G4550" s="3" t="inlineStr">
        <x:is>
          <x:t xml:space="preserve">湖南省-株洲市</x:t>
        </x:is>
      </x:c>
      <x:c r="H4550" s="2" t="inlineStr">
        <x:is>
          <x:t xml:space="preserve">专用设备</x:t>
        </x:is>
      </x:c>
      <x:c r="I4550" s="2" t="inlineStr">
        <x:is>
          <x:t xml:space="preserve">2010-12-10</x:t>
        </x:is>
      </x:c>
      <x:c r="J4550" s="3" t="inlineStr">
        <x:is>
          <x:t xml:space="preserve">湖南省株洲市石峰区田心北门</x:t>
        </x:is>
      </x:c>
      <x:c r="K4550" s="12" t="str">
        <x:f>LEFT("91430200712137961U",18)</x:f>
        <x:v>91430200712137961U</x:v>
      </x:c>
    </x:row>
    <x:row r="4551">
      <x:c r="A4551" s="4" t="n">
        <x:v>4550</x:v>
      </x:c>
      <x:c r="B4551" s="4" t="inlineStr">
        <x:is>
          <x:t xml:space="preserve">002533</x:t>
        </x:is>
      </x:c>
      <x:c r="C4551" s="5" t="inlineStr">
        <x:is>
          <x:t xml:space="preserve">金杯电工</x:t>
        </x:is>
      </x:c>
      <x:c r="D4551" s="5" t="inlineStr">
        <x:is>
          <x:t xml:space="preserve">金杯电工股份有限公司</x:t>
        </x:is>
      </x:c>
      <x:c r="E4551" s="4" t="inlineStr">
        <x:is>
          <x:t xml:space="preserve">湖南省</x:t>
        </x:is>
      </x:c>
      <x:c r="F4551" s="4" t="inlineStr">
        <x:is>
          <x:t xml:space="preserve">长沙市</x:t>
        </x:is>
      </x:c>
      <x:c r="G4551" s="5" t="inlineStr">
        <x:is>
          <x:t xml:space="preserve">湖南省-长沙市</x:t>
        </x:is>
      </x:c>
      <x:c r="H4551" s="4" t="inlineStr">
        <x:is>
          <x:t xml:space="preserve">输配电气</x:t>
        </x:is>
      </x:c>
      <x:c r="I4551" s="4" t="inlineStr">
        <x:is>
          <x:t xml:space="preserve">2010-12-31</x:t>
        </x:is>
      </x:c>
      <x:c r="J4551" s="5" t="inlineStr">
        <x:is>
          <x:t xml:space="preserve">长沙市高新技术产业开发区东方红中路580号</x:t>
        </x:is>
      </x:c>
      <x:c r="K4551" s="12" t="str">
        <x:f>LEFT("914300007607478448",18)</x:f>
        <x:v>914300007607478400</x:v>
      </x:c>
    </x:row>
    <x:row r="4552">
      <x:c r="A4552" s="2" t="n">
        <x:v>4551</x:v>
      </x:c>
      <x:c r="B4552" s="2" t="inlineStr">
        <x:is>
          <x:t xml:space="preserve">002549</x:t>
        </x:is>
      </x:c>
      <x:c r="C4552" s="3" t="inlineStr">
        <x:is>
          <x:t xml:space="preserve">凯美特气</x:t>
        </x:is>
      </x:c>
      <x:c r="D4552" s="3" t="inlineStr">
        <x:is>
          <x:t xml:space="preserve">湖南凯美特气体股份有限公司</x:t>
        </x:is>
      </x:c>
      <x:c r="E4552" s="2" t="inlineStr">
        <x:is>
          <x:t xml:space="preserve">湖南省</x:t>
        </x:is>
      </x:c>
      <x:c r="F4552" s="2" t="inlineStr">
        <x:is>
          <x:t xml:space="preserve">岳阳市</x:t>
        </x:is>
      </x:c>
      <x:c r="G4552" s="3" t="inlineStr">
        <x:is>
          <x:t xml:space="preserve">湖南省-岳阳市</x:t>
        </x:is>
      </x:c>
      <x:c r="H4552" s="2" t="inlineStr">
        <x:is>
          <x:t xml:space="preserve">化工行业</x:t>
        </x:is>
      </x:c>
      <x:c r="I4552" s="2" t="inlineStr">
        <x:is>
          <x:t xml:space="preserve">2011-02-18</x:t>
        </x:is>
      </x:c>
      <x:c r="J4552" s="3" t="inlineStr">
        <x:is>
          <x:t xml:space="preserve">湖南省岳阳市岳阳楼区延寿寺路凯美特气</x:t>
        </x:is>
      </x:c>
      <x:c r="K4552" s="12" t="str">
        <x:f>LEFT("914306006166503867",18)</x:f>
        <x:v>914306006166503800</x:v>
      </x:c>
    </x:row>
    <x:row r="4553">
      <x:c r="A4553" s="4" t="n">
        <x:v>4552</x:v>
      </x:c>
      <x:c r="B4553" s="4" t="inlineStr">
        <x:is>
          <x:t xml:space="preserve">002554</x:t>
        </x:is>
      </x:c>
      <x:c r="C4553" s="5" t="inlineStr">
        <x:is>
          <x:t xml:space="preserve">惠博普</x:t>
        </x:is>
      </x:c>
      <x:c r="D4553" s="5" t="inlineStr">
        <x:is>
          <x:t xml:space="preserve">华油惠博普科技股份有限公司</x:t>
        </x:is>
      </x:c>
      <x:c r="E4553" s="4" t="inlineStr">
        <x:is>
          <x:t xml:space="preserve">湖南省</x:t>
        </x:is>
      </x:c>
      <x:c r="F4553" s="4" t="inlineStr">
        <x:is>
          <x:t xml:space="preserve">长沙市</x:t>
        </x:is>
      </x:c>
      <x:c r="G4553" s="5" t="inlineStr">
        <x:is>
          <x:t xml:space="preserve">湖南省-长沙市</x:t>
        </x:is>
      </x:c>
      <x:c r="H4553" s="4" t="inlineStr">
        <x:is>
          <x:t xml:space="preserve">采掘行业</x:t>
        </x:is>
      </x:c>
      <x:c r="I4553" s="4" t="inlineStr">
        <x:is>
          <x:t xml:space="preserve">2011-02-25</x:t>
        </x:is>
      </x:c>
      <x:c r="J4553" s="5" t="inlineStr">
        <x:is>
          <x:t xml:space="preserve">湖南省长沙市岳麓区金星北路一段22号恒晟商厦C座542号房</x:t>
        </x:is>
      </x:c>
      <x:c r="K4553" s="12" t="str">
        <x:f>LEFT("91110000700148065Y",18)</x:f>
        <x:v>91110000700148065Y</x:v>
      </x:c>
    </x:row>
    <x:row r="4554">
      <x:c r="A4554" s="2" t="n">
        <x:v>4553</x:v>
      </x:c>
      <x:c r="B4554" s="2" t="inlineStr">
        <x:is>
          <x:t xml:space="preserve">002567</x:t>
        </x:is>
      </x:c>
      <x:c r="C4554" s="3" t="inlineStr">
        <x:is>
          <x:t xml:space="preserve">唐人神</x:t>
        </x:is>
      </x:c>
      <x:c r="D4554" s="3" t="inlineStr">
        <x:is>
          <x:t xml:space="preserve">唐人神集团股份有限公司</x:t>
        </x:is>
      </x:c>
      <x:c r="E4554" s="2" t="inlineStr">
        <x:is>
          <x:t xml:space="preserve">湖南省</x:t>
        </x:is>
      </x:c>
      <x:c r="F4554" s="2" t="inlineStr">
        <x:is>
          <x:t xml:space="preserve">株洲市</x:t>
        </x:is>
      </x:c>
      <x:c r="G4554" s="3" t="inlineStr">
        <x:is>
          <x:t xml:space="preserve">湖南省-株洲市</x:t>
        </x:is>
      </x:c>
      <x:c r="H4554" s="2" t="inlineStr">
        <x:is>
          <x:t xml:space="preserve">农牧饲渔</x:t>
        </x:is>
      </x:c>
      <x:c r="I4554" s="2" t="inlineStr">
        <x:is>
          <x:t xml:space="preserve">2011-03-25</x:t>
        </x:is>
      </x:c>
      <x:c r="J4554" s="3" t="inlineStr">
        <x:is>
          <x:t xml:space="preserve">湖南省株洲市国家高新技术产业开发区栗雨工业园</x:t>
        </x:is>
      </x:c>
      <x:c r="K4554" s="12" t="str">
        <x:f>LEFT("914300006166100187",18)</x:f>
        <x:v>914300006166100200</x:v>
      </x:c>
    </x:row>
    <x:row r="4555">
      <x:c r="A4555" s="4" t="n">
        <x:v>4554</x:v>
      </x:c>
      <x:c r="B4555" s="4" t="inlineStr">
        <x:is>
          <x:t xml:space="preserve">002650</x:t>
        </x:is>
      </x:c>
      <x:c r="C4555" s="5" t="inlineStr">
        <x:is>
          <x:t xml:space="preserve">ST加加</x:t>
        </x:is>
      </x:c>
      <x:c r="D4555" s="5" t="inlineStr">
        <x:is>
          <x:t xml:space="preserve">加加食品集团股份有限公司</x:t>
        </x:is>
      </x:c>
      <x:c r="E4555" s="4" t="inlineStr">
        <x:is>
          <x:t xml:space="preserve">湖南省</x:t>
        </x:is>
      </x:c>
      <x:c r="F4555" s="4" t="inlineStr">
        <x:is>
          <x:t xml:space="preserve">长沙市</x:t>
        </x:is>
      </x:c>
      <x:c r="G4555" s="5" t="inlineStr">
        <x:is>
          <x:t xml:space="preserve">湖南省-长沙市</x:t>
        </x:is>
      </x:c>
      <x:c r="H4555" s="4" t="inlineStr">
        <x:is>
          <x:t xml:space="preserve">食品饮料</x:t>
        </x:is>
      </x:c>
      <x:c r="I4555" s="4" t="inlineStr">
        <x:is>
          <x:t xml:space="preserve">2012-01-06</x:t>
        </x:is>
      </x:c>
      <x:c r="J4555" s="5" t="inlineStr">
        <x:is>
          <x:t xml:space="preserve">湖南省宁乡经济技术开发区站前路</x:t>
        </x:is>
      </x:c>
      <x:c r="K4555" s="12" t="str">
        <x:f>LEFT("914301006166027203",18)</x:f>
        <x:v>914301006166027300</x:v>
      </x:c>
    </x:row>
    <x:row r="4556">
      <x:c r="A4556" s="2" t="n">
        <x:v>4555</x:v>
      </x:c>
      <x:c r="B4556" s="2" t="inlineStr">
        <x:is>
          <x:t xml:space="preserve">002661</x:t>
        </x:is>
      </x:c>
      <x:c r="C4556" s="3" t="inlineStr">
        <x:is>
          <x:t xml:space="preserve">克明食品</x:t>
        </x:is>
      </x:c>
      <x:c r="D4556" s="3" t="inlineStr">
        <x:is>
          <x:t xml:space="preserve">陈克明食品股份有限公司</x:t>
        </x:is>
      </x:c>
      <x:c r="E4556" s="2" t="inlineStr">
        <x:is>
          <x:t xml:space="preserve">湖南省</x:t>
        </x:is>
      </x:c>
      <x:c r="F4556" s="2" t="inlineStr">
        <x:is>
          <x:t xml:space="preserve">益阳市</x:t>
        </x:is>
      </x:c>
      <x:c r="G4556" s="3" t="inlineStr">
        <x:is>
          <x:t xml:space="preserve">湖南省-益阳市</x:t>
        </x:is>
      </x:c>
      <x:c r="H4556" s="2" t="inlineStr">
        <x:is>
          <x:t xml:space="preserve">食品饮料</x:t>
        </x:is>
      </x:c>
      <x:c r="I4556" s="2" t="inlineStr">
        <x:is>
          <x:t xml:space="preserve">2012-03-16</x:t>
        </x:is>
      </x:c>
      <x:c r="J4556" s="3" t="inlineStr">
        <x:is>
          <x:t xml:space="preserve">湖南省南县兴盛大道工业园1号</x:t>
        </x:is>
      </x:c>
      <x:c r="K4556" s="12" t="str">
        <x:f>LEFT("91430900617162624T",18)</x:f>
        <x:v>91430900617162624T</x:v>
      </x:c>
    </x:row>
    <x:row r="4557">
      <x:c r="A4557" s="4" t="n">
        <x:v>4556</x:v>
      </x:c>
      <x:c r="B4557" s="4" t="inlineStr">
        <x:is>
          <x:t xml:space="preserve">002667</x:t>
        </x:is>
      </x:c>
      <x:c r="C4557" s="5" t="inlineStr">
        <x:is>
          <x:t xml:space="preserve">威领股份</x:t>
        </x:is>
      </x:c>
      <x:c r="D4557" s="5" t="inlineStr">
        <x:is>
          <x:t xml:space="preserve">威领新能源股份有限公司</x:t>
        </x:is>
      </x:c>
      <x:c r="E4557" s="4" t="inlineStr">
        <x:is>
          <x:t xml:space="preserve">湖南省</x:t>
        </x:is>
      </x:c>
      <x:c r="F4557" s="4" t="inlineStr">
        <x:is>
          <x:t xml:space="preserve">郴州市</x:t>
        </x:is>
      </x:c>
      <x:c r="G4557" s="5" t="inlineStr">
        <x:is>
          <x:t xml:space="preserve">湖南省-郴州市</x:t>
        </x:is>
      </x:c>
      <x:c r="H4557" s="4" t="inlineStr">
        <x:is>
          <x:t xml:space="preserve">能源金属</x:t>
        </x:is>
      </x:c>
      <x:c r="I4557" s="4" t="inlineStr">
        <x:is>
          <x:t xml:space="preserve">2012-03-29</x:t>
        </x:is>
      </x:c>
      <x:c r="J4557" s="5" t="inlineStr">
        <x:is>
          <x:t xml:space="preserve">湖南省郴州市北湖区南岭大道1609号湘南高新园标准厂房项目集中生产配套综合楼601-6666</x:t>
        </x:is>
      </x:c>
      <x:c r="K4557" s="12" t="str">
        <x:f>LEFT("912103001190699375",18)</x:f>
        <x:v>912103001190699400</x:v>
      </x:c>
    </x:row>
    <x:row r="4558">
      <x:c r="A4558" s="2" t="n">
        <x:v>4557</x:v>
      </x:c>
      <x:c r="B4558" s="2" t="inlineStr">
        <x:is>
          <x:t xml:space="preserve">002716</x:t>
        </x:is>
      </x:c>
      <x:c r="C4558" s="3" t="inlineStr">
        <x:is>
          <x:t xml:space="preserve">湖南白银</x:t>
        </x:is>
      </x:c>
      <x:c r="D4558" s="3" t="inlineStr">
        <x:is>
          <x:t xml:space="preserve">湖南白银股份有限公司</x:t>
        </x:is>
      </x:c>
      <x:c r="E4558" s="2" t="inlineStr">
        <x:is>
          <x:t xml:space="preserve">湖南省</x:t>
        </x:is>
      </x:c>
      <x:c r="F4558" s="2" t="inlineStr">
        <x:is>
          <x:t xml:space="preserve">郴州市</x:t>
        </x:is>
      </x:c>
      <x:c r="G4558" s="3" t="inlineStr">
        <x:is>
          <x:t xml:space="preserve">湖南省-郴州市</x:t>
        </x:is>
      </x:c>
      <x:c r="H4558" s="2" t="inlineStr">
        <x:is>
          <x:t xml:space="preserve">贵金属</x:t>
        </x:is>
      </x:c>
      <x:c r="I4558" s="2" t="inlineStr">
        <x:is>
          <x:t xml:space="preserve">2014-01-28</x:t>
        </x:is>
      </x:c>
      <x:c r="J4558" s="3" t="inlineStr">
        <x:is>
          <x:t xml:space="preserve">郴州市苏仙区白露塘镇福城大道1号</x:t>
        </x:is>
      </x:c>
      <x:c r="K4558" s="12" t="str">
        <x:f>LEFT("9143100076801977X6",18)</x:f>
        <x:v>9143100076801977X6</x:v>
      </x:c>
    </x:row>
    <x:row r="4559">
      <x:c r="A4559" s="4" t="n">
        <x:v>4558</x:v>
      </x:c>
      <x:c r="B4559" s="4" t="inlineStr">
        <x:is>
          <x:t xml:space="preserve">002843</x:t>
        </x:is>
      </x:c>
      <x:c r="C4559" s="5" t="inlineStr">
        <x:is>
          <x:t xml:space="preserve">泰嘉股份</x:t>
        </x:is>
      </x:c>
      <x:c r="D4559" s="5" t="inlineStr">
        <x:is>
          <x:t xml:space="preserve">湖南泰嘉新材料科技股份有限公司</x:t>
        </x:is>
      </x:c>
      <x:c r="E4559" s="4" t="inlineStr">
        <x:is>
          <x:t xml:space="preserve">湖南省</x:t>
        </x:is>
      </x:c>
      <x:c r="F4559" s="4" t="inlineStr">
        <x:is>
          <x:t xml:space="preserve">长沙市</x:t>
        </x:is>
      </x:c>
      <x:c r="G4559" s="5" t="inlineStr">
        <x:is>
          <x:t xml:space="preserve">湖南省-长沙市</x:t>
        </x:is>
      </x:c>
      <x:c r="H4559" s="4" t="inlineStr">
        <x:is>
          <x:t xml:space="preserve">消费电子</x:t>
        </x:is>
      </x:c>
      <x:c r="I4559" s="4" t="inlineStr">
        <x:is>
          <x:t xml:space="preserve">2017-01-20</x:t>
        </x:is>
      </x:c>
      <x:c r="J4559" s="5" t="inlineStr">
        <x:is>
          <x:t xml:space="preserve">长沙市望城经济技术开发区泰嘉路68号</x:t>
        </x:is>
      </x:c>
      <x:c r="K4559" s="12" t="str">
        <x:f>LEFT("914300007533850216",18)</x:f>
        <x:v>914300007533850200</x:v>
      </x:c>
    </x:row>
    <x:row r="4560">
      <x:c r="A4560" s="2" t="n">
        <x:v>4559</x:v>
      </x:c>
      <x:c r="B4560" s="2" t="inlineStr">
        <x:is>
          <x:t xml:space="preserve">002847</x:t>
        </x:is>
      </x:c>
      <x:c r="C4560" s="3" t="inlineStr">
        <x:is>
          <x:t xml:space="preserve">盐津铺子</x:t>
        </x:is>
      </x:c>
      <x:c r="D4560" s="3" t="inlineStr">
        <x:is>
          <x:t xml:space="preserve">盐津铺子食品股份有限公司</x:t>
        </x:is>
      </x:c>
      <x:c r="E4560" s="2" t="inlineStr">
        <x:is>
          <x:t xml:space="preserve">湖南省</x:t>
        </x:is>
      </x:c>
      <x:c r="F4560" s="2" t="inlineStr">
        <x:is>
          <x:t xml:space="preserve">长沙市</x:t>
        </x:is>
      </x:c>
      <x:c r="G4560" s="3" t="inlineStr">
        <x:is>
          <x:t xml:space="preserve">湖南省-长沙市</x:t>
        </x:is>
      </x:c>
      <x:c r="H4560" s="2" t="inlineStr">
        <x:is>
          <x:t xml:space="preserve">食品饮料</x:t>
        </x:is>
      </x:c>
      <x:c r="I4560" s="2" t="inlineStr">
        <x:is>
          <x:t xml:space="preserve">2017-02-08</x:t>
        </x:is>
      </x:c>
      <x:c r="J4560" s="3" t="inlineStr">
        <x:is>
          <x:t xml:space="preserve">湖南浏阳生物医药工业园</x:t>
        </x:is>
      </x:c>
      <x:c r="K4560" s="12" t="str">
        <x:f>LEFT("9143010077900133XT",18)</x:f>
        <x:v>9143010077900133XT</x:v>
      </x:c>
    </x:row>
    <x:row r="4561">
      <x:c r="A4561" s="4" t="n">
        <x:v>4560</x:v>
      </x:c>
      <x:c r="B4561" s="4" t="inlineStr">
        <x:is>
          <x:t xml:space="preserve">002848</x:t>
        </x:is>
      </x:c>
      <x:c r="C4561" s="5" t="inlineStr">
        <x:is>
          <x:t xml:space="preserve">*ST高斯</x:t>
        </x:is>
      </x:c>
      <x:c r="D4561" s="5" t="inlineStr">
        <x:is>
          <x:t xml:space="preserve">高斯贝尔数码科技股份有限公司</x:t>
        </x:is>
      </x:c>
      <x:c r="E4561" s="4" t="inlineStr">
        <x:is>
          <x:t xml:space="preserve">湖南省</x:t>
        </x:is>
      </x:c>
      <x:c r="F4561" s="4" t="inlineStr">
        <x:is>
          <x:t xml:space="preserve">郴州市</x:t>
        </x:is>
      </x:c>
      <x:c r="G4561" s="5" t="inlineStr">
        <x:is>
          <x:t xml:space="preserve">湖南省-郴州市</x:t>
        </x:is>
      </x:c>
      <x:c r="H4561" s="4" t="inlineStr">
        <x:is>
          <x:t xml:space="preserve">家电行业</x:t>
        </x:is>
      </x:c>
      <x:c r="I4561" s="4" t="inlineStr">
        <x:is>
          <x:t xml:space="preserve">2017-02-13</x:t>
        </x:is>
      </x:c>
      <x:c r="J4561" s="5" t="inlineStr">
        <x:is>
          <x:t xml:space="preserve">湖南省郴州市苏仙区观山洞街道高斯贝尔产业园</x:t>
        </x:is>
      </x:c>
      <x:c r="K4561" s="12" t="str">
        <x:f>LEFT("914310007305124548",18)</x:f>
        <x:v>914310007305124600</x:v>
      </x:c>
    </x:row>
    <x:row r="4562">
      <x:c r="A4562" s="2" t="n">
        <x:v>4561</x:v>
      </x:c>
      <x:c r="B4562" s="2" t="inlineStr">
        <x:is>
          <x:t xml:space="preserve">002852</x:t>
        </x:is>
      </x:c>
      <x:c r="C4562" s="3" t="inlineStr">
        <x:is>
          <x:t xml:space="preserve">道道全</x:t>
        </x:is>
      </x:c>
      <x:c r="D4562" s="3" t="inlineStr">
        <x:is>
          <x:t xml:space="preserve">道道全粮油股份有限公司</x:t>
        </x:is>
      </x:c>
      <x:c r="E4562" s="2" t="inlineStr">
        <x:is>
          <x:t xml:space="preserve">湖南省</x:t>
        </x:is>
      </x:c>
      <x:c r="F4562" s="2" t="inlineStr">
        <x:is>
          <x:t xml:space="preserve">岳阳市</x:t>
        </x:is>
      </x:c>
      <x:c r="G4562" s="3" t="inlineStr">
        <x:is>
          <x:t xml:space="preserve">湖南省-岳阳市</x:t>
        </x:is>
      </x:c>
      <x:c r="H4562" s="2" t="inlineStr">
        <x:is>
          <x:t xml:space="preserve">食品饮料</x:t>
        </x:is>
      </x:c>
      <x:c r="I4562" s="2" t="inlineStr">
        <x:is>
          <x:t xml:space="preserve">2017-03-10</x:t>
        </x:is>
      </x:c>
      <x:c r="J4562" s="3" t="inlineStr">
        <x:is>
          <x:t xml:space="preserve">湖南省岳阳经济技术开发区营盘岭路113号</x:t>
        </x:is>
      </x:c>
      <x:c r="K4562" s="12" t="str">
        <x:f>LEFT("914306007121474065",18)</x:f>
        <x:v>914306007121474000</x:v>
      </x:c>
    </x:row>
    <x:row r="4563">
      <x:c r="A4563" s="4" t="n">
        <x:v>4562</x:v>
      </x:c>
      <x:c r="B4563" s="4" t="inlineStr">
        <x:is>
          <x:t xml:space="preserve">002879</x:t>
        </x:is>
      </x:c>
      <x:c r="C4563" s="5" t="inlineStr">
        <x:is>
          <x:t xml:space="preserve">长缆科技</x:t>
        </x:is>
      </x:c>
      <x:c r="D4563" s="5" t="inlineStr">
        <x:is>
          <x:t xml:space="preserve">长缆科技集团股份有限公司</x:t>
        </x:is>
      </x:c>
      <x:c r="E4563" s="4" t="inlineStr">
        <x:is>
          <x:t xml:space="preserve">湖南省</x:t>
        </x:is>
      </x:c>
      <x:c r="F4563" s="4" t="inlineStr">
        <x:is>
          <x:t xml:space="preserve">长沙市</x:t>
        </x:is>
      </x:c>
      <x:c r="G4563" s="5" t="inlineStr">
        <x:is>
          <x:t xml:space="preserve">湖南省-长沙市</x:t>
        </x:is>
      </x:c>
      <x:c r="H4563" s="4" t="inlineStr">
        <x:is>
          <x:t xml:space="preserve">输配电气</x:t>
        </x:is>
      </x:c>
      <x:c r="I4563" s="4" t="inlineStr">
        <x:is>
          <x:t xml:space="preserve">2017-07-07</x:t>
        </x:is>
      </x:c>
      <x:c r="J4563" s="5" t="inlineStr">
        <x:is>
          <x:t xml:space="preserve">长沙高新开发区麓谷工业园桐梓坡西路223号</x:t>
        </x:is>
      </x:c>
      <x:c r="K4563" s="12" t="str">
        <x:f>LEFT("91430100183969999D",18)</x:f>
        <x:v>91430100183969999D</x:v>
      </x:c>
    </x:row>
    <x:row r="4564">
      <x:c r="A4564" s="2" t="n">
        <x:v>4563</x:v>
      </x:c>
      <x:c r="B4564" s="2" t="inlineStr">
        <x:is>
          <x:t xml:space="preserve">002892</x:t>
        </x:is>
      </x:c>
      <x:c r="C4564" s="3" t="inlineStr">
        <x:is>
          <x:t xml:space="preserve">科力尔</x:t>
        </x:is>
      </x:c>
      <x:c r="D4564" s="3" t="inlineStr">
        <x:is>
          <x:t xml:space="preserve">科力尔电机集团股份有限公司</x:t>
        </x:is>
      </x:c>
      <x:c r="E4564" s="2" t="inlineStr">
        <x:is>
          <x:t xml:space="preserve">湖南省</x:t>
        </x:is>
      </x:c>
      <x:c r="F4564" s="2" t="inlineStr">
        <x:is>
          <x:t xml:space="preserve">永州市</x:t>
        </x:is>
      </x:c>
      <x:c r="G4564" s="3" t="inlineStr">
        <x:is>
          <x:t xml:space="preserve">湖南省-永州市</x:t>
        </x:is>
      </x:c>
      <x:c r="H4564" s="2" t="inlineStr">
        <x:is>
          <x:t xml:space="preserve">电机</x:t>
        </x:is>
      </x:c>
      <x:c r="I4564" s="2" t="inlineStr">
        <x:is>
          <x:t xml:space="preserve">2017-08-17</x:t>
        </x:is>
      </x:c>
      <x:c r="J4564" s="3" t="inlineStr">
        <x:is>
          <x:t xml:space="preserve">湖南省祁阳县黎家坪镇南正北路49号</x:t>
        </x:is>
      </x:c>
      <x:c r="K4564" s="12" t="str">
        <x:f>LEFT("91431100561723591P",18)</x:f>
        <x:v>91431100561723591P</x:v>
      </x:c>
    </x:row>
    <x:row r="4565">
      <x:c r="A4565" s="4" t="n">
        <x:v>4564</x:v>
      </x:c>
      <x:c r="B4565" s="4" t="inlineStr">
        <x:is>
          <x:t xml:space="preserve">002903</x:t>
        </x:is>
      </x:c>
      <x:c r="C4565" s="5" t="inlineStr">
        <x:is>
          <x:t xml:space="preserve">宇环数控</x:t>
        </x:is>
      </x:c>
      <x:c r="D4565" s="5" t="inlineStr">
        <x:is>
          <x:t xml:space="preserve">宇环数控机床股份有限公司</x:t>
        </x:is>
      </x:c>
      <x:c r="E4565" s="4" t="inlineStr">
        <x:is>
          <x:t xml:space="preserve">湖南省</x:t>
        </x:is>
      </x:c>
      <x:c r="F4565" s="4" t="inlineStr">
        <x:is>
          <x:t xml:space="preserve">长沙市</x:t>
        </x:is>
      </x:c>
      <x:c r="G4565" s="5" t="inlineStr">
        <x:is>
          <x:t xml:space="preserve">湖南省-长沙市</x:t>
        </x:is>
      </x:c>
      <x:c r="H4565" s="4" t="inlineStr">
        <x:is>
          <x:t xml:space="preserve">机械行业</x:t>
        </x:is>
      </x:c>
      <x:c r="I4565" s="4" t="inlineStr">
        <x:is>
          <x:t xml:space="preserve">2017-10-13</x:t>
        </x:is>
      </x:c>
      <x:c r="J4565" s="5" t="inlineStr">
        <x:is>
          <x:t xml:space="preserve">湖南省长沙市浏阳制造产业基地永阳路9号</x:t>
        </x:is>
      </x:c>
      <x:c r="K4565" s="12" t="str">
        <x:f>LEFT("914300007656254831",18)</x:f>
        <x:v>914300007656254800</x:v>
      </x:c>
    </x:row>
    <x:row r="4566">
      <x:c r="A4566" s="2" t="n">
        <x:v>4565</x:v>
      </x:c>
      <x:c r="B4566" s="2" t="inlineStr">
        <x:is>
          <x:t xml:space="preserve">002913</x:t>
        </x:is>
      </x:c>
      <x:c r="C4566" s="3" t="inlineStr">
        <x:is>
          <x:t xml:space="preserve">奥士康</x:t>
        </x:is>
      </x:c>
      <x:c r="D4566" s="3" t="inlineStr">
        <x:is>
          <x:t xml:space="preserve">奥士康科技股份有限公司</x:t>
        </x:is>
      </x:c>
      <x:c r="E4566" s="2" t="inlineStr">
        <x:is>
          <x:t xml:space="preserve">湖南省</x:t>
        </x:is>
      </x:c>
      <x:c r="F4566" s="2" t="inlineStr">
        <x:is>
          <x:t xml:space="preserve">益阳市</x:t>
        </x:is>
      </x:c>
      <x:c r="G4566" s="3" t="inlineStr">
        <x:is>
          <x:t xml:space="preserve">湖南省-益阳市</x:t>
        </x:is>
      </x:c>
      <x:c r="H4566" s="2" t="inlineStr">
        <x:is>
          <x:t xml:space="preserve">电子元件</x:t>
        </x:is>
      </x:c>
      <x:c r="I4566" s="2" t="inlineStr">
        <x:is>
          <x:t xml:space="preserve">2017-12-01</x:t>
        </x:is>
      </x:c>
      <x:c r="J4566" s="3" t="inlineStr">
        <x:is>
          <x:t xml:space="preserve">湖南省益阳市资阳区长春工业园龙塘村</x:t>
        </x:is>
      </x:c>
      <x:c r="K4566" s="12" t="str">
        <x:f>LEFT("914309006735991422",18)</x:f>
        <x:v>914309006735991400</x:v>
      </x:c>
    </x:row>
    <x:row r="4567">
      <x:c r="A4567" s="4" t="n">
        <x:v>4566</x:v>
      </x:c>
      <x:c r="B4567" s="4" t="inlineStr">
        <x:is>
          <x:t xml:space="preserve">002943</x:t>
        </x:is>
      </x:c>
      <x:c r="C4567" s="5" t="inlineStr">
        <x:is>
          <x:t xml:space="preserve">宇晶股份</x:t>
        </x:is>
      </x:c>
      <x:c r="D4567" s="5" t="inlineStr">
        <x:is>
          <x:t xml:space="preserve">湖南宇晶机器股份有限公司</x:t>
        </x:is>
      </x:c>
      <x:c r="E4567" s="4" t="inlineStr">
        <x:is>
          <x:t xml:space="preserve">湖南省</x:t>
        </x:is>
      </x:c>
      <x:c r="F4567" s="4" t="inlineStr">
        <x:is>
          <x:t xml:space="preserve">益阳市</x:t>
        </x:is>
      </x:c>
      <x:c r="G4567" s="5" t="inlineStr">
        <x:is>
          <x:t xml:space="preserve">湖南省-益阳市</x:t>
        </x:is>
      </x:c>
      <x:c r="H4567" s="4" t="inlineStr">
        <x:is>
          <x:t xml:space="preserve">通用设备</x:t>
        </x:is>
      </x:c>
      <x:c r="I4567" s="4" t="inlineStr">
        <x:is>
          <x:t xml:space="preserve">2018-11-29</x:t>
        </x:is>
      </x:c>
      <x:c r="J4567" s="5" t="inlineStr">
        <x:is>
          <x:t xml:space="preserve">益阳市长春经济开发区资阳大道北侧01号</x:t>
        </x:is>
      </x:c>
      <x:c r="K4567" s="12" t="str">
        <x:f>LEFT("914309007170286178",18)</x:f>
        <x:v>914309007170286200</x:v>
      </x:c>
    </x:row>
    <x:row r="4568">
      <x:c r="A4568" s="2" t="n">
        <x:v>4567</x:v>
      </x:c>
      <x:c r="B4568" s="2" t="inlineStr">
        <x:is>
          <x:t xml:space="preserve">002982</x:t>
        </x:is>
      </x:c>
      <x:c r="C4568" s="3" t="inlineStr">
        <x:is>
          <x:t xml:space="preserve">湘佳股份</x:t>
        </x:is>
      </x:c>
      <x:c r="D4568" s="3" t="inlineStr">
        <x:is>
          <x:t xml:space="preserve">湖南湘佳牧业股份有限公司</x:t>
        </x:is>
      </x:c>
      <x:c r="E4568" s="2" t="inlineStr">
        <x:is>
          <x:t xml:space="preserve">湖南省</x:t>
        </x:is>
      </x:c>
      <x:c r="F4568" s="2" t="inlineStr">
        <x:is>
          <x:t xml:space="preserve">常德市</x:t>
        </x:is>
      </x:c>
      <x:c r="G4568" s="3" t="inlineStr">
        <x:is>
          <x:t xml:space="preserve">湖南省-常德市</x:t>
        </x:is>
      </x:c>
      <x:c r="H4568" s="2" t="inlineStr">
        <x:is>
          <x:t xml:space="preserve">农牧饲渔</x:t>
        </x:is>
      </x:c>
      <x:c r="I4568" s="2" t="inlineStr">
        <x:is>
          <x:t xml:space="preserve">2020-04-24</x:t>
        </x:is>
      </x:c>
      <x:c r="J4568" s="3" t="inlineStr">
        <x:is>
          <x:t xml:space="preserve">湖南石门经济开发区天供山居委会夹山路9号</x:t>
        </x:is>
      </x:c>
      <x:c r="K4568" s="12" t="str">
        <x:f>LEFT("91430700748364904T",18)</x:f>
        <x:v>91430700748364904T</x:v>
      </x:c>
    </x:row>
    <x:row r="4569">
      <x:c r="A4569" s="4" t="n">
        <x:v>4568</x:v>
      </x:c>
      <x:c r="B4569" s="4" t="inlineStr">
        <x:is>
          <x:t xml:space="preserve">003000</x:t>
        </x:is>
      </x:c>
      <x:c r="C4569" s="5" t="inlineStr">
        <x:is>
          <x:t xml:space="preserve">劲仔食品</x:t>
        </x:is>
      </x:c>
      <x:c r="D4569" s="5" t="inlineStr">
        <x:is>
          <x:t xml:space="preserve">劲仔食品集团股份有限公司</x:t>
        </x:is>
      </x:c>
      <x:c r="E4569" s="4" t="inlineStr">
        <x:is>
          <x:t xml:space="preserve">湖南省</x:t>
        </x:is>
      </x:c>
      <x:c r="F4569" s="4" t="inlineStr">
        <x:is>
          <x:t xml:space="preserve">岳阳市</x:t>
        </x:is>
      </x:c>
      <x:c r="G4569" s="5" t="inlineStr">
        <x:is>
          <x:t xml:space="preserve">湖南省-岳阳市</x:t>
        </x:is>
      </x:c>
      <x:c r="H4569" s="4" t="inlineStr">
        <x:is>
          <x:t xml:space="preserve">食品饮料</x:t>
        </x:is>
      </x:c>
      <x:c r="I4569" s="4" t="inlineStr">
        <x:is>
          <x:t xml:space="preserve">2020-09-14</x:t>
        </x:is>
      </x:c>
      <x:c r="J4569" s="5" t="inlineStr">
        <x:is>
          <x:t xml:space="preserve">湖南省岳阳市平江高新技术产业园区</x:t>
        </x:is>
      </x:c>
      <x:c r="K4569" s="12" t="str">
        <x:f>LEFT("91430600559532577G",18)</x:f>
        <x:v>91430600559532577G</x:v>
      </x:c>
    </x:row>
    <x:row r="4570">
      <x:c r="A4570" s="2" t="n">
        <x:v>4569</x:v>
      </x:c>
      <x:c r="B4570" s="2" t="inlineStr">
        <x:is>
          <x:t xml:space="preserve">300015</x:t>
        </x:is>
      </x:c>
      <x:c r="C4570" s="3" t="inlineStr">
        <x:is>
          <x:t xml:space="preserve">爱尔眼科</x:t>
        </x:is>
      </x:c>
      <x:c r="D4570" s="3" t="inlineStr">
        <x:is>
          <x:t xml:space="preserve">爱尔眼科医院集团股份有限公司</x:t>
        </x:is>
      </x:c>
      <x:c r="E4570" s="2" t="inlineStr">
        <x:is>
          <x:t xml:space="preserve">湖南省</x:t>
        </x:is>
      </x:c>
      <x:c r="F4570" s="2" t="inlineStr">
        <x:is>
          <x:t xml:space="preserve">长沙市</x:t>
        </x:is>
      </x:c>
      <x:c r="G4570" s="3" t="inlineStr">
        <x:is>
          <x:t xml:space="preserve">湖南省-长沙市</x:t>
        </x:is>
      </x:c>
      <x:c r="H4570" s="2" t="inlineStr">
        <x:is>
          <x:t xml:space="preserve">医疗行业</x:t>
        </x:is>
      </x:c>
      <x:c r="I4570" s="2" t="inlineStr">
        <x:is>
          <x:t xml:space="preserve">2009-10-30</x:t>
        </x:is>
      </x:c>
      <x:c r="J4570" s="3" t="inlineStr">
        <x:is>
          <x:t xml:space="preserve">长沙市天心区芙蓉南路一段188号爱尔大厦</x:t>
        </x:is>
      </x:c>
      <x:c r="K4570" s="12" t="str">
        <x:f>LEFT("91430000745928604G",18)</x:f>
        <x:v>91430000745928604G</x:v>
      </x:c>
    </x:row>
    <x:row r="4571">
      <x:c r="A4571" s="4" t="n">
        <x:v>4570</x:v>
      </x:c>
      <x:c r="B4571" s="4" t="inlineStr">
        <x:is>
          <x:t xml:space="preserve">300035</x:t>
        </x:is>
      </x:c>
      <x:c r="C4571" s="5" t="inlineStr">
        <x:is>
          <x:t xml:space="preserve">中科电气</x:t>
        </x:is>
      </x:c>
      <x:c r="D4571" s="5" t="inlineStr">
        <x:is>
          <x:t xml:space="preserve">湖南中科电气股份有限公司</x:t>
        </x:is>
      </x:c>
      <x:c r="E4571" s="4" t="inlineStr">
        <x:is>
          <x:t xml:space="preserve">湖南省</x:t>
        </x:is>
      </x:c>
      <x:c r="F4571" s="4" t="inlineStr">
        <x:is>
          <x:t xml:space="preserve">岳阳市</x:t>
        </x:is>
      </x:c>
      <x:c r="G4571" s="5" t="inlineStr">
        <x:is>
          <x:t xml:space="preserve">湖南省-岳阳市</x:t>
        </x:is>
      </x:c>
      <x:c r="H4571" s="4" t="inlineStr">
        <x:is>
          <x:t xml:space="preserve">非金属材料</x:t>
        </x:is>
      </x:c>
      <x:c r="I4571" s="4" t="inlineStr">
        <x:is>
          <x:t xml:space="preserve">2009-12-25</x:t>
        </x:is>
      </x:c>
      <x:c r="J4571" s="5" t="inlineStr">
        <x:is>
          <x:t xml:space="preserve">湖南省岳阳经济技术开发区岳阳大道中科工业园</x:t>
        </x:is>
      </x:c>
      <x:c r="K4571" s="12" t="str">
        <x:f>LEFT("914306007607108300",18)</x:f>
        <x:v>914306007607108400</x:v>
      </x:c>
    </x:row>
    <x:row r="4572">
      <x:c r="A4572" s="2" t="n">
        <x:v>4571</x:v>
      </x:c>
      <x:c r="B4572" s="2" t="inlineStr">
        <x:is>
          <x:t xml:space="preserve">300123</x:t>
        </x:is>
      </x:c>
      <x:c r="C4572" s="3" t="inlineStr">
        <x:is>
          <x:t xml:space="preserve">亚光科技</x:t>
        </x:is>
      </x:c>
      <x:c r="D4572" s="3" t="inlineStr">
        <x:is>
          <x:t xml:space="preserve">亚光科技集团股份有限公司</x:t>
        </x:is>
      </x:c>
      <x:c r="E4572" s="2" t="inlineStr">
        <x:is>
          <x:t xml:space="preserve">湖南省</x:t>
        </x:is>
      </x:c>
      <x:c r="F4572" s="2" t="inlineStr">
        <x:is>
          <x:t xml:space="preserve">南省沅江市</x:t>
        </x:is>
      </x:c>
      <x:c r="G4572" s="3" t="inlineStr">
        <x:is>
          <x:t xml:space="preserve">湖南省-南省沅江市</x:t>
        </x:is>
      </x:c>
      <x:c r="H4572" s="2" t="inlineStr">
        <x:is>
          <x:t xml:space="preserve">船舶制造</x:t>
        </x:is>
      </x:c>
      <x:c r="I4572" s="2" t="inlineStr">
        <x:is>
          <x:t xml:space="preserve">2010-09-28</x:t>
        </x:is>
      </x:c>
      <x:c r="J4572" s="3" t="inlineStr">
        <x:is>
          <x:t xml:space="preserve">湖南省沅江市游艇工业园</x:t>
        </x:is>
      </x:c>
      <x:c r="K4572" s="12" t="str">
        <x:f>LEFT("91430900750606108C",18)</x:f>
        <x:v>91430900750606108C</x:v>
      </x:c>
    </x:row>
    <x:row r="4573">
      <x:c r="A4573" s="4" t="n">
        <x:v>4572</x:v>
      </x:c>
      <x:c r="B4573" s="4" t="inlineStr">
        <x:is>
          <x:t xml:space="preserve">300148</x:t>
        </x:is>
      </x:c>
      <x:c r="C4573" s="5" t="inlineStr">
        <x:is>
          <x:t xml:space="preserve">天舟文化</x:t>
        </x:is>
      </x:c>
      <x:c r="D4573" s="5" t="inlineStr">
        <x:is>
          <x:t xml:space="preserve">天舟文化股份有限公司</x:t>
        </x:is>
      </x:c>
      <x:c r="E4573" s="4" t="inlineStr">
        <x:is>
          <x:t xml:space="preserve">湖南省</x:t>
        </x:is>
      </x:c>
      <x:c r="F4573" s="4" t="inlineStr">
        <x:is>
          <x:t xml:space="preserve">长沙市</x:t>
        </x:is>
      </x:c>
      <x:c r="G4573" s="5" t="inlineStr">
        <x:is>
          <x:t xml:space="preserve">湖南省-长沙市</x:t>
        </x:is>
      </x:c>
      <x:c r="H4573" s="4" t="inlineStr">
        <x:is>
          <x:t xml:space="preserve">文化传媒</x:t>
        </x:is>
      </x:c>
      <x:c r="I4573" s="4" t="inlineStr">
        <x:is>
          <x:t xml:space="preserve">2010-12-15</x:t>
        </x:is>
      </x:c>
      <x:c r="J4573" s="5" t="inlineStr">
        <x:is>
          <x:t xml:space="preserve">湖南省长沙县星沙镇茶叶大市场办公楼502、602号</x:t>
        </x:is>
      </x:c>
      <x:c r="K4573" s="12" t="str">
        <x:f>LEFT("91430100750635435X",18)</x:f>
        <x:v>91430100750635435X</x:v>
      </x:c>
    </x:row>
    <x:row r="4574">
      <x:c r="A4574" s="2" t="n">
        <x:v>4573</x:v>
      </x:c>
      <x:c r="B4574" s="2" t="inlineStr">
        <x:is>
          <x:t xml:space="preserve">300187</x:t>
        </x:is>
      </x:c>
      <x:c r="C4574" s="3" t="inlineStr">
        <x:is>
          <x:t xml:space="preserve">永清环保</x:t>
        </x:is>
      </x:c>
      <x:c r="D4574" s="3" t="inlineStr">
        <x:is>
          <x:t xml:space="preserve">永清环保股份有限公司</x:t>
        </x:is>
      </x:c>
      <x:c r="E4574" s="2" t="inlineStr">
        <x:is>
          <x:t xml:space="preserve">湖南省</x:t>
        </x:is>
      </x:c>
      <x:c r="F4574" s="2" t="inlineStr">
        <x:is>
          <x:t xml:space="preserve">长沙市</x:t>
        </x:is>
      </x:c>
      <x:c r="G4574" s="3" t="inlineStr">
        <x:is>
          <x:t xml:space="preserve">湖南省-长沙市</x:t>
        </x:is>
      </x:c>
      <x:c r="H4574" s="2" t="inlineStr">
        <x:is>
          <x:t xml:space="preserve">环保工程</x:t>
        </x:is>
      </x:c>
      <x:c r="I4574" s="2" t="inlineStr">
        <x:is>
          <x:t xml:space="preserve">2011-03-08</x:t>
        </x:is>
      </x:c>
      <x:c r="J4574" s="3" t="inlineStr">
        <x:is>
          <x:t xml:space="preserve">长沙市浏阳市国家生物医药产业基地(319国道旁)</x:t>
        </x:is>
      </x:c>
      <x:c r="K4574" s="12" t="str">
        <x:f>LEFT("91430000760723375M",18)</x:f>
        <x:v>91430000760723375M</x:v>
      </x:c>
    </x:row>
    <x:row r="4575">
      <x:c r="A4575" s="4" t="n">
        <x:v>4574</x:v>
      </x:c>
      <x:c r="B4575" s="4" t="inlineStr">
        <x:is>
          <x:t xml:space="preserve">300209</x:t>
        </x:is>
      </x:c>
      <x:c r="C4575" s="5" t="inlineStr">
        <x:is>
          <x:t xml:space="preserve">行云科技</x:t>
        </x:is>
      </x:c>
      <x:c r="D4575" s="5" t="inlineStr">
        <x:is>
          <x:t xml:space="preserve">行云科技股份有限公司</x:t>
        </x:is>
      </x:c>
      <x:c r="E4575" s="4" t="inlineStr">
        <x:is>
          <x:t xml:space="preserve">湖南省</x:t>
        </x:is>
      </x:c>
      <x:c r="F4575" s="4" t="inlineStr">
        <x:is>
          <x:t xml:space="preserve">长沙市</x:t>
        </x:is>
      </x:c>
      <x:c r="G4575" s="5" t="inlineStr">
        <x:is>
          <x:t xml:space="preserve">湖南省-长沙市</x:t>
        </x:is>
      </x:c>
      <x:c r="H4575" s="4" t="inlineStr">
        <x:is>
          <x:t xml:space="preserve">互联网服务</x:t>
        </x:is>
      </x:c>
      <x:c r="I4575" s="4" t="inlineStr">
        <x:is>
          <x:t xml:space="preserve">2011-04-26</x:t>
        </x:is>
      </x:c>
      <x:c r="J4575" s="5" t="inlineStr">
        <x:is>
          <x:t xml:space="preserve">湖南省长沙市开福区青竹湖街道湘江北路一段369号5栋1层105号房(中部进出口商品展示交易中心)</x:t>
        </x:is>
      </x:c>
      <x:c r="K4575" s="12" t="str">
        <x:f>LEFT("9132000072058020XK",18)</x:f>
        <x:v>9132000072058020XK</x:v>
      </x:c>
    </x:row>
    <x:row r="4576">
      <x:c r="A4576" s="2" t="n">
        <x:v>4575</x:v>
      </x:c>
      <x:c r="B4576" s="2" t="inlineStr">
        <x:is>
          <x:t xml:space="preserve">300267</x:t>
        </x:is>
      </x:c>
      <x:c r="C4576" s="3" t="inlineStr">
        <x:is>
          <x:t xml:space="preserve">尔康制药</x:t>
        </x:is>
      </x:c>
      <x:c r="D4576" s="3" t="inlineStr">
        <x:is>
          <x:t xml:space="preserve">湖南尔康制药股份有限公司</x:t>
        </x:is>
      </x:c>
      <x:c r="E4576" s="2" t="inlineStr">
        <x:is>
          <x:t xml:space="preserve">湖南省</x:t>
        </x:is>
      </x:c>
      <x:c r="F4576" s="2" t="inlineStr">
        <x:is>
          <x:t xml:space="preserve">长沙市</x:t>
        </x:is>
      </x:c>
      <x:c r="G4576" s="3" t="inlineStr">
        <x:is>
          <x:t xml:space="preserve">湖南省-长沙市</x:t>
        </x:is>
      </x:c>
      <x:c r="H4576" s="2" t="inlineStr">
        <x:is>
          <x:t xml:space="preserve">医药制造</x:t>
        </x:is>
      </x:c>
      <x:c r="I4576" s="2" t="inlineStr">
        <x:is>
          <x:t xml:space="preserve">2011-09-27</x:t>
        </x:is>
      </x:c>
      <x:c r="J4576" s="3" t="inlineStr">
        <x:is>
          <x:t xml:space="preserve">长沙市浏阳经济开发区康平路167号</x:t>
        </x:is>
      </x:c>
      <x:c r="K4576" s="12" t="str">
        <x:f>LEFT("914301007558022471",18)</x:f>
        <x:v>914301007558022500</x:v>
      </x:c>
    </x:row>
    <x:row r="4577">
      <x:c r="A4577" s="4" t="n">
        <x:v>4576</x:v>
      </x:c>
      <x:c r="B4577" s="4" t="inlineStr">
        <x:is>
          <x:t xml:space="preserve">300268</x:t>
        </x:is>
      </x:c>
      <x:c r="C4577" s="5" t="inlineStr">
        <x:is>
          <x:t xml:space="preserve">*ST佳沃</x:t>
        </x:is>
      </x:c>
      <x:c r="D4577" s="5" t="inlineStr">
        <x:is>
          <x:t xml:space="preserve">佳沃食品股份有限公司</x:t>
        </x:is>
      </x:c>
      <x:c r="E4577" s="4" t="inlineStr">
        <x:is>
          <x:t xml:space="preserve">湖南省</x:t>
        </x:is>
      </x:c>
      <x:c r="F4577" s="4" t="inlineStr">
        <x:is>
          <x:t xml:space="preserve">常德市</x:t>
        </x:is>
      </x:c>
      <x:c r="G4577" s="5" t="inlineStr">
        <x:is>
          <x:t xml:space="preserve">湖南省-常德市</x:t>
        </x:is>
      </x:c>
      <x:c r="H4577" s="4" t="inlineStr">
        <x:is>
          <x:t xml:space="preserve">农牧饲渔</x:t>
        </x:is>
      </x:c>
      <x:c r="I4577" s="4" t="inlineStr">
        <x:is>
          <x:t xml:space="preserve">2011-09-27</x:t>
        </x:is>
      </x:c>
      <x:c r="J4577" s="5" t="inlineStr">
        <x:is>
          <x:t xml:space="preserve">湖南省常德经济技术开发区樟木桥街道双岗社区桃林路661号(双创大厦15楼)1501-20</x:t>
        </x:is>
      </x:c>
      <x:c r="K4577" s="12" t="str">
        <x:f>LEFT("914307007073662926",18)</x:f>
        <x:v>914307007073663000</x:v>
      </x:c>
    </x:row>
    <x:row r="4578">
      <x:c r="A4578" s="2" t="n">
        <x:v>4577</x:v>
      </x:c>
      <x:c r="B4578" s="2" t="inlineStr">
        <x:is>
          <x:t xml:space="preserve">300298</x:t>
        </x:is>
      </x:c>
      <x:c r="C4578" s="3" t="inlineStr">
        <x:is>
          <x:t xml:space="preserve">三诺生物</x:t>
        </x:is>
      </x:c>
      <x:c r="D4578" s="3" t="inlineStr">
        <x:is>
          <x:t xml:space="preserve">三诺生物传感股份有限公司</x:t>
        </x:is>
      </x:c>
      <x:c r="E4578" s="2" t="inlineStr">
        <x:is>
          <x:t xml:space="preserve">湖南省</x:t>
        </x:is>
      </x:c>
      <x:c r="F4578" s="2" t="inlineStr">
        <x:is>
          <x:t xml:space="preserve">长沙市</x:t>
        </x:is>
      </x:c>
      <x:c r="G4578" s="3" t="inlineStr">
        <x:is>
          <x:t xml:space="preserve">湖南省-长沙市</x:t>
        </x:is>
      </x:c>
      <x:c r="H4578" s="2" t="inlineStr">
        <x:is>
          <x:t xml:space="preserve">医疗器械</x:t>
        </x:is>
      </x:c>
      <x:c r="I4578" s="2" t="inlineStr">
        <x:is>
          <x:t xml:space="preserve">2012-03-19</x:t>
        </x:is>
      </x:c>
      <x:c r="J4578" s="3" t="inlineStr">
        <x:is>
          <x:t xml:space="preserve">长沙高新技术产业开发区谷苑路265号</x:t>
        </x:is>
      </x:c>
      <x:c r="K4578" s="12" t="str">
        <x:f>LEFT("91430100740620301T",18)</x:f>
        <x:v>91430100740620301T</x:v>
      </x:c>
    </x:row>
    <x:row r="4579">
      <x:c r="A4579" s="4" t="n">
        <x:v>4578</x:v>
      </x:c>
      <x:c r="B4579" s="4" t="inlineStr">
        <x:is>
          <x:t xml:space="preserve">300338</x:t>
        </x:is>
      </x:c>
      <x:c r="C4579" s="5" t="inlineStr">
        <x:is>
          <x:t xml:space="preserve">ST开元</x:t>
        </x:is>
      </x:c>
      <x:c r="D4579" s="5" t="inlineStr">
        <x:is>
          <x:t xml:space="preserve">开元教育科技集团股份有限公司</x:t>
        </x:is>
      </x:c>
      <x:c r="E4579" s="4" t="inlineStr">
        <x:is>
          <x:t xml:space="preserve">湖南省</x:t>
        </x:is>
      </x:c>
      <x:c r="F4579" s="4" t="inlineStr">
        <x:is>
          <x:t xml:space="preserve">长沙市</x:t>
        </x:is>
      </x:c>
      <x:c r="G4579" s="5" t="inlineStr">
        <x:is>
          <x:t xml:space="preserve">湖南省-长沙市</x:t>
        </x:is>
      </x:c>
      <x:c r="H4579" s="4" t="inlineStr">
        <x:is>
          <x:t xml:space="preserve">文教休闲</x:t>
        </x:is>
      </x:c>
      <x:c r="I4579" s="4" t="inlineStr">
        <x:is>
          <x:t xml:space="preserve">2012-07-26</x:t>
        </x:is>
      </x:c>
      <x:c r="J4579" s="5" t="inlineStr">
        <x:is>
          <x:t xml:space="preserve">长沙经济技术开发区开元路172号</x:t>
        </x:is>
      </x:c>
      <x:c r="K4579" s="12" t="str">
        <x:f>LEFT("91430100717045484B",18)</x:f>
        <x:v>91430100717045484B</x:v>
      </x:c>
    </x:row>
    <x:row r="4580">
      <x:c r="A4580" s="2" t="n">
        <x:v>4579</x:v>
      </x:c>
      <x:c r="B4580" s="2" t="inlineStr">
        <x:is>
          <x:t xml:space="preserve">300345</x:t>
        </x:is>
      </x:c>
      <x:c r="C4580" s="3" t="inlineStr">
        <x:is>
          <x:t xml:space="preserve">华民股份</x:t>
        </x:is>
      </x:c>
      <x:c r="D4580" s="3" t="inlineStr">
        <x:is>
          <x:t xml:space="preserve">湖南华民控股集团股份有限公司</x:t>
        </x:is>
      </x:c>
      <x:c r="E4580" s="2" t="inlineStr">
        <x:is>
          <x:t xml:space="preserve">湖南省</x:t>
        </x:is>
      </x:c>
      <x:c r="F4580" s="2" t="inlineStr">
        <x:is>
          <x:t xml:space="preserve">长沙市</x:t>
        </x:is>
      </x:c>
      <x:c r="G4580" s="3" t="inlineStr">
        <x:is>
          <x:t xml:space="preserve">湖南省-长沙市</x:t>
        </x:is>
      </x:c>
      <x:c r="H4580" s="2" t="inlineStr">
        <x:is>
          <x:t xml:space="preserve">光伏设备</x:t>
        </x:is>
      </x:c>
      <x:c r="I4580" s="2" t="inlineStr">
        <x:is>
          <x:t xml:space="preserve">2012-08-01</x:t>
        </x:is>
      </x:c>
      <x:c r="J4580" s="3" t="inlineStr">
        <x:is>
          <x:t xml:space="preserve">湖南省长沙市金洲新区金沙西路068号</x:t>
        </x:is>
      </x:c>
      <x:c r="K4580" s="12" t="str">
        <x:f>LEFT("9143010018740061XE",18)</x:f>
        <x:v>9143010018740061XE</x:v>
      </x:c>
    </x:row>
    <x:row r="4581">
      <x:c r="A4581" s="4" t="n">
        <x:v>4580</x:v>
      </x:c>
      <x:c r="B4581" s="4" t="inlineStr">
        <x:is>
          <x:t xml:space="preserve">300358</x:t>
        </x:is>
      </x:c>
      <x:c r="C4581" s="5" t="inlineStr">
        <x:is>
          <x:t xml:space="preserve">楚天科技</x:t>
        </x:is>
      </x:c>
      <x:c r="D4581" s="5" t="inlineStr">
        <x:is>
          <x:t xml:space="preserve">楚天科技股份有限公司</x:t>
        </x:is>
      </x:c>
      <x:c r="E4581" s="4" t="inlineStr">
        <x:is>
          <x:t xml:space="preserve">湖南省</x:t>
        </x:is>
      </x:c>
      <x:c r="F4581" s="4" t="inlineStr">
        <x:is>
          <x:t xml:space="preserve">长沙市</x:t>
        </x:is>
      </x:c>
      <x:c r="G4581" s="5" t="inlineStr">
        <x:is>
          <x:t xml:space="preserve">湖南省-长沙市</x:t>
        </x:is>
      </x:c>
      <x:c r="H4581" s="4" t="inlineStr">
        <x:is>
          <x:t xml:space="preserve">医疗器械</x:t>
        </x:is>
      </x:c>
      <x:c r="I4581" s="4" t="inlineStr">
        <x:is>
          <x:t xml:space="preserve">2014-01-21</x:t>
        </x:is>
      </x:c>
      <x:c r="J4581" s="5" t="inlineStr">
        <x:is>
          <x:t xml:space="preserve">湖南省长沙市宁乡县玉潭镇新康路1号</x:t>
        </x:is>
      </x:c>
      <x:c r="K4581" s="12" t="str">
        <x:f>LEFT("91430100743176293C",18)</x:f>
        <x:v>91430100743176293C</x:v>
      </x:c>
    </x:row>
    <x:row r="4582">
      <x:c r="A4582" s="2" t="n">
        <x:v>4581</x:v>
      </x:c>
      <x:c r="B4582" s="2" t="inlineStr">
        <x:is>
          <x:t xml:space="preserve">300413</x:t>
        </x:is>
      </x:c>
      <x:c r="C4582" s="3" t="inlineStr">
        <x:is>
          <x:t xml:space="preserve">芒果超媒</x:t>
        </x:is>
      </x:c>
      <x:c r="D4582" s="3" t="inlineStr">
        <x:is>
          <x:t xml:space="preserve">芒果超媒股份有限公司</x:t>
        </x:is>
      </x:c>
      <x:c r="E4582" s="2" t="inlineStr">
        <x:is>
          <x:t xml:space="preserve">湖南省</x:t>
        </x:is>
      </x:c>
      <x:c r="F4582" s="2" t="inlineStr">
        <x:is>
          <x:t xml:space="preserve">长沙市</x:t>
        </x:is>
      </x:c>
      <x:c r="G4582" s="3" t="inlineStr">
        <x:is>
          <x:t xml:space="preserve">湖南省-长沙市</x:t>
        </x:is>
      </x:c>
      <x:c r="H4582" s="2" t="inlineStr">
        <x:is>
          <x:t xml:space="preserve">文化传媒</x:t>
        </x:is>
      </x:c>
      <x:c r="I4582" s="2" t="inlineStr">
        <x:is>
          <x:t xml:space="preserve">2015-01-21</x:t>
        </x:is>
      </x:c>
      <x:c r="J4582" s="3" t="inlineStr">
        <x:is>
          <x:t xml:space="preserve">湖南省长沙市金鹰影视文化城</x:t>
        </x:is>
      </x:c>
      <x:c r="K4582" s="12" t="str">
        <x:f>LEFT("91430100782875193K",18)</x:f>
        <x:v>91430100782875193K</x:v>
      </x:c>
    </x:row>
    <x:row r="4583">
      <x:c r="A4583" s="4" t="n">
        <x:v>4582</x:v>
      </x:c>
      <x:c r="B4583" s="4" t="inlineStr">
        <x:is>
          <x:t xml:space="preserve">300433</x:t>
        </x:is>
      </x:c>
      <x:c r="C4583" s="5" t="inlineStr">
        <x:is>
          <x:t xml:space="preserve">蓝思科技</x:t>
        </x:is>
      </x:c>
      <x:c r="D4583" s="5" t="inlineStr">
        <x:is>
          <x:t xml:space="preserve">蓝思科技股份有限公司</x:t>
        </x:is>
      </x:c>
      <x:c r="E4583" s="4" t="inlineStr">
        <x:is>
          <x:t xml:space="preserve">湖南省</x:t>
        </x:is>
      </x:c>
      <x:c r="F4583" s="4" t="inlineStr">
        <x:is>
          <x:t xml:space="preserve">长沙市</x:t>
        </x:is>
      </x:c>
      <x:c r="G4583" s="5" t="inlineStr">
        <x:is>
          <x:t xml:space="preserve">湖南省-长沙市</x:t>
        </x:is>
      </x:c>
      <x:c r="H4583" s="4" t="inlineStr">
        <x:is>
          <x:t xml:space="preserve">消费电子</x:t>
        </x:is>
      </x:c>
      <x:c r="I4583" s="4" t="inlineStr">
        <x:is>
          <x:t xml:space="preserve">2015-03-18</x:t>
        </x:is>
      </x:c>
      <x:c r="J4583" s="5" t="inlineStr">
        <x:is>
          <x:t xml:space="preserve">湖南浏阳生物医药园</x:t>
        </x:is>
      </x:c>
      <x:c r="K4583" s="12" t="str">
        <x:f>LEFT("91430000796852865Y",18)</x:f>
        <x:v>91430000796852865Y</x:v>
      </x:c>
    </x:row>
    <x:row r="4584">
      <x:c r="A4584" s="2" t="n">
        <x:v>4583</x:v>
      </x:c>
      <x:c r="B4584" s="2" t="inlineStr">
        <x:is>
          <x:t xml:space="preserve">300474</x:t>
        </x:is>
      </x:c>
      <x:c r="C4584" s="3" t="inlineStr">
        <x:is>
          <x:t xml:space="preserve">景嘉微</x:t>
        </x:is>
      </x:c>
      <x:c r="D4584" s="3" t="inlineStr">
        <x:is>
          <x:t xml:space="preserve">长沙景嘉微电子股份有限公司</x:t>
        </x:is>
      </x:c>
      <x:c r="E4584" s="2" t="inlineStr">
        <x:is>
          <x:t xml:space="preserve">湖南省</x:t>
        </x:is>
      </x:c>
      <x:c r="F4584" s="2" t="inlineStr">
        <x:is>
          <x:t xml:space="preserve">长沙市</x:t>
        </x:is>
      </x:c>
      <x:c r="G4584" s="3" t="inlineStr">
        <x:is>
          <x:t xml:space="preserve">湖南省-长沙市</x:t>
        </x:is>
      </x:c>
      <x:c r="H4584" s="2" t="inlineStr">
        <x:is>
          <x:t xml:space="preserve">电子元件</x:t>
        </x:is>
      </x:c>
      <x:c r="I4584" s="2" t="inlineStr">
        <x:is>
          <x:t xml:space="preserve">2016-03-31</x:t>
        </x:is>
      </x:c>
      <x:c r="J4584" s="3" t="inlineStr">
        <x:is>
          <x:t xml:space="preserve">长沙高新开发区岳麓西大道1698号麓谷科技创新创业园B1栋902</x:t>
        </x:is>
      </x:c>
      <x:c r="K4584" s="12" t="str">
        <x:f>LEFT("914301007853917172",18)</x:f>
        <x:v>914301007853917200</x:v>
      </x:c>
    </x:row>
    <x:row r="4585">
      <x:c r="A4585" s="4" t="n">
        <x:v>4584</x:v>
      </x:c>
      <x:c r="B4585" s="4" t="inlineStr">
        <x:is>
          <x:t xml:space="preserve">300490</x:t>
        </x:is>
      </x:c>
      <x:c r="C4585" s="5" t="inlineStr">
        <x:is>
          <x:t xml:space="preserve">华自科技</x:t>
        </x:is>
      </x:c>
      <x:c r="D4585" s="5" t="inlineStr">
        <x:is>
          <x:t xml:space="preserve">华自科技股份有限公司</x:t>
        </x:is>
      </x:c>
      <x:c r="E4585" s="4" t="inlineStr">
        <x:is>
          <x:t xml:space="preserve">湖南省</x:t>
        </x:is>
      </x:c>
      <x:c r="F4585" s="4" t="inlineStr">
        <x:is>
          <x:t xml:space="preserve">长沙市</x:t>
        </x:is>
      </x:c>
      <x:c r="G4585" s="5" t="inlineStr">
        <x:is>
          <x:t xml:space="preserve">湖南省-长沙市</x:t>
        </x:is>
      </x:c>
      <x:c r="H4585" s="4" t="inlineStr">
        <x:is>
          <x:t xml:space="preserve">输配电气</x:t>
        </x:is>
      </x:c>
      <x:c r="I4585" s="4" t="inlineStr">
        <x:is>
          <x:t xml:space="preserve">2015-12-31</x:t>
        </x:is>
      </x:c>
      <x:c r="J4585" s="5" t="inlineStr">
        <x:is>
          <x:t xml:space="preserve">长沙高新开发区麓谷麓松路609号</x:t>
        </x:is>
      </x:c>
      <x:c r="K4585" s="12" t="str">
        <x:f>LEFT("914300006940434345",18)</x:f>
        <x:v>914300006940434300</x:v>
      </x:c>
    </x:row>
    <x:row r="4586">
      <x:c r="A4586" s="2" t="n">
        <x:v>4585</x:v>
      </x:c>
      <x:c r="B4586" s="2" t="inlineStr">
        <x:is>
          <x:t xml:space="preserve">300515</x:t>
        </x:is>
      </x:c>
      <x:c r="C4586" s="3" t="inlineStr">
        <x:is>
          <x:t xml:space="preserve">三德科技</x:t>
        </x:is>
      </x:c>
      <x:c r="D4586" s="3" t="inlineStr">
        <x:is>
          <x:t xml:space="preserve">湖南三德科技股份有限公司</x:t>
        </x:is>
      </x:c>
      <x:c r="E4586" s="2" t="inlineStr">
        <x:is>
          <x:t xml:space="preserve">湖南省</x:t>
        </x:is>
      </x:c>
      <x:c r="F4586" s="2" t="inlineStr">
        <x:is>
          <x:t xml:space="preserve">长沙市</x:t>
        </x:is>
      </x:c>
      <x:c r="G4586" s="3" t="inlineStr">
        <x:is>
          <x:t xml:space="preserve">湖南省-长沙市</x:t>
        </x:is>
      </x:c>
      <x:c r="H4586" s="2" t="inlineStr">
        <x:is>
          <x:t xml:space="preserve">仪器仪表</x:t>
        </x:is>
      </x:c>
      <x:c r="I4586" s="2" t="inlineStr">
        <x:is>
          <x:t xml:space="preserve">2016-06-08</x:t>
        </x:is>
      </x:c>
      <x:c r="J4586" s="3" t="inlineStr">
        <x:is>
          <x:t xml:space="preserve">长沙高新开发区桐梓坡西路558号</x:t>
        </x:is>
      </x:c>
      <x:c r="K4586" s="12" t="str">
        <x:f>LEFT("914301007607140065",18)</x:f>
        <x:v>914301007607140100</x:v>
      </x:c>
    </x:row>
    <x:row r="4587">
      <x:c r="A4587" s="4" t="n">
        <x:v>4586</x:v>
      </x:c>
      <x:c r="B4587" s="4" t="inlineStr">
        <x:is>
          <x:t xml:space="preserve">300530</x:t>
        </x:is>
      </x:c>
      <x:c r="C4587" s="5" t="inlineStr">
        <x:is>
          <x:t xml:space="preserve">领湃科技</x:t>
        </x:is>
      </x:c>
      <x:c r="D4587" s="5" t="inlineStr">
        <x:is>
          <x:t xml:space="preserve">湖南领湃科技集团股份有限公司</x:t>
        </x:is>
      </x:c>
      <x:c r="E4587" s="4" t="inlineStr">
        <x:is>
          <x:t xml:space="preserve">湖南省</x:t>
        </x:is>
      </x:c>
      <x:c r="F4587" s="4" t="inlineStr">
        <x:is>
          <x:t xml:space="preserve">衡阳市</x:t>
        </x:is>
      </x:c>
      <x:c r="G4587" s="5" t="inlineStr">
        <x:is>
          <x:t xml:space="preserve">湖南省-衡阳市</x:t>
        </x:is>
      </x:c>
      <x:c r="H4587" s="4" t="inlineStr">
        <x:is>
          <x:t xml:space="preserve">电池</x:t>
        </x:is>
      </x:c>
      <x:c r="I4587" s="4" t="inlineStr">
        <x:is>
          <x:t xml:space="preserve">2016-08-09</x:t>
        </x:is>
      </x:c>
      <x:c r="J4587" s="5" t="inlineStr">
        <x:is>
          <x:t xml:space="preserve">湖南省衡阳市祁东县归阳工业园金威路</x:t>
        </x:is>
      </x:c>
      <x:c r="K4587" s="12" t="str">
        <x:f>LEFT("91440101745998274Y",18)</x:f>
        <x:v>91440101745998274Y</x:v>
      </x:c>
    </x:row>
    <x:row r="4588">
      <x:c r="A4588" s="2" t="n">
        <x:v>4587</x:v>
      </x:c>
      <x:c r="B4588" s="2" t="inlineStr">
        <x:is>
          <x:t xml:space="preserve">300592</x:t>
        </x:is>
      </x:c>
      <x:c r="C4588" s="3" t="inlineStr">
        <x:is>
          <x:t xml:space="preserve">华凯易佰</x:t>
        </x:is>
      </x:c>
      <x:c r="D4588" s="3" t="inlineStr">
        <x:is>
          <x:t xml:space="preserve">华凯易佰科技股份有限公司</x:t>
        </x:is>
      </x:c>
      <x:c r="E4588" s="2" t="inlineStr">
        <x:is>
          <x:t xml:space="preserve">湖南省</x:t>
        </x:is>
      </x:c>
      <x:c r="F4588" s="2" t="inlineStr">
        <x:is>
          <x:t xml:space="preserve">长沙市</x:t>
        </x:is>
      </x:c>
      <x:c r="G4588" s="3" t="inlineStr">
        <x:is>
          <x:t xml:space="preserve">湖南省-长沙市</x:t>
        </x:is>
      </x:c>
      <x:c r="H4588" s="2" t="inlineStr">
        <x:is>
          <x:t xml:space="preserve">互联网服务</x:t>
        </x:is>
      </x:c>
      <x:c r="I4588" s="2" t="inlineStr">
        <x:is>
          <x:t xml:space="preserve">2017-01-20</x:t>
        </x:is>
      </x:c>
      <x:c r="J4588" s="3" t="inlineStr">
        <x:is>
          <x:t xml:space="preserve">长沙市岳麓区创源路8号华凯文化科技园1、2栋101</x:t>
        </x:is>
      </x:c>
      <x:c r="K4588" s="12" t="str">
        <x:f>LEFT("91430000685008653Q",18)</x:f>
        <x:v>91430000685008653Q</x:v>
      </x:c>
    </x:row>
    <x:row r="4589">
      <x:c r="A4589" s="4" t="n">
        <x:v>4588</x:v>
      </x:c>
      <x:c r="B4589" s="4" t="inlineStr">
        <x:is>
          <x:t xml:space="preserve">300665</x:t>
        </x:is>
      </x:c>
      <x:c r="C4589" s="5" t="inlineStr">
        <x:is>
          <x:t xml:space="preserve">飞鹿股份</x:t>
        </x:is>
      </x:c>
      <x:c r="D4589" s="5" t="inlineStr">
        <x:is>
          <x:t xml:space="preserve">株洲飞鹿高新材料技术股份有限公司</x:t>
        </x:is>
      </x:c>
      <x:c r="E4589" s="4" t="inlineStr">
        <x:is>
          <x:t xml:space="preserve">湖南省</x:t>
        </x:is>
      </x:c>
      <x:c r="F4589" s="4" t="inlineStr">
        <x:is>
          <x:t xml:space="preserve">株洲市</x:t>
        </x:is>
      </x:c>
      <x:c r="G4589" s="5" t="inlineStr">
        <x:is>
          <x:t xml:space="preserve">湖南省-株洲市</x:t>
        </x:is>
      </x:c>
      <x:c r="H4589" s="4" t="inlineStr">
        <x:is>
          <x:t xml:space="preserve">化工行业</x:t>
        </x:is>
      </x:c>
      <x:c r="I4589" s="4" t="inlineStr">
        <x:is>
          <x:t xml:space="preserve">2017-06-13</x:t>
        </x:is>
      </x:c>
      <x:c r="J4589" s="5" t="inlineStr">
        <x:is>
          <x:t xml:space="preserve">湖南省株洲市荷塘区金山工业园</x:t>
        </x:is>
      </x:c>
      <x:c r="K4589" s="12" t="str">
        <x:f>LEFT("914302007656224696",18)</x:f>
        <x:v>914302007656224600</x:v>
      </x:c>
    </x:row>
    <x:row r="4590">
      <x:c r="A4590" s="2" t="n">
        <x:v>4589</x:v>
      </x:c>
      <x:c r="B4590" s="2" t="inlineStr">
        <x:is>
          <x:t xml:space="preserve">300672</x:t>
        </x:is>
      </x:c>
      <x:c r="C4590" s="3" t="inlineStr">
        <x:is>
          <x:t xml:space="preserve">国科微</x:t>
        </x:is>
      </x:c>
      <x:c r="D4590" s="3" t="inlineStr">
        <x:is>
          <x:t xml:space="preserve">湖南国科微电子股份有限公司</x:t>
        </x:is>
      </x:c>
      <x:c r="E4590" s="2" t="inlineStr">
        <x:is>
          <x:t xml:space="preserve">湖南省</x:t>
        </x:is>
      </x:c>
      <x:c r="F4590" s="2" t="inlineStr">
        <x:is>
          <x:t xml:space="preserve">长沙市</x:t>
        </x:is>
      </x:c>
      <x:c r="G4590" s="3" t="inlineStr">
        <x:is>
          <x:t xml:space="preserve">湖南省-长沙市</x:t>
        </x:is>
      </x:c>
      <x:c r="H4590" s="2" t="inlineStr">
        <x:is>
          <x:t xml:space="preserve">半导体</x:t>
        </x:is>
      </x:c>
      <x:c r="I4590" s="2" t="inlineStr">
        <x:is>
          <x:t xml:space="preserve">2017-07-12</x:t>
        </x:is>
      </x:c>
      <x:c r="J4590" s="3" t="inlineStr">
        <x:is>
          <x:t xml:space="preserve">长沙经济技术开发区泉塘街道东十路南段9号</x:t>
        </x:is>
      </x:c>
      <x:c r="K4590" s="12" t="str">
        <x:f>LEFT("9143010068031562X6",18)</x:f>
        <x:v>9143010068031562X6</x:v>
      </x:c>
    </x:row>
    <x:row r="4591">
      <x:c r="A4591" s="4" t="n">
        <x:v>4590</x:v>
      </x:c>
      <x:c r="B4591" s="4" t="inlineStr">
        <x:is>
          <x:t xml:space="preserve">300700</x:t>
        </x:is>
      </x:c>
      <x:c r="C4591" s="5" t="inlineStr">
        <x:is>
          <x:t xml:space="preserve">岱勒新材</x:t>
        </x:is>
      </x:c>
      <x:c r="D4591" s="5" t="inlineStr">
        <x:is>
          <x:t xml:space="preserve">长沙岱勒新材料科技股份有限公司</x:t>
        </x:is>
      </x:c>
      <x:c r="E4591" s="4" t="inlineStr">
        <x:is>
          <x:t xml:space="preserve">湖南省</x:t>
        </x:is>
      </x:c>
      <x:c r="F4591" s="4" t="inlineStr">
        <x:is>
          <x:t xml:space="preserve">长沙市</x:t>
        </x:is>
      </x:c>
      <x:c r="G4591" s="5" t="inlineStr">
        <x:is>
          <x:t xml:space="preserve">湖南省-长沙市</x:t>
        </x:is>
      </x:c>
      <x:c r="H4591" s="4" t="inlineStr">
        <x:is>
          <x:t xml:space="preserve">通用设备</x:t>
        </x:is>
      </x:c>
      <x:c r="I4591" s="4" t="inlineStr">
        <x:is>
          <x:t xml:space="preserve">2017-09-12</x:t>
        </x:is>
      </x:c>
      <x:c r="J4591" s="5" t="inlineStr">
        <x:is>
          <x:t xml:space="preserve">长沙高新开发区环联路108号</x:t>
        </x:is>
      </x:c>
      <x:c r="K4591" s="12" t="str">
        <x:f>LEFT("91430100687410136D",18)</x:f>
        <x:v>91430100687410136D</x:v>
      </x:c>
    </x:row>
    <x:row r="4592">
      <x:c r="A4592" s="2" t="n">
        <x:v>4591</x:v>
      </x:c>
      <x:c r="B4592" s="2" t="inlineStr">
        <x:is>
          <x:t xml:space="preserve">300705</x:t>
        </x:is>
      </x:c>
      <x:c r="C4592" s="3" t="inlineStr">
        <x:is>
          <x:t xml:space="preserve">九典制药</x:t>
        </x:is>
      </x:c>
      <x:c r="D4592" s="3" t="inlineStr">
        <x:is>
          <x:t xml:space="preserve">湖南九典制药股份有限公司</x:t>
        </x:is>
      </x:c>
      <x:c r="E4592" s="2" t="inlineStr">
        <x:is>
          <x:t xml:space="preserve">湖南省</x:t>
        </x:is>
      </x:c>
      <x:c r="F4592" s="2" t="inlineStr">
        <x:is>
          <x:t xml:space="preserve">长沙市</x:t>
        </x:is>
      </x:c>
      <x:c r="G4592" s="3" t="inlineStr">
        <x:is>
          <x:t xml:space="preserve">湖南省-长沙市</x:t>
        </x:is>
      </x:c>
      <x:c r="H4592" s="2" t="inlineStr">
        <x:is>
          <x:t xml:space="preserve">医药制造</x:t>
        </x:is>
      </x:c>
      <x:c r="I4592" s="2" t="inlineStr">
        <x:is>
          <x:t xml:space="preserve">2017-10-10</x:t>
        </x:is>
      </x:c>
      <x:c r="J4592" s="3" t="inlineStr">
        <x:is>
          <x:t xml:space="preserve">长沙市浏阳经济技术开发区健康大道1号</x:t>
        </x:is>
      </x:c>
      <x:c r="K4592" s="12" t="str">
        <x:f>LEFT("91430100722520761D",18)</x:f>
        <x:v>91430100722520761D</x:v>
      </x:c>
    </x:row>
    <x:row r="4593">
      <x:c r="A4593" s="4" t="n">
        <x:v>4592</x:v>
      </x:c>
      <x:c r="B4593" s="4" t="inlineStr">
        <x:is>
          <x:t xml:space="preserve">300726</x:t>
        </x:is>
      </x:c>
      <x:c r="C4593" s="5" t="inlineStr">
        <x:is>
          <x:t xml:space="preserve">宏达电子</x:t>
        </x:is>
      </x:c>
      <x:c r="D4593" s="5" t="inlineStr">
        <x:is>
          <x:t xml:space="preserve">株洲宏达电子股份有限公司</x:t>
        </x:is>
      </x:c>
      <x:c r="E4593" s="4" t="inlineStr">
        <x:is>
          <x:t xml:space="preserve">湖南省</x:t>
        </x:is>
      </x:c>
      <x:c r="F4593" s="4" t="inlineStr">
        <x:is>
          <x:t xml:space="preserve">株洲市</x:t>
        </x:is>
      </x:c>
      <x:c r="G4593" s="5" t="inlineStr">
        <x:is>
          <x:t xml:space="preserve">湖南省-株洲市</x:t>
        </x:is>
      </x:c>
      <x:c r="H4593" s="4" t="inlineStr">
        <x:is>
          <x:t xml:space="preserve">电子元件</x:t>
        </x:is>
      </x:c>
      <x:c r="I4593" s="4" t="inlineStr">
        <x:is>
          <x:t xml:space="preserve">2017-11-21</x:t>
        </x:is>
      </x:c>
      <x:c r="J4593" s="5" t="inlineStr">
        <x:is>
          <x:t xml:space="preserve">湖南省株洲市荷塘区新华东路1297号</x:t>
        </x:is>
      </x:c>
      <x:c r="K4593" s="12" t="str">
        <x:f>LEFT("91430200616610317F",18)</x:f>
        <x:v>91430200616610317F</x:v>
      </x:c>
    </x:row>
    <x:row r="4594">
      <x:c r="A4594" s="2" t="n">
        <x:v>4593</x:v>
      </x:c>
      <x:c r="B4594" s="2" t="inlineStr">
        <x:is>
          <x:t xml:space="preserve">300730</x:t>
        </x:is>
      </x:c>
      <x:c r="C4594" s="3" t="inlineStr">
        <x:is>
          <x:t xml:space="preserve">科创信息</x:t>
        </x:is>
      </x:c>
      <x:c r="D4594" s="3" t="inlineStr">
        <x:is>
          <x:t xml:space="preserve">湖南科创信息技术股份有限公司</x:t>
        </x:is>
      </x:c>
      <x:c r="E4594" s="2" t="inlineStr">
        <x:is>
          <x:t xml:space="preserve">湖南省</x:t>
        </x:is>
      </x:c>
      <x:c r="F4594" s="2" t="inlineStr">
        <x:is>
          <x:t xml:space="preserve">长沙市</x:t>
        </x:is>
      </x:c>
      <x:c r="G4594" s="3" t="inlineStr">
        <x:is>
          <x:t xml:space="preserve">湖南省-长沙市</x:t>
        </x:is>
      </x:c>
      <x:c r="H4594" s="2" t="inlineStr">
        <x:is>
          <x:t xml:space="preserve">软件服务</x:t>
        </x:is>
      </x:c>
      <x:c r="I4594" s="2" t="inlineStr">
        <x:is>
          <x:t xml:space="preserve">2017-12-05</x:t>
        </x:is>
      </x:c>
      <x:c r="J4594" s="3" t="inlineStr">
        <x:is>
          <x:t xml:space="preserve">长沙市岳麓区青山路678号</x:t>
        </x:is>
      </x:c>
      <x:c r="K4594" s="12" t="str">
        <x:f>LEFT("91430100183899441P",18)</x:f>
        <x:v>91430100183899441P</x:v>
      </x:c>
    </x:row>
    <x:row r="4595">
      <x:c r="A4595" s="4" t="n">
        <x:v>4594</x:v>
      </x:c>
      <x:c r="B4595" s="4" t="inlineStr">
        <x:is>
          <x:t xml:space="preserve">300740</x:t>
        </x:is>
      </x:c>
      <x:c r="C4595" s="5" t="inlineStr">
        <x:is>
          <x:t xml:space="preserve">水羊股份</x:t>
        </x:is>
      </x:c>
      <x:c r="D4595" s="5" t="inlineStr">
        <x:is>
          <x:t xml:space="preserve">水羊集团股份有限公司</x:t>
        </x:is>
      </x:c>
      <x:c r="E4595" s="4" t="inlineStr">
        <x:is>
          <x:t xml:space="preserve">湖南省</x:t>
        </x:is>
      </x:c>
      <x:c r="F4595" s="4" t="inlineStr">
        <x:is>
          <x:t xml:space="preserve">长沙市</x:t>
        </x:is>
      </x:c>
      <x:c r="G4595" s="5" t="inlineStr">
        <x:is>
          <x:t xml:space="preserve">湖南省-长沙市</x:t>
        </x:is>
      </x:c>
      <x:c r="H4595" s="4" t="inlineStr">
        <x:is>
          <x:t xml:space="preserve">美容护理</x:t>
        </x:is>
      </x:c>
      <x:c r="I4595" s="4" t="inlineStr">
        <x:is>
          <x:t xml:space="preserve">2018-02-08</x:t>
        </x:is>
      </x:c>
      <x:c r="J4595" s="5" t="inlineStr">
        <x:is>
          <x:t xml:space="preserve">长沙市岳麓区谷苑路390号1栋综合楼101-1</x:t>
        </x:is>
      </x:c>
      <x:c r="K4595" s="12" t="str">
        <x:f>LEFT("914301000558312826",18)</x:f>
        <x:v>914301000558312800</x:v>
      </x:c>
    </x:row>
    <x:row r="4596">
      <x:c r="A4596" s="2" t="n">
        <x:v>4595</x:v>
      </x:c>
      <x:c r="B4596" s="2" t="inlineStr">
        <x:is>
          <x:t xml:space="preserve">300800</x:t>
        </x:is>
      </x:c>
      <x:c r="C4596" s="3" t="inlineStr">
        <x:is>
          <x:t xml:space="preserve">力合科技</x:t>
        </x:is>
      </x:c>
      <x:c r="D4596" s="3" t="inlineStr">
        <x:is>
          <x:t xml:space="preserve">力合科技(湖南)股份有限公司</x:t>
        </x:is>
      </x:c>
      <x:c r="E4596" s="2" t="inlineStr">
        <x:is>
          <x:t xml:space="preserve">湖南省</x:t>
        </x:is>
      </x:c>
      <x:c r="F4596" s="2" t="inlineStr">
        <x:is>
          <x:t xml:space="preserve">长沙市</x:t>
        </x:is>
      </x:c>
      <x:c r="G4596" s="3" t="inlineStr">
        <x:is>
          <x:t xml:space="preserve">湖南省-长沙市</x:t>
        </x:is>
      </x:c>
      <x:c r="H4596" s="2" t="inlineStr">
        <x:is>
          <x:t xml:space="preserve">环保行业</x:t>
        </x:is>
      </x:c>
      <x:c r="I4596" s="2" t="inlineStr">
        <x:is>
          <x:t xml:space="preserve">2019-11-06</x:t>
        </x:is>
      </x:c>
      <x:c r="J4596" s="3" t="inlineStr">
        <x:is>
          <x:t xml:space="preserve">湖南省长沙市高新区青山路668号</x:t>
        </x:is>
      </x:c>
      <x:c r="K4596" s="12" t="str">
        <x:f>LEFT("91430000616803784W",18)</x:f>
        <x:v>91430000616803784W</x:v>
      </x:c>
    </x:row>
    <x:row r="4597">
      <x:c r="A4597" s="4" t="n">
        <x:v>4596</x:v>
      </x:c>
      <x:c r="B4597" s="4" t="inlineStr">
        <x:is>
          <x:t xml:space="preserve">300866</x:t>
        </x:is>
      </x:c>
      <x:c r="C4597" s="5" t="inlineStr">
        <x:is>
          <x:t xml:space="preserve">安克创新</x:t>
        </x:is>
      </x:c>
      <x:c r="D4597" s="5" t="inlineStr">
        <x:is>
          <x:t xml:space="preserve">安克创新科技股份有限公司</x:t>
        </x:is>
      </x:c>
      <x:c r="E4597" s="4" t="inlineStr">
        <x:is>
          <x:t xml:space="preserve">湖南省</x:t>
        </x:is>
      </x:c>
      <x:c r="F4597" s="4" t="inlineStr">
        <x:is>
          <x:t xml:space="preserve">长沙市</x:t>
        </x:is>
      </x:c>
      <x:c r="G4597" s="5" t="inlineStr">
        <x:is>
          <x:t xml:space="preserve">湖南省-长沙市</x:t>
        </x:is>
      </x:c>
      <x:c r="H4597" s="4" t="inlineStr">
        <x:is>
          <x:t xml:space="preserve">消费电子</x:t>
        </x:is>
      </x:c>
      <x:c r="I4597" s="4" t="inlineStr">
        <x:is>
          <x:t xml:space="preserve">2020-08-24</x:t>
        </x:is>
      </x:c>
      <x:c r="J4597" s="5" t="inlineStr">
        <x:is>
          <x:t xml:space="preserve">长沙高新开发区尖山路39号长沙中电软件园有限公司一期七栋7楼701室</x:t>
        </x:is>
      </x:c>
      <x:c r="K4597" s="12" t="str">
        <x:f>LEFT("91430111587017150P",18)</x:f>
        <x:v>91430111587017150P</x:v>
      </x:c>
    </x:row>
    <x:row r="4598">
      <x:c r="A4598" s="2" t="n">
        <x:v>4597</x:v>
      </x:c>
      <x:c r="B4598" s="2" t="inlineStr">
        <x:is>
          <x:t xml:space="preserve">301079</x:t>
        </x:is>
      </x:c>
      <x:c r="C4598" s="3" t="inlineStr">
        <x:is>
          <x:t xml:space="preserve">邵阳液压</x:t>
        </x:is>
      </x:c>
      <x:c r="D4598" s="3" t="inlineStr">
        <x:is>
          <x:t xml:space="preserve">邵阳维克液压股份有限公司</x:t>
        </x:is>
      </x:c>
      <x:c r="E4598" s="2" t="inlineStr">
        <x:is>
          <x:t xml:space="preserve">湖南省</x:t>
        </x:is>
      </x:c>
      <x:c r="F4598" s="2" t="inlineStr">
        <x:is>
          <x:t xml:space="preserve">邵阳市</x:t>
        </x:is>
      </x:c>
      <x:c r="G4598" s="3" t="inlineStr">
        <x:is>
          <x:t xml:space="preserve">湖南省-邵阳市</x:t>
        </x:is>
      </x:c>
      <x:c r="H4598" s="2" t="inlineStr">
        <x:is>
          <x:t xml:space="preserve">机械行业</x:t>
        </x:is>
      </x:c>
      <x:c r="I4598" s="2" t="inlineStr">
        <x:is>
          <x:t xml:space="preserve">2021-10-19</x:t>
        </x:is>
      </x:c>
      <x:c r="J4598" s="3" t="inlineStr">
        <x:is>
          <x:t xml:space="preserve">湖南省邵阳市邵阳经济开发区世纪大道和白马大道交汇处</x:t>
        </x:is>
      </x:c>
      <x:c r="K4598" s="12" t="str">
        <x:f>LEFT("91430500763263554A",18)</x:f>
        <x:v>91430500763263554A</x:v>
      </x:c>
    </x:row>
    <x:row r="4599">
      <x:c r="A4599" s="4" t="n">
        <x:v>4598</x:v>
      </x:c>
      <x:c r="B4599" s="4" t="inlineStr">
        <x:is>
          <x:t xml:space="preserve">301087</x:t>
        </x:is>
      </x:c>
      <x:c r="C4599" s="5" t="inlineStr">
        <x:is>
          <x:t xml:space="preserve">可孚医疗</x:t>
        </x:is>
      </x:c>
      <x:c r="D4599" s="5" t="inlineStr">
        <x:is>
          <x:t xml:space="preserve">可孚医疗科技股份有限公司</x:t>
        </x:is>
      </x:c>
      <x:c r="E4599" s="4" t="inlineStr">
        <x:is>
          <x:t xml:space="preserve">湖南省</x:t>
        </x:is>
      </x:c>
      <x:c r="F4599" s="4" t="inlineStr">
        <x:is>
          <x:t xml:space="preserve">长沙市</x:t>
        </x:is>
      </x:c>
      <x:c r="G4599" s="5" t="inlineStr">
        <x:is>
          <x:t xml:space="preserve">湖南省-长沙市</x:t>
        </x:is>
      </x:c>
      <x:c r="H4599" s="4" t="inlineStr">
        <x:is>
          <x:t xml:space="preserve">医疗器械</x:t>
        </x:is>
      </x:c>
      <x:c r="I4599" s="4" t="inlineStr">
        <x:is>
          <x:t xml:space="preserve">2021-10-25</x:t>
        </x:is>
      </x:c>
      <x:c r="J4599" s="5" t="inlineStr">
        <x:is>
          <x:t xml:space="preserve">湖南省长沙市雨花区环保东路一段87号</x:t>
        </x:is>
      </x:c>
      <x:c r="K4599" s="12" t="str">
        <x:f>LEFT("91430111696240992G",18)</x:f>
        <x:v>91430111696240992G</x:v>
      </x:c>
    </x:row>
    <x:row r="4600">
      <x:c r="A4600" s="2" t="n">
        <x:v>4599</x:v>
      </x:c>
      <x:c r="B4600" s="2" t="inlineStr">
        <x:is>
          <x:t xml:space="preserve">301109</x:t>
        </x:is>
      </x:c>
      <x:c r="C4600" s="3" t="inlineStr">
        <x:is>
          <x:t xml:space="preserve">军信股份</x:t>
        </x:is>
      </x:c>
      <x:c r="D4600" s="3" t="inlineStr">
        <x:is>
          <x:t xml:space="preserve">湖南军信环保股份有限公司</x:t>
        </x:is>
      </x:c>
      <x:c r="E4600" s="2" t="inlineStr">
        <x:is>
          <x:t xml:space="preserve">湖南省</x:t>
        </x:is>
      </x:c>
      <x:c r="F4600" s="2" t="inlineStr">
        <x:is>
          <x:t xml:space="preserve">长沙市</x:t>
        </x:is>
      </x:c>
      <x:c r="G4600" s="3" t="inlineStr">
        <x:is>
          <x:t xml:space="preserve">湖南省-长沙市</x:t>
        </x:is>
      </x:c>
      <x:c r="H4600" s="2" t="inlineStr">
        <x:is>
          <x:t xml:space="preserve">环保行业</x:t>
        </x:is>
      </x:c>
      <x:c r="I4600" s="2" t="inlineStr">
        <x:is>
          <x:t xml:space="preserve">2022-04-13</x:t>
        </x:is>
      </x:c>
      <x:c r="J4600" s="3" t="inlineStr">
        <x:is>
          <x:t xml:space="preserve">长沙市望城区桥驿镇湖南军信环保股份有限公司办公楼</x:t>
        </x:is>
      </x:c>
      <x:c r="K4600" s="12" t="str">
        <x:f>LEFT("9143000058277032XM",18)</x:f>
        <x:v>9143000058277032XM</x:v>
      </x:c>
    </x:row>
    <x:row r="4601">
      <x:c r="A4601" s="4" t="n">
        <x:v>4600</x:v>
      </x:c>
      <x:c r="B4601" s="4" t="inlineStr">
        <x:is>
          <x:t xml:space="preserve">301118</x:t>
        </x:is>
      </x:c>
      <x:c r="C4601" s="5" t="inlineStr">
        <x:is>
          <x:t xml:space="preserve">恒光股份</x:t>
        </x:is>
      </x:c>
      <x:c r="D4601" s="5" t="inlineStr">
        <x:is>
          <x:t xml:space="preserve">湖南恒光科技股份有限公司</x:t>
        </x:is>
      </x:c>
      <x:c r="E4601" s="4" t="inlineStr">
        <x:is>
          <x:t xml:space="preserve">湖南省</x:t>
        </x:is>
      </x:c>
      <x:c r="F4601" s="4" t="inlineStr">
        <x:is>
          <x:t xml:space="preserve">怀化市</x:t>
        </x:is>
      </x:c>
      <x:c r="G4601" s="5" t="inlineStr">
        <x:is>
          <x:t xml:space="preserve">湖南省-怀化市</x:t>
        </x:is>
      </x:c>
      <x:c r="H4601" s="4" t="inlineStr">
        <x:is>
          <x:t xml:space="preserve">化学原料</x:t>
        </x:is>
      </x:c>
      <x:c r="I4601" s="4" t="inlineStr">
        <x:is>
          <x:t xml:space="preserve">2021-11-18</x:t>
        </x:is>
      </x:c>
      <x:c r="J4601" s="5" t="inlineStr">
        <x:is>
          <x:t xml:space="preserve">湖南省怀化市洪江区岩门01号</x:t>
        </x:is>
      </x:c>
      <x:c r="K4601" s="12" t="str">
        <x:f>LEFT("91431200682823724J",18)</x:f>
        <x:v>91431200682823724J</x:v>
      </x:c>
    </x:row>
    <x:row r="4602">
      <x:c r="A4602" s="2" t="n">
        <x:v>4601</x:v>
      </x:c>
      <x:c r="B4602" s="2" t="inlineStr">
        <x:is>
          <x:t xml:space="preserve">301126</x:t>
        </x:is>
      </x:c>
      <x:c r="C4602" s="3" t="inlineStr">
        <x:is>
          <x:t xml:space="preserve">达嘉维康</x:t>
        </x:is>
      </x:c>
      <x:c r="D4602" s="3" t="inlineStr">
        <x:is>
          <x:t xml:space="preserve">湖南达嘉维康医药产业股份有限公司</x:t>
        </x:is>
      </x:c>
      <x:c r="E4602" s="2" t="inlineStr">
        <x:is>
          <x:t xml:space="preserve">湖南省</x:t>
        </x:is>
      </x:c>
      <x:c r="F4602" s="2" t="inlineStr">
        <x:is>
          <x:t xml:space="preserve">长沙市</x:t>
        </x:is>
      </x:c>
      <x:c r="G4602" s="3" t="inlineStr">
        <x:is>
          <x:t xml:space="preserve">湖南省-长沙市</x:t>
        </x:is>
      </x:c>
      <x:c r="H4602" s="2" t="inlineStr">
        <x:is>
          <x:t xml:space="preserve">医药商业</x:t>
        </x:is>
      </x:c>
      <x:c r="I4602" s="2" t="inlineStr">
        <x:is>
          <x:t xml:space="preserve">2021-12-07</x:t>
        </x:is>
      </x:c>
      <x:c r="J4602" s="3" t="inlineStr">
        <x:is>
          <x:t xml:space="preserve">湖南省长沙市岳麓区茯苓路30号</x:t>
        </x:is>
      </x:c>
      <x:c r="K4602" s="12" t="str">
        <x:f>LEFT("91430100743169413D",18)</x:f>
        <x:v>91430100743169413D</x:v>
      </x:c>
    </x:row>
    <x:row r="4603">
      <x:c r="A4603" s="4" t="n">
        <x:v>4602</x:v>
      </x:c>
      <x:c r="B4603" s="4" t="inlineStr">
        <x:is>
          <x:t xml:space="preserve">301232</x:t>
        </x:is>
      </x:c>
      <x:c r="C4603" s="5" t="inlineStr">
        <x:is>
          <x:t xml:space="preserve">飞沃科技</x:t>
        </x:is>
      </x:c>
      <x:c r="D4603" s="5" t="inlineStr">
        <x:is>
          <x:t xml:space="preserve">湖南飞沃新能源科技股份有限公司</x:t>
        </x:is>
      </x:c>
      <x:c r="E4603" s="4" t="inlineStr">
        <x:is>
          <x:t xml:space="preserve">湖南省</x:t>
        </x:is>
      </x:c>
      <x:c r="F4603" s="4" t="inlineStr">
        <x:is>
          <x:t xml:space="preserve">常德市</x:t>
        </x:is>
      </x:c>
      <x:c r="G4603" s="5" t="inlineStr">
        <x:is>
          <x:t xml:space="preserve">湖南省-常德市</x:t>
        </x:is>
      </x:c>
      <x:c r="H4603" s="4" t="inlineStr">
        <x:is>
          <x:t xml:space="preserve">风电设备</x:t>
        </x:is>
      </x:c>
      <x:c r="I4603" s="4" t="inlineStr">
        <x:is>
          <x:t xml:space="preserve">2023-06-15</x:t>
        </x:is>
      </x:c>
      <x:c r="J4603" s="5" t="inlineStr">
        <x:is>
          <x:t xml:space="preserve">常德市桃源县陬市镇观音桥村二组(大华工业园内)</x:t>
        </x:is>
      </x:c>
      <x:c r="K4603" s="12" t="str">
        <x:f>LEFT("914307255994397053",18)</x:f>
        <x:v>914307255994397000</x:v>
      </x:c>
    </x:row>
    <x:row r="4604">
      <x:c r="A4604" s="2" t="n">
        <x:v>4603</x:v>
      </x:c>
      <x:c r="B4604" s="2" t="inlineStr">
        <x:is>
          <x:t xml:space="preserve">301259</x:t>
        </x:is>
      </x:c>
      <x:c r="C4604" s="3" t="inlineStr">
        <x:is>
          <x:t xml:space="preserve">艾布鲁</x:t>
        </x:is>
      </x:c>
      <x:c r="D4604" s="3" t="inlineStr">
        <x:is>
          <x:t xml:space="preserve">湖南艾布鲁环保科技股份有限公司</x:t>
        </x:is>
      </x:c>
      <x:c r="E4604" s="2" t="inlineStr">
        <x:is>
          <x:t xml:space="preserve">湖南省</x:t>
        </x:is>
      </x:c>
      <x:c r="F4604" s="2" t="inlineStr">
        <x:is>
          <x:t xml:space="preserve">长沙市</x:t>
        </x:is>
      </x:c>
      <x:c r="G4604" s="3" t="inlineStr">
        <x:is>
          <x:t xml:space="preserve">湖南省-长沙市</x:t>
        </x:is>
      </x:c>
      <x:c r="H4604" s="2" t="inlineStr">
        <x:is>
          <x:t xml:space="preserve">环保行业</x:t>
        </x:is>
      </x:c>
      <x:c r="I4604" s="2" t="inlineStr">
        <x:is>
          <x:t xml:space="preserve">2022-04-26</x:t>
        </x:is>
      </x:c>
      <x:c r="J4604" s="3" t="inlineStr">
        <x:is>
          <x:t xml:space="preserve">长沙高新开发区杏康南路39号湖南艾布鲁环保科技股份有限公司3栋丙类厂房101</x:t>
        </x:is>
      </x:c>
      <x:c r="K4604" s="12" t="str">
        <x:f>LEFT("91430100062216325K",18)</x:f>
        <x:v>91430100062216325K</x:v>
      </x:c>
    </x:row>
    <x:row r="4605">
      <x:c r="A4605" s="4" t="n">
        <x:v>4604</x:v>
      </x:c>
      <x:c r="B4605" s="4" t="inlineStr">
        <x:is>
          <x:t xml:space="preserve">301358</x:t>
        </x:is>
      </x:c>
      <x:c r="C4605" s="5" t="inlineStr">
        <x:is>
          <x:t xml:space="preserve">湖南裕能</x:t>
        </x:is>
      </x:c>
      <x:c r="D4605" s="5" t="inlineStr">
        <x:is>
          <x:t xml:space="preserve">湖南裕能新能源电池材料股份有限公司</x:t>
        </x:is>
      </x:c>
      <x:c r="E4605" s="4" t="inlineStr">
        <x:is>
          <x:t xml:space="preserve">湖南省</x:t>
        </x:is>
      </x:c>
      <x:c r="F4605" s="4" t="inlineStr">
        <x:is>
          <x:t xml:space="preserve">湘潭市</x:t>
        </x:is>
      </x:c>
      <x:c r="G4605" s="5" t="inlineStr">
        <x:is>
          <x:t xml:space="preserve">湖南省-湘潭市</x:t>
        </x:is>
      </x:c>
      <x:c r="H4605" s="4" t="inlineStr">
        <x:is>
          <x:t xml:space="preserve">电池</x:t>
        </x:is>
      </x:c>
      <x:c r="I4605" s="4" t="inlineStr">
        <x:is>
          <x:t xml:space="preserve">2023-02-09</x:t>
        </x:is>
      </x:c>
      <x:c r="J4605" s="5" t="inlineStr">
        <x:is>
          <x:t xml:space="preserve">湖南省湘潭市雨湖区鹤岭镇日丽路18号</x:t>
        </x:is>
      </x:c>
      <x:c r="K4605" s="12" t="str">
        <x:f>LEFT("91430300MA4L54TU10",18)</x:f>
        <x:v>91430300MA4L54TU10</x:v>
      </x:c>
    </x:row>
    <x:row r="4606">
      <x:c r="A4606" s="2" t="n">
        <x:v>4605</x:v>
      </x:c>
      <x:c r="B4606" s="2" t="inlineStr">
        <x:is>
          <x:t xml:space="preserve">301548</x:t>
        </x:is>
      </x:c>
      <x:c r="C4606" s="3" t="inlineStr">
        <x:is>
          <x:t xml:space="preserve">崇德科技</x:t>
        </x:is>
      </x:c>
      <x:c r="D4606" s="3" t="inlineStr">
        <x:is>
          <x:t xml:space="preserve">湖南崇德科技股份有限公司</x:t>
        </x:is>
      </x:c>
      <x:c r="E4606" s="2" t="inlineStr">
        <x:is>
          <x:t xml:space="preserve">湖南省</x:t>
        </x:is>
      </x:c>
      <x:c r="F4606" s="2" t="inlineStr">
        <x:is>
          <x:t xml:space="preserve">湘潭市</x:t>
        </x:is>
      </x:c>
      <x:c r="G4606" s="3" t="inlineStr">
        <x:is>
          <x:t xml:space="preserve">湖南省-湘潭市</x:t>
        </x:is>
      </x:c>
      <x:c r="H4606" s="2" t="inlineStr">
        <x:is>
          <x:t xml:space="preserve">通用设备</x:t>
        </x:is>
      </x:c>
      <x:c r="I4606" s="2" t="inlineStr">
        <x:is>
          <x:t xml:space="preserve">2023-09-20</x:t>
        </x:is>
      </x:c>
      <x:c r="J4606" s="3" t="inlineStr">
        <x:is>
          <x:t xml:space="preserve">湘潭市高新区茶园路9号</x:t>
        </x:is>
      </x:c>
      <x:c r="K4606" s="12" t="str">
        <x:f>LEFT("91430300755815400A",18)</x:f>
        <x:v>91430300755815400A</x:v>
      </x:c>
    </x:row>
    <x:row r="4607">
      <x:c r="A4607" s="4" t="n">
        <x:v>4606</x:v>
      </x:c>
      <x:c r="B4607" s="4" t="inlineStr">
        <x:is>
          <x:t xml:space="preserve">600127</x:t>
        </x:is>
      </x:c>
      <x:c r="C4607" s="5" t="inlineStr">
        <x:is>
          <x:t xml:space="preserve">金健米业</x:t>
        </x:is>
      </x:c>
      <x:c r="D4607" s="5" t="inlineStr">
        <x:is>
          <x:t xml:space="preserve">金健米业股份有限公司</x:t>
        </x:is>
      </x:c>
      <x:c r="E4607" s="4" t="inlineStr">
        <x:is>
          <x:t xml:space="preserve">湖南省</x:t>
        </x:is>
      </x:c>
      <x:c r="F4607" s="4" t="inlineStr">
        <x:is>
          <x:t xml:space="preserve">常德市</x:t>
        </x:is>
      </x:c>
      <x:c r="G4607" s="5" t="inlineStr">
        <x:is>
          <x:t xml:space="preserve">湖南省-常德市</x:t>
        </x:is>
      </x:c>
      <x:c r="H4607" s="4" t="inlineStr">
        <x:is>
          <x:t xml:space="preserve">农牧饲渔</x:t>
        </x:is>
      </x:c>
      <x:c r="I4607" s="4" t="inlineStr">
        <x:is>
          <x:t xml:space="preserve">1998-05-06</x:t>
        </x:is>
      </x:c>
      <x:c r="J4607" s="5" t="inlineStr">
        <x:is>
          <x:t xml:space="preserve">湖南省常德市常德经济技术开发区德山办事处莲池居委会崇德路158号</x:t>
        </x:is>
      </x:c>
      <x:c r="K4607" s="12" t="str">
        <x:f>LEFT("91430700183811016L",18)</x:f>
        <x:v>91430700183811016L</x:v>
      </x:c>
    </x:row>
    <x:row r="4608">
      <x:c r="A4608" s="2" t="n">
        <x:v>4607</x:v>
      </x:c>
      <x:c r="B4608" s="2" t="inlineStr">
        <x:is>
          <x:t xml:space="preserve">600156</x:t>
        </x:is>
      </x:c>
      <x:c r="C4608" s="3" t="inlineStr">
        <x:is>
          <x:t xml:space="preserve">华升股份</x:t>
        </x:is>
      </x:c>
      <x:c r="D4608" s="3" t="inlineStr">
        <x:is>
          <x:t xml:space="preserve">湖南华升股份有限公司</x:t>
        </x:is>
      </x:c>
      <x:c r="E4608" s="2" t="inlineStr">
        <x:is>
          <x:t xml:space="preserve">湖南省</x:t>
        </x:is>
      </x:c>
      <x:c r="F4608" s="2" t="inlineStr">
        <x:is>
          <x:t xml:space="preserve">长沙市</x:t>
        </x:is>
      </x:c>
      <x:c r="G4608" s="3" t="inlineStr">
        <x:is>
          <x:t xml:space="preserve">湖南省-长沙市</x:t>
        </x:is>
      </x:c>
      <x:c r="H4608" s="2" t="inlineStr">
        <x:is>
          <x:t xml:space="preserve">纺织服装</x:t>
        </x:is>
      </x:c>
      <x:c r="I4608" s="2" t="inlineStr">
        <x:is>
          <x:t xml:space="preserve">1998-05-27</x:t>
        </x:is>
      </x:c>
      <x:c r="J4608" s="3" t="inlineStr">
        <x:is>
          <x:t xml:space="preserve">湖南省长沙市芙蓉中路三段420号华升大厦</x:t>
        </x:is>
      </x:c>
      <x:c r="K4608" s="12" t="str">
        <x:f>LEFT("91430000183811374H",18)</x:f>
        <x:v>91430000183811374H</x:v>
      </x:c>
    </x:row>
    <x:row r="4609">
      <x:c r="A4609" s="4" t="n">
        <x:v>4608</x:v>
      </x:c>
      <x:c r="B4609" s="4" t="inlineStr">
        <x:is>
          <x:t xml:space="preserve">600257</x:t>
        </x:is>
      </x:c>
      <x:c r="C4609" s="5" t="inlineStr">
        <x:is>
          <x:t xml:space="preserve">大湖股份</x:t>
        </x:is>
      </x:c>
      <x:c r="D4609" s="5" t="inlineStr">
        <x:is>
          <x:t xml:space="preserve">大湖健康产业股份有限公司</x:t>
        </x:is>
      </x:c>
      <x:c r="E4609" s="4" t="inlineStr">
        <x:is>
          <x:t xml:space="preserve">湖南省</x:t>
        </x:is>
      </x:c>
      <x:c r="F4609" s="4" t="inlineStr">
        <x:is>
          <x:t xml:space="preserve">常德市</x:t>
        </x:is>
      </x:c>
      <x:c r="G4609" s="5" t="inlineStr">
        <x:is>
          <x:t xml:space="preserve">湖南省-常德市</x:t>
        </x:is>
      </x:c>
      <x:c r="H4609" s="4" t="inlineStr">
        <x:is>
          <x:t xml:space="preserve">农牧饲渔</x:t>
        </x:is>
      </x:c>
      <x:c r="I4609" s="4" t="inlineStr">
        <x:is>
          <x:t xml:space="preserve">2000-06-12</x:t>
        </x:is>
      </x:c>
      <x:c r="J4609" s="5" t="inlineStr">
        <x:is>
          <x:t xml:space="preserve">湖南省常德市武陵区丹阳街道建民巷社区建设东路348号</x:t>
        </x:is>
      </x:c>
      <x:c r="K4609" s="12" t="str">
        <x:f>LEFT("914307007121091193",18)</x:f>
        <x:v>914307007121091200</x:v>
      </x:c>
    </x:row>
    <x:row r="4610">
      <x:c r="A4610" s="2" t="n">
        <x:v>4609</x:v>
      </x:c>
      <x:c r="B4610" s="2" t="inlineStr">
        <x:is>
          <x:t xml:space="preserve">600390</x:t>
        </x:is>
      </x:c>
      <x:c r="C4610" s="3" t="inlineStr">
        <x:is>
          <x:t xml:space="preserve">五矿资本</x:t>
        </x:is>
      </x:c>
      <x:c r="D4610" s="3" t="inlineStr">
        <x:is>
          <x:t xml:space="preserve">五矿资本股份有限公司</x:t>
        </x:is>
      </x:c>
      <x:c r="E4610" s="2" t="inlineStr">
        <x:is>
          <x:t xml:space="preserve">湖南省</x:t>
        </x:is>
      </x:c>
      <x:c r="F4610" s="2" t="inlineStr">
        <x:is>
          <x:t xml:space="preserve">长沙市</x:t>
        </x:is>
      </x:c>
      <x:c r="G4610" s="3" t="inlineStr">
        <x:is>
          <x:t xml:space="preserve">湖南省-长沙市</x:t>
        </x:is>
      </x:c>
      <x:c r="H4610" s="2" t="inlineStr">
        <x:is>
          <x:t xml:space="preserve">多元金融</x:t>
        </x:is>
      </x:c>
      <x:c r="I4610" s="2" t="inlineStr">
        <x:is>
          <x:t xml:space="preserve">2001-01-15</x:t>
        </x:is>
      </x:c>
      <x:c r="J4610" s="3" t="inlineStr">
        <x:is>
          <x:t xml:space="preserve">长沙市高新技术开发区麓枫路69号</x:t>
        </x:is>
      </x:c>
      <x:c r="K4610" s="12" t="str">
        <x:f>LEFT("91430000712194499R",18)</x:f>
        <x:v>91430000712194499R</x:v>
      </x:c>
    </x:row>
    <x:row r="4611">
      <x:c r="A4611" s="4" t="n">
        <x:v>4610</x:v>
      </x:c>
      <x:c r="B4611" s="4" t="inlineStr">
        <x:is>
          <x:t xml:space="preserve">600416</x:t>
        </x:is>
      </x:c>
      <x:c r="C4611" s="5" t="inlineStr">
        <x:is>
          <x:t xml:space="preserve">湘电股份</x:t>
        </x:is>
      </x:c>
      <x:c r="D4611" s="5" t="inlineStr">
        <x:is>
          <x:t xml:space="preserve">湘潭电机股份有限公司</x:t>
        </x:is>
      </x:c>
      <x:c r="E4611" s="4" t="inlineStr">
        <x:is>
          <x:t xml:space="preserve">湖南省</x:t>
        </x:is>
      </x:c>
      <x:c r="F4611" s="4" t="inlineStr">
        <x:is>
          <x:t xml:space="preserve">湘潭市</x:t>
        </x:is>
      </x:c>
      <x:c r="G4611" s="5" t="inlineStr">
        <x:is>
          <x:t xml:space="preserve">湖南省-湘潭市</x:t>
        </x:is>
      </x:c>
      <x:c r="H4611" s="4" t="inlineStr">
        <x:is>
          <x:t xml:space="preserve">电机</x:t>
        </x:is>
      </x:c>
      <x:c r="I4611" s="4" t="inlineStr">
        <x:is>
          <x:t xml:space="preserve">2002-07-18</x:t>
        </x:is>
      </x:c>
      <x:c r="J4611" s="5" t="inlineStr">
        <x:is>
          <x:t xml:space="preserve">湖南省湘潭市下摄司街302号</x:t>
        </x:is>
      </x:c>
      <x:c r="K4611" s="12" t="str">
        <x:f>LEFT("914303007170467196",18)</x:f>
        <x:v>914303007170467200</x:v>
      </x:c>
    </x:row>
    <x:row r="4612">
      <x:c r="A4612" s="2" t="n">
        <x:v>4611</x:v>
      </x:c>
      <x:c r="B4612" s="2" t="inlineStr">
        <x:is>
          <x:t xml:space="preserve">600458</x:t>
        </x:is>
      </x:c>
      <x:c r="C4612" s="3" t="inlineStr">
        <x:is>
          <x:t xml:space="preserve">时代新材</x:t>
        </x:is>
      </x:c>
      <x:c r="D4612" s="3" t="inlineStr">
        <x:is>
          <x:t xml:space="preserve">株洲时代新材料科技股份有限公司</x:t>
        </x:is>
      </x:c>
      <x:c r="E4612" s="2" t="inlineStr">
        <x:is>
          <x:t xml:space="preserve">湖南省</x:t>
        </x:is>
      </x:c>
      <x:c r="F4612" s="2" t="inlineStr">
        <x:is>
          <x:t xml:space="preserve">株洲市</x:t>
        </x:is>
      </x:c>
      <x:c r="G4612" s="3" t="inlineStr">
        <x:is>
          <x:t xml:space="preserve">湖南省-株洲市</x:t>
        </x:is>
      </x:c>
      <x:c r="H4612" s="2" t="inlineStr">
        <x:is>
          <x:t xml:space="preserve">风电设备</x:t>
        </x:is>
      </x:c>
      <x:c r="I4612" s="2" t="inlineStr">
        <x:is>
          <x:t xml:space="preserve">2002-12-19</x:t>
        </x:is>
      </x:c>
      <x:c r="J4612" s="3" t="inlineStr">
        <x:is>
          <x:t xml:space="preserve">株洲市高新技术开发区黄河南路</x:t>
        </x:is>
      </x:c>
      <x:c r="K4612" s="12" t="str">
        <x:f>LEFT("91430200712106524U",18)</x:f>
        <x:v>91430200712106524U</x:v>
      </x:c>
    </x:row>
    <x:row r="4613">
      <x:c r="A4613" s="4" t="n">
        <x:v>4612</x:v>
      </x:c>
      <x:c r="B4613" s="4" t="inlineStr">
        <x:is>
          <x:t xml:space="preserve">600476</x:t>
        </x:is>
      </x:c>
      <x:c r="C4613" s="5" t="inlineStr">
        <x:is>
          <x:t xml:space="preserve">湘邮科技</x:t>
        </x:is>
      </x:c>
      <x:c r="D4613" s="5" t="inlineStr">
        <x:is>
          <x:t xml:space="preserve">湖南湘邮科技股份有限公司</x:t>
        </x:is>
      </x:c>
      <x:c r="E4613" s="4" t="inlineStr">
        <x:is>
          <x:t xml:space="preserve">湖南省</x:t>
        </x:is>
      </x:c>
      <x:c r="F4613" s="4" t="inlineStr">
        <x:is>
          <x:t xml:space="preserve">长沙市</x:t>
        </x:is>
      </x:c>
      <x:c r="G4613" s="5" t="inlineStr">
        <x:is>
          <x:t xml:space="preserve">湖南省-长沙市</x:t>
        </x:is>
      </x:c>
      <x:c r="H4613" s="4" t="inlineStr">
        <x:is>
          <x:t xml:space="preserve">软件开发</x:t>
        </x:is>
      </x:c>
      <x:c r="I4613" s="4" t="inlineStr">
        <x:is>
          <x:t xml:space="preserve">2003-12-10</x:t>
        </x:is>
      </x:c>
      <x:c r="J4613" s="5" t="inlineStr">
        <x:is>
          <x:t xml:space="preserve">长沙市高新技术产业开发区麓谷基地玉兰路2号</x:t>
        </x:is>
      </x:c>
      <x:c r="K4613" s="12" t="str">
        <x:f>LEFT("914300007225774774",18)</x:f>
        <x:v>914300007225774700</x:v>
      </x:c>
    </x:row>
    <x:row r="4614">
      <x:c r="A4614" s="2" t="n">
        <x:v>4613</x:v>
      </x:c>
      <x:c r="B4614" s="2" t="inlineStr">
        <x:is>
          <x:t xml:space="preserve">600478</x:t>
        </x:is>
      </x:c>
      <x:c r="C4614" s="3" t="inlineStr">
        <x:is>
          <x:t xml:space="preserve">科力远</x:t>
        </x:is>
      </x:c>
      <x:c r="D4614" s="3" t="inlineStr">
        <x:is>
          <x:t xml:space="preserve">湖南科力远新能源股份有限公司</x:t>
        </x:is>
      </x:c>
      <x:c r="E4614" s="2" t="inlineStr">
        <x:is>
          <x:t xml:space="preserve">湖南省</x:t>
        </x:is>
      </x:c>
      <x:c r="F4614" s="2" t="inlineStr">
        <x:is>
          <x:t xml:space="preserve">郴州市</x:t>
        </x:is>
      </x:c>
      <x:c r="G4614" s="3" t="inlineStr">
        <x:is>
          <x:t xml:space="preserve">湖南省-郴州市</x:t>
        </x:is>
      </x:c>
      <x:c r="H4614" s="2" t="inlineStr">
        <x:is>
          <x:t xml:space="preserve">电子元件</x:t>
        </x:is>
      </x:c>
      <x:c r="I4614" s="2" t="inlineStr">
        <x:is>
          <x:t xml:space="preserve">2003-09-18</x:t>
        </x:is>
      </x:c>
      <x:c r="J4614" s="3" t="inlineStr">
        <x:is>
          <x:t xml:space="preserve">湖南省郴州高科技术产业园区林邑大道东侧郴州战略性新兴产业园1、2栋401-6室</x:t>
        </x:is>
      </x:c>
      <x:c r="K4614" s="12" t="str">
        <x:f>LEFT("91430000274963621B",18)</x:f>
        <x:v>91430000274963621B</x:v>
      </x:c>
    </x:row>
    <x:row r="4615">
      <x:c r="A4615" s="4" t="n">
        <x:v>4614</x:v>
      </x:c>
      <x:c r="B4615" s="4" t="inlineStr">
        <x:is>
          <x:t xml:space="preserve">600479</x:t>
        </x:is>
      </x:c>
      <x:c r="C4615" s="5" t="inlineStr">
        <x:is>
          <x:t xml:space="preserve">千金药业</x:t>
        </x:is>
      </x:c>
      <x:c r="D4615" s="5" t="inlineStr">
        <x:is>
          <x:t xml:space="preserve">株洲千金药业股份有限公司</x:t>
        </x:is>
      </x:c>
      <x:c r="E4615" s="4" t="inlineStr">
        <x:is>
          <x:t xml:space="preserve">湖南省</x:t>
        </x:is>
      </x:c>
      <x:c r="F4615" s="4" t="inlineStr">
        <x:is>
          <x:t xml:space="preserve">株洲市</x:t>
        </x:is>
      </x:c>
      <x:c r="G4615" s="5" t="inlineStr">
        <x:is>
          <x:t xml:space="preserve">湖南省-株洲市</x:t>
        </x:is>
      </x:c>
      <x:c r="H4615" s="4" t="inlineStr">
        <x:is>
          <x:t xml:space="preserve">中药</x:t>
        </x:is>
      </x:c>
      <x:c r="I4615" s="4" t="inlineStr">
        <x:is>
          <x:t xml:space="preserve">2004-03-12</x:t>
        </x:is>
      </x:c>
      <x:c r="J4615" s="5" t="inlineStr">
        <x:is>
          <x:t xml:space="preserve">株洲市天元区株洲大道801号</x:t>
        </x:is>
      </x:c>
      <x:c r="K4615" s="12" t="str">
        <x:f>LEFT("914302007121024513",18)</x:f>
        <x:v>914302007121024500</x:v>
      </x:c>
    </x:row>
    <x:row r="4616">
      <x:c r="A4616" s="2" t="n">
        <x:v>4615</x:v>
      </x:c>
      <x:c r="B4616" s="2" t="inlineStr">
        <x:is>
          <x:t xml:space="preserve">600599</x:t>
        </x:is>
      </x:c>
      <x:c r="C4616" s="3" t="inlineStr">
        <x:is>
          <x:t xml:space="preserve">ST熊猫</x:t>
        </x:is>
      </x:c>
      <x:c r="D4616" s="3" t="inlineStr">
        <x:is>
          <x:t xml:space="preserve">熊猫金控股份有限公司</x:t>
        </x:is>
      </x:c>
      <x:c r="E4616" s="2" t="inlineStr">
        <x:is>
          <x:t xml:space="preserve">湖南省</x:t>
        </x:is>
      </x:c>
      <x:c r="F4616" s="2" t="inlineStr">
        <x:is>
          <x:t xml:space="preserve">南省浏阳市</x:t>
        </x:is>
      </x:c>
      <x:c r="G4616" s="3" t="inlineStr">
        <x:is>
          <x:t xml:space="preserve">湖南省-南省浏阳市</x:t>
        </x:is>
      </x:c>
      <x:c r="H4616" s="2" t="inlineStr">
        <x:is>
          <x:t xml:space="preserve">化学制品</x:t>
        </x:is>
      </x:c>
      <x:c r="I4616" s="2" t="inlineStr">
        <x:is>
          <x:t xml:space="preserve">2001-08-28</x:t>
        </x:is>
      </x:c>
      <x:c r="J4616" s="3" t="inlineStr">
        <x:is>
          <x:t xml:space="preserve">湖南省浏阳市金沙北路589号</x:t>
        </x:is>
      </x:c>
      <x:c r="K4616" s="12" t="str">
        <x:f>LEFT("9143000071704801XB",18)</x:f>
        <x:v>9143000071704801XB</x:v>
      </x:c>
    </x:row>
    <x:row r="4617">
      <x:c r="A4617" s="4" t="n">
        <x:v>4616</x:v>
      </x:c>
      <x:c r="B4617" s="4" t="inlineStr">
        <x:is>
          <x:t xml:space="preserve">600698</x:t>
        </x:is>
      </x:c>
      <x:c r="C4617" s="5" t="inlineStr">
        <x:is>
          <x:t xml:space="preserve">湖南天雁</x:t>
        </x:is>
      </x:c>
      <x:c r="D4617" s="5" t="inlineStr">
        <x:is>
          <x:t xml:space="preserve">湖南天雁机械股份有限公司</x:t>
        </x:is>
      </x:c>
      <x:c r="E4617" s="4" t="inlineStr">
        <x:is>
          <x:t xml:space="preserve">湖南省</x:t>
        </x:is>
      </x:c>
      <x:c r="F4617" s="4" t="inlineStr">
        <x:is>
          <x:t xml:space="preserve">衡阳市</x:t>
        </x:is>
      </x:c>
      <x:c r="G4617" s="5" t="inlineStr">
        <x:is>
          <x:t xml:space="preserve">湖南省-衡阳市</x:t>
        </x:is>
      </x:c>
      <x:c r="H4617" s="4" t="inlineStr">
        <x:is>
          <x:t xml:space="preserve">汽车零部件</x:t>
        </x:is>
      </x:c>
      <x:c r="I4617" s="4" t="inlineStr">
        <x:is>
          <x:t xml:space="preserve">1993-12-06</x:t>
        </x:is>
      </x:c>
      <x:c r="J4617" s="5" t="inlineStr">
        <x:is>
          <x:t xml:space="preserve">湖南省衡阳市石鼓区合江套路195号</x:t>
        </x:is>
      </x:c>
      <x:c r="K4617" s="12" t="str">
        <x:f>LEFT("91430400267171730Q",18)</x:f>
        <x:v>91430400267171730Q</x:v>
      </x:c>
    </x:row>
    <x:row r="4618">
      <x:c r="A4618" s="2" t="n">
        <x:v>4617</x:v>
      </x:c>
      <x:c r="B4618" s="2" t="inlineStr">
        <x:is>
          <x:t xml:space="preserve">600731</x:t>
        </x:is>
      </x:c>
      <x:c r="C4618" s="3" t="inlineStr">
        <x:is>
          <x:t xml:space="preserve">湖南海利</x:t>
        </x:is>
      </x:c>
      <x:c r="D4618" s="3" t="inlineStr">
        <x:is>
          <x:t xml:space="preserve">湖南海利化工股份有限公司</x:t>
        </x:is>
      </x:c>
      <x:c r="E4618" s="2" t="inlineStr">
        <x:is>
          <x:t xml:space="preserve">湖南省</x:t>
        </x:is>
      </x:c>
      <x:c r="F4618" s="2" t="inlineStr">
        <x:is>
          <x:t xml:space="preserve">长沙市</x:t>
        </x:is>
      </x:c>
      <x:c r="G4618" s="3" t="inlineStr">
        <x:is>
          <x:t xml:space="preserve">湖南省-长沙市</x:t>
        </x:is>
      </x:c>
      <x:c r="H4618" s="2" t="inlineStr">
        <x:is>
          <x:t xml:space="preserve">农药兽药</x:t>
        </x:is>
      </x:c>
      <x:c r="I4618" s="2" t="inlineStr">
        <x:is>
          <x:t xml:space="preserve">1996-08-02</x:t>
        </x:is>
      </x:c>
      <x:c r="J4618" s="3" t="inlineStr">
        <x:is>
          <x:t xml:space="preserve">湖南省长沙市芙蓉中路二段251号</x:t>
        </x:is>
      </x:c>
      <x:c r="K4618" s="12" t="str">
        <x:f>LEFT("91430000183786041U",18)</x:f>
        <x:v>91430000183786041U</x:v>
      </x:c>
    </x:row>
    <x:row r="4619">
      <x:c r="A4619" s="4" t="n">
        <x:v>4618</x:v>
      </x:c>
      <x:c r="B4619" s="4" t="inlineStr">
        <x:is>
          <x:t xml:space="preserve">600744</x:t>
        </x:is>
      </x:c>
      <x:c r="C4619" s="5" t="inlineStr">
        <x:is>
          <x:t xml:space="preserve">华银电力</x:t>
        </x:is>
      </x:c>
      <x:c r="D4619" s="5" t="inlineStr">
        <x:is>
          <x:t xml:space="preserve">大唐华银电力股份有限公司</x:t>
        </x:is>
      </x:c>
      <x:c r="E4619" s="4" t="inlineStr">
        <x:is>
          <x:t xml:space="preserve">湖南省</x:t>
        </x:is>
      </x:c>
      <x:c r="F4619" s="4" t="inlineStr">
        <x:is>
          <x:t xml:space="preserve">长沙市</x:t>
        </x:is>
      </x:c>
      <x:c r="G4619" s="5" t="inlineStr">
        <x:is>
          <x:t xml:space="preserve">湖南省-长沙市</x:t>
        </x:is>
      </x:c>
      <x:c r="H4619" s="4" t="inlineStr">
        <x:is>
          <x:t xml:space="preserve">电力行业</x:t>
        </x:is>
      </x:c>
      <x:c r="I4619" s="4" t="inlineStr">
        <x:is>
          <x:t xml:space="preserve">1996-09-05</x:t>
        </x:is>
      </x:c>
      <x:c r="J4619" s="5" t="inlineStr">
        <x:is>
          <x:t xml:space="preserve">长沙市天心区黑石铺路35号华银石昊苑写字楼</x:t>
        </x:is>
      </x:c>
      <x:c r="K4619" s="12" t="str">
        <x:f>LEFT("91430000183774980R",18)</x:f>
        <x:v>91430000183774980R</x:v>
      </x:c>
    </x:row>
    <x:row r="4620">
      <x:c r="A4620" s="2" t="n">
        <x:v>4619</x:v>
      </x:c>
      <x:c r="B4620" s="2" t="inlineStr">
        <x:is>
          <x:t xml:space="preserve">600929</x:t>
        </x:is>
      </x:c>
      <x:c r="C4620" s="3" t="inlineStr">
        <x:is>
          <x:t xml:space="preserve">雪天盐业</x:t>
        </x:is>
      </x:c>
      <x:c r="D4620" s="3" t="inlineStr">
        <x:is>
          <x:t xml:space="preserve">雪天盐业集团股份有限公司</x:t>
        </x:is>
      </x:c>
      <x:c r="E4620" s="2" t="inlineStr">
        <x:is>
          <x:t xml:space="preserve">湖南省</x:t>
        </x:is>
      </x:c>
      <x:c r="F4620" s="2" t="inlineStr">
        <x:is>
          <x:t xml:space="preserve">长沙市</x:t>
        </x:is>
      </x:c>
      <x:c r="G4620" s="3" t="inlineStr">
        <x:is>
          <x:t xml:space="preserve">湖南省-长沙市</x:t>
        </x:is>
      </x:c>
      <x:c r="H4620" s="2" t="inlineStr">
        <x:is>
          <x:t xml:space="preserve">化学原料</x:t>
        </x:is>
      </x:c>
      <x:c r="I4620" s="2" t="inlineStr">
        <x:is>
          <x:t xml:space="preserve">2018-03-26</x:t>
        </x:is>
      </x:c>
      <x:c r="J4620" s="3" t="inlineStr">
        <x:is>
          <x:t xml:space="preserve">长沙市雨花区时代阳光大道西388号</x:t>
        </x:is>
      </x:c>
      <x:c r="K4620" s="12" t="str">
        <x:f>LEFT("914300005870340659",18)</x:f>
        <x:v>914300005870340600</x:v>
      </x:c>
    </x:row>
    <x:row r="4621">
      <x:c r="A4621" s="4" t="n">
        <x:v>4620</x:v>
      </x:c>
      <x:c r="B4621" s="4" t="inlineStr">
        <x:is>
          <x:t xml:space="preserve">600961</x:t>
        </x:is>
      </x:c>
      <x:c r="C4621" s="5" t="inlineStr">
        <x:is>
          <x:t xml:space="preserve">株冶集团</x:t>
        </x:is>
      </x:c>
      <x:c r="D4621" s="5" t="inlineStr">
        <x:is>
          <x:t xml:space="preserve">株洲冶炼集团股份有限公司</x:t>
        </x:is>
      </x:c>
      <x:c r="E4621" s="4" t="inlineStr">
        <x:is>
          <x:t xml:space="preserve">湖南省</x:t>
        </x:is>
      </x:c>
      <x:c r="F4621" s="4" t="inlineStr">
        <x:is>
          <x:t xml:space="preserve">株洲市</x:t>
        </x:is>
      </x:c>
      <x:c r="G4621" s="5" t="inlineStr">
        <x:is>
          <x:t xml:space="preserve">湖南省-株洲市</x:t>
        </x:is>
      </x:c>
      <x:c r="H4621" s="4" t="inlineStr">
        <x:is>
          <x:t xml:space="preserve">有色金属</x:t>
        </x:is>
      </x:c>
      <x:c r="I4621" s="4" t="inlineStr">
        <x:is>
          <x:t xml:space="preserve">2004-08-30</x:t>
        </x:is>
      </x:c>
      <x:c r="J4621" s="5" t="inlineStr">
        <x:is>
          <x:t xml:space="preserve">湖南省株洲市天元区衡山东路12号</x:t>
        </x:is>
      </x:c>
      <x:c r="K4621" s="12" t="str">
        <x:f>LEFT("91430200616777117P",18)</x:f>
        <x:v>91430200616777117P</x:v>
      </x:c>
    </x:row>
    <x:row r="4622">
      <x:c r="A4622" s="2" t="n">
        <x:v>4621</x:v>
      </x:c>
      <x:c r="B4622" s="2" t="inlineStr">
        <x:is>
          <x:t xml:space="preserve">600963</x:t>
        </x:is>
      </x:c>
      <x:c r="C4622" s="3" t="inlineStr">
        <x:is>
          <x:t xml:space="preserve">岳阳林纸</x:t>
        </x:is>
      </x:c>
      <x:c r="D4622" s="3" t="inlineStr">
        <x:is>
          <x:t xml:space="preserve">岳阳林纸股份有限公司</x:t>
        </x:is>
      </x:c>
      <x:c r="E4622" s="2" t="inlineStr">
        <x:is>
          <x:t xml:space="preserve">湖南省</x:t>
        </x:is>
      </x:c>
      <x:c r="F4622" s="2" t="inlineStr">
        <x:is>
          <x:t xml:space="preserve">岳阳市</x:t>
        </x:is>
      </x:c>
      <x:c r="G4622" s="3" t="inlineStr">
        <x:is>
          <x:t xml:space="preserve">湖南省-岳阳市</x:t>
        </x:is>
      </x:c>
      <x:c r="H4622" s="2" t="inlineStr">
        <x:is>
          <x:t xml:space="preserve">造纸印刷</x:t>
        </x:is>
      </x:c>
      <x:c r="I4622" s="2" t="inlineStr">
        <x:is>
          <x:t xml:space="preserve">2004-05-25</x:t>
        </x:is>
      </x:c>
      <x:c r="J4622" s="3" t="inlineStr">
        <x:is>
          <x:t xml:space="preserve">中国(湖南)自由贸易试验区岳阳片区长江大道西新港多式联运物流园001号</x:t>
        </x:is>
      </x:c>
      <x:c r="K4622" s="12" t="str">
        <x:f>LEFT("914306007225877126",18)</x:f>
        <x:v>914306007225877100</x:v>
      </x:c>
    </x:row>
    <x:row r="4623">
      <x:c r="A4623" s="4" t="n">
        <x:v>4622</x:v>
      </x:c>
      <x:c r="B4623" s="4" t="inlineStr">
        <x:is>
          <x:t xml:space="preserve">600969</x:t>
        </x:is>
      </x:c>
      <x:c r="C4623" s="5" t="inlineStr">
        <x:is>
          <x:t xml:space="preserve">郴电国际</x:t>
        </x:is>
      </x:c>
      <x:c r="D4623" s="5" t="inlineStr">
        <x:is>
          <x:t xml:space="preserve">湖南郴电国际发展股份有限公司</x:t>
        </x:is>
      </x:c>
      <x:c r="E4623" s="4" t="inlineStr">
        <x:is>
          <x:t xml:space="preserve">湖南省</x:t>
        </x:is>
      </x:c>
      <x:c r="F4623" s="4" t="inlineStr">
        <x:is>
          <x:t xml:space="preserve">郴州市</x:t>
        </x:is>
      </x:c>
      <x:c r="G4623" s="5" t="inlineStr">
        <x:is>
          <x:t xml:space="preserve">湖南省-郴州市</x:t>
        </x:is>
      </x:c>
      <x:c r="H4623" s="4" t="inlineStr">
        <x:is>
          <x:t xml:space="preserve">电力行业</x:t>
        </x:is>
      </x:c>
      <x:c r="I4623" s="4" t="inlineStr">
        <x:is>
          <x:t xml:space="preserve">2004-04-08</x:t>
        </x:is>
      </x:c>
      <x:c r="J4623" s="5" t="inlineStr">
        <x:is>
          <x:t xml:space="preserve">湖南省郴州市青年大道民生路口3幢13层-17层</x:t>
        </x:is>
      </x:c>
      <x:c r="K4623" s="12" t="str">
        <x:f>LEFT("914310007225163081",18)</x:f>
        <x:v>914310007225163100</x:v>
      </x:c>
    </x:row>
    <x:row r="4624">
      <x:c r="A4624" s="2" t="n">
        <x:v>4623</x:v>
      </x:c>
      <x:c r="B4624" s="2" t="inlineStr">
        <x:is>
          <x:t xml:space="preserve">600975</x:t>
        </x:is>
      </x:c>
      <x:c r="C4624" s="3" t="inlineStr">
        <x:is>
          <x:t xml:space="preserve">新五丰</x:t>
        </x:is>
      </x:c>
      <x:c r="D4624" s="3" t="inlineStr">
        <x:is>
          <x:t xml:space="preserve">湖南新五丰股份有限公司</x:t>
        </x:is>
      </x:c>
      <x:c r="E4624" s="2" t="inlineStr">
        <x:is>
          <x:t xml:space="preserve">湖南省</x:t>
        </x:is>
      </x:c>
      <x:c r="F4624" s="2" t="inlineStr">
        <x:is>
          <x:t xml:space="preserve">长沙市</x:t>
        </x:is>
      </x:c>
      <x:c r="G4624" s="3" t="inlineStr">
        <x:is>
          <x:t xml:space="preserve">湖南省-长沙市</x:t>
        </x:is>
      </x:c>
      <x:c r="H4624" s="2" t="inlineStr">
        <x:is>
          <x:t xml:space="preserve">农牧饲渔</x:t>
        </x:is>
      </x:c>
      <x:c r="I4624" s="2" t="inlineStr">
        <x:is>
          <x:t xml:space="preserve">2004-06-09</x:t>
        </x:is>
      </x:c>
      <x:c r="J4624" s="3" t="inlineStr">
        <x:is>
          <x:t xml:space="preserve">湖南省长沙市芙蓉区隆平高科技园合平路618号华智水稻生物技术有限公司1栋厂房7楼</x:t>
        </x:is>
      </x:c>
      <x:c r="K4624" s="12" t="str">
        <x:f>LEFT("91430000727987387G",18)</x:f>
        <x:v>91430000727987387G</x:v>
      </x:c>
    </x:row>
    <x:row r="4625">
      <x:c r="A4625" s="4" t="n">
        <x:v>4624</x:v>
      </x:c>
      <x:c r="B4625" s="4" t="inlineStr">
        <x:is>
          <x:t xml:space="preserve">601098</x:t>
        </x:is>
      </x:c>
      <x:c r="C4625" s="5" t="inlineStr">
        <x:is>
          <x:t xml:space="preserve">中南传媒</x:t>
        </x:is>
      </x:c>
      <x:c r="D4625" s="5" t="inlineStr">
        <x:is>
          <x:t xml:space="preserve">中南出版传媒集团股份有限公司</x:t>
        </x:is>
      </x:c>
      <x:c r="E4625" s="4" t="inlineStr">
        <x:is>
          <x:t xml:space="preserve">湖南省</x:t>
        </x:is>
      </x:c>
      <x:c r="F4625" s="4" t="inlineStr">
        <x:is>
          <x:t xml:space="preserve">长沙市</x:t>
        </x:is>
      </x:c>
      <x:c r="G4625" s="5" t="inlineStr">
        <x:is>
          <x:t xml:space="preserve">湖南省-长沙市</x:t>
        </x:is>
      </x:c>
      <x:c r="H4625" s="4" t="inlineStr">
        <x:is>
          <x:t xml:space="preserve">文化传媒</x:t>
        </x:is>
      </x:c>
      <x:c r="I4625" s="4" t="inlineStr">
        <x:is>
          <x:t xml:space="preserve">2010-10-28</x:t>
        </x:is>
      </x:c>
      <x:c r="J4625" s="5" t="inlineStr">
        <x:is>
          <x:t xml:space="preserve">长沙市开福区文创路6号</x:t>
        </x:is>
      </x:c>
      <x:c r="K4625" s="12" t="str">
        <x:f>LEFT("914300006828265624",18)</x:f>
        <x:v>914300006828265600</x:v>
      </x:c>
    </x:row>
    <x:row r="4626">
      <x:c r="A4626" s="2" t="n">
        <x:v>4625</x:v>
      </x:c>
      <x:c r="B4626" s="2" t="inlineStr">
        <x:is>
          <x:t xml:space="preserve">601577</x:t>
        </x:is>
      </x:c>
      <x:c r="C4626" s="3" t="inlineStr">
        <x:is>
          <x:t xml:space="preserve">长沙银行</x:t>
        </x:is>
      </x:c>
      <x:c r="D4626" s="3" t="inlineStr">
        <x:is>
          <x:t xml:space="preserve">长沙银行股份有限公司</x:t>
        </x:is>
      </x:c>
      <x:c r="E4626" s="2" t="inlineStr">
        <x:is>
          <x:t xml:space="preserve">湖南省</x:t>
        </x:is>
      </x:c>
      <x:c r="F4626" s="2" t="inlineStr">
        <x:is>
          <x:t xml:space="preserve">长沙市</x:t>
        </x:is>
      </x:c>
      <x:c r="G4626" s="3" t="inlineStr">
        <x:is>
          <x:t xml:space="preserve">湖南省-长沙市</x:t>
        </x:is>
      </x:c>
      <x:c r="H4626" s="2" t="inlineStr">
        <x:is>
          <x:t xml:space="preserve">银行</x:t>
        </x:is>
      </x:c>
      <x:c r="I4626" s="2" t="inlineStr">
        <x:is>
          <x:t xml:space="preserve">2018-09-26</x:t>
        </x:is>
      </x:c>
      <x:c r="J4626" s="3" t="inlineStr">
        <x:is>
          <x:t xml:space="preserve">长沙市岳麓区滨江路53号楷林商务中心B座</x:t>
        </x:is>
      </x:c>
      <x:c r="K4626" s="12" t="str">
        <x:f>LEFT("91430000183807033W",18)</x:f>
        <x:v>91430000183807033W</x:v>
      </x:c>
    </x:row>
    <x:row r="4627">
      <x:c r="A4627" s="4" t="n">
        <x:v>4626</x:v>
      </x:c>
      <x:c r="B4627" s="4" t="inlineStr">
        <x:is>
          <x:t xml:space="preserve">601636</x:t>
        </x:is>
      </x:c>
      <x:c r="C4627" s="5" t="inlineStr">
        <x:is>
          <x:t xml:space="preserve">旗滨集团</x:t>
        </x:is>
      </x:c>
      <x:c r="D4627" s="5" t="inlineStr">
        <x:is>
          <x:t xml:space="preserve">株洲旗滨集团股份有限公司</x:t>
        </x:is>
      </x:c>
      <x:c r="E4627" s="4" t="inlineStr">
        <x:is>
          <x:t xml:space="preserve">湖南省</x:t>
        </x:is>
      </x:c>
      <x:c r="F4627" s="4" t="inlineStr">
        <x:is>
          <x:t xml:space="preserve">株洲市</x:t>
        </x:is>
      </x:c>
      <x:c r="G4627" s="5" t="inlineStr">
        <x:is>
          <x:t xml:space="preserve">湖南省-株洲市</x:t>
        </x:is>
      </x:c>
      <x:c r="H4627" s="4" t="inlineStr">
        <x:is>
          <x:t xml:space="preserve">玻璃陶瓷</x:t>
        </x:is>
      </x:c>
      <x:c r="I4627" s="4" t="inlineStr">
        <x:is>
          <x:t xml:space="preserve">2011-08-12</x:t>
        </x:is>
      </x:c>
      <x:c r="J4627" s="5" t="inlineStr">
        <x:is>
          <x:t xml:space="preserve">湖南醴陵经济开发区东富工业园</x:t>
        </x:is>
      </x:c>
      <x:c r="K4627" s="12" t="str">
        <x:f>LEFT("91430200776779744R",18)</x:f>
        <x:v>91430200776779744R</x:v>
      </x:c>
    </x:row>
    <x:row r="4628">
      <x:c r="A4628" s="2" t="n">
        <x:v>4627</x:v>
      </x:c>
      <x:c r="B4628" s="2" t="inlineStr">
        <x:is>
          <x:t xml:space="preserve">601901</x:t>
        </x:is>
      </x:c>
      <x:c r="C4628" s="3" t="inlineStr">
        <x:is>
          <x:t xml:space="preserve">方正证券</x:t>
        </x:is>
      </x:c>
      <x:c r="D4628" s="3" t="inlineStr">
        <x:is>
          <x:t xml:space="preserve">方正证券股份有限公司</x:t>
        </x:is>
      </x:c>
      <x:c r="E4628" s="2" t="inlineStr">
        <x:is>
          <x:t xml:space="preserve">湖南省</x:t>
        </x:is>
      </x:c>
      <x:c r="F4628" s="2" t="inlineStr">
        <x:is>
          <x:t xml:space="preserve">长沙市</x:t>
        </x:is>
      </x:c>
      <x:c r="G4628" s="3" t="inlineStr">
        <x:is>
          <x:t xml:space="preserve">湖南省-长沙市</x:t>
        </x:is>
      </x:c>
      <x:c r="H4628" s="2" t="inlineStr">
        <x:is>
          <x:t xml:space="preserve">券商信托</x:t>
        </x:is>
      </x:c>
      <x:c r="I4628" s="2" t="inlineStr">
        <x:is>
          <x:t xml:space="preserve">2011-08-10</x:t>
        </x:is>
      </x:c>
      <x:c r="J4628" s="3" t="inlineStr">
        <x:is>
          <x:t xml:space="preserve">湖南省长沙市天心区湘江中路二段36号华远华中心4、5号楼3701-3717</x:t>
        </x:is>
      </x:c>
      <x:c r="K4628" s="12" t="str">
        <x:f>LEFT("914300001429279950",18)</x:f>
        <x:v>914300001429280000</x:v>
      </x:c>
    </x:row>
    <x:row r="4629">
      <x:c r="A4629" s="4" t="n">
        <x:v>4628</x:v>
      </x:c>
      <x:c r="B4629" s="4" t="inlineStr">
        <x:is>
          <x:t xml:space="preserve">603319</x:t>
        </x:is>
      </x:c>
      <x:c r="C4629" s="5" t="inlineStr">
        <x:is>
          <x:t xml:space="preserve">美湖股份</x:t>
        </x:is>
      </x:c>
      <x:c r="D4629" s="5" t="inlineStr">
        <x:is>
          <x:t xml:space="preserve">湖南美湖智造股份有限公司</x:t>
        </x:is>
      </x:c>
      <x:c r="E4629" s="4" t="inlineStr">
        <x:is>
          <x:t xml:space="preserve">湖南省</x:t>
        </x:is>
      </x:c>
      <x:c r="F4629" s="4" t="inlineStr">
        <x:is>
          <x:t xml:space="preserve">衡阳市</x:t>
        </x:is>
      </x:c>
      <x:c r="G4629" s="5" t="inlineStr">
        <x:is>
          <x:t xml:space="preserve">湖南省-衡阳市</x:t>
        </x:is>
      </x:c>
      <x:c r="H4629" s="4" t="inlineStr">
        <x:is>
          <x:t xml:space="preserve">汽车行业</x:t>
        </x:is>
      </x:c>
      <x:c r="I4629" s="4" t="inlineStr">
        <x:is>
          <x:t xml:space="preserve">2016-11-30</x:t>
        </x:is>
      </x:c>
      <x:c r="J4629" s="5" t="inlineStr">
        <x:is>
          <x:t xml:space="preserve">湖南省衡阳市衡东县城关镇衡岳北路69号</x:t>
        </x:is>
      </x:c>
      <x:c r="K4629" s="12" t="str">
        <x:f>LEFT("914304001854002881",18)</x:f>
        <x:v>914304001854003000</x:v>
      </x:c>
    </x:row>
    <x:row r="4630">
      <x:c r="A4630" s="2" t="n">
        <x:v>4629</x:v>
      </x:c>
      <x:c r="B4630" s="2" t="inlineStr">
        <x:is>
          <x:t xml:space="preserve">603353</x:t>
        </x:is>
      </x:c>
      <x:c r="C4630" s="3" t="inlineStr">
        <x:is>
          <x:t xml:space="preserve">和顺石油</x:t>
        </x:is>
      </x:c>
      <x:c r="D4630" s="3" t="inlineStr">
        <x:is>
          <x:t xml:space="preserve">湖南和顺石油股份有限公司</x:t>
        </x:is>
      </x:c>
      <x:c r="E4630" s="2" t="inlineStr">
        <x:is>
          <x:t xml:space="preserve">湖南省</x:t>
        </x:is>
      </x:c>
      <x:c r="F4630" s="2" t="inlineStr">
        <x:is>
          <x:t xml:space="preserve">长沙市</x:t>
        </x:is>
      </x:c>
      <x:c r="G4630" s="3" t="inlineStr">
        <x:is>
          <x:t xml:space="preserve">湖南省-长沙市</x:t>
        </x:is>
      </x:c>
      <x:c r="H4630" s="2" t="inlineStr">
        <x:is>
          <x:t xml:space="preserve">石油行业</x:t>
        </x:is>
      </x:c>
      <x:c r="I4630" s="2" t="inlineStr">
        <x:is>
          <x:t xml:space="preserve">2020-04-07</x:t>
        </x:is>
      </x:c>
      <x:c r="J4630" s="3" t="inlineStr">
        <x:is>
          <x:t xml:space="preserve">湖南省长沙市望城区月亮岛街道潇湘北路二段8号</x:t>
        </x:is>
      </x:c>
      <x:c r="K4630" s="12" t="str">
        <x:f>LEFT("9143000077678309XN",18)</x:f>
        <x:v>9143000077678309XN</x:v>
      </x:c>
    </x:row>
    <x:row r="4631">
      <x:c r="A4631" s="4" t="n">
        <x:v>4630</x:v>
      </x:c>
      <x:c r="B4631" s="4" t="inlineStr">
        <x:is>
          <x:t xml:space="preserve">603517</x:t>
        </x:is>
      </x:c>
      <x:c r="C4631" s="5" t="inlineStr">
        <x:is>
          <x:t xml:space="preserve">ST绝味</x:t>
        </x:is>
      </x:c>
      <x:c r="D4631" s="5" t="inlineStr">
        <x:is>
          <x:t xml:space="preserve">绝味食品股份有限公司</x:t>
        </x:is>
      </x:c>
      <x:c r="E4631" s="4" t="inlineStr">
        <x:is>
          <x:t xml:space="preserve">湖南省</x:t>
        </x:is>
      </x:c>
      <x:c r="F4631" s="4" t="inlineStr">
        <x:is>
          <x:t xml:space="preserve">长沙市</x:t>
        </x:is>
      </x:c>
      <x:c r="G4631" s="5" t="inlineStr">
        <x:is>
          <x:t xml:space="preserve">湖南省-长沙市</x:t>
        </x:is>
      </x:c>
      <x:c r="H4631" s="4" t="inlineStr">
        <x:is>
          <x:t xml:space="preserve">食品饮料</x:t>
        </x:is>
      </x:c>
      <x:c r="I4631" s="4" t="inlineStr">
        <x:is>
          <x:t xml:space="preserve">2017-03-17</x:t>
        </x:is>
      </x:c>
      <x:c r="J4631" s="5" t="inlineStr">
        <x:is>
          <x:t xml:space="preserve">湖南省长沙市芙蓉区晚报大道267号晚报大厦15楼</x:t>
        </x:is>
      </x:c>
      <x:c r="K4631" s="12" t="str">
        <x:f>LEFT("9143010068282775XE",18)</x:f>
        <x:v>9143010068282775XE</x:v>
      </x:c>
    </x:row>
    <x:row r="4632">
      <x:c r="A4632" s="2" t="n">
        <x:v>4631</x:v>
      </x:c>
      <x:c r="B4632" s="2" t="inlineStr">
        <x:is>
          <x:t xml:space="preserve">603721</x:t>
        </x:is>
      </x:c>
      <x:c r="C4632" s="3" t="inlineStr">
        <x:is>
          <x:t xml:space="preserve">中广天择</x:t>
        </x:is>
      </x:c>
      <x:c r="D4632" s="3" t="inlineStr">
        <x:is>
          <x:t xml:space="preserve">中广天择传媒股份有限公司</x:t>
        </x:is>
      </x:c>
      <x:c r="E4632" s="2" t="inlineStr">
        <x:is>
          <x:t xml:space="preserve">湖南省</x:t>
        </x:is>
      </x:c>
      <x:c r="F4632" s="2" t="inlineStr">
        <x:is>
          <x:t xml:space="preserve">长沙市</x:t>
        </x:is>
      </x:c>
      <x:c r="G4632" s="3" t="inlineStr">
        <x:is>
          <x:t xml:space="preserve">湖南省-长沙市</x:t>
        </x:is>
      </x:c>
      <x:c r="H4632" s="2" t="inlineStr">
        <x:is>
          <x:t xml:space="preserve">文化传媒</x:t>
        </x:is>
      </x:c>
      <x:c r="I4632" s="2" t="inlineStr">
        <x:is>
          <x:t xml:space="preserve">2017-08-11</x:t>
        </x:is>
      </x:c>
      <x:c r="J4632" s="3" t="inlineStr">
        <x:is>
          <x:t xml:space="preserve">长沙市开福区月湖街道鸭子铺路46号</x:t>
        </x:is>
      </x:c>
      <x:c r="K4632" s="12" t="str">
        <x:f>LEFT("91430000799146931T",18)</x:f>
        <x:v>91430000799146931T</x:v>
      </x:c>
    </x:row>
    <x:row r="4633">
      <x:c r="A4633" s="4" t="n">
        <x:v>4632</x:v>
      </x:c>
      <x:c r="B4633" s="4" t="inlineStr">
        <x:is>
          <x:t xml:space="preserve">603825</x:t>
        </x:is>
      </x:c>
      <x:c r="C4633" s="5" t="inlineStr">
        <x:is>
          <x:t xml:space="preserve">ST华扬</x:t>
        </x:is>
      </x:c>
      <x:c r="D4633" s="5" t="inlineStr">
        <x:is>
          <x:t xml:space="preserve">华扬联众数字技术股份有限公司</x:t>
        </x:is>
      </x:c>
      <x:c r="E4633" s="4" t="inlineStr">
        <x:is>
          <x:t xml:space="preserve">湖南省</x:t>
        </x:is>
      </x:c>
      <x:c r="F4633" s="4" t="inlineStr">
        <x:is>
          <x:t xml:space="preserve">长沙市</x:t>
        </x:is>
      </x:c>
      <x:c r="G4633" s="5" t="inlineStr">
        <x:is>
          <x:t xml:space="preserve">湖南省-长沙市</x:t>
        </x:is>
      </x:c>
      <x:c r="H4633" s="4" t="inlineStr">
        <x:is>
          <x:t xml:space="preserve">文化传媒</x:t>
        </x:is>
      </x:c>
      <x:c r="I4633" s="4" t="inlineStr">
        <x:is>
          <x:t xml:space="preserve">2017-08-02</x:t>
        </x:is>
      </x:c>
      <x:c r="J4633" s="5" t="inlineStr">
        <x:is>
          <x:t xml:space="preserve">湖南省长沙市岳麓区天顶街道环湖路1177号方茂苑(二期)13栋房产915室</x:t>
        </x:is>
      </x:c>
      <x:c r="K4633" s="12" t="str">
        <x:f>LEFT("91110101101343096U",18)</x:f>
        <x:v>91110101101343096U</x:v>
      </x:c>
    </x:row>
    <x:row r="4634">
      <x:c r="A4634" s="2" t="n">
        <x:v>4633</x:v>
      </x:c>
      <x:c r="B4634" s="2" t="inlineStr">
        <x:is>
          <x:t xml:space="preserve">603883</x:t>
        </x:is>
      </x:c>
      <x:c r="C4634" s="3" t="inlineStr">
        <x:is>
          <x:t xml:space="preserve">老百姓</x:t>
        </x:is>
      </x:c>
      <x:c r="D4634" s="3" t="inlineStr">
        <x:is>
          <x:t xml:space="preserve">老百姓大药房连锁股份有限公司</x:t>
        </x:is>
      </x:c>
      <x:c r="E4634" s="2" t="inlineStr">
        <x:is>
          <x:t xml:space="preserve">湖南省</x:t>
        </x:is>
      </x:c>
      <x:c r="F4634" s="2" t="inlineStr">
        <x:is>
          <x:t xml:space="preserve">长沙市</x:t>
        </x:is>
      </x:c>
      <x:c r="G4634" s="3" t="inlineStr">
        <x:is>
          <x:t xml:space="preserve">湖南省-长沙市</x:t>
        </x:is>
      </x:c>
      <x:c r="H4634" s="2" t="inlineStr">
        <x:is>
          <x:t xml:space="preserve">医药商业</x:t>
        </x:is>
      </x:c>
      <x:c r="I4634" s="2" t="inlineStr">
        <x:is>
          <x:t xml:space="preserve">2015-04-23</x:t>
        </x:is>
      </x:c>
      <x:c r="J4634" s="3" t="inlineStr">
        <x:is>
          <x:t xml:space="preserve">湖南省长沙市开福区青竹湖路808号</x:t>
        </x:is>
      </x:c>
      <x:c r="K4634" s="12" t="str">
        <x:f>LEFT("91430000782853875C",18)</x:f>
        <x:v>91430000782853875C</x:v>
      </x:c>
    </x:row>
    <x:row r="4635">
      <x:c r="A4635" s="4" t="n">
        <x:v>4634</x:v>
      </x:c>
      <x:c r="B4635" s="4" t="inlineStr">
        <x:is>
          <x:t xml:space="preserve">603939</x:t>
        </x:is>
      </x:c>
      <x:c r="C4635" s="5" t="inlineStr">
        <x:is>
          <x:t xml:space="preserve">益丰药房</x:t>
        </x:is>
      </x:c>
      <x:c r="D4635" s="5" t="inlineStr">
        <x:is>
          <x:t xml:space="preserve">益丰大药房连锁股份有限公司</x:t>
        </x:is>
      </x:c>
      <x:c r="E4635" s="4" t="inlineStr">
        <x:is>
          <x:t xml:space="preserve">湖南省</x:t>
        </x:is>
      </x:c>
      <x:c r="F4635" s="4" t="inlineStr">
        <x:is>
          <x:t xml:space="preserve">常德市</x:t>
        </x:is>
      </x:c>
      <x:c r="G4635" s="5" t="inlineStr">
        <x:is>
          <x:t xml:space="preserve">湖南省-常德市</x:t>
        </x:is>
      </x:c>
      <x:c r="H4635" s="4" t="inlineStr">
        <x:is>
          <x:t xml:space="preserve">医药商业</x:t>
        </x:is>
      </x:c>
      <x:c r="I4635" s="4" t="inlineStr">
        <x:is>
          <x:t xml:space="preserve">2015-02-17</x:t>
        </x:is>
      </x:c>
      <x:c r="J4635" s="5" t="inlineStr">
        <x:is>
          <x:t xml:space="preserve">湖南省常德市武陵区白马湖街道富强社区人民路2638号</x:t>
        </x:is>
      </x:c>
      <x:c r="K4635" s="12" t="str">
        <x:f>LEFT("9143070067558223X2",18)</x:f>
        <x:v>9143070067558223X2</x:v>
      </x:c>
    </x:row>
    <x:row r="4636">
      <x:c r="A4636" s="2" t="n">
        <x:v>4635</x:v>
      </x:c>
      <x:c r="B4636" s="2" t="inlineStr">
        <x:is>
          <x:t xml:space="preserve">603959</x:t>
        </x:is>
      </x:c>
      <x:c r="C4636" s="3" t="inlineStr">
        <x:is>
          <x:t xml:space="preserve">百利科技</x:t>
        </x:is>
      </x:c>
      <x:c r="D4636" s="3" t="inlineStr">
        <x:is>
          <x:t xml:space="preserve">湖南百利工程科技股份有限公司</x:t>
        </x:is>
      </x:c>
      <x:c r="E4636" s="2" t="inlineStr">
        <x:is>
          <x:t xml:space="preserve">湖南省</x:t>
        </x:is>
      </x:c>
      <x:c r="F4636" s="2" t="inlineStr">
        <x:is>
          <x:t xml:space="preserve">岳阳市</x:t>
        </x:is>
      </x:c>
      <x:c r="G4636" s="3" t="inlineStr">
        <x:is>
          <x:t xml:space="preserve">湖南省-岳阳市</x:t>
        </x:is>
      </x:c>
      <x:c r="H4636" s="2" t="inlineStr">
        <x:is>
          <x:t xml:space="preserve">工程咨询服务</x:t>
        </x:is>
      </x:c>
      <x:c r="I4636" s="2" t="inlineStr">
        <x:is>
          <x:t xml:space="preserve">2016-05-17</x:t>
        </x:is>
      </x:c>
      <x:c r="J4636" s="3" t="inlineStr">
        <x:is>
          <x:t xml:space="preserve">岳阳市岳阳经济技术开发区巴陵东路388号</x:t>
        </x:is>
      </x:c>
      <x:c r="K4636" s="12" t="str">
        <x:f>LEFT("914306001837693990",18)</x:f>
        <x:v>914306001837694000</x:v>
      </x:c>
    </x:row>
    <x:row r="4637">
      <x:c r="A4637" s="4" t="n">
        <x:v>4636</x:v>
      </x:c>
      <x:c r="B4637" s="4" t="inlineStr">
        <x:is>
          <x:t xml:space="preserve">603989</x:t>
        </x:is>
      </x:c>
      <x:c r="C4637" s="5" t="inlineStr">
        <x:is>
          <x:t xml:space="preserve">艾华集团</x:t>
        </x:is>
      </x:c>
      <x:c r="D4637" s="5" t="inlineStr">
        <x:is>
          <x:t xml:space="preserve">湖南艾华集团股份有限公司</x:t>
        </x:is>
      </x:c>
      <x:c r="E4637" s="4" t="inlineStr">
        <x:is>
          <x:t xml:space="preserve">湖南省</x:t>
        </x:is>
      </x:c>
      <x:c r="F4637" s="4" t="inlineStr">
        <x:is>
          <x:t xml:space="preserve">益阳市</x:t>
        </x:is>
      </x:c>
      <x:c r="G4637" s="5" t="inlineStr">
        <x:is>
          <x:t xml:space="preserve">湖南省-益阳市</x:t>
        </x:is>
      </x:c>
      <x:c r="H4637" s="4" t="inlineStr">
        <x:is>
          <x:t xml:space="preserve">电子元件</x:t>
        </x:is>
      </x:c>
      <x:c r="I4637" s="4" t="inlineStr">
        <x:is>
          <x:t xml:space="preserve">2015-05-15</x:t>
        </x:is>
      </x:c>
      <x:c r="J4637" s="5" t="inlineStr">
        <x:is>
          <x:t xml:space="preserve">湖南省益阳市桃花仑东路(紫竹路南侧)</x:t>
        </x:is>
      </x:c>
      <x:c r="K4637" s="12" t="str">
        <x:f>LEFT("91430900616681350F",18)</x:f>
        <x:v>91430900616681350F</x:v>
      </x:c>
    </x:row>
    <x:row r="4638">
      <x:c r="A4638" s="2" t="n">
        <x:v>4637</x:v>
      </x:c>
      <x:c r="B4638" s="2" t="inlineStr">
        <x:is>
          <x:t xml:space="preserve">603998</x:t>
        </x:is>
      </x:c>
      <x:c r="C4638" s="3" t="inlineStr">
        <x:is>
          <x:t xml:space="preserve">方盛制药</x:t>
        </x:is>
      </x:c>
      <x:c r="D4638" s="3" t="inlineStr">
        <x:is>
          <x:t xml:space="preserve">湖南方盛制药股份有限公司</x:t>
        </x:is>
      </x:c>
      <x:c r="E4638" s="2" t="inlineStr">
        <x:is>
          <x:t xml:space="preserve">湖南省</x:t>
        </x:is>
      </x:c>
      <x:c r="F4638" s="2" t="inlineStr">
        <x:is>
          <x:t xml:space="preserve">长沙市</x:t>
        </x:is>
      </x:c>
      <x:c r="G4638" s="3" t="inlineStr">
        <x:is>
          <x:t xml:space="preserve">湖南省-长沙市</x:t>
        </x:is>
      </x:c>
      <x:c r="H4638" s="2" t="inlineStr">
        <x:is>
          <x:t xml:space="preserve">中药</x:t>
        </x:is>
      </x:c>
      <x:c r="I4638" s="2" t="inlineStr">
        <x:is>
          <x:t xml:space="preserve">2014-12-05</x:t>
        </x:is>
      </x:c>
      <x:c r="J4638" s="3" t="inlineStr">
        <x:is>
          <x:t xml:space="preserve">长沙市高新区麓松路789号</x:t>
        </x:is>
      </x:c>
      <x:c r="K4638" s="12" t="str">
        <x:f>LEFT("91430000183855019M",18)</x:f>
        <x:v>91430000183855019M</x:v>
      </x:c>
    </x:row>
    <x:row r="4639">
      <x:c r="A4639" s="4" t="n">
        <x:v>4638</x:v>
      </x:c>
      <x:c r="B4639" s="4" t="inlineStr">
        <x:is>
          <x:t xml:space="preserve">688059</x:t>
        </x:is>
      </x:c>
      <x:c r="C4639" s="5" t="inlineStr">
        <x:is>
          <x:t xml:space="preserve">华锐精密</x:t>
        </x:is>
      </x:c>
      <x:c r="D4639" s="5" t="inlineStr">
        <x:is>
          <x:t xml:space="preserve">株洲华锐精密工具股份有限公司</x:t>
        </x:is>
      </x:c>
      <x:c r="E4639" s="4" t="inlineStr">
        <x:is>
          <x:t xml:space="preserve">湖南省</x:t>
        </x:is>
      </x:c>
      <x:c r="F4639" s="4" t="inlineStr">
        <x:is>
          <x:t xml:space="preserve">株洲市</x:t>
        </x:is>
      </x:c>
      <x:c r="G4639" s="5" t="inlineStr">
        <x:is>
          <x:t xml:space="preserve">湖南省-株洲市</x:t>
        </x:is>
      </x:c>
      <x:c r="H4639" s="4" t="inlineStr">
        <x:is>
          <x:t xml:space="preserve">通用设备</x:t>
        </x:is>
      </x:c>
      <x:c r="I4639" s="4" t="inlineStr">
        <x:is>
          <x:t xml:space="preserve">2021-02-08</x:t>
        </x:is>
      </x:c>
      <x:c r="J4639" s="5" t="inlineStr">
        <x:is>
          <x:t xml:space="preserve">株洲市芦淞区创业二路68号</x:t>
        </x:is>
      </x:c>
      <x:c r="K4639" s="12" t="str">
        <x:f>LEFT("91430200799104619D",18)</x:f>
        <x:v>91430200799104619D</x:v>
      </x:c>
    </x:row>
    <x:row r="4640">
      <x:c r="A4640" s="2" t="n">
        <x:v>4639</x:v>
      </x:c>
      <x:c r="B4640" s="2" t="inlineStr">
        <x:is>
          <x:t xml:space="preserve">688067</x:t>
        </x:is>
      </x:c>
      <x:c r="C4640" s="3" t="inlineStr">
        <x:is>
          <x:t xml:space="preserve">爱威科技</x:t>
        </x:is>
      </x:c>
      <x:c r="D4640" s="3" t="inlineStr">
        <x:is>
          <x:t xml:space="preserve">爱威科技股份有限公司</x:t>
        </x:is>
      </x:c>
      <x:c r="E4640" s="2" t="inlineStr">
        <x:is>
          <x:t xml:space="preserve">湖南省</x:t>
        </x:is>
      </x:c>
      <x:c r="F4640" s="2" t="inlineStr">
        <x:is>
          <x:t xml:space="preserve">长沙市</x:t>
        </x:is>
      </x:c>
      <x:c r="G4640" s="3" t="inlineStr">
        <x:is>
          <x:t xml:space="preserve">湖南省-长沙市</x:t>
        </x:is>
      </x:c>
      <x:c r="H4640" s="2" t="inlineStr">
        <x:is>
          <x:t xml:space="preserve">医疗器械</x:t>
        </x:is>
      </x:c>
      <x:c r="I4640" s="2" t="inlineStr">
        <x:is>
          <x:t xml:space="preserve">2021-06-16</x:t>
        </x:is>
      </x:c>
      <x:c r="J4640" s="3" t="inlineStr">
        <x:is>
          <x:t xml:space="preserve">湖南省长沙市岳麓区学士街道茯苓路26号爱威医疗科技园</x:t>
        </x:is>
      </x:c>
      <x:c r="K4640" s="12" t="str">
        <x:f>LEFT("914301001838986849",18)</x:f>
        <x:v>914301001838986900</x:v>
      </x:c>
    </x:row>
    <x:row r="4641">
      <x:c r="A4641" s="4" t="n">
        <x:v>4640</x:v>
      </x:c>
      <x:c r="B4641" s="4" t="inlineStr">
        <x:is>
          <x:t xml:space="preserve">688100</x:t>
        </x:is>
      </x:c>
      <x:c r="C4641" s="5" t="inlineStr">
        <x:is>
          <x:t xml:space="preserve">威胜信息</x:t>
        </x:is>
      </x:c>
      <x:c r="D4641" s="5" t="inlineStr">
        <x:is>
          <x:t xml:space="preserve">威胜信息技术股份有限公司</x:t>
        </x:is>
      </x:c>
      <x:c r="E4641" s="4" t="inlineStr">
        <x:is>
          <x:t xml:space="preserve">湖南省</x:t>
        </x:is>
      </x:c>
      <x:c r="F4641" s="4" t="inlineStr">
        <x:is>
          <x:t xml:space="preserve">长沙市</x:t>
        </x:is>
      </x:c>
      <x:c r="G4641" s="5" t="inlineStr">
        <x:is>
          <x:t xml:space="preserve">湖南省-长沙市</x:t>
        </x:is>
      </x:c>
      <x:c r="H4641" s="4" t="inlineStr">
        <x:is>
          <x:t xml:space="preserve">通信设备</x:t>
        </x:is>
      </x:c>
      <x:c r="I4641" s="4" t="inlineStr">
        <x:is>
          <x:t xml:space="preserve">2020-01-21</x:t>
        </x:is>
      </x:c>
      <x:c r="J4641" s="5" t="inlineStr">
        <x:is>
          <x:t xml:space="preserve">湖南省长沙高新技术产业开发区桐梓坡西路468号</x:t>
        </x:is>
      </x:c>
      <x:c r="K4641" s="12" t="str">
        <x:f>LEFT("91430100760727392G",18)</x:f>
        <x:v>91430100760727392G</x:v>
      </x:c>
    </x:row>
    <x:row r="4642">
      <x:c r="A4642" s="2" t="n">
        <x:v>4641</x:v>
      </x:c>
      <x:c r="B4642" s="2" t="inlineStr">
        <x:is>
          <x:t xml:space="preserve">688152</x:t>
        </x:is>
      </x:c>
      <x:c r="C4642" s="3" t="inlineStr">
        <x:is>
          <x:t xml:space="preserve">麒麟信安</x:t>
        </x:is>
      </x:c>
      <x:c r="D4642" s="3" t="inlineStr">
        <x:is>
          <x:t xml:space="preserve">湖南麒麟信安科技股份有限公司</x:t>
        </x:is>
      </x:c>
      <x:c r="E4642" s="2" t="inlineStr">
        <x:is>
          <x:t xml:space="preserve">湖南省</x:t>
        </x:is>
      </x:c>
      <x:c r="F4642" s="2" t="inlineStr">
        <x:is>
          <x:t xml:space="preserve">长沙市</x:t>
        </x:is>
      </x:c>
      <x:c r="G4642" s="3" t="inlineStr">
        <x:is>
          <x:t xml:space="preserve">湖南省-长沙市</x:t>
        </x:is>
      </x:c>
      <x:c r="H4642" s="2" t="inlineStr">
        <x:is>
          <x:t xml:space="preserve">软件开发</x:t>
        </x:is>
      </x:c>
      <x:c r="I4642" s="2" t="inlineStr">
        <x:is>
          <x:t xml:space="preserve">2022-10-28</x:t>
        </x:is>
      </x:c>
      <x:c r="J4642" s="3" t="inlineStr">
        <x:is>
          <x:t xml:space="preserve">长沙高新开发区麒云路20号麒麟科技园1栋4楼</x:t>
        </x:is>
      </x:c>
      <x:c r="K4642" s="12" t="str">
        <x:f>LEFT("914301003385143085",18)</x:f>
        <x:v>914301003385143000</x:v>
      </x:c>
    </x:row>
    <x:row r="4643">
      <x:c r="A4643" s="4" t="n">
        <x:v>4642</x:v>
      </x:c>
      <x:c r="B4643" s="4" t="inlineStr">
        <x:is>
          <x:t xml:space="preserve">688157</x:t>
        </x:is>
      </x:c>
      <x:c r="C4643" s="5" t="inlineStr">
        <x:is>
          <x:t xml:space="preserve">松井股份</x:t>
        </x:is>
      </x:c>
      <x:c r="D4643" s="5" t="inlineStr">
        <x:is>
          <x:t xml:space="preserve">松井新材料集团股份有限公司</x:t>
        </x:is>
      </x:c>
      <x:c r="E4643" s="4" t="inlineStr">
        <x:is>
          <x:t xml:space="preserve">湖南省</x:t>
        </x:is>
      </x:c>
      <x:c r="F4643" s="4" t="inlineStr">
        <x:is>
          <x:t xml:space="preserve">长沙市</x:t>
        </x:is>
      </x:c>
      <x:c r="G4643" s="5" t="inlineStr">
        <x:is>
          <x:t xml:space="preserve">湖南省-长沙市</x:t>
        </x:is>
      </x:c>
      <x:c r="H4643" s="4" t="inlineStr">
        <x:is>
          <x:t xml:space="preserve">化工行业</x:t>
        </x:is>
      </x:c>
      <x:c r="I4643" s="4" t="inlineStr">
        <x:is>
          <x:t xml:space="preserve">2020-06-09</x:t>
        </x:is>
      </x:c>
      <x:c r="J4643" s="5" t="inlineStr">
        <x:is>
          <x:t xml:space="preserve">湖南宁乡经济技术开发区三环北路777号</x:t>
        </x:is>
      </x:c>
      <x:c r="K4643" s="12" t="str">
        <x:f>LEFT("91430100685004249U",18)</x:f>
        <x:v>91430100685004249U</x:v>
      </x:c>
    </x:row>
    <x:row r="4644">
      <x:c r="A4644" s="2" t="n">
        <x:v>4643</x:v>
      </x:c>
      <x:c r="B4644" s="2" t="inlineStr">
        <x:is>
          <x:t xml:space="preserve">688187</x:t>
        </x:is>
      </x:c>
      <x:c r="C4644" s="3" t="inlineStr">
        <x:is>
          <x:t xml:space="preserve">时代电气</x:t>
        </x:is>
      </x:c>
      <x:c r="D4644" s="3" t="inlineStr">
        <x:is>
          <x:t xml:space="preserve">株洲中车时代电气股份有限公司</x:t>
        </x:is>
      </x:c>
      <x:c r="E4644" s="2" t="inlineStr">
        <x:is>
          <x:t xml:space="preserve">湖南省</x:t>
        </x:is>
      </x:c>
      <x:c r="F4644" s="2" t="inlineStr">
        <x:is>
          <x:t xml:space="preserve">株洲市</x:t>
        </x:is>
      </x:c>
      <x:c r="G4644" s="3" t="inlineStr">
        <x:is>
          <x:t xml:space="preserve">湖南省-株洲市</x:t>
        </x:is>
      </x:c>
      <x:c r="H4644" s="2" t="inlineStr">
        <x:is>
          <x:t xml:space="preserve">交运设备</x:t>
        </x:is>
      </x:c>
      <x:c r="I4644" s="2" t="inlineStr">
        <x:is>
          <x:t xml:space="preserve">2021-09-07</x:t>
        </x:is>
      </x:c>
      <x:c r="J4644" s="3" t="inlineStr">
        <x:is>
          <x:t xml:space="preserve">中国湖南省株洲市石峰区时代路</x:t>
        </x:is>
      </x:c>
      <x:c r="K4644" s="12" t="str">
        <x:f>LEFT("914300007808508659",18)</x:f>
        <x:v>914300007808508700</x:v>
      </x:c>
    </x:row>
    <x:row r="4645">
      <x:c r="A4645" s="4" t="n">
        <x:v>4644</x:v>
      </x:c>
      <x:c r="B4645" s="4" t="inlineStr">
        <x:is>
          <x:t xml:space="preserve">688189</x:t>
        </x:is>
      </x:c>
      <x:c r="C4645" s="5" t="inlineStr">
        <x:is>
          <x:t xml:space="preserve">南新制药</x:t>
        </x:is>
      </x:c>
      <x:c r="D4645" s="5" t="inlineStr">
        <x:is>
          <x:t xml:space="preserve">湖南南新制药股份有限公司</x:t>
        </x:is>
      </x:c>
      <x:c r="E4645" s="4" t="inlineStr">
        <x:is>
          <x:t xml:space="preserve">湖南省</x:t>
        </x:is>
      </x:c>
      <x:c r="F4645" s="4" t="inlineStr">
        <x:is>
          <x:t xml:space="preserve">长沙市</x:t>
        </x:is>
      </x:c>
      <x:c r="G4645" s="5" t="inlineStr">
        <x:is>
          <x:t xml:space="preserve">湖南省-长沙市</x:t>
        </x:is>
      </x:c>
      <x:c r="H4645" s="4" t="inlineStr">
        <x:is>
          <x:t xml:space="preserve">医药制造</x:t>
        </x:is>
      </x:c>
      <x:c r="I4645" s="4" t="inlineStr">
        <x:is>
          <x:t xml:space="preserve">2020-03-26</x:t>
        </x:is>
      </x:c>
      <x:c r="J4645" s="5" t="inlineStr">
        <x:is>
          <x:t xml:space="preserve">湖南省长沙市浏阳市经济技术开发区康里路1号</x:t>
        </x:is>
      </x:c>
      <x:c r="K4645" s="12" t="str">
        <x:f>LEFT("91430181796859207Y",18)</x:f>
        <x:v>91430181796859207Y</x:v>
      </x:c>
    </x:row>
    <x:row r="4646">
      <x:c r="A4646" s="2" t="n">
        <x:v>4645</x:v>
      </x:c>
      <x:c r="B4646" s="2" t="inlineStr">
        <x:is>
          <x:t xml:space="preserve">688289</x:t>
        </x:is>
      </x:c>
      <x:c r="C4646" s="3" t="inlineStr">
        <x:is>
          <x:t xml:space="preserve">圣湘生物</x:t>
        </x:is>
      </x:c>
      <x:c r="D4646" s="3" t="inlineStr">
        <x:is>
          <x:t xml:space="preserve">圣湘生物科技股份有限公司</x:t>
        </x:is>
      </x:c>
      <x:c r="E4646" s="2" t="inlineStr">
        <x:is>
          <x:t xml:space="preserve">湖南省</x:t>
        </x:is>
      </x:c>
      <x:c r="F4646" s="2" t="inlineStr">
        <x:is>
          <x:t xml:space="preserve">长沙市</x:t>
        </x:is>
      </x:c>
      <x:c r="G4646" s="3" t="inlineStr">
        <x:is>
          <x:t xml:space="preserve">湖南省-长沙市</x:t>
        </x:is>
      </x:c>
      <x:c r="H4646" s="2" t="inlineStr">
        <x:is>
          <x:t xml:space="preserve">医疗器械</x:t>
        </x:is>
      </x:c>
      <x:c r="I4646" s="2" t="inlineStr">
        <x:is>
          <x:t xml:space="preserve">2020-08-28</x:t>
        </x:is>
      </x:c>
      <x:c r="J4646" s="3" t="inlineStr">
        <x:is>
          <x:t xml:space="preserve">长沙高新技术产业开发区麓松路680号</x:t>
        </x:is>
      </x:c>
      <x:c r="K4646" s="12" t="str">
        <x:f>LEFT("91430100673566826X",18)</x:f>
        <x:v>91430100673566826X</x:v>
      </x:c>
    </x:row>
    <x:row r="4647">
      <x:c r="A4647" s="4" t="n">
        <x:v>4646</x:v>
      </x:c>
      <x:c r="B4647" s="4" t="inlineStr">
        <x:is>
          <x:t xml:space="preserve">688308</x:t>
        </x:is>
      </x:c>
      <x:c r="C4647" s="5" t="inlineStr">
        <x:is>
          <x:t xml:space="preserve">欧科亿</x:t>
        </x:is>
      </x:c>
      <x:c r="D4647" s="5" t="inlineStr">
        <x:is>
          <x:t xml:space="preserve">株洲欧科亿数控精密刀具股份有限公司</x:t>
        </x:is>
      </x:c>
      <x:c r="E4647" s="4" t="inlineStr">
        <x:is>
          <x:t xml:space="preserve">湖南省</x:t>
        </x:is>
      </x:c>
      <x:c r="F4647" s="4" t="inlineStr">
        <x:is>
          <x:t xml:space="preserve">株洲市</x:t>
        </x:is>
      </x:c>
      <x:c r="G4647" s="5" t="inlineStr">
        <x:is>
          <x:t xml:space="preserve">湖南省-株洲市</x:t>
        </x:is>
      </x:c>
      <x:c r="H4647" s="4" t="inlineStr">
        <x:is>
          <x:t xml:space="preserve">通用设备</x:t>
        </x:is>
      </x:c>
      <x:c r="I4647" s="4" t="inlineStr">
        <x:is>
          <x:t xml:space="preserve">2020-12-10</x:t>
        </x:is>
      </x:c>
      <x:c r="J4647" s="5" t="inlineStr">
        <x:is>
          <x:t xml:space="preserve">湖南省株洲市炎陵县中小企业创业园创业路</x:t>
        </x:is>
      </x:c>
      <x:c r="K4647" s="12" t="str">
        <x:f>LEFT("914302001843451689",18)</x:f>
        <x:v>914302001843451600</x:v>
      </x:c>
    </x:row>
    <x:row r="4648">
      <x:c r="A4648" s="2" t="n">
        <x:v>4647</x:v>
      </x:c>
      <x:c r="B4648" s="2" t="inlineStr">
        <x:is>
          <x:t xml:space="preserve">688425</x:t>
        </x:is>
      </x:c>
      <x:c r="C4648" s="3" t="inlineStr">
        <x:is>
          <x:t xml:space="preserve">铁建重工</x:t>
        </x:is>
      </x:c>
      <x:c r="D4648" s="3" t="inlineStr">
        <x:is>
          <x:t xml:space="preserve">中国铁建重工集团股份有限公司</x:t>
        </x:is>
      </x:c>
      <x:c r="E4648" s="2" t="inlineStr">
        <x:is>
          <x:t xml:space="preserve">湖南省</x:t>
        </x:is>
      </x:c>
      <x:c r="F4648" s="2" t="inlineStr">
        <x:is>
          <x:t xml:space="preserve">长沙市</x:t>
        </x:is>
      </x:c>
      <x:c r="G4648" s="3" t="inlineStr">
        <x:is>
          <x:t xml:space="preserve">湖南省-长沙市</x:t>
        </x:is>
      </x:c>
      <x:c r="H4648" s="2" t="inlineStr">
        <x:is>
          <x:t xml:space="preserve">工程机械</x:t>
        </x:is>
      </x:c>
      <x:c r="I4648" s="2" t="inlineStr">
        <x:is>
          <x:t xml:space="preserve">2021-06-22</x:t>
        </x:is>
      </x:c>
      <x:c r="J4648" s="3" t="inlineStr">
        <x:is>
          <x:t xml:space="preserve">长沙经济技术开发区泉塘街道东七路88号</x:t>
        </x:is>
      </x:c>
      <x:c r="K4648" s="12" t="str">
        <x:f>LEFT("91430100794738639Y",18)</x:f>
        <x:v>91430100794738639Y</x:v>
      </x:c>
    </x:row>
    <x:row r="4649">
      <x:c r="A4649" s="4" t="n">
        <x:v>4648</x:v>
      </x:c>
      <x:c r="B4649" s="4" t="inlineStr">
        <x:is>
          <x:t xml:space="preserve">688433</x:t>
        </x:is>
      </x:c>
      <x:c r="C4649" s="5" t="inlineStr">
        <x:is>
          <x:t xml:space="preserve">华曙高科</x:t>
        </x:is>
      </x:c>
      <x:c r="D4649" s="5" t="inlineStr">
        <x:is>
          <x:t xml:space="preserve">湖南华曙高科技股份有限公司</x:t>
        </x:is>
      </x:c>
      <x:c r="E4649" s="4" t="inlineStr">
        <x:is>
          <x:t xml:space="preserve">湖南省</x:t>
        </x:is>
      </x:c>
      <x:c r="F4649" s="4" t="inlineStr">
        <x:is>
          <x:t xml:space="preserve">长沙市</x:t>
        </x:is>
      </x:c>
      <x:c r="G4649" s="5" t="inlineStr">
        <x:is>
          <x:t xml:space="preserve">湖南省-长沙市</x:t>
        </x:is>
      </x:c>
      <x:c r="H4649" s="4" t="inlineStr">
        <x:is>
          <x:t xml:space="preserve">通用设备</x:t>
        </x:is>
      </x:c>
      <x:c r="I4649" s="4" t="inlineStr">
        <x:is>
          <x:t xml:space="preserve">2023-04-17</x:t>
        </x:is>
      </x:c>
      <x:c r="J4649" s="5" t="inlineStr">
        <x:is>
          <x:t xml:space="preserve">长沙高新开发区林语路181号</x:t>
        </x:is>
      </x:c>
      <x:c r="K4649" s="12" t="str">
        <x:f>LEFT("91430100696213142E",18)</x:f>
        <x:v>91430100696213142E</x:v>
      </x:c>
    </x:row>
    <x:row r="4650">
      <x:c r="A4650" s="2" t="n">
        <x:v>4649</x:v>
      </x:c>
      <x:c r="B4650" s="2" t="inlineStr">
        <x:is>
          <x:t xml:space="preserve">688480</x:t>
        </x:is>
      </x:c>
      <x:c r="C4650" s="3" t="inlineStr">
        <x:is>
          <x:t xml:space="preserve">赛恩斯</x:t>
        </x:is>
      </x:c>
      <x:c r="D4650" s="3" t="inlineStr">
        <x:is>
          <x:t xml:space="preserve">赛恩斯环保股份有限公司</x:t>
        </x:is>
      </x:c>
      <x:c r="E4650" s="2" t="inlineStr">
        <x:is>
          <x:t xml:space="preserve">湖南省</x:t>
        </x:is>
      </x:c>
      <x:c r="F4650" s="2" t="inlineStr">
        <x:is>
          <x:t xml:space="preserve">长沙市</x:t>
        </x:is>
      </x:c>
      <x:c r="G4650" s="3" t="inlineStr">
        <x:is>
          <x:t xml:space="preserve">湖南省-长沙市</x:t>
        </x:is>
      </x:c>
      <x:c r="H4650" s="2" t="inlineStr">
        <x:is>
          <x:t xml:space="preserve">环保行业</x:t>
        </x:is>
      </x:c>
      <x:c r="I4650" s="2" t="inlineStr">
        <x:is>
          <x:t xml:space="preserve">2022-11-25</x:t>
        </x:is>
      </x:c>
      <x:c r="J4650" s="3" t="inlineStr">
        <x:is>
          <x:t xml:space="preserve">湖南省长沙市岳麓区学士街道学士路388赛恩斯科技园办公楼</x:t>
        </x:is>
      </x:c>
      <x:c r="K4650" s="12" t="str">
        <x:f>LEFT("914301046918100016",18)</x:f>
        <x:v>914301046918100000</x:v>
      </x:c>
    </x:row>
    <x:row r="4651">
      <x:c r="A4651" s="4" t="n">
        <x:v>4650</x:v>
      </x:c>
      <x:c r="B4651" s="4" t="inlineStr">
        <x:is>
          <x:t xml:space="preserve">688523</x:t>
        </x:is>
      </x:c>
      <x:c r="C4651" s="5" t="inlineStr">
        <x:is>
          <x:t xml:space="preserve">航天环宇</x:t>
        </x:is>
      </x:c>
      <x:c r="D4651" s="5" t="inlineStr">
        <x:is>
          <x:t xml:space="preserve">湖南航天环宇通信科技股份有限公司</x:t>
        </x:is>
      </x:c>
      <x:c r="E4651" s="4" t="inlineStr">
        <x:is>
          <x:t xml:space="preserve">湖南省</x:t>
        </x:is>
      </x:c>
      <x:c r="F4651" s="4" t="inlineStr">
        <x:is>
          <x:t xml:space="preserve">长沙市</x:t>
        </x:is>
      </x:c>
      <x:c r="G4651" s="5" t="inlineStr">
        <x:is>
          <x:t xml:space="preserve">湖南省-长沙市</x:t>
        </x:is>
      </x:c>
      <x:c r="H4651" s="4" t="inlineStr">
        <x:is>
          <x:t xml:space="preserve">航天航空</x:t>
        </x:is>
      </x:c>
      <x:c r="I4651" s="4" t="inlineStr">
        <x:is>
          <x:t xml:space="preserve">2023-06-02</x:t>
        </x:is>
      </x:c>
      <x:c r="J4651" s="5" t="inlineStr">
        <x:is>
          <x:t xml:space="preserve">长沙市岳麓区杏康南路6号</x:t>
        </x:is>
      </x:c>
      <x:c r="K4651" s="12" t="str">
        <x:f>LEFT("9143000071704924X1",18)</x:f>
        <x:v>9143000071704924X1</x:v>
      </x:c>
    </x:row>
    <x:row r="4652">
      <x:c r="A4652" s="2" t="n">
        <x:v>4651</x:v>
      </x:c>
      <x:c r="B4652" s="2" t="inlineStr">
        <x:is>
          <x:t xml:space="preserve">688598</x:t>
        </x:is>
      </x:c>
      <x:c r="C4652" s="3" t="inlineStr">
        <x:is>
          <x:t xml:space="preserve">金博股份</x:t>
        </x:is>
      </x:c>
      <x:c r="D4652" s="3" t="inlineStr">
        <x:is>
          <x:t xml:space="preserve">湖南金博碳素股份有限公司</x:t>
        </x:is>
      </x:c>
      <x:c r="E4652" s="2" t="inlineStr">
        <x:is>
          <x:t xml:space="preserve">湖南省</x:t>
        </x:is>
      </x:c>
      <x:c r="F4652" s="2" t="inlineStr">
        <x:is>
          <x:t xml:space="preserve">益阳市</x:t>
        </x:is>
      </x:c>
      <x:c r="G4652" s="3" t="inlineStr">
        <x:is>
          <x:t xml:space="preserve">湖南省-益阳市</x:t>
        </x:is>
      </x:c>
      <x:c r="H4652" s="2" t="inlineStr">
        <x:is>
          <x:t xml:space="preserve">光伏设备</x:t>
        </x:is>
      </x:c>
      <x:c r="I4652" s="2" t="inlineStr">
        <x:is>
          <x:t xml:space="preserve">2020-05-18</x:t>
        </x:is>
      </x:c>
      <x:c r="J4652" s="3" t="inlineStr">
        <x:is>
          <x:t xml:space="preserve">湖南省益阳市鱼形山路588号</x:t>
        </x:is>
      </x:c>
      <x:c r="K4652" s="12" t="str">
        <x:f>LEFT("91430900774485857L",18)</x:f>
        <x:v>91430900774485857L</x:v>
      </x:c>
    </x:row>
    <x:row r="4653">
      <x:c r="A4653" s="4" t="n">
        <x:v>4652</x:v>
      </x:c>
      <x:c r="B4653" s="4" t="inlineStr">
        <x:is>
          <x:t xml:space="preserve">688750</x:t>
        </x:is>
      </x:c>
      <x:c r="C4653" s="5" t="inlineStr">
        <x:is>
          <x:t xml:space="preserve">金天钛业</x:t>
        </x:is>
      </x:c>
      <x:c r="D4653" s="5" t="inlineStr">
        <x:is>
          <x:t xml:space="preserve">湖南湘投金天钛业科技股份有限公司</x:t>
        </x:is>
      </x:c>
      <x:c r="E4653" s="4" t="inlineStr">
        <x:is>
          <x:t xml:space="preserve">湖南省</x:t>
        </x:is>
      </x:c>
      <x:c r="F4653" s="4" t="inlineStr">
        <x:is>
          <x:t xml:space="preserve">常德市</x:t>
        </x:is>
      </x:c>
      <x:c r="G4653" s="5" t="inlineStr">
        <x:is>
          <x:t xml:space="preserve">湖南省-常德市</x:t>
        </x:is>
      </x:c>
      <x:c r="H4653" s="4" t="inlineStr">
        <x:is>
          <x:t xml:space="preserve">--</x:t>
        </x:is>
      </x:c>
      <x:c r="I4653" s="4" t="inlineStr">
        <x:is>
          <x:t xml:space="preserve">2024-11-20</x:t>
        </x:is>
      </x:c>
      <x:c r="J4653" s="5" t="inlineStr">
        <x:is>
          <x:t xml:space="preserve">湖南省常德经济技术开发区德山街道青山社区乾明路97号</x:t>
        </x:is>
      </x:c>
      <x:c r="K4653" s="12" t="str">
        <x:f>LEFT("91430700760717135F",18)</x:f>
        <x:v>91430700760717135F</x:v>
      </x:c>
    </x:row>
    <x:row r="4654">
      <x:c r="A4654" s="2" t="n">
        <x:v>4653</x:v>
      </x:c>
      <x:c r="B4654" s="2" t="inlineStr">
        <x:is>
          <x:t xml:space="preserve">688779</x:t>
        </x:is>
      </x:c>
      <x:c r="C4654" s="3" t="inlineStr">
        <x:is>
          <x:t xml:space="preserve">五矿新能</x:t>
        </x:is>
      </x:c>
      <x:c r="D4654" s="3" t="inlineStr">
        <x:is>
          <x:t xml:space="preserve">五矿新能源材料(湖南)股份有限公司</x:t>
        </x:is>
      </x:c>
      <x:c r="E4654" s="2" t="inlineStr">
        <x:is>
          <x:t xml:space="preserve">湖南省</x:t>
        </x:is>
      </x:c>
      <x:c r="F4654" s="2" t="inlineStr">
        <x:is>
          <x:t xml:space="preserve">长沙市</x:t>
        </x:is>
      </x:c>
      <x:c r="G4654" s="3" t="inlineStr">
        <x:is>
          <x:t xml:space="preserve">湖南省-长沙市</x:t>
        </x:is>
      </x:c>
      <x:c r="H4654" s="2" t="inlineStr">
        <x:is>
          <x:t xml:space="preserve">电池</x:t>
        </x:is>
      </x:c>
      <x:c r="I4654" s="2" t="inlineStr">
        <x:is>
          <x:t xml:space="preserve">2021-08-11</x:t>
        </x:is>
      </x:c>
      <x:c r="J4654" s="3" t="inlineStr">
        <x:is>
          <x:t xml:space="preserve">湖南省长沙市岳麓区沿高路61号</x:t>
        </x:is>
      </x:c>
      <x:c r="K4654" s="12" t="str">
        <x:f>LEFT("91430000738978531U",18)</x:f>
        <x:v>91430000738978531U</x:v>
      </x:c>
    </x:row>
    <x:row r="4655">
      <x:c r="A4655" s="4" t="n">
        <x:v>4654</x:v>
      </x:c>
      <x:c r="B4655" s="4" t="inlineStr">
        <x:is>
          <x:t xml:space="preserve">688799</x:t>
        </x:is>
      </x:c>
      <x:c r="C4655" s="5" t="inlineStr">
        <x:is>
          <x:t xml:space="preserve">华纳药厂</x:t>
        </x:is>
      </x:c>
      <x:c r="D4655" s="5" t="inlineStr">
        <x:is>
          <x:t xml:space="preserve">湖南华纳大药厂股份有限公司</x:t>
        </x:is>
      </x:c>
      <x:c r="E4655" s="4" t="inlineStr">
        <x:is>
          <x:t xml:space="preserve">湖南省</x:t>
        </x:is>
      </x:c>
      <x:c r="F4655" s="4" t="inlineStr">
        <x:is>
          <x:t xml:space="preserve">长沙市</x:t>
        </x:is>
      </x:c>
      <x:c r="G4655" s="5" t="inlineStr">
        <x:is>
          <x:t xml:space="preserve">湖南省-长沙市</x:t>
        </x:is>
      </x:c>
      <x:c r="H4655" s="4" t="inlineStr">
        <x:is>
          <x:t xml:space="preserve">医药制造</x:t>
        </x:is>
      </x:c>
      <x:c r="I4655" s="4" t="inlineStr">
        <x:is>
          <x:t xml:space="preserve">2021-07-13</x:t>
        </x:is>
      </x:c>
      <x:c r="J4655" s="5" t="inlineStr">
        <x:is>
          <x:t xml:space="preserve">湖南浏阳生物医药园区</x:t>
        </x:is>
      </x:c>
      <x:c r="K4655" s="12" t="str">
        <x:f>LEFT("914301007279773228",18)</x:f>
        <x:v>914301007279773200</x:v>
      </x:c>
    </x:row>
    <x:row r="4656">
      <x:c r="A4656" s="2" t="n">
        <x:v>4655</x:v>
      </x:c>
      <x:c r="B4656" s="2" t="inlineStr">
        <x:is>
          <x:t xml:space="preserve">000552</x:t>
        </x:is>
      </x:c>
      <x:c r="C4656" s="3" t="inlineStr">
        <x:is>
          <x:t xml:space="preserve">甘肃能化</x:t>
        </x:is>
      </x:c>
      <x:c r="D4656" s="3" t="inlineStr">
        <x:is>
          <x:t xml:space="preserve">甘肃能化股份有限公司</x:t>
        </x:is>
      </x:c>
      <x:c r="E4656" s="2" t="inlineStr">
        <x:is>
          <x:t xml:space="preserve">甘肃省</x:t>
        </x:is>
      </x:c>
      <x:c r="F4656" s="2" t="inlineStr">
        <x:is>
          <x:t xml:space="preserve">白银市</x:t>
        </x:is>
      </x:c>
      <x:c r="G4656" s="3" t="inlineStr">
        <x:is>
          <x:t xml:space="preserve">甘肃省-白银市</x:t>
        </x:is>
      </x:c>
      <x:c r="H4656" s="2" t="inlineStr">
        <x:is>
          <x:t xml:space="preserve">煤炭采选</x:t>
        </x:is>
      </x:c>
      <x:c r="I4656" s="2" t="inlineStr">
        <x:is>
          <x:t xml:space="preserve">1994-01-06</x:t>
        </x:is>
      </x:c>
      <x:c r="J4656" s="3" t="inlineStr">
        <x:is>
          <x:t xml:space="preserve">甘肃省白银市平川区大桥路1号</x:t>
        </x:is>
      </x:c>
      <x:c r="K4656" s="12" t="str">
        <x:f>LEFT("91620000224344785T",18)</x:f>
        <x:v>91620000224344785T</x:v>
      </x:c>
    </x:row>
    <x:row r="4657">
      <x:c r="A4657" s="4" t="n">
        <x:v>4656</x:v>
      </x:c>
      <x:c r="B4657" s="4" t="inlineStr">
        <x:is>
          <x:t xml:space="preserve">000672</x:t>
        </x:is>
      </x:c>
      <x:c r="C4657" s="5" t="inlineStr">
        <x:is>
          <x:t xml:space="preserve">上峰水泥</x:t>
        </x:is>
      </x:c>
      <x:c r="D4657" s="5" t="inlineStr">
        <x:is>
          <x:t xml:space="preserve">甘肃上峰水泥股份有限公司</x:t>
        </x:is>
      </x:c>
      <x:c r="E4657" s="4" t="inlineStr">
        <x:is>
          <x:t xml:space="preserve">甘肃省</x:t>
        </x:is>
      </x:c>
      <x:c r="F4657" s="4" t="inlineStr">
        <x:is>
          <x:t xml:space="preserve">白银市</x:t>
        </x:is>
      </x:c>
      <x:c r="G4657" s="5" t="inlineStr">
        <x:is>
          <x:t xml:space="preserve">甘肃省-白银市</x:t>
        </x:is>
      </x:c>
      <x:c r="H4657" s="4" t="inlineStr">
        <x:is>
          <x:t xml:space="preserve">水泥建材</x:t>
        </x:is>
      </x:c>
      <x:c r="I4657" s="4" t="inlineStr">
        <x:is>
          <x:t xml:space="preserve">1996-12-18</x:t>
        </x:is>
      </x:c>
      <x:c r="J4657" s="5" t="inlineStr">
        <x:is>
          <x:t xml:space="preserve">白银市白银区五一街2号</x:t>
        </x:is>
      </x:c>
      <x:c r="K4657" s="12" t="str">
        <x:f>LEFT("916200002243443476",18)</x:f>
        <x:v>916200002243443500</x:v>
      </x:c>
    </x:row>
    <x:row r="4658">
      <x:c r="A4658" s="2" t="n">
        <x:v>4657</x:v>
      </x:c>
      <x:c r="B4658" s="2" t="inlineStr">
        <x:is>
          <x:t xml:space="preserve">000691</x:t>
        </x:is>
      </x:c>
      <x:c r="C4658" s="3" t="inlineStr">
        <x:is>
          <x:t xml:space="preserve">*ST亚太</x:t>
        </x:is>
      </x:c>
      <x:c r="D4658" s="3" t="inlineStr">
        <x:is>
          <x:t xml:space="preserve">甘肃亚太实业发展股份有限公司</x:t>
        </x:is>
      </x:c>
      <x:c r="E4658" s="2" t="inlineStr">
        <x:is>
          <x:t xml:space="preserve">甘肃省</x:t>
        </x:is>
      </x:c>
      <x:c r="F4658" s="2" t="inlineStr">
        <x:is>
          <x:t xml:space="preserve">兰州市</x:t>
        </x:is>
      </x:c>
      <x:c r="G4658" s="3" t="inlineStr">
        <x:is>
          <x:t xml:space="preserve">甘肃省-兰州市</x:t>
        </x:is>
      </x:c>
      <x:c r="H4658" s="2" t="inlineStr">
        <x:is>
          <x:t xml:space="preserve">化工行业</x:t>
        </x:is>
      </x:c>
      <x:c r="I4658" s="2" t="inlineStr">
        <x:is>
          <x:t xml:space="preserve">1997-02-28</x:t>
        </x:is>
      </x:c>
      <x:c r="J4658" s="3" t="inlineStr">
        <x:is>
          <x:t xml:space="preserve">甘肃省兰州市兰州新区亚太工业科技总部基地A1号楼</x:t>
        </x:is>
      </x:c>
      <x:c r="K4658" s="12" t="str">
        <x:f>LEFT("91460000201263595J",18)</x:f>
        <x:v>91460000201263595J</x:v>
      </x:c>
    </x:row>
    <x:row r="4659">
      <x:c r="A4659" s="4" t="n">
        <x:v>4658</x:v>
      </x:c>
      <x:c r="B4659" s="4" t="inlineStr">
        <x:is>
          <x:t xml:space="preserve">000779</x:t>
        </x:is>
      </x:c>
      <x:c r="C4659" s="5" t="inlineStr">
        <x:is>
          <x:t xml:space="preserve">甘咨询</x:t>
        </x:is>
      </x:c>
      <x:c r="D4659" s="5" t="inlineStr">
        <x:is>
          <x:t xml:space="preserve">甘肃工程咨询集团股份有限公司</x:t>
        </x:is>
      </x:c>
      <x:c r="E4659" s="4" t="inlineStr">
        <x:is>
          <x:t xml:space="preserve">甘肃省</x:t>
        </x:is>
      </x:c>
      <x:c r="F4659" s="4" t="inlineStr">
        <x:is>
          <x:t xml:space="preserve">兰州市</x:t>
        </x:is>
      </x:c>
      <x:c r="G4659" s="5" t="inlineStr">
        <x:is>
          <x:t xml:space="preserve">甘肃省-兰州市</x:t>
        </x:is>
      </x:c>
      <x:c r="H4659" s="4" t="inlineStr">
        <x:is>
          <x:t xml:space="preserve">工程咨询服务</x:t>
        </x:is>
      </x:c>
      <x:c r="I4659" s="4" t="inlineStr">
        <x:is>
          <x:t xml:space="preserve">1997-05-28</x:t>
        </x:is>
      </x:c>
      <x:c r="J4659" s="5" t="inlineStr">
        <x:is>
          <x:t xml:space="preserve">甘肃省兰州市城关区东岗西路街道平凉路284号2楼203室</x:t>
        </x:is>
      </x:c>
      <x:c r="K4659" s="12" t="str">
        <x:f>LEFT("91620000224371505Q",18)</x:f>
        <x:v>91620000224371505Q</x:v>
      </x:c>
    </x:row>
    <x:row r="4660">
      <x:c r="A4660" s="2" t="n">
        <x:v>4659</x:v>
      </x:c>
      <x:c r="B4660" s="2" t="inlineStr">
        <x:is>
          <x:t xml:space="preserve">000791</x:t>
        </x:is>
      </x:c>
      <x:c r="C4660" s="3" t="inlineStr">
        <x:is>
          <x:t xml:space="preserve">甘肃能源</x:t>
        </x:is>
      </x:c>
      <x:c r="D4660" s="3" t="inlineStr">
        <x:is>
          <x:t xml:space="preserve">甘肃电投能源发展股份有限公司</x:t>
        </x:is>
      </x:c>
      <x:c r="E4660" s="2" t="inlineStr">
        <x:is>
          <x:t xml:space="preserve">甘肃省</x:t>
        </x:is>
      </x:c>
      <x:c r="F4660" s="2" t="inlineStr">
        <x:is>
          <x:t xml:space="preserve">兰州市</x:t>
        </x:is>
      </x:c>
      <x:c r="G4660" s="3" t="inlineStr">
        <x:is>
          <x:t xml:space="preserve">甘肃省-兰州市</x:t>
        </x:is>
      </x:c>
      <x:c r="H4660" s="2" t="inlineStr">
        <x:is>
          <x:t xml:space="preserve">电力行业</x:t>
        </x:is>
      </x:c>
      <x:c r="I4660" s="2" t="inlineStr">
        <x:is>
          <x:t xml:space="preserve">1997-10-14</x:t>
        </x:is>
      </x:c>
      <x:c r="J4660" s="3" t="inlineStr">
        <x:is>
          <x:t xml:space="preserve">中国甘肃省兰州市城关区北滨河东路69号甘肃投资集团大厦</x:t>
        </x:is>
      </x:c>
      <x:c r="K4660" s="12" t="str">
        <x:f>LEFT("916200002243725832",18)</x:f>
        <x:v>916200002243725800</x:v>
      </x:c>
    </x:row>
    <x:row r="4661">
      <x:c r="A4661" s="4" t="n">
        <x:v>4660</x:v>
      </x:c>
      <x:c r="B4661" s="4" t="inlineStr">
        <x:is>
          <x:t xml:space="preserve">000929</x:t>
        </x:is>
      </x:c>
      <x:c r="C4661" s="5" t="inlineStr">
        <x:is>
          <x:t xml:space="preserve">兰州黄河</x:t>
        </x:is>
      </x:c>
      <x:c r="D4661" s="5" t="inlineStr">
        <x:is>
          <x:t xml:space="preserve">兰州黄河企业股份有限公司</x:t>
        </x:is>
      </x:c>
      <x:c r="E4661" s="4" t="inlineStr">
        <x:is>
          <x:t xml:space="preserve">甘肃省</x:t>
        </x:is>
      </x:c>
      <x:c r="F4661" s="4" t="inlineStr">
        <x:is>
          <x:t xml:space="preserve">兰州市</x:t>
        </x:is>
      </x:c>
      <x:c r="G4661" s="5" t="inlineStr">
        <x:is>
          <x:t xml:space="preserve">甘肃省-兰州市</x:t>
        </x:is>
      </x:c>
      <x:c r="H4661" s="4" t="inlineStr">
        <x:is>
          <x:t xml:space="preserve">酿酒行业</x:t>
        </x:is>
      </x:c>
      <x:c r="I4661" s="4" t="inlineStr">
        <x:is>
          <x:t xml:space="preserve">1999-06-23</x:t>
        </x:is>
      </x:c>
      <x:c r="J4661" s="5" t="inlineStr">
        <x:is>
          <x:t xml:space="preserve">甘肃省兰州市七里河区郑家庄108号</x:t>
        </x:is>
      </x:c>
      <x:c r="K4661" s="12" t="str">
        <x:f>LEFT("916200002243453154",18)</x:f>
        <x:v>916200002243453200</x:v>
      </x:c>
    </x:row>
    <x:row r="4662">
      <x:c r="A4662" s="2" t="n">
        <x:v>4661</x:v>
      </x:c>
      <x:c r="B4662" s="2" t="inlineStr">
        <x:is>
          <x:t xml:space="preserve">000981</x:t>
        </x:is>
      </x:c>
      <x:c r="C4662" s="3" t="inlineStr">
        <x:is>
          <x:t xml:space="preserve">山子高科</x:t>
        </x:is>
      </x:c>
      <x:c r="D4662" s="3" t="inlineStr">
        <x:is>
          <x:t xml:space="preserve">山子高科技股份有限公司</x:t>
        </x:is>
      </x:c>
      <x:c r="E4662" s="2" t="inlineStr">
        <x:is>
          <x:t xml:space="preserve">甘肃省</x:t>
        </x:is>
      </x:c>
      <x:c r="F4662" s="2" t="inlineStr">
        <x:is>
          <x:t xml:space="preserve">兰州市</x:t>
        </x:is>
      </x:c>
      <x:c r="G4662" s="3" t="inlineStr">
        <x:is>
          <x:t xml:space="preserve">甘肃省-兰州市</x:t>
        </x:is>
      </x:c>
      <x:c r="H4662" s="2" t="inlineStr">
        <x:is>
          <x:t xml:space="preserve">汽车行业</x:t>
        </x:is>
      </x:c>
      <x:c r="I4662" s="2" t="inlineStr">
        <x:is>
          <x:t xml:space="preserve">2000-06-22</x:t>
        </x:is>
      </x:c>
      <x:c r="J4662" s="3" t="inlineStr">
        <x:is>
          <x:t xml:space="preserve">中国甘肃省兰州市高新技术产业开发区张苏滩573号8楼</x:t>
        </x:is>
      </x:c>
      <x:c r="K4662" s="12" t="str">
        <x:f>LEFT("91620000710207508J",18)</x:f>
        <x:v>91620000710207508J</x:v>
      </x:c>
    </x:row>
    <x:row r="4663">
      <x:c r="A4663" s="4" t="n">
        <x:v>4662</x:v>
      </x:c>
      <x:c r="B4663" s="4" t="inlineStr">
        <x:is>
          <x:t xml:space="preserve">000995</x:t>
        </x:is>
      </x:c>
      <x:c r="C4663" s="5" t="inlineStr">
        <x:is>
          <x:t xml:space="preserve">皇台酒业</x:t>
        </x:is>
      </x:c>
      <x:c r="D4663" s="5" t="inlineStr">
        <x:is>
          <x:t xml:space="preserve">甘肃皇台酒业股份有限公司</x:t>
        </x:is>
      </x:c>
      <x:c r="E4663" s="4" t="inlineStr">
        <x:is>
          <x:t xml:space="preserve">甘肃省</x:t>
        </x:is>
      </x:c>
      <x:c r="F4663" s="4" t="inlineStr">
        <x:is>
          <x:t xml:space="preserve">武威市</x:t>
        </x:is>
      </x:c>
      <x:c r="G4663" s="5" t="inlineStr">
        <x:is>
          <x:t xml:space="preserve">甘肃省-武威市</x:t>
        </x:is>
      </x:c>
      <x:c r="H4663" s="4" t="inlineStr">
        <x:is>
          <x:t xml:space="preserve">酿酒行业</x:t>
        </x:is>
      </x:c>
      <x:c r="I4663" s="4" t="inlineStr">
        <x:is>
          <x:t xml:space="preserve">2000-08-07</x:t>
        </x:is>
      </x:c>
      <x:c r="J4663" s="5" t="inlineStr">
        <x:is>
          <x:t xml:space="preserve">甘肃省武威市凉州区西关街新建路55号</x:t>
        </x:is>
      </x:c>
      <x:c r="K4663" s="12" t="str">
        <x:f>LEFT("91620000710265652T",18)</x:f>
        <x:v>91620000710265652T</x:v>
      </x:c>
    </x:row>
    <x:row r="4664">
      <x:c r="A4664" s="2" t="n">
        <x:v>4663</x:v>
      </x:c>
      <x:c r="B4664" s="2" t="inlineStr">
        <x:is>
          <x:t xml:space="preserve">001227</x:t>
        </x:is>
      </x:c>
      <x:c r="C4664" s="3" t="inlineStr">
        <x:is>
          <x:t xml:space="preserve">兰州银行</x:t>
        </x:is>
      </x:c>
      <x:c r="D4664" s="3" t="inlineStr">
        <x:is>
          <x:t xml:space="preserve">兰州银行股份有限公司</x:t>
        </x:is>
      </x:c>
      <x:c r="E4664" s="2" t="inlineStr">
        <x:is>
          <x:t xml:space="preserve">甘肃省</x:t>
        </x:is>
      </x:c>
      <x:c r="F4664" s="2" t="inlineStr">
        <x:is>
          <x:t xml:space="preserve">兰州市</x:t>
        </x:is>
      </x:c>
      <x:c r="G4664" s="3" t="inlineStr">
        <x:is>
          <x:t xml:space="preserve">甘肃省-兰州市</x:t>
        </x:is>
      </x:c>
      <x:c r="H4664" s="2" t="inlineStr">
        <x:is>
          <x:t xml:space="preserve">银行</x:t>
        </x:is>
      </x:c>
      <x:c r="I4664" s="2" t="inlineStr">
        <x:is>
          <x:t xml:space="preserve">2022-01-17</x:t>
        </x:is>
      </x:c>
      <x:c r="J4664" s="3" t="inlineStr">
        <x:is>
          <x:t xml:space="preserve">甘肃省兰州市城关区酒泉路211号</x:t>
        </x:is>
      </x:c>
      <x:c r="K4664" s="12" t="str">
        <x:f>LEFT("91620000224422085P",18)</x:f>
        <x:v>91620000224422085P</x:v>
      </x:c>
    </x:row>
    <x:row r="4665">
      <x:c r="A4665" s="4" t="n">
        <x:v>4664</x:v>
      </x:c>
      <x:c r="B4665" s="4" t="inlineStr">
        <x:is>
          <x:t xml:space="preserve">002145</x:t>
        </x:is>
      </x:c>
      <x:c r="C4665" s="5" t="inlineStr">
        <x:is>
          <x:t xml:space="preserve">钛能化学</x:t>
        </x:is>
      </x:c>
      <x:c r="D4665" s="5" t="inlineStr">
        <x:is>
          <x:t xml:space="preserve">钛能化学股份有限公司</x:t>
        </x:is>
      </x:c>
      <x:c r="E4665" s="4" t="inlineStr">
        <x:is>
          <x:t xml:space="preserve">甘肃省</x:t>
        </x:is>
      </x:c>
      <x:c r="F4665" s="4" t="inlineStr">
        <x:is>
          <x:t xml:space="preserve">白银市</x:t>
        </x:is>
      </x:c>
      <x:c r="G4665" s="5" t="inlineStr">
        <x:is>
          <x:t xml:space="preserve">甘肃省-白银市</x:t>
        </x:is>
      </x:c>
      <x:c r="H4665" s="4" t="inlineStr">
        <x:is>
          <x:t xml:space="preserve">化学原料</x:t>
        </x:is>
      </x:c>
      <x:c r="I4665" s="4" t="inlineStr">
        <x:is>
          <x:t xml:space="preserve">2007-08-03</x:t>
        </x:is>
      </x:c>
      <x:c r="J4665" s="5" t="inlineStr">
        <x:is>
          <x:t xml:space="preserve">甘肃省白银市白银区南环路504号</x:t>
        </x:is>
      </x:c>
      <x:c r="K4665" s="12" t="str">
        <x:f>LEFT("916202007190638385",18)</x:f>
        <x:v>916202007190638300</x:v>
      </x:c>
    </x:row>
    <x:row r="4666">
      <x:c r="A4666" s="2" t="n">
        <x:v>4665</x:v>
      </x:c>
      <x:c r="B4666" s="2" t="inlineStr">
        <x:is>
          <x:t xml:space="preserve">002185</x:t>
        </x:is>
      </x:c>
      <x:c r="C4666" s="3" t="inlineStr">
        <x:is>
          <x:t xml:space="preserve">华天科技</x:t>
        </x:is>
      </x:c>
      <x:c r="D4666" s="3" t="inlineStr">
        <x:is>
          <x:t xml:space="preserve">天水华天科技股份有限公司</x:t>
        </x:is>
      </x:c>
      <x:c r="E4666" s="2" t="inlineStr">
        <x:is>
          <x:t xml:space="preserve">甘肃省</x:t>
        </x:is>
      </x:c>
      <x:c r="F4666" s="2" t="inlineStr">
        <x:is>
          <x:t xml:space="preserve">天水市</x:t>
        </x:is>
      </x:c>
      <x:c r="G4666" s="3" t="inlineStr">
        <x:is>
          <x:t xml:space="preserve">甘肃省-天水市</x:t>
        </x:is>
      </x:c>
      <x:c r="H4666" s="2" t="inlineStr">
        <x:is>
          <x:t xml:space="preserve">半导体</x:t>
        </x:is>
      </x:c>
      <x:c r="I4666" s="2" t="inlineStr">
        <x:is>
          <x:t xml:space="preserve">2007-11-20</x:t>
        </x:is>
      </x:c>
      <x:c r="J4666" s="3" t="inlineStr">
        <x:is>
          <x:t xml:space="preserve">甘肃省天水市秦州区双桥路14号</x:t>
        </x:is>
      </x:c>
      <x:c r="K4666" s="12" t="str">
        <x:f>LEFT("91620500756558610D",18)</x:f>
        <x:v>91620500756558610D</x:v>
      </x:c>
    </x:row>
    <x:row r="4667">
      <x:c r="A4667" s="4" t="n">
        <x:v>4666</x:v>
      </x:c>
      <x:c r="B4667" s="4" t="inlineStr">
        <x:is>
          <x:t xml:space="preserve">002219</x:t>
        </x:is>
      </x:c>
      <x:c r="C4667" s="5" t="inlineStr">
        <x:is>
          <x:t xml:space="preserve">新里程</x:t>
        </x:is>
      </x:c>
      <x:c r="D4667" s="5" t="inlineStr">
        <x:is>
          <x:t xml:space="preserve">新里程健康科技集团股份有限公司</x:t>
        </x:is>
      </x:c>
      <x:c r="E4667" s="4" t="inlineStr">
        <x:is>
          <x:t xml:space="preserve">甘肃省</x:t>
        </x:is>
      </x:c>
      <x:c r="F4667" s="4" t="inlineStr">
        <x:is>
          <x:t xml:space="preserve">陇南市</x:t>
        </x:is>
      </x:c>
      <x:c r="G4667" s="5" t="inlineStr">
        <x:is>
          <x:t xml:space="preserve">甘肃省-陇南市</x:t>
        </x:is>
      </x:c>
      <x:c r="H4667" s="4" t="inlineStr">
        <x:is>
          <x:t xml:space="preserve">医疗服务</x:t>
        </x:is>
      </x:c>
      <x:c r="I4667" s="4" t="inlineStr">
        <x:is>
          <x:t xml:space="preserve">2008-03-06</x:t>
        </x:is>
      </x:c>
      <x:c r="J4667" s="5" t="inlineStr">
        <x:is>
          <x:t xml:space="preserve">甘肃省陇南市康县王坝独一味工业园区</x:t>
        </x:is>
      </x:c>
      <x:c r="K4667" s="12" t="str">
        <x:f>LEFT("91621200720251588Y",18)</x:f>
        <x:v>91621200720251588Y</x:v>
      </x:c>
    </x:row>
    <x:row r="4668">
      <x:c r="A4668" s="2" t="n">
        <x:v>4667</x:v>
      </x:c>
      <x:c r="B4668" s="2" t="inlineStr">
        <x:is>
          <x:t xml:space="preserve">002644</x:t>
        </x:is>
      </x:c>
      <x:c r="C4668" s="3" t="inlineStr">
        <x:is>
          <x:t xml:space="preserve">佛慈制药</x:t>
        </x:is>
      </x:c>
      <x:c r="D4668" s="3" t="inlineStr">
        <x:is>
          <x:t xml:space="preserve">兰州佛慈制药股份有限公司</x:t>
        </x:is>
      </x:c>
      <x:c r="E4668" s="2" t="inlineStr">
        <x:is>
          <x:t xml:space="preserve">甘肃省</x:t>
        </x:is>
      </x:c>
      <x:c r="F4668" s="2" t="inlineStr">
        <x:is>
          <x:t xml:space="preserve">兰州市</x:t>
        </x:is>
      </x:c>
      <x:c r="G4668" s="3" t="inlineStr">
        <x:is>
          <x:t xml:space="preserve">甘肃省-兰州市</x:t>
        </x:is>
      </x:c>
      <x:c r="H4668" s="2" t="inlineStr">
        <x:is>
          <x:t xml:space="preserve">中药</x:t>
        </x:is>
      </x:c>
      <x:c r="I4668" s="2" t="inlineStr">
        <x:is>
          <x:t xml:space="preserve">2011-12-22</x:t>
        </x:is>
      </x:c>
      <x:c r="J4668" s="3" t="inlineStr">
        <x:is>
          <x:t xml:space="preserve">甘肃省兰州市兰州新区华山路2289号</x:t>
        </x:is>
      </x:c>
      <x:c r="K4668" s="12" t="str">
        <x:f>LEFT("91620000712762468N",18)</x:f>
        <x:v>91620000712762468N</x:v>
      </x:c>
    </x:row>
    <x:row r="4669">
      <x:c r="A4669" s="4" t="n">
        <x:v>4668</x:v>
      </x:c>
      <x:c r="B4669" s="4" t="inlineStr">
        <x:is>
          <x:t xml:space="preserve">002772</x:t>
        </x:is>
      </x:c>
      <x:c r="C4669" s="5" t="inlineStr">
        <x:is>
          <x:t xml:space="preserve">众兴菌业</x:t>
        </x:is>
      </x:c>
      <x:c r="D4669" s="5" t="inlineStr">
        <x:is>
          <x:t xml:space="preserve">天水众兴菌业科技股份有限公司</x:t>
        </x:is>
      </x:c>
      <x:c r="E4669" s="4" t="inlineStr">
        <x:is>
          <x:t xml:space="preserve">甘肃省</x:t>
        </x:is>
      </x:c>
      <x:c r="F4669" s="4" t="inlineStr">
        <x:is>
          <x:t xml:space="preserve">天水市</x:t>
        </x:is>
      </x:c>
      <x:c r="G4669" s="5" t="inlineStr">
        <x:is>
          <x:t xml:space="preserve">甘肃省-天水市</x:t>
        </x:is>
      </x:c>
      <x:c r="H4669" s="4" t="inlineStr">
        <x:is>
          <x:t xml:space="preserve">农牧饲渔</x:t>
        </x:is>
      </x:c>
      <x:c r="I4669" s="4" t="inlineStr">
        <x:is>
          <x:t xml:space="preserve">2015-06-26</x:t>
        </x:is>
      </x:c>
      <x:c r="J4669" s="5" t="inlineStr">
        <x:is>
          <x:t xml:space="preserve">甘肃省天水市麦积区国家农业科技园区</x:t>
        </x:is>
      </x:c>
      <x:c r="K4669" s="12" t="str">
        <x:f>LEFT("916205007788855832",18)</x:f>
        <x:v>916205007788855800</x:v>
      </x:c>
    </x:row>
    <x:row r="4670">
      <x:c r="A4670" s="2" t="n">
        <x:v>4669</x:v>
      </x:c>
      <x:c r="B4670" s="2" t="inlineStr">
        <x:is>
          <x:t xml:space="preserve">002910</x:t>
        </x:is>
      </x:c>
      <x:c r="C4670" s="3" t="inlineStr">
        <x:is>
          <x:t xml:space="preserve">庄园牧场</x:t>
        </x:is>
      </x:c>
      <x:c r="D4670" s="3" t="inlineStr">
        <x:is>
          <x:t xml:space="preserve">兰州庄园牧场股份有限公司</x:t>
        </x:is>
      </x:c>
      <x:c r="E4670" s="2" t="inlineStr">
        <x:is>
          <x:t xml:space="preserve">甘肃省</x:t>
        </x:is>
      </x:c>
      <x:c r="F4670" s="2" t="inlineStr">
        <x:is>
          <x:t xml:space="preserve">兰州市</x:t>
        </x:is>
      </x:c>
      <x:c r="G4670" s="3" t="inlineStr">
        <x:is>
          <x:t xml:space="preserve">甘肃省-兰州市</x:t>
        </x:is>
      </x:c>
      <x:c r="H4670" s="2" t="inlineStr">
        <x:is>
          <x:t xml:space="preserve">食品饮料</x:t>
        </x:is>
      </x:c>
      <x:c r="I4670" s="2" t="inlineStr">
        <x:is>
          <x:t xml:space="preserve">2017-10-31</x:t>
        </x:is>
      </x:c>
      <x:c r="J4670" s="3" t="inlineStr">
        <x:is>
          <x:t xml:space="preserve">甘肃省兰州市榆中县城关镇三角城村三角城社398号</x:t>
        </x:is>
      </x:c>
      <x:c r="K4670" s="12" t="str">
        <x:f>LEFT("916201007127751385",18)</x:f>
        <x:v>916201007127751400</x:v>
      </x:c>
    </x:row>
    <x:row r="4671">
      <x:c r="A4671" s="4" t="n">
        <x:v>4670</x:v>
      </x:c>
      <x:c r="B4671" s="4" t="inlineStr">
        <x:is>
          <x:t xml:space="preserve">300021</x:t>
        </x:is>
      </x:c>
      <x:c r="C4671" s="5" t="inlineStr">
        <x:is>
          <x:t xml:space="preserve">大禹节水</x:t>
        </x:is>
      </x:c>
      <x:c r="D4671" s="5" t="inlineStr">
        <x:is>
          <x:t xml:space="preserve">大禹节水集团股份有限公司</x:t>
        </x:is>
      </x:c>
      <x:c r="E4671" s="4" t="inlineStr">
        <x:is>
          <x:t xml:space="preserve">甘肃省</x:t>
        </x:is>
      </x:c>
      <x:c r="F4671" s="4" t="inlineStr">
        <x:is>
          <x:t xml:space="preserve">酒泉市</x:t>
        </x:is>
      </x:c>
      <x:c r="G4671" s="5" t="inlineStr">
        <x:is>
          <x:t xml:space="preserve">甘肃省-酒泉市</x:t>
        </x:is>
      </x:c>
      <x:c r="H4671" s="4" t="inlineStr">
        <x:is>
          <x:t xml:space="preserve">农牧饲渔</x:t>
        </x:is>
      </x:c>
      <x:c r="I4671" s="4" t="inlineStr">
        <x:is>
          <x:t xml:space="preserve">2009-10-30</x:t>
        </x:is>
      </x:c>
      <x:c r="J4671" s="5" t="inlineStr">
        <x:is>
          <x:t xml:space="preserve">甘肃省酒泉市解放路290号</x:t>
        </x:is>
      </x:c>
      <x:c r="K4671" s="12" t="str">
        <x:f>LEFT("91620000712767189Y",18)</x:f>
        <x:v>91620000712767189Y</x:v>
      </x:c>
    </x:row>
    <x:row r="4672">
      <x:c r="A4672" s="2" t="n">
        <x:v>4671</x:v>
      </x:c>
      <x:c r="B4672" s="2" t="inlineStr">
        <x:is>
          <x:t xml:space="preserve">300084</x:t>
        </x:is>
      </x:c>
      <x:c r="C4672" s="3" t="inlineStr">
        <x:is>
          <x:t xml:space="preserve">海默科技</x:t>
        </x:is>
      </x:c>
      <x:c r="D4672" s="3" t="inlineStr">
        <x:is>
          <x:t xml:space="preserve">海默科技(集团)股份有限公司</x:t>
        </x:is>
      </x:c>
      <x:c r="E4672" s="2" t="inlineStr">
        <x:is>
          <x:t xml:space="preserve">甘肃省</x:t>
        </x:is>
      </x:c>
      <x:c r="F4672" s="2" t="inlineStr">
        <x:is>
          <x:t xml:space="preserve">兰州市</x:t>
        </x:is>
      </x:c>
      <x:c r="G4672" s="3" t="inlineStr">
        <x:is>
          <x:t xml:space="preserve">甘肃省-兰州市</x:t>
        </x:is>
      </x:c>
      <x:c r="H4672" s="2" t="inlineStr">
        <x:is>
          <x:t xml:space="preserve">采掘行业</x:t>
        </x:is>
      </x:c>
      <x:c r="I4672" s="2" t="inlineStr">
        <x:is>
          <x:t xml:space="preserve">2010-05-20</x:t>
        </x:is>
      </x:c>
      <x:c r="J4672" s="3" t="inlineStr">
        <x:is>
          <x:t xml:space="preserve">甘肃省兰州市城关区张苏滩593号</x:t>
        </x:is>
      </x:c>
      <x:c r="K4672" s="12" t="str">
        <x:f>LEFT("91620000296610085H",18)</x:f>
        <x:v>91620000296610085H</x:v>
      </x:c>
    </x:row>
    <x:row r="4673">
      <x:c r="A4673" s="4" t="n">
        <x:v>4672</x:v>
      </x:c>
      <x:c r="B4673" s="4" t="inlineStr">
        <x:is>
          <x:t xml:space="preserve">300093</x:t>
        </x:is>
      </x:c>
      <x:c r="C4673" s="5" t="inlineStr">
        <x:is>
          <x:t xml:space="preserve">*ST金刚</x:t>
        </x:is>
      </x:c>
      <x:c r="D4673" s="5" t="inlineStr">
        <x:is>
          <x:t xml:space="preserve">甘肃金刚光伏股份有限公司</x:t>
        </x:is>
      </x:c>
      <x:c r="E4673" s="4" t="inlineStr">
        <x:is>
          <x:t xml:space="preserve">甘肃省</x:t>
        </x:is>
      </x:c>
      <x:c r="F4673" s="4" t="inlineStr">
        <x:is>
          <x:t xml:space="preserve">酒泉市</x:t>
        </x:is>
      </x:c>
      <x:c r="G4673" s="5" t="inlineStr">
        <x:is>
          <x:t xml:space="preserve">甘肃省-酒泉市</x:t>
        </x:is>
      </x:c>
      <x:c r="H4673" s="4" t="inlineStr">
        <x:is>
          <x:t xml:space="preserve">光伏设备</x:t>
        </x:is>
      </x:c>
      <x:c r="I4673" s="4" t="inlineStr">
        <x:is>
          <x:t xml:space="preserve">2010-07-08</x:t>
        </x:is>
      </x:c>
      <x:c r="J4673" s="5" t="inlineStr">
        <x:is>
          <x:t xml:space="preserve">甘肃省酒泉市肃州区经济技术开发区西园经5路1号创业大厦2楼2-12室</x:t>
        </x:is>
      </x:c>
      <x:c r="K4673" s="12" t="str">
        <x:f>LEFT("9144000061755189XU",18)</x:f>
        <x:v>9144000061755189XU</x:v>
      </x:c>
    </x:row>
    <x:row r="4674">
      <x:c r="A4674" s="2" t="n">
        <x:v>4673</x:v>
      </x:c>
      <x:c r="B4674" s="2" t="inlineStr">
        <x:is>
          <x:t xml:space="preserve">300534</x:t>
        </x:is>
      </x:c>
      <x:c r="C4674" s="3" t="inlineStr">
        <x:is>
          <x:t xml:space="preserve">陇神戎发</x:t>
        </x:is>
      </x:c>
      <x:c r="D4674" s="3" t="inlineStr">
        <x:is>
          <x:t xml:space="preserve">甘肃陇神戎发药业股份有限公司</x:t>
        </x:is>
      </x:c>
      <x:c r="E4674" s="2" t="inlineStr">
        <x:is>
          <x:t xml:space="preserve">甘肃省</x:t>
        </x:is>
      </x:c>
      <x:c r="F4674" s="2" t="inlineStr">
        <x:is>
          <x:t xml:space="preserve">兰州市</x:t>
        </x:is>
      </x:c>
      <x:c r="G4674" s="3" t="inlineStr">
        <x:is>
          <x:t xml:space="preserve">甘肃省-兰州市</x:t>
        </x:is>
      </x:c>
      <x:c r="H4674" s="2" t="inlineStr">
        <x:is>
          <x:t xml:space="preserve">中药</x:t>
        </x:is>
      </x:c>
      <x:c r="I4674" s="2" t="inlineStr">
        <x:is>
          <x:t xml:space="preserve">2016-09-13</x:t>
        </x:is>
      </x:c>
      <x:c r="J4674" s="3" t="inlineStr">
        <x:is>
          <x:t xml:space="preserve">甘肃省兰州市榆中县定远镇国防路10号</x:t>
        </x:is>
      </x:c>
      <x:c r="K4674" s="12" t="str">
        <x:f>LEFT("91620000720238148G",18)</x:f>
        <x:v>91620000720238148G</x:v>
      </x:c>
    </x:row>
    <x:row r="4675">
      <x:c r="A4675" s="4" t="n">
        <x:v>4674</x:v>
      </x:c>
      <x:c r="B4675" s="4" t="inlineStr">
        <x:is>
          <x:t xml:space="preserve">600108</x:t>
        </x:is>
      </x:c>
      <x:c r="C4675" s="5" t="inlineStr">
        <x:is>
          <x:t xml:space="preserve">亚盛集团</x:t>
        </x:is>
      </x:c>
      <x:c r="D4675" s="5" t="inlineStr">
        <x:is>
          <x:t xml:space="preserve">甘肃亚盛实业(集团)股份有限公司</x:t>
        </x:is>
      </x:c>
      <x:c r="E4675" s="4" t="inlineStr">
        <x:is>
          <x:t xml:space="preserve">甘肃省</x:t>
        </x:is>
      </x:c>
      <x:c r="F4675" s="4" t="inlineStr">
        <x:is>
          <x:t xml:space="preserve">兰州市</x:t>
        </x:is>
      </x:c>
      <x:c r="G4675" s="5" t="inlineStr">
        <x:is>
          <x:t xml:space="preserve">甘肃省-兰州市</x:t>
        </x:is>
      </x:c>
      <x:c r="H4675" s="4" t="inlineStr">
        <x:is>
          <x:t xml:space="preserve">农牧饲渔</x:t>
        </x:is>
      </x:c>
      <x:c r="I4675" s="4" t="inlineStr">
        <x:is>
          <x:t xml:space="preserve">1997-08-18</x:t>
        </x:is>
      </x:c>
      <x:c r="J4675" s="5" t="inlineStr">
        <x:is>
          <x:t xml:space="preserve">甘肃省兰州市城关区雁兴路21号14楼</x:t>
        </x:is>
      </x:c>
      <x:c r="K4675" s="12" t="str">
        <x:f>LEFT("91620000224365682J",18)</x:f>
        <x:v>91620000224365682J</x:v>
      </x:c>
    </x:row>
    <x:row r="4676">
      <x:c r="A4676" s="2" t="n">
        <x:v>4675</x:v>
      </x:c>
      <x:c r="B4676" s="2" t="inlineStr">
        <x:is>
          <x:t xml:space="preserve">600192</x:t>
        </x:is>
      </x:c>
      <x:c r="C4676" s="3" t="inlineStr">
        <x:is>
          <x:t xml:space="preserve">长城电工</x:t>
        </x:is>
      </x:c>
      <x:c r="D4676" s="3" t="inlineStr">
        <x:is>
          <x:t xml:space="preserve">兰州长城电工股份有限公司</x:t>
        </x:is>
      </x:c>
      <x:c r="E4676" s="2" t="inlineStr">
        <x:is>
          <x:t xml:space="preserve">甘肃省</x:t>
        </x:is>
      </x:c>
      <x:c r="F4676" s="2" t="inlineStr">
        <x:is>
          <x:t xml:space="preserve">兰州市</x:t>
        </x:is>
      </x:c>
      <x:c r="G4676" s="3" t="inlineStr">
        <x:is>
          <x:t xml:space="preserve">甘肃省-兰州市</x:t>
        </x:is>
      </x:c>
      <x:c r="H4676" s="2" t="inlineStr">
        <x:is>
          <x:t xml:space="preserve">输配电气</x:t>
        </x:is>
      </x:c>
      <x:c r="I4676" s="2" t="inlineStr">
        <x:is>
          <x:t xml:space="preserve">1998-12-24</x:t>
        </x:is>
      </x:c>
      <x:c r="J4676" s="3" t="inlineStr">
        <x:is>
          <x:t xml:space="preserve">甘肃省兰州市七里河区敦煌路街道瓜州路4800号</x:t>
        </x:is>
      </x:c>
      <x:c r="K4676" s="12" t="str">
        <x:f>LEFT("91620000710371367P",18)</x:f>
        <x:v>91620000710371367P</x:v>
      </x:c>
    </x:row>
    <x:row r="4677">
      <x:c r="A4677" s="4" t="n">
        <x:v>4676</x:v>
      </x:c>
      <x:c r="B4677" s="4" t="inlineStr">
        <x:is>
          <x:t xml:space="preserve">600307</x:t>
        </x:is>
      </x:c>
      <x:c r="C4677" s="5" t="inlineStr">
        <x:is>
          <x:t xml:space="preserve">酒钢宏兴</x:t>
        </x:is>
      </x:c>
      <x:c r="D4677" s="5" t="inlineStr">
        <x:is>
          <x:t xml:space="preserve">甘肃酒钢集团宏兴钢铁股份有限公司</x:t>
        </x:is>
      </x:c>
      <x:c r="E4677" s="4" t="inlineStr">
        <x:is>
          <x:t xml:space="preserve">甘肃省</x:t>
        </x:is>
      </x:c>
      <x:c r="F4677" s="4" t="inlineStr">
        <x:is>
          <x:t xml:space="preserve">嘉峪关市</x:t>
        </x:is>
      </x:c>
      <x:c r="G4677" s="5" t="inlineStr">
        <x:is>
          <x:t xml:space="preserve">甘肃省-嘉峪关市</x:t>
        </x:is>
      </x:c>
      <x:c r="H4677" s="4" t="inlineStr">
        <x:is>
          <x:t xml:space="preserve">钢铁行业</x:t>
        </x:is>
      </x:c>
      <x:c r="I4677" s="4" t="inlineStr">
        <x:is>
          <x:t xml:space="preserve">2000-12-20</x:t>
        </x:is>
      </x:c>
      <x:c r="J4677" s="5" t="inlineStr">
        <x:is>
          <x:t xml:space="preserve">甘肃省嘉峪关市雄关东路12号</x:t>
        </x:is>
      </x:c>
      <x:c r="K4677" s="12" t="str">
        <x:f>LEFT("91620000710375659T",18)</x:f>
        <x:v>91620000710375659T</x:v>
      </x:c>
    </x:row>
    <x:row r="4678">
      <x:c r="A4678" s="2" t="n">
        <x:v>4677</x:v>
      </x:c>
      <x:c r="B4678" s="2" t="inlineStr">
        <x:is>
          <x:t xml:space="preserve">600354</x:t>
        </x:is>
      </x:c>
      <x:c r="C4678" s="3" t="inlineStr">
        <x:is>
          <x:t xml:space="preserve">敦煌种业</x:t>
        </x:is>
      </x:c>
      <x:c r="D4678" s="3" t="inlineStr">
        <x:is>
          <x:t xml:space="preserve">甘肃省敦煌种业集团股份有限公司</x:t>
        </x:is>
      </x:c>
      <x:c r="E4678" s="2" t="inlineStr">
        <x:is>
          <x:t xml:space="preserve">甘肃省</x:t>
        </x:is>
      </x:c>
      <x:c r="F4678" s="2" t="inlineStr">
        <x:is>
          <x:t xml:space="preserve">酒泉市</x:t>
        </x:is>
      </x:c>
      <x:c r="G4678" s="3" t="inlineStr">
        <x:is>
          <x:t xml:space="preserve">甘肃省-酒泉市</x:t>
        </x:is>
      </x:c>
      <x:c r="H4678" s="2" t="inlineStr">
        <x:is>
          <x:t xml:space="preserve">农牧饲渔</x:t>
        </x:is>
      </x:c>
      <x:c r="I4678" s="2" t="inlineStr">
        <x:is>
          <x:t xml:space="preserve">2004-01-15</x:t>
        </x:is>
      </x:c>
      <x:c r="J4678" s="3" t="inlineStr">
        <x:is>
          <x:t xml:space="preserve">甘肃省酒泉市肃州区肃州路28号</x:t>
        </x:is>
      </x:c>
      <x:c r="K4678" s="12" t="str">
        <x:f>LEFT("916200007102487488",18)</x:f>
        <x:v>916200007102487600</x:v>
      </x:c>
    </x:row>
    <x:row r="4679">
      <x:c r="A4679" s="4" t="n">
        <x:v>4678</x:v>
      </x:c>
      <x:c r="B4679" s="4" t="inlineStr">
        <x:is>
          <x:t xml:space="preserve">600516</x:t>
        </x:is>
      </x:c>
      <x:c r="C4679" s="5" t="inlineStr">
        <x:is>
          <x:t xml:space="preserve">方大炭素</x:t>
        </x:is>
      </x:c>
      <x:c r="D4679" s="5" t="inlineStr">
        <x:is>
          <x:t xml:space="preserve">方大炭素新材料科技股份有限公司</x:t>
        </x:is>
      </x:c>
      <x:c r="E4679" s="4" t="inlineStr">
        <x:is>
          <x:t xml:space="preserve">甘肃省</x:t>
        </x:is>
      </x:c>
      <x:c r="F4679" s="4" t="inlineStr">
        <x:is>
          <x:t xml:space="preserve">兰州市</x:t>
        </x:is>
      </x:c>
      <x:c r="G4679" s="5" t="inlineStr">
        <x:is>
          <x:t xml:space="preserve">甘肃省-兰州市</x:t>
        </x:is>
      </x:c>
      <x:c r="H4679" s="4" t="inlineStr">
        <x:is>
          <x:t xml:space="preserve">非金属材料</x:t>
        </x:is>
      </x:c>
      <x:c r="I4679" s="4" t="inlineStr">
        <x:is>
          <x:t xml:space="preserve">2002-08-30</x:t>
        </x:is>
      </x:c>
      <x:c r="J4679" s="5" t="inlineStr">
        <x:is>
          <x:t xml:space="preserve">甘肃省兰州市红古区海石湾镇炭素路11号</x:t>
        </x:is>
      </x:c>
      <x:c r="K4679" s="12" t="str">
        <x:f>LEFT("91620000710375560A",18)</x:f>
        <x:v>91620000710375560A</x:v>
      </x:c>
    </x:row>
    <x:row r="4680">
      <x:c r="A4680" s="2" t="n">
        <x:v>4679</x:v>
      </x:c>
      <x:c r="B4680" s="2" t="inlineStr">
        <x:is>
          <x:t xml:space="preserve">600543</x:t>
        </x:is>
      </x:c>
      <x:c r="C4680" s="3" t="inlineStr">
        <x:is>
          <x:t xml:space="preserve">莫高股份</x:t>
        </x:is>
      </x:c>
      <x:c r="D4680" s="3" t="inlineStr">
        <x:is>
          <x:t xml:space="preserve">甘肃莫高实业发展股份有限公司</x:t>
        </x:is>
      </x:c>
      <x:c r="E4680" s="2" t="inlineStr">
        <x:is>
          <x:t xml:space="preserve">甘肃省</x:t>
        </x:is>
      </x:c>
      <x:c r="F4680" s="2" t="inlineStr">
        <x:is>
          <x:t xml:space="preserve">兰州市</x:t>
        </x:is>
      </x:c>
      <x:c r="G4680" s="3" t="inlineStr">
        <x:is>
          <x:t xml:space="preserve">甘肃省-兰州市</x:t>
        </x:is>
      </x:c>
      <x:c r="H4680" s="2" t="inlineStr">
        <x:is>
          <x:t xml:space="preserve">酿酒行业</x:t>
        </x:is>
      </x:c>
      <x:c r="I4680" s="2" t="inlineStr">
        <x:is>
          <x:t xml:space="preserve">2004-03-24</x:t>
        </x:is>
      </x:c>
      <x:c r="J4680" s="3" t="inlineStr">
        <x:is>
          <x:t xml:space="preserve">兰州市城关区高新技术产业开发区一号园区</x:t>
        </x:is>
      </x:c>
      <x:c r="K4680" s="12" t="str">
        <x:f>LEFT("91620000712759170Q",18)</x:f>
        <x:v>91620000712759170Q</x:v>
      </x:c>
    </x:row>
    <x:row r="4681">
      <x:c r="A4681" s="4" t="n">
        <x:v>4680</x:v>
      </x:c>
      <x:c r="B4681" s="4" t="inlineStr">
        <x:is>
          <x:t xml:space="preserve">600720</x:t>
        </x:is>
      </x:c>
      <x:c r="C4681" s="5" t="inlineStr">
        <x:is>
          <x:t xml:space="preserve">中交设计</x:t>
        </x:is>
      </x:c>
      <x:c r="D4681" s="5" t="inlineStr">
        <x:is>
          <x:t xml:space="preserve">中交设计咨询集团股份有限公司</x:t>
        </x:is>
      </x:c>
      <x:c r="E4681" s="4" t="inlineStr">
        <x:is>
          <x:t xml:space="preserve">甘肃省</x:t>
        </x:is>
      </x:c>
      <x:c r="F4681" s="4" t="inlineStr">
        <x:is>
          <x:t xml:space="preserve">兰州市</x:t>
        </x:is>
      </x:c>
      <x:c r="G4681" s="5" t="inlineStr">
        <x:is>
          <x:t xml:space="preserve">甘肃省-兰州市</x:t>
        </x:is>
      </x:c>
      <x:c r="H4681" s="4" t="inlineStr">
        <x:is>
          <x:t xml:space="preserve">工程咨询服务</x:t>
        </x:is>
      </x:c>
      <x:c r="I4681" s="4" t="inlineStr">
        <x:is>
          <x:t xml:space="preserve">1996-07-16</x:t>
        </x:is>
      </x:c>
      <x:c r="J4681" s="5" t="inlineStr">
        <x:is>
          <x:t xml:space="preserve">甘肃省兰州市城关区草场街街道北滨河东路188号附1号天星滨河时代10层1004</x:t>
        </x:is>
      </x:c>
      <x:c r="K4681" s="12" t="str">
        <x:f>LEFT("916200002243685683",18)</x:f>
        <x:v>916200002243685600</x:v>
      </x:c>
    </x:row>
    <x:row r="4682">
      <x:c r="A4682" s="2" t="n">
        <x:v>4681</x:v>
      </x:c>
      <x:c r="B4682" s="2" t="inlineStr">
        <x:is>
          <x:t xml:space="preserve">600738</x:t>
        </x:is>
      </x:c>
      <x:c r="C4682" s="3" t="inlineStr">
        <x:is>
          <x:t xml:space="preserve">丽尚国潮</x:t>
        </x:is>
      </x:c>
      <x:c r="D4682" s="3" t="inlineStr">
        <x:is>
          <x:t xml:space="preserve">兰州丽尚国潮实业集团股份有限公司</x:t>
        </x:is>
      </x:c>
      <x:c r="E4682" s="2" t="inlineStr">
        <x:is>
          <x:t xml:space="preserve">甘肃省</x:t>
        </x:is>
      </x:c>
      <x:c r="F4682" s="2" t="inlineStr">
        <x:is>
          <x:t xml:space="preserve">兰州市</x:t>
        </x:is>
      </x:c>
      <x:c r="G4682" s="3" t="inlineStr">
        <x:is>
          <x:t xml:space="preserve">甘肃省-兰州市</x:t>
        </x:is>
      </x:c>
      <x:c r="H4682" s="2" t="inlineStr">
        <x:is>
          <x:t xml:space="preserve">商业百货</x:t>
        </x:is>
      </x:c>
      <x:c r="I4682" s="2" t="inlineStr">
        <x:is>
          <x:t xml:space="preserve">1996-08-02</x:t>
        </x:is>
      </x:c>
      <x:c r="J4682" s="3" t="inlineStr">
        <x:is>
          <x:t xml:space="preserve">兰州市城关区中山路120号</x:t>
        </x:is>
      </x:c>
      <x:c r="K4682" s="12" t="str">
        <x:f>LEFT("91620000224336881T",18)</x:f>
        <x:v>91620000224336881T</x:v>
      </x:c>
    </x:row>
    <x:row r="4683">
      <x:c r="A4683" s="4" t="n">
        <x:v>4682</x:v>
      </x:c>
      <x:c r="B4683" s="4" t="inlineStr">
        <x:is>
          <x:t xml:space="preserve">601086</x:t>
        </x:is>
      </x:c>
      <x:c r="C4683" s="5" t="inlineStr">
        <x:is>
          <x:t xml:space="preserve">国芳集团</x:t>
        </x:is>
      </x:c>
      <x:c r="D4683" s="5" t="inlineStr">
        <x:is>
          <x:t xml:space="preserve">甘肃国芳工贸(集团)股份有限公司</x:t>
        </x:is>
      </x:c>
      <x:c r="E4683" s="4" t="inlineStr">
        <x:is>
          <x:t xml:space="preserve">甘肃省</x:t>
        </x:is>
      </x:c>
      <x:c r="F4683" s="4" t="inlineStr">
        <x:is>
          <x:t xml:space="preserve">兰州市</x:t>
        </x:is>
      </x:c>
      <x:c r="G4683" s="5" t="inlineStr">
        <x:is>
          <x:t xml:space="preserve">甘肃省-兰州市</x:t>
        </x:is>
      </x:c>
      <x:c r="H4683" s="4" t="inlineStr">
        <x:is>
          <x:t xml:space="preserve">商业百货</x:t>
        </x:is>
      </x:c>
      <x:c r="I4683" s="4" t="inlineStr">
        <x:is>
          <x:t xml:space="preserve">2017-09-29</x:t>
        </x:is>
      </x:c>
      <x:c r="J4683" s="5" t="inlineStr">
        <x:is>
          <x:t xml:space="preserve">甘肃省兰州市城关区广场南路4-6号</x:t>
        </x:is>
      </x:c>
      <x:c r="K4683" s="12" t="str">
        <x:f>LEFT("91620000224367434N",18)</x:f>
        <x:v>91620000224367434N</x:v>
      </x:c>
    </x:row>
    <x:row r="4684">
      <x:c r="A4684" s="2" t="n">
        <x:v>4683</x:v>
      </x:c>
      <x:c r="B4684" s="2" t="inlineStr">
        <x:is>
          <x:t xml:space="preserve">601212</x:t>
        </x:is>
      </x:c>
      <x:c r="C4684" s="3" t="inlineStr">
        <x:is>
          <x:t xml:space="preserve">白银有色</x:t>
        </x:is>
      </x:c>
      <x:c r="D4684" s="3" t="inlineStr">
        <x:is>
          <x:t xml:space="preserve">白银有色集团股份有限公司</x:t>
        </x:is>
      </x:c>
      <x:c r="E4684" s="2" t="inlineStr">
        <x:is>
          <x:t xml:space="preserve">甘肃省</x:t>
        </x:is>
      </x:c>
      <x:c r="F4684" s="2" t="inlineStr">
        <x:is>
          <x:t xml:space="preserve">白银市</x:t>
        </x:is>
      </x:c>
      <x:c r="G4684" s="3" t="inlineStr">
        <x:is>
          <x:t xml:space="preserve">甘肃省-白银市</x:t>
        </x:is>
      </x:c>
      <x:c r="H4684" s="2" t="inlineStr">
        <x:is>
          <x:t xml:space="preserve">有色金属</x:t>
        </x:is>
      </x:c>
      <x:c r="I4684" s="2" t="inlineStr">
        <x:is>
          <x:t xml:space="preserve">2017-02-15</x:t>
        </x:is>
      </x:c>
      <x:c r="J4684" s="3" t="inlineStr">
        <x:is>
          <x:t xml:space="preserve">甘肃省白银市白银区友好路96号</x:t>
        </x:is>
      </x:c>
      <x:c r="K4684" s="12" t="str">
        <x:f>LEFT("916204006600434445",18)</x:f>
        <x:v>916204006600434400</x:v>
      </x:c>
    </x:row>
    <x:row r="4685">
      <x:c r="A4685" s="4" t="n">
        <x:v>4684</x:v>
      </x:c>
      <x:c r="B4685" s="4" t="inlineStr">
        <x:is>
          <x:t xml:space="preserve">601798</x:t>
        </x:is>
      </x:c>
      <x:c r="C4685" s="5" t="inlineStr">
        <x:is>
          <x:t xml:space="preserve">蓝科高新</x:t>
        </x:is>
      </x:c>
      <x:c r="D4685" s="5" t="inlineStr">
        <x:is>
          <x:t xml:space="preserve">甘肃蓝科石化高新装备股份有限公司</x:t>
        </x:is>
      </x:c>
      <x:c r="E4685" s="4" t="inlineStr">
        <x:is>
          <x:t xml:space="preserve">甘肃省</x:t>
        </x:is>
      </x:c>
      <x:c r="F4685" s="4" t="inlineStr">
        <x:is>
          <x:t xml:space="preserve">兰州市</x:t>
        </x:is>
      </x:c>
      <x:c r="G4685" s="5" t="inlineStr">
        <x:is>
          <x:t xml:space="preserve">甘肃省-兰州市</x:t>
        </x:is>
      </x:c>
      <x:c r="H4685" s="4" t="inlineStr">
        <x:is>
          <x:t xml:space="preserve">专用设备</x:t>
        </x:is>
      </x:c>
      <x:c r="I4685" s="4" t="inlineStr">
        <x:is>
          <x:t xml:space="preserve">2011-06-22</x:t>
        </x:is>
      </x:c>
      <x:c r="J4685" s="5" t="inlineStr">
        <x:is>
          <x:t xml:space="preserve">兰州市安宁区蓝科路8号</x:t>
        </x:is>
      </x:c>
      <x:c r="K4685" s="12" t="str">
        <x:f>LEFT("91620000224529093P",18)</x:f>
        <x:v>91620000224529093P</x:v>
      </x:c>
    </x:row>
    <x:row r="4686">
      <x:c r="A4686" s="2" t="n">
        <x:v>4685</x:v>
      </x:c>
      <x:c r="B4686" s="2" t="inlineStr">
        <x:is>
          <x:t xml:space="preserve">603132</x:t>
        </x:is>
      </x:c>
      <x:c r="C4686" s="3" t="inlineStr">
        <x:is>
          <x:t xml:space="preserve">金徽股份</x:t>
        </x:is>
      </x:c>
      <x:c r="D4686" s="3" t="inlineStr">
        <x:is>
          <x:t xml:space="preserve">金徽矿业股份有限公司</x:t>
        </x:is>
      </x:c>
      <x:c r="E4686" s="2" t="inlineStr">
        <x:is>
          <x:t xml:space="preserve">甘肃省</x:t>
        </x:is>
      </x:c>
      <x:c r="F4686" s="2" t="inlineStr">
        <x:is>
          <x:t xml:space="preserve">陇南市</x:t>
        </x:is>
      </x:c>
      <x:c r="G4686" s="3" t="inlineStr">
        <x:is>
          <x:t xml:space="preserve">甘肃省-陇南市</x:t>
        </x:is>
      </x:c>
      <x:c r="H4686" s="2" t="inlineStr">
        <x:is>
          <x:t xml:space="preserve">有色金属</x:t>
        </x:is>
      </x:c>
      <x:c r="I4686" s="2" t="inlineStr">
        <x:is>
          <x:t xml:space="preserve">2022-02-22</x:t>
        </x:is>
      </x:c>
      <x:c r="J4686" s="3" t="inlineStr">
        <x:is>
          <x:t xml:space="preserve">甘肃省陇南市徽县柳林镇</x:t>
        </x:is>
      </x:c>
      <x:c r="K4686" s="12" t="str">
        <x:f>LEFT("91621227571602961N",18)</x:f>
        <x:v>91621227571602961N</x:v>
      </x:c>
    </x:row>
    <x:row r="4687">
      <x:c r="A4687" s="4" t="n">
        <x:v>4686</x:v>
      </x:c>
      <x:c r="B4687" s="4" t="inlineStr">
        <x:is>
          <x:t xml:space="preserve">603169</x:t>
        </x:is>
      </x:c>
      <x:c r="C4687" s="5" t="inlineStr">
        <x:is>
          <x:t xml:space="preserve">兰石重装</x:t>
        </x:is>
      </x:c>
      <x:c r="D4687" s="5" t="inlineStr">
        <x:is>
          <x:t xml:space="preserve">兰州兰石重型装备股份有限公司</x:t>
        </x:is>
      </x:c>
      <x:c r="E4687" s="4" t="inlineStr">
        <x:is>
          <x:t xml:space="preserve">甘肃省</x:t>
        </x:is>
      </x:c>
      <x:c r="F4687" s="4" t="inlineStr">
        <x:is>
          <x:t xml:space="preserve">兰州市</x:t>
        </x:is>
      </x:c>
      <x:c r="G4687" s="5" t="inlineStr">
        <x:is>
          <x:t xml:space="preserve">甘肃省-兰州市</x:t>
        </x:is>
      </x:c>
      <x:c r="H4687" s="4" t="inlineStr">
        <x:is>
          <x:t xml:space="preserve">专用设备</x:t>
        </x:is>
      </x:c>
      <x:c r="I4687" s="4" t="inlineStr">
        <x:is>
          <x:t xml:space="preserve">2014-10-09</x:t>
        </x:is>
      </x:c>
      <x:c r="J4687" s="5" t="inlineStr">
        <x:is>
          <x:t xml:space="preserve">甘肃省兰州市兰州新区黄河大道西段528号</x:t>
        </x:is>
      </x:c>
      <x:c r="K4687" s="12" t="str">
        <x:f>LEFT("916200007202575254",18)</x:f>
        <x:v>916200007202575200</x:v>
      </x:c>
    </x:row>
    <x:row r="4688">
      <x:c r="A4688" s="2" t="n">
        <x:v>4687</x:v>
      </x:c>
      <x:c r="B4688" s="2" t="inlineStr">
        <x:is>
          <x:t xml:space="preserve">603919</x:t>
        </x:is>
      </x:c>
      <x:c r="C4688" s="3" t="inlineStr">
        <x:is>
          <x:t xml:space="preserve">金徽酒</x:t>
        </x:is>
      </x:c>
      <x:c r="D4688" s="3" t="inlineStr">
        <x:is>
          <x:t xml:space="preserve">金徽酒股份有限公司</x:t>
        </x:is>
      </x:c>
      <x:c r="E4688" s="2" t="inlineStr">
        <x:is>
          <x:t xml:space="preserve">甘肃省</x:t>
        </x:is>
      </x:c>
      <x:c r="F4688" s="2" t="inlineStr">
        <x:is>
          <x:t xml:space="preserve">陇南市</x:t>
        </x:is>
      </x:c>
      <x:c r="G4688" s="3" t="inlineStr">
        <x:is>
          <x:t xml:space="preserve">甘肃省-陇南市</x:t>
        </x:is>
      </x:c>
      <x:c r="H4688" s="2" t="inlineStr">
        <x:is>
          <x:t xml:space="preserve">酿酒行业</x:t>
        </x:is>
      </x:c>
      <x:c r="I4688" s="2" t="inlineStr">
        <x:is>
          <x:t xml:space="preserve">2016-03-10</x:t>
        </x:is>
      </x:c>
      <x:c r="J4688" s="3" t="inlineStr">
        <x:is>
          <x:t xml:space="preserve">甘肃省陇南市徽县伏家镇</x:t>
        </x:is>
      </x:c>
      <x:c r="K4688" s="12" t="str">
        <x:f>LEFT("91621200695632863J",18)</x:f>
        <x:v>91621200695632863J</x:v>
      </x:c>
    </x:row>
    <x:row r="4689">
      <x:c r="A4689" s="4" t="n">
        <x:v>4688</x:v>
      </x:c>
      <x:c r="B4689" s="4" t="inlineStr">
        <x:is>
          <x:t xml:space="preserve">603999</x:t>
        </x:is>
      </x:c>
      <x:c r="C4689" s="5" t="inlineStr">
        <x:is>
          <x:t xml:space="preserve">读者传媒</x:t>
        </x:is>
      </x:c>
      <x:c r="D4689" s="5" t="inlineStr">
        <x:is>
          <x:t xml:space="preserve">读者出版传媒股份有限公司</x:t>
        </x:is>
      </x:c>
      <x:c r="E4689" s="4" t="inlineStr">
        <x:is>
          <x:t xml:space="preserve">甘肃省</x:t>
        </x:is>
      </x:c>
      <x:c r="F4689" s="4" t="inlineStr">
        <x:is>
          <x:t xml:space="preserve">兰州市</x:t>
        </x:is>
      </x:c>
      <x:c r="G4689" s="5" t="inlineStr">
        <x:is>
          <x:t xml:space="preserve">甘肃省-兰州市</x:t>
        </x:is>
      </x:c>
      <x:c r="H4689" s="4" t="inlineStr">
        <x:is>
          <x:t xml:space="preserve">文化传媒</x:t>
        </x:is>
      </x:c>
      <x:c r="I4689" s="4" t="inlineStr">
        <x:is>
          <x:t xml:space="preserve">2015-12-10</x:t>
        </x:is>
      </x:c>
      <x:c r="J4689" s="5" t="inlineStr">
        <x:is>
          <x:t xml:space="preserve">兰州市城关区南滨河东路520号</x:t>
        </x:is>
      </x:c>
      <x:c r="K4689" s="12" t="str">
        <x:f>LEFT("9162000069563405XC",18)</x:f>
        <x:v>9162000069563405XC</x:v>
      </x:c>
    </x:row>
    <x:row r="4690">
      <x:c r="A4690" s="2" t="n">
        <x:v>4689</x:v>
      </x:c>
      <x:c r="B4690" s="2" t="inlineStr">
        <x:is>
          <x:t xml:space="preserve">000526</x:t>
        </x:is>
      </x:c>
      <x:c r="C4690" s="3" t="inlineStr">
        <x:is>
          <x:t xml:space="preserve">学大教育</x:t>
        </x:is>
      </x:c>
      <x:c r="D4690" s="3" t="inlineStr">
        <x:is>
          <x:t xml:space="preserve">学大(厦门)教育科技集团股份有限公司</x:t>
        </x:is>
      </x:c>
      <x:c r="E4690" s="2" t="inlineStr">
        <x:is>
          <x:t xml:space="preserve">福建省</x:t>
        </x:is>
      </x:c>
      <x:c r="F4690" s="2" t="inlineStr">
        <x:is>
          <x:t xml:space="preserve">厦门市</x:t>
        </x:is>
      </x:c>
      <x:c r="G4690" s="3" t="inlineStr">
        <x:is>
          <x:t xml:space="preserve">福建省-厦门市</x:t>
        </x:is>
      </x:c>
      <x:c r="H4690" s="2" t="inlineStr">
        <x:is>
          <x:t xml:space="preserve">文教休闲</x:t>
        </x:is>
      </x:c>
      <x:c r="I4690" s="2" t="inlineStr">
        <x:is>
          <x:t xml:space="preserve">1993-11-01</x:t>
        </x:is>
      </x:c>
      <x:c r="J4690" s="3" t="inlineStr">
        <x:is>
          <x:t xml:space="preserve">厦门市湖里区寨上长乐路1号</x:t>
        </x:is>
      </x:c>
      <x:c r="K4690" s="12" t="str">
        <x:f>LEFT("91350200154999005J",18)</x:f>
        <x:v>91350200154999005J</x:v>
      </x:c>
    </x:row>
    <x:row r="4691">
      <x:c r="A4691" s="4" t="n">
        <x:v>4690</x:v>
      </x:c>
      <x:c r="B4691" s="4" t="inlineStr">
        <x:is>
          <x:t xml:space="preserve">000536</x:t>
        </x:is>
      </x:c>
      <x:c r="C4691" s="5" t="inlineStr">
        <x:is>
          <x:t xml:space="preserve">华映科技</x:t>
        </x:is>
      </x:c>
      <x:c r="D4691" s="5" t="inlineStr">
        <x:is>
          <x:t xml:space="preserve">华映科技(集团)股份有限公司</x:t>
        </x:is>
      </x:c>
      <x:c r="E4691" s="4" t="inlineStr">
        <x:is>
          <x:t xml:space="preserve">福建省</x:t>
        </x:is>
      </x:c>
      <x:c r="F4691" s="4" t="inlineStr">
        <x:is>
          <x:t xml:space="preserve">福州市</x:t>
        </x:is>
      </x:c>
      <x:c r="G4691" s="5" t="inlineStr">
        <x:is>
          <x:t xml:space="preserve">福建省-福州市</x:t>
        </x:is>
      </x:c>
      <x:c r="H4691" s="4" t="inlineStr">
        <x:is>
          <x:t xml:space="preserve">光学光电子</x:t>
        </x:is>
      </x:c>
      <x:c r="I4691" s="4" t="inlineStr">
        <x:is>
          <x:t xml:space="preserve">1993-11-26</x:t>
        </x:is>
      </x:c>
      <x:c r="J4691" s="5" t="inlineStr">
        <x:is>
          <x:t xml:space="preserve">福州市马尾区儒江西路6号</x:t>
        </x:is>
      </x:c>
      <x:c r="K4691" s="12" t="str">
        <x:f>LEFT("913500001581472218",18)</x:f>
        <x:v>913500001581472300</x:v>
      </x:c>
    </x:row>
    <x:row r="4692">
      <x:c r="A4692" s="2" t="n">
        <x:v>4691</x:v>
      </x:c>
      <x:c r="B4692" s="2" t="inlineStr">
        <x:is>
          <x:t xml:space="preserve">000547</x:t>
        </x:is>
      </x:c>
      <x:c r="C4692" s="3" t="inlineStr">
        <x:is>
          <x:t xml:space="preserve">航天发展</x:t>
        </x:is>
      </x:c>
      <x:c r="D4692" s="3" t="inlineStr">
        <x:is>
          <x:t xml:space="preserve">航天工业发展股份有限公司</x:t>
        </x:is>
      </x:c>
      <x:c r="E4692" s="2" t="inlineStr">
        <x:is>
          <x:t xml:space="preserve">福建省</x:t>
        </x:is>
      </x:c>
      <x:c r="F4692" s="2" t="inlineStr">
        <x:is>
          <x:t xml:space="preserve">福州市</x:t>
        </x:is>
      </x:c>
      <x:c r="G4692" s="3" t="inlineStr">
        <x:is>
          <x:t xml:space="preserve">福建省-福州市</x:t>
        </x:is>
      </x:c>
      <x:c r="H4692" s="2" t="inlineStr">
        <x:is>
          <x:t xml:space="preserve">通信设备</x:t>
        </x:is>
      </x:c>
      <x:c r="I4692" s="2" t="inlineStr">
        <x:is>
          <x:t xml:space="preserve">1993-11-30</x:t>
        </x:is>
      </x:c>
      <x:c r="J4692" s="3" t="inlineStr">
        <x:is>
          <x:t xml:space="preserve">福州市台江区五一南路67号</x:t>
        </x:is>
      </x:c>
      <x:c r="K4692" s="12" t="str">
        <x:f>LEFT("913500001544115744",18)</x:f>
        <x:v>913500001544115700</x:v>
      </x:c>
    </x:row>
    <x:row r="4693">
      <x:c r="A4693" s="4" t="n">
        <x:v>4692</x:v>
      </x:c>
      <x:c r="B4693" s="4" t="inlineStr">
        <x:is>
          <x:t xml:space="preserve">000592</x:t>
        </x:is>
      </x:c>
      <x:c r="C4693" s="5" t="inlineStr">
        <x:is>
          <x:t xml:space="preserve">平潭发展</x:t>
        </x:is>
      </x:c>
      <x:c r="D4693" s="5" t="inlineStr">
        <x:is>
          <x:t xml:space="preserve">中福海峡(平潭)发展股份有限公司</x:t>
        </x:is>
      </x:c>
      <x:c r="E4693" s="4" t="inlineStr">
        <x:is>
          <x:t xml:space="preserve">福建省</x:t>
        </x:is>
      </x:c>
      <x:c r="F4693" s="4" t="inlineStr">
        <x:is>
          <x:t xml:space="preserve">福州市</x:t>
        </x:is>
      </x:c>
      <x:c r="G4693" s="5" t="inlineStr">
        <x:is>
          <x:t xml:space="preserve">福建省-福州市</x:t>
        </x:is>
      </x:c>
      <x:c r="H4693" s="4" t="inlineStr">
        <x:is>
          <x:t xml:space="preserve">农牧饲渔</x:t>
        </x:is>
      </x:c>
      <x:c r="I4693" s="4" t="inlineStr">
        <x:is>
          <x:t xml:space="preserve">1996-03-27</x:t>
        </x:is>
      </x:c>
      <x:c r="J4693" s="5" t="inlineStr">
        <x:is>
          <x:t xml:space="preserve">福建省平潭综合实验区北厝镇金井湾大道中福广场四层</x:t>
        </x:is>
      </x:c>
      <x:c r="K4693" s="12" t="str">
        <x:f>LEFT("91350000158156419U",18)</x:f>
        <x:v>91350000158156419U</x:v>
      </x:c>
    </x:row>
    <x:row r="4694">
      <x:c r="A4694" s="2" t="n">
        <x:v>4693</x:v>
      </x:c>
      <x:c r="B4694" s="2" t="inlineStr">
        <x:is>
          <x:t xml:space="preserve">000632</x:t>
        </x:is>
      </x:c>
      <x:c r="C4694" s="3" t="inlineStr">
        <x:is>
          <x:t xml:space="preserve">三木集团</x:t>
        </x:is>
      </x:c>
      <x:c r="D4694" s="3" t="inlineStr">
        <x:is>
          <x:t xml:space="preserve">福建三木集团股份有限公司</x:t>
        </x:is>
      </x:c>
      <x:c r="E4694" s="2" t="inlineStr">
        <x:is>
          <x:t xml:space="preserve">福建省</x:t>
        </x:is>
      </x:c>
      <x:c r="F4694" s="2" t="inlineStr">
        <x:is>
          <x:t xml:space="preserve">福州市</x:t>
        </x:is>
      </x:c>
      <x:c r="G4694" s="3" t="inlineStr">
        <x:is>
          <x:t xml:space="preserve">福建省-福州市</x:t>
        </x:is>
      </x:c>
      <x:c r="H4694" s="2" t="inlineStr">
        <x:is>
          <x:t xml:space="preserve">综合行业</x:t>
        </x:is>
      </x:c>
      <x:c r="I4694" s="2" t="inlineStr">
        <x:is>
          <x:t xml:space="preserve">1996-11-21</x:t>
        </x:is>
      </x:c>
      <x:c r="J4694" s="3" t="inlineStr">
        <x:is>
          <x:t xml:space="preserve">福建省福州市马尾区开发区君竹路162号</x:t>
        </x:is>
      </x:c>
      <x:c r="K4694" s="12" t="str">
        <x:f>LEFT("9135000015458140XD",18)</x:f>
        <x:v>9135000015458140XD</x:v>
      </x:c>
    </x:row>
    <x:row r="4695">
      <x:c r="A4695" s="4" t="n">
        <x:v>4694</x:v>
      </x:c>
      <x:c r="B4695" s="4" t="inlineStr">
        <x:is>
          <x:t xml:space="preserve">000663</x:t>
        </x:is>
      </x:c>
      <x:c r="C4695" s="5" t="inlineStr">
        <x:is>
          <x:t xml:space="preserve">永安林业</x:t>
        </x:is>
      </x:c>
      <x:c r="D4695" s="5" t="inlineStr">
        <x:is>
          <x:t xml:space="preserve">福建省永安林业(集团)股份有限公司</x:t>
        </x:is>
      </x:c>
      <x:c r="E4695" s="4" t="inlineStr">
        <x:is>
          <x:t xml:space="preserve">福建省</x:t>
        </x:is>
      </x:c>
      <x:c r="F4695" s="4" t="inlineStr">
        <x:is>
          <x:t xml:space="preserve">建省永安市</x:t>
        </x:is>
      </x:c>
      <x:c r="G4695" s="5" t="inlineStr">
        <x:is>
          <x:t xml:space="preserve">福建省-建省永安市</x:t>
        </x:is>
      </x:c>
      <x:c r="H4695" s="4" t="inlineStr">
        <x:is>
          <x:t xml:space="preserve">木业家具</x:t>
        </x:is>
      </x:c>
      <x:c r="I4695" s="4" t="inlineStr">
        <x:is>
          <x:t xml:space="preserve">1996-12-06</x:t>
        </x:is>
      </x:c>
      <x:c r="J4695" s="5" t="inlineStr">
        <x:is>
          <x:t xml:space="preserve">福建省永安市燕江东路819号</x:t>
        </x:is>
      </x:c>
      <x:c r="K4695" s="12" t="str">
        <x:f>LEFT("91350000158164259X",18)</x:f>
        <x:v>91350000158164259X</x:v>
      </x:c>
    </x:row>
    <x:row r="4696">
      <x:c r="A4696" s="2" t="n">
        <x:v>4695</x:v>
      </x:c>
      <x:c r="B4696" s="2" t="inlineStr">
        <x:is>
          <x:t xml:space="preserve">000701</x:t>
        </x:is>
      </x:c>
      <x:c r="C4696" s="3" t="inlineStr">
        <x:is>
          <x:t xml:space="preserve">厦门信达</x:t>
        </x:is>
      </x:c>
      <x:c r="D4696" s="3" t="inlineStr">
        <x:is>
          <x:t xml:space="preserve">厦门信达股份有限公司</x:t>
        </x:is>
      </x:c>
      <x:c r="E4696" s="2" t="inlineStr">
        <x:is>
          <x:t xml:space="preserve">福建省</x:t>
        </x:is>
      </x:c>
      <x:c r="F4696" s="2" t="inlineStr">
        <x:is>
          <x:t xml:space="preserve">厦门市</x:t>
        </x:is>
      </x:c>
      <x:c r="G4696" s="3" t="inlineStr">
        <x:is>
          <x:t xml:space="preserve">福建省-厦门市</x:t>
        </x:is>
      </x:c>
      <x:c r="H4696" s="2" t="inlineStr">
        <x:is>
          <x:t xml:space="preserve">贸易行业</x:t>
        </x:is>
      </x:c>
      <x:c r="I4696" s="2" t="inlineStr">
        <x:is>
          <x:t xml:space="preserve">1997-02-26</x:t>
        </x:is>
      </x:c>
      <x:c r="J4696" s="3" t="inlineStr">
        <x:is>
          <x:t xml:space="preserve">厦门市湖里区仙岳路4688号国贸中心A栋1101单元</x:t>
        </x:is>
      </x:c>
      <x:c r="K4696" s="12" t="str">
        <x:f>LEFT("913502001549967873",18)</x:f>
        <x:v>913502001549967900</x:v>
      </x:c>
    </x:row>
    <x:row r="4697">
      <x:c r="A4697" s="4" t="n">
        <x:v>4696</x:v>
      </x:c>
      <x:c r="B4697" s="4" t="inlineStr">
        <x:is>
          <x:t xml:space="preserve">000753</x:t>
        </x:is>
      </x:c>
      <x:c r="C4697" s="5" t="inlineStr">
        <x:is>
          <x:t xml:space="preserve">漳州发展</x:t>
        </x:is>
      </x:c>
      <x:c r="D4697" s="5" t="inlineStr">
        <x:is>
          <x:t xml:space="preserve">福建漳州发展股份有限公司</x:t>
        </x:is>
      </x:c>
      <x:c r="E4697" s="4" t="inlineStr">
        <x:is>
          <x:t xml:space="preserve">福建省</x:t>
        </x:is>
      </x:c>
      <x:c r="F4697" s="4" t="inlineStr">
        <x:is>
          <x:t xml:space="preserve">漳州市</x:t>
        </x:is>
      </x:c>
      <x:c r="G4697" s="5" t="inlineStr">
        <x:is>
          <x:t xml:space="preserve">福建省-漳州市</x:t>
        </x:is>
      </x:c>
      <x:c r="H4697" s="4" t="inlineStr">
        <x:is>
          <x:t xml:space="preserve">汽车服务</x:t>
        </x:is>
      </x:c>
      <x:c r="I4697" s="4" t="inlineStr">
        <x:is>
          <x:t xml:space="preserve">1997-06-26</x:t>
        </x:is>
      </x:c>
      <x:c r="J4697" s="5" t="inlineStr">
        <x:is>
          <x:t xml:space="preserve">福建省漳州市胜利东路漳州发展广场</x:t>
        </x:is>
      </x:c>
      <x:c r="K4697" s="12" t="str">
        <x:f>LEFT("91350000158160688P",18)</x:f>
        <x:v>91350000158160688P</x:v>
      </x:c>
    </x:row>
    <x:row r="4698">
      <x:c r="A4698" s="2" t="n">
        <x:v>4697</x:v>
      </x:c>
      <x:c r="B4698" s="2" t="inlineStr">
        <x:is>
          <x:t xml:space="preserve">000797</x:t>
        </x:is>
      </x:c>
      <x:c r="C4698" s="3" t="inlineStr">
        <x:is>
          <x:t xml:space="preserve">中国武夷</x:t>
        </x:is>
      </x:c>
      <x:c r="D4698" s="3" t="inlineStr">
        <x:is>
          <x:t xml:space="preserve">中国武夷实业股份有限公司</x:t>
        </x:is>
      </x:c>
      <x:c r="E4698" s="2" t="inlineStr">
        <x:is>
          <x:t xml:space="preserve">福建省</x:t>
        </x:is>
      </x:c>
      <x:c r="F4698" s="2" t="inlineStr">
        <x:is>
          <x:t xml:space="preserve">福州市</x:t>
        </x:is>
      </x:c>
      <x:c r="G4698" s="3" t="inlineStr">
        <x:is>
          <x:t xml:space="preserve">福建省-福州市</x:t>
        </x:is>
      </x:c>
      <x:c r="H4698" s="2" t="inlineStr">
        <x:is>
          <x:t xml:space="preserve">房地产</x:t>
        </x:is>
      </x:c>
      <x:c r="I4698" s="2" t="inlineStr">
        <x:is>
          <x:t xml:space="preserve">1997-07-15</x:t>
        </x:is>
      </x:c>
      <x:c r="J4698" s="3" t="inlineStr">
        <x:is>
          <x:t xml:space="preserve">福建省福州市五四路89号置地广场4层</x:t>
        </x:is>
      </x:c>
      <x:c r="K4698" s="12" t="str">
        <x:f>LEFT("91350000158143095K",18)</x:f>
        <x:v>91350000158143095K</x:v>
      </x:c>
    </x:row>
    <x:row r="4699">
      <x:c r="A4699" s="4" t="n">
        <x:v>4698</x:v>
      </x:c>
      <x:c r="B4699" s="4" t="inlineStr">
        <x:is>
          <x:t xml:space="preserve">000905</x:t>
        </x:is>
      </x:c>
      <x:c r="C4699" s="5" t="inlineStr">
        <x:is>
          <x:t xml:space="preserve">厦门港务</x:t>
        </x:is>
      </x:c>
      <x:c r="D4699" s="5" t="inlineStr">
        <x:is>
          <x:t xml:space="preserve">厦门港务发展股份有限公司</x:t>
        </x:is>
      </x:c>
      <x:c r="E4699" s="4" t="inlineStr">
        <x:is>
          <x:t xml:space="preserve">福建省</x:t>
        </x:is>
      </x:c>
      <x:c r="F4699" s="4" t="inlineStr">
        <x:is>
          <x:t xml:space="preserve">厦门市</x:t>
        </x:is>
      </x:c>
      <x:c r="G4699" s="5" t="inlineStr">
        <x:is>
          <x:t xml:space="preserve">福建省-厦门市</x:t>
        </x:is>
      </x:c>
      <x:c r="H4699" s="4" t="inlineStr">
        <x:is>
          <x:t xml:space="preserve">港口水运</x:t>
        </x:is>
      </x:c>
      <x:c r="I4699" s="4" t="inlineStr">
        <x:is>
          <x:t xml:space="preserve">1999-04-29</x:t>
        </x:is>
      </x:c>
      <x:c r="J4699" s="5" t="inlineStr">
        <x:is>
          <x:t xml:space="preserve">厦门市湖里区东港北路31号港务大厦20楼、21楼</x:t>
        </x:is>
      </x:c>
      <x:c r="K4699" s="12" t="str">
        <x:f>LEFT("913502007054097384",18)</x:f>
        <x:v>913502007054097400</x:v>
      </x:c>
    </x:row>
    <x:row r="4700">
      <x:c r="A4700" s="2" t="n">
        <x:v>4699</x:v>
      </x:c>
      <x:c r="B4700" s="2" t="inlineStr">
        <x:is>
          <x:t xml:space="preserve">000993</x:t>
        </x:is>
      </x:c>
      <x:c r="C4700" s="3" t="inlineStr">
        <x:is>
          <x:t xml:space="preserve">闽东电力</x:t>
        </x:is>
      </x:c>
      <x:c r="D4700" s="3" t="inlineStr">
        <x:is>
          <x:t xml:space="preserve">福建闽东电力集团股份有限公司</x:t>
        </x:is>
      </x:c>
      <x:c r="E4700" s="2" t="inlineStr">
        <x:is>
          <x:t xml:space="preserve">福建省</x:t>
        </x:is>
      </x:c>
      <x:c r="F4700" s="2" t="inlineStr">
        <x:is>
          <x:t xml:space="preserve">宁德市</x:t>
        </x:is>
      </x:c>
      <x:c r="G4700" s="3" t="inlineStr">
        <x:is>
          <x:t xml:space="preserve">福建省-宁德市</x:t>
        </x:is>
      </x:c>
      <x:c r="H4700" s="2" t="inlineStr">
        <x:is>
          <x:t xml:space="preserve">电力行业</x:t>
        </x:is>
      </x:c>
      <x:c r="I4700" s="2" t="inlineStr">
        <x:is>
          <x:t xml:space="preserve">2000-07-31</x:t>
        </x:is>
      </x:c>
      <x:c r="J4700" s="3" t="inlineStr">
        <x:is>
          <x:t xml:space="preserve">福建省宁德市东侨经济开发区金马北路2号东晟广场9幢办公楼15层</x:t>
        </x:is>
      </x:c>
      <x:c r="K4700" s="12" t="str">
        <x:f>LEFT("91350000705100343U",18)</x:f>
        <x:v>91350000705100343U</x:v>
      </x:c>
    </x:row>
    <x:row r="4701">
      <x:c r="A4701" s="4" t="n">
        <x:v>4700</x:v>
      </x:c>
      <x:c r="B4701" s="4" t="inlineStr">
        <x:is>
          <x:t xml:space="preserve">000997</x:t>
        </x:is>
      </x:c>
      <x:c r="C4701" s="5" t="inlineStr">
        <x:is>
          <x:t xml:space="preserve">新大陆</x:t>
        </x:is>
      </x:c>
      <x:c r="D4701" s="5" t="inlineStr">
        <x:is>
          <x:t xml:space="preserve">新大陆数字技术股份有限公司</x:t>
        </x:is>
      </x:c>
      <x:c r="E4701" s="4" t="inlineStr">
        <x:is>
          <x:t xml:space="preserve">福建省</x:t>
        </x:is>
      </x:c>
      <x:c r="F4701" s="4" t="inlineStr">
        <x:is>
          <x:t xml:space="preserve">福州市</x:t>
        </x:is>
      </x:c>
      <x:c r="G4701" s="5" t="inlineStr">
        <x:is>
          <x:t xml:space="preserve">福建省-福州市</x:t>
        </x:is>
      </x:c>
      <x:c r="H4701" s="4" t="inlineStr">
        <x:is>
          <x:t xml:space="preserve">电子信息</x:t>
        </x:is>
      </x:c>
      <x:c r="I4701" s="4" t="inlineStr">
        <x:is>
          <x:t xml:space="preserve">2000-08-07</x:t>
        </x:is>
      </x:c>
      <x:c r="J4701" s="5" t="inlineStr">
        <x:is>
          <x:t xml:space="preserve">福建省福州市马尾区儒江西路1号新大陆科技园</x:t>
        </x:is>
      </x:c>
      <x:c r="K4701" s="12" t="str">
        <x:f>LEFT("91350000154586155B",18)</x:f>
        <x:v>91350000154586155B</x:v>
      </x:c>
    </x:row>
    <x:row r="4702">
      <x:c r="A4702" s="2" t="n">
        <x:v>4701</x:v>
      </x:c>
      <x:c r="B4702" s="2" t="inlineStr">
        <x:is>
          <x:t xml:space="preserve">001233</x:t>
        </x:is>
      </x:c>
      <x:c r="C4702" s="3" t="inlineStr">
        <x:is>
          <x:t xml:space="preserve">海安集团</x:t>
        </x:is>
      </x:c>
      <x:c r="D4702" s="3" t="inlineStr">
        <x:is>
          <x:t xml:space="preserve">海安橡胶集团股份公司</x:t>
        </x:is>
      </x:c>
      <x:c r="E4702" s="2" t="inlineStr">
        <x:is>
          <x:t xml:space="preserve">福建省</x:t>
        </x:is>
      </x:c>
      <x:c r="F4702" s="2" t="inlineStr">
        <x:is>
          <x:t xml:space="preserve">莆田市</x:t>
        </x:is>
      </x:c>
      <x:c r="G4702" s="3" t="inlineStr">
        <x:is>
          <x:t xml:space="preserve">福建省-莆田市</x:t>
        </x:is>
      </x:c>
      <x:c r="H4702" s="2" t="inlineStr">
        <x:is>
          <x:t xml:space="preserve">橡胶制品</x:t>
        </x:is>
      </x:c>
      <x:c r="I4702" s="2" t="inlineStr">
        <x:is>
          <x:t xml:space="preserve">2025-11-25</x:t>
        </x:is>
      </x:c>
      <x:c r="J4702" s="3" t="inlineStr">
        <x:is>
          <x:t xml:space="preserve">福建省仙游县枫亭工业园区</x:t>
        </x:is>
      </x:c>
      <x:c r="K4702" s="12" t="str">
        <x:f>LEFT("9135032278219358XG",18)</x:f>
        <x:v>9135032278219358XG</x:v>
      </x:c>
    </x:row>
    <x:row r="4703">
      <x:c r="A4703" s="4" t="n">
        <x:v>4702</x:v>
      </x:c>
      <x:c r="B4703" s="4" t="inlineStr">
        <x:is>
          <x:t xml:space="preserve">001368</x:t>
        </x:is>
      </x:c>
      <x:c r="C4703" s="5" t="inlineStr">
        <x:is>
          <x:t xml:space="preserve">通达创智</x:t>
        </x:is>
      </x:c>
      <x:c r="D4703" s="5" t="inlineStr">
        <x:is>
          <x:t xml:space="preserve">通达创智(厦门)股份有限公司</x:t>
        </x:is>
      </x:c>
      <x:c r="E4703" s="4" t="inlineStr">
        <x:is>
          <x:t xml:space="preserve">福建省</x:t>
        </x:is>
      </x:c>
      <x:c r="F4703" s="4" t="inlineStr">
        <x:is>
          <x:t xml:space="preserve">厦门市</x:t>
        </x:is>
      </x:c>
      <x:c r="G4703" s="5" t="inlineStr">
        <x:is>
          <x:t xml:space="preserve">福建省-厦门市</x:t>
        </x:is>
      </x:c>
      <x:c r="H4703" s="4" t="inlineStr">
        <x:is>
          <x:t xml:space="preserve">塑料制品</x:t>
        </x:is>
      </x:c>
      <x:c r="I4703" s="4" t="inlineStr">
        <x:is>
          <x:t xml:space="preserve">2023-03-13</x:t>
        </x:is>
      </x:c>
      <x:c r="J4703" s="5" t="inlineStr">
        <x:is>
          <x:t xml:space="preserve">厦门市海沧区东孚街道鼎山中路89号</x:t>
        </x:is>
      </x:c>
      <x:c r="K4703" s="12" t="str">
        <x:f>LEFT("91350200MA345X951A",18)</x:f>
        <x:v>91350200MA345X951A</x:v>
      </x:c>
    </x:row>
    <x:row r="4704">
      <x:c r="A4704" s="2" t="n">
        <x:v>4703</x:v>
      </x:c>
      <x:c r="B4704" s="2" t="inlineStr">
        <x:is>
          <x:t xml:space="preserve">002029</x:t>
        </x:is>
      </x:c>
      <x:c r="C4704" s="3" t="inlineStr">
        <x:is>
          <x:t xml:space="preserve">七匹狼</x:t>
        </x:is>
      </x:c>
      <x:c r="D4704" s="3" t="inlineStr">
        <x:is>
          <x:t xml:space="preserve">福建七匹狼实业股份有限公司</x:t>
        </x:is>
      </x:c>
      <x:c r="E4704" s="2" t="inlineStr">
        <x:is>
          <x:t xml:space="preserve">福建省</x:t>
        </x:is>
      </x:c>
      <x:c r="F4704" s="2" t="inlineStr">
        <x:is>
          <x:t xml:space="preserve">建省晋江市</x:t>
        </x:is>
      </x:c>
      <x:c r="G4704" s="3" t="inlineStr">
        <x:is>
          <x:t xml:space="preserve">福建省-建省晋江市</x:t>
        </x:is>
      </x:c>
      <x:c r="H4704" s="2" t="inlineStr">
        <x:is>
          <x:t xml:space="preserve">纺织服装</x:t>
        </x:is>
      </x:c>
      <x:c r="I4704" s="2" t="inlineStr">
        <x:is>
          <x:t xml:space="preserve">2004-08-06</x:t>
        </x:is>
      </x:c>
      <x:c r="J4704" s="3" t="inlineStr">
        <x:is>
          <x:t xml:space="preserve">福建省晋江市金井镇南工业区</x:t>
        </x:is>
      </x:c>
      <x:c r="K4704" s="12" t="str">
        <x:f>LEFT("91350000611520128M",18)</x:f>
        <x:v>91350000611520128M</x:v>
      </x:c>
    </x:row>
    <x:row r="4705">
      <x:c r="A4705" s="4" t="n">
        <x:v>4704</x:v>
      </x:c>
      <x:c r="B4705" s="4" t="inlineStr">
        <x:is>
          <x:t xml:space="preserve">002093</x:t>
        </x:is>
      </x:c>
      <x:c r="C4705" s="5" t="inlineStr">
        <x:is>
          <x:t xml:space="preserve">国脉科技</x:t>
        </x:is>
      </x:c>
      <x:c r="D4705" s="5" t="inlineStr">
        <x:is>
          <x:t xml:space="preserve">国脉科技股份有限公司</x:t>
        </x:is>
      </x:c>
      <x:c r="E4705" s="4" t="inlineStr">
        <x:is>
          <x:t xml:space="preserve">福建省</x:t>
        </x:is>
      </x:c>
      <x:c r="F4705" s="4" t="inlineStr">
        <x:is>
          <x:t xml:space="preserve">福州市</x:t>
        </x:is>
      </x:c>
      <x:c r="G4705" s="5" t="inlineStr">
        <x:is>
          <x:t xml:space="preserve">福建省-福州市</x:t>
        </x:is>
      </x:c>
      <x:c r="H4705" s="4" t="inlineStr">
        <x:is>
          <x:t xml:space="preserve">电信运营</x:t>
        </x:is>
      </x:c>
      <x:c r="I4705" s="4" t="inlineStr">
        <x:is>
          <x:t xml:space="preserve">2006-12-15</x:t>
        </x:is>
      </x:c>
      <x:c r="J4705" s="5" t="inlineStr">
        <x:is>
          <x:t xml:space="preserve">福建省福州市马尾区江滨东大道116号</x:t>
        </x:is>
      </x:c>
      <x:c r="K4705" s="12" t="str">
        <x:f>LEFT("91350000158173905L",18)</x:f>
        <x:v>91350000158173905L</x:v>
      </x:c>
    </x:row>
    <x:row r="4706">
      <x:c r="A4706" s="2" t="n">
        <x:v>4705</x:v>
      </x:c>
      <x:c r="B4706" s="2" t="inlineStr">
        <x:is>
          <x:t xml:space="preserve">002098</x:t>
        </x:is>
      </x:c>
      <x:c r="C4706" s="3" t="inlineStr">
        <x:is>
          <x:t xml:space="preserve">浔兴股份</x:t>
        </x:is>
      </x:c>
      <x:c r="D4706" s="3" t="inlineStr">
        <x:is>
          <x:t xml:space="preserve">福建浔兴拉链科技股份有限公司</x:t>
        </x:is>
      </x:c>
      <x:c r="E4706" s="2" t="inlineStr">
        <x:is>
          <x:t xml:space="preserve">福建省</x:t>
        </x:is>
      </x:c>
      <x:c r="F4706" s="2" t="inlineStr">
        <x:is>
          <x:t xml:space="preserve">建省晋江市</x:t>
        </x:is>
      </x:c>
      <x:c r="G4706" s="3" t="inlineStr">
        <x:is>
          <x:t xml:space="preserve">福建省-建省晋江市</x:t>
        </x:is>
      </x:c>
      <x:c r="H4706" s="2" t="inlineStr">
        <x:is>
          <x:t xml:space="preserve">纺织服装</x:t>
        </x:is>
      </x:c>
      <x:c r="I4706" s="2" t="inlineStr">
        <x:is>
          <x:t xml:space="preserve">2006-12-22</x:t>
        </x:is>
      </x:c>
      <x:c r="J4706" s="3" t="inlineStr">
        <x:is>
          <x:t xml:space="preserve">福建省晋江市深沪乌漏沟东工业区</x:t>
        </x:is>
      </x:c>
      <x:c r="K4706" s="12" t="str">
        <x:f>LEFT("91350000611534757C",18)</x:f>
        <x:v>91350000611534757C</x:v>
      </x:c>
    </x:row>
    <x:row r="4707">
      <x:c r="A4707" s="4" t="n">
        <x:v>4706</x:v>
      </x:c>
      <x:c r="B4707" s="4" t="inlineStr">
        <x:is>
          <x:t xml:space="preserve">002110</x:t>
        </x:is>
      </x:c>
      <x:c r="C4707" s="5" t="inlineStr">
        <x:is>
          <x:t xml:space="preserve">三钢闽光</x:t>
        </x:is>
      </x:c>
      <x:c r="D4707" s="5" t="inlineStr">
        <x:is>
          <x:t xml:space="preserve">福建三钢闽光股份有限公司</x:t>
        </x:is>
      </x:c>
      <x:c r="E4707" s="4" t="inlineStr">
        <x:is>
          <x:t xml:space="preserve">福建省</x:t>
        </x:is>
      </x:c>
      <x:c r="F4707" s="4" t="inlineStr">
        <x:is>
          <x:t xml:space="preserve">三明市</x:t>
        </x:is>
      </x:c>
      <x:c r="G4707" s="5" t="inlineStr">
        <x:is>
          <x:t xml:space="preserve">福建省-三明市</x:t>
        </x:is>
      </x:c>
      <x:c r="H4707" s="4" t="inlineStr">
        <x:is>
          <x:t xml:space="preserve">钢铁行业</x:t>
        </x:is>
      </x:c>
      <x:c r="I4707" s="4" t="inlineStr">
        <x:is>
          <x:t xml:space="preserve">2007-01-26</x:t>
        </x:is>
      </x:c>
      <x:c r="J4707" s="5" t="inlineStr">
        <x:is>
          <x:t xml:space="preserve">福建省三明市三元区工业中路群工三路</x:t>
        </x:is>
      </x:c>
      <x:c r="K4707" s="12" t="str">
        <x:f>LEFT("913500007336174899",18)</x:f>
        <x:v>913500007336174800</x:v>
      </x:c>
    </x:row>
    <x:row r="4708">
      <x:c r="A4708" s="2" t="n">
        <x:v>4707</x:v>
      </x:c>
      <x:c r="B4708" s="2" t="inlineStr">
        <x:is>
          <x:t xml:space="preserve">002174</x:t>
        </x:is>
      </x:c>
      <x:c r="C4708" s="3" t="inlineStr">
        <x:is>
          <x:t xml:space="preserve">游族网络</x:t>
        </x:is>
      </x:c>
      <x:c r="D4708" s="3" t="inlineStr">
        <x:is>
          <x:t xml:space="preserve">游族网络股份有限公司</x:t>
        </x:is>
      </x:c>
      <x:c r="E4708" s="2" t="inlineStr">
        <x:is>
          <x:t xml:space="preserve">福建省</x:t>
        </x:is>
      </x:c>
      <x:c r="F4708" s="2" t="inlineStr">
        <x:is>
          <x:t xml:space="preserve">建省晋江市</x:t>
        </x:is>
      </x:c>
      <x:c r="G4708" s="3" t="inlineStr">
        <x:is>
          <x:t xml:space="preserve">福建省-建省晋江市</x:t>
        </x:is>
      </x:c>
      <x:c r="H4708" s="2" t="inlineStr">
        <x:is>
          <x:t xml:space="preserve">游戏</x:t>
        </x:is>
      </x:c>
      <x:c r="I4708" s="2" t="inlineStr">
        <x:is>
          <x:t xml:space="preserve">2007-09-25</x:t>
        </x:is>
      </x:c>
      <x:c r="J4708" s="3" t="inlineStr">
        <x:is>
          <x:t xml:space="preserve">福建省晋江市经济开发区(安东园)金山路31号</x:t>
        </x:is>
      </x:c>
      <x:c r="K4708" s="12" t="str">
        <x:f>LEFT("91350000611569108K",18)</x:f>
        <x:v>91350000611569108K</x:v>
      </x:c>
    </x:row>
    <x:row r="4709">
      <x:c r="A4709" s="4" t="n">
        <x:v>4708</x:v>
      </x:c>
      <x:c r="B4709" s="4" t="inlineStr">
        <x:is>
          <x:t xml:space="preserve">002217</x:t>
        </x:is>
      </x:c>
      <x:c r="C4709" s="5" t="inlineStr">
        <x:is>
          <x:t xml:space="preserve">合力泰</x:t>
        </x:is>
      </x:c>
      <x:c r="D4709" s="5" t="inlineStr">
        <x:is>
          <x:t xml:space="preserve">合力泰科技股份有限公司</x:t>
        </x:is>
      </x:c>
      <x:c r="E4709" s="4" t="inlineStr">
        <x:is>
          <x:t xml:space="preserve">福建省</x:t>
        </x:is>
      </x:c>
      <x:c r="F4709" s="4" t="inlineStr">
        <x:is>
          <x:t xml:space="preserve">莆田市</x:t>
        </x:is>
      </x:c>
      <x:c r="G4709" s="5" t="inlineStr">
        <x:is>
          <x:t xml:space="preserve">福建省-莆田市</x:t>
        </x:is>
      </x:c>
      <x:c r="H4709" s="4" t="inlineStr">
        <x:is>
          <x:t xml:space="preserve">光学光电子</x:t>
        </x:is>
      </x:c>
      <x:c r="I4709" s="4" t="inlineStr">
        <x:is>
          <x:t xml:space="preserve">2008-02-20</x:t>
        </x:is>
      </x:c>
      <x:c r="J4709" s="5" t="inlineStr">
        <x:is>
          <x:t xml:space="preserve">福建省莆田市涵江区新涵工业园区涵中西路</x:t>
        </x:is>
      </x:c>
      <x:c r="K4709" s="12" t="str">
        <x:f>LEFT("913703007498811104",18)</x:f>
        <x:v>913703007498811100</x:v>
      </x:c>
    </x:row>
    <x:row r="4710">
      <x:c r="A4710" s="2" t="n">
        <x:v>4709</x:v>
      </x:c>
      <x:c r="B4710" s="2" t="inlineStr">
        <x:is>
          <x:t xml:space="preserve">002222</x:t>
        </x:is>
      </x:c>
      <x:c r="C4710" s="3" t="inlineStr">
        <x:is>
          <x:t xml:space="preserve">福晶科技</x:t>
        </x:is>
      </x:c>
      <x:c r="D4710" s="3" t="inlineStr">
        <x:is>
          <x:t xml:space="preserve">福建福晶科技股份有限公司</x:t>
        </x:is>
      </x:c>
      <x:c r="E4710" s="2" t="inlineStr">
        <x:is>
          <x:t xml:space="preserve">福建省</x:t>
        </x:is>
      </x:c>
      <x:c r="F4710" s="2" t="inlineStr">
        <x:is>
          <x:t xml:space="preserve">福州市</x:t>
        </x:is>
      </x:c>
      <x:c r="G4710" s="3" t="inlineStr">
        <x:is>
          <x:t xml:space="preserve">福建省-福州市</x:t>
        </x:is>
      </x:c>
      <x:c r="H4710" s="2" t="inlineStr">
        <x:is>
          <x:t xml:space="preserve">光学光电子</x:t>
        </x:is>
      </x:c>
      <x:c r="I4710" s="2" t="inlineStr">
        <x:is>
          <x:t xml:space="preserve">2008-03-19</x:t>
        </x:is>
      </x:c>
      <x:c r="J4710" s="3" t="inlineStr">
        <x:is>
          <x:t xml:space="preserve">福州市鼓楼区软件大道89号福州软件园F区9号楼</x:t>
        </x:is>
      </x:c>
      <x:c r="K4710" s="12" t="str">
        <x:f>LEFT("913500001581428506",18)</x:f>
        <x:v>913500001581428500</x:v>
      </x:c>
    </x:row>
    <x:row r="4711">
      <x:c r="A4711" s="4" t="n">
        <x:v>4710</x:v>
      </x:c>
      <x:c r="B4711" s="4" t="inlineStr">
        <x:is>
          <x:t xml:space="preserve">002228</x:t>
        </x:is>
      </x:c>
      <x:c r="C4711" s="5" t="inlineStr">
        <x:is>
          <x:t xml:space="preserve">合兴包装</x:t>
        </x:is>
      </x:c>
      <x:c r="D4711" s="5" t="inlineStr">
        <x:is>
          <x:t xml:space="preserve">厦门合兴包装印刷股份有限公司</x:t>
        </x:is>
      </x:c>
      <x:c r="E4711" s="4" t="inlineStr">
        <x:is>
          <x:t xml:space="preserve">福建省</x:t>
        </x:is>
      </x:c>
      <x:c r="F4711" s="4" t="inlineStr">
        <x:is>
          <x:t xml:space="preserve">厦门市</x:t>
        </x:is>
      </x:c>
      <x:c r="G4711" s="5" t="inlineStr">
        <x:is>
          <x:t xml:space="preserve">福建省-厦门市</x:t>
        </x:is>
      </x:c>
      <x:c r="H4711" s="4" t="inlineStr">
        <x:is>
          <x:t xml:space="preserve">包装材料</x:t>
        </x:is>
      </x:c>
      <x:c r="I4711" s="4" t="inlineStr">
        <x:is>
          <x:t xml:space="preserve">2008-05-08</x:t>
        </x:is>
      </x:c>
      <x:c r="J4711" s="5" t="inlineStr">
        <x:is>
          <x:t xml:space="preserve">厦门市同安区同集北路556号</x:t>
        </x:is>
      </x:c>
      <x:c r="K4711" s="12" t="str">
        <x:f>LEFT("91350200612016388E",18)</x:f>
        <x:v>91350200612016388E</x:v>
      </x:c>
    </x:row>
    <x:row r="4712">
      <x:c r="A4712" s="2" t="n">
        <x:v>4711</x:v>
      </x:c>
      <x:c r="B4712" s="2" t="inlineStr">
        <x:is>
          <x:t xml:space="preserve">002229</x:t>
        </x:is>
      </x:c>
      <x:c r="C4712" s="3" t="inlineStr">
        <x:is>
          <x:t xml:space="preserve">鸿博股份</x:t>
        </x:is>
      </x:c>
      <x:c r="D4712" s="3" t="inlineStr">
        <x:is>
          <x:t xml:space="preserve">鸿博股份有限公司</x:t>
        </x:is>
      </x:c>
      <x:c r="E4712" s="2" t="inlineStr">
        <x:is>
          <x:t xml:space="preserve">福建省</x:t>
        </x:is>
      </x:c>
      <x:c r="F4712" s="2" t="inlineStr">
        <x:is>
          <x:t xml:space="preserve">福州市</x:t>
        </x:is>
      </x:c>
      <x:c r="G4712" s="3" t="inlineStr">
        <x:is>
          <x:t xml:space="preserve">福建省-福州市</x:t>
        </x:is>
      </x:c>
      <x:c r="H4712" s="2" t="inlineStr">
        <x:is>
          <x:t xml:space="preserve">造纸印刷</x:t>
        </x:is>
      </x:c>
      <x:c r="I4712" s="2" t="inlineStr">
        <x:is>
          <x:t xml:space="preserve">2008-05-08</x:t>
        </x:is>
      </x:c>
      <x:c r="J4712" s="3" t="inlineStr">
        <x:is>
          <x:t xml:space="preserve">福建省福州市金山开发区金达路136号</x:t>
        </x:is>
      </x:c>
      <x:c r="K4712" s="12" t="str">
        <x:f>LEFT("91350000705101637F",18)</x:f>
        <x:v>91350000705101637F</x:v>
      </x:c>
    </x:row>
    <x:row r="4713">
      <x:c r="A4713" s="4" t="n">
        <x:v>4712</x:v>
      </x:c>
      <x:c r="B4713" s="4" t="inlineStr">
        <x:is>
          <x:t xml:space="preserve">002235</x:t>
        </x:is>
      </x:c>
      <x:c r="C4713" s="5" t="inlineStr">
        <x:is>
          <x:t xml:space="preserve">安妮股份</x:t>
        </x:is>
      </x:c>
      <x:c r="D4713" s="5" t="inlineStr">
        <x:is>
          <x:t xml:space="preserve">厦门安妮股份有限公司</x:t>
        </x:is>
      </x:c>
      <x:c r="E4713" s="4" t="inlineStr">
        <x:is>
          <x:t xml:space="preserve">福建省</x:t>
        </x:is>
      </x:c>
      <x:c r="F4713" s="4" t="inlineStr">
        <x:is>
          <x:t xml:space="preserve">厦门市</x:t>
        </x:is>
      </x:c>
      <x:c r="G4713" s="5" t="inlineStr">
        <x:is>
          <x:t xml:space="preserve">福建省-厦门市</x:t>
        </x:is>
      </x:c>
      <x:c r="H4713" s="4" t="inlineStr">
        <x:is>
          <x:t xml:space="preserve">造纸印刷</x:t>
        </x:is>
      </x:c>
      <x:c r="I4713" s="4" t="inlineStr">
        <x:is>
          <x:t xml:space="preserve">2008-05-16</x:t>
        </x:is>
      </x:c>
      <x:c r="J4713" s="5" t="inlineStr">
        <x:is>
          <x:t xml:space="preserve">厦门市集美区杏林锦园南路99号</x:t>
        </x:is>
      </x:c>
      <x:c r="K4713" s="12" t="str">
        <x:f>LEFT("913502002601292498",18)</x:f>
        <x:v>913502002601292500</x:v>
      </x:c>
    </x:row>
    <x:row r="4714">
      <x:c r="A4714" s="2" t="n">
        <x:v>4713</x:v>
      </x:c>
      <x:c r="B4714" s="2" t="inlineStr">
        <x:is>
          <x:t xml:space="preserve">002264</x:t>
        </x:is>
      </x:c>
      <x:c r="C4714" s="3" t="inlineStr">
        <x:is>
          <x:t xml:space="preserve">新华都</x:t>
        </x:is>
      </x:c>
      <x:c r="D4714" s="3" t="inlineStr">
        <x:is>
          <x:t xml:space="preserve">新华都科技股份有限公司</x:t>
        </x:is>
      </x:c>
      <x:c r="E4714" s="2" t="inlineStr">
        <x:is>
          <x:t xml:space="preserve">福建省</x:t>
        </x:is>
      </x:c>
      <x:c r="F4714" s="2" t="inlineStr">
        <x:is>
          <x:t xml:space="preserve">厦门市</x:t>
        </x:is>
      </x:c>
      <x:c r="G4714" s="3" t="inlineStr">
        <x:is>
          <x:t xml:space="preserve">福建省-厦门市</x:t>
        </x:is>
      </x:c>
      <x:c r="H4714" s="2" t="inlineStr">
        <x:is>
          <x:t xml:space="preserve">互联网服务</x:t>
        </x:is>
      </x:c>
      <x:c r="I4714" s="2" t="inlineStr">
        <x:is>
          <x:t xml:space="preserve">2008-07-31</x:t>
        </x:is>
      </x:c>
      <x:c r="J4714" s="3" t="inlineStr">
        <x:is>
          <x:t xml:space="preserve">厦门市思明区香莲里28号莲花广场商业中心二层237-263单元</x:t>
        </x:is>
      </x:c>
      <x:c r="K4714" s="12" t="str">
        <x:f>LEFT("91350200751648625J",18)</x:f>
        <x:v>91350200751648625J</x:v>
      </x:c>
    </x:row>
    <x:row r="4715">
      <x:c r="A4715" s="4" t="n">
        <x:v>4714</x:v>
      </x:c>
      <x:c r="B4715" s="4" t="inlineStr">
        <x:is>
          <x:t xml:space="preserve">002299</x:t>
        </x:is>
      </x:c>
      <x:c r="C4715" s="5" t="inlineStr">
        <x:is>
          <x:t xml:space="preserve">圣农发展</x:t>
        </x:is>
      </x:c>
      <x:c r="D4715" s="5" t="inlineStr">
        <x:is>
          <x:t xml:space="preserve">福建圣农发展股份有限公司</x:t>
        </x:is>
      </x:c>
      <x:c r="E4715" s="4" t="inlineStr">
        <x:is>
          <x:t xml:space="preserve">福建省</x:t>
        </x:is>
      </x:c>
      <x:c r="F4715" s="4" t="inlineStr">
        <x:is>
          <x:t xml:space="preserve">南平市</x:t>
        </x:is>
      </x:c>
      <x:c r="G4715" s="5" t="inlineStr">
        <x:is>
          <x:t xml:space="preserve">福建省-南平市</x:t>
        </x:is>
      </x:c>
      <x:c r="H4715" s="4" t="inlineStr">
        <x:is>
          <x:t xml:space="preserve">农牧饲渔</x:t>
        </x:is>
      </x:c>
      <x:c r="I4715" s="4" t="inlineStr">
        <x:is>
          <x:t xml:space="preserve">2009-10-21</x:t>
        </x:is>
      </x:c>
      <x:c r="J4715" s="5" t="inlineStr">
        <x:is>
          <x:t xml:space="preserve">福建省光泽县十里铺圣农总部办公大楼</x:t>
        </x:is>
      </x:c>
      <x:c r="K4715" s="12" t="str">
        <x:f>LEFT("91350000705282941N",18)</x:f>
        <x:v>91350000705282941N</x:v>
      </x:c>
    </x:row>
    <x:row r="4716">
      <x:c r="A4716" s="2" t="n">
        <x:v>4715</x:v>
      </x:c>
      <x:c r="B4716" s="2" t="inlineStr">
        <x:is>
          <x:t xml:space="preserve">002300</x:t>
        </x:is>
      </x:c>
      <x:c r="C4716" s="3" t="inlineStr">
        <x:is>
          <x:t xml:space="preserve">太阳电缆</x:t>
        </x:is>
      </x:c>
      <x:c r="D4716" s="3" t="inlineStr">
        <x:is>
          <x:t xml:space="preserve">福建南平太阳电缆股份有限公司</x:t>
        </x:is>
      </x:c>
      <x:c r="E4716" s="2" t="inlineStr">
        <x:is>
          <x:t xml:space="preserve">福建省</x:t>
        </x:is>
      </x:c>
      <x:c r="F4716" s="2" t="inlineStr">
        <x:is>
          <x:t xml:space="preserve">南平市</x:t>
        </x:is>
      </x:c>
      <x:c r="G4716" s="3" t="inlineStr">
        <x:is>
          <x:t xml:space="preserve">福建省-南平市</x:t>
        </x:is>
      </x:c>
      <x:c r="H4716" s="2" t="inlineStr">
        <x:is>
          <x:t xml:space="preserve">输配电气</x:t>
        </x:is>
      </x:c>
      <x:c r="I4716" s="2" t="inlineStr">
        <x:is>
          <x:t xml:space="preserve">2009-10-21</x:t>
        </x:is>
      </x:c>
      <x:c r="J4716" s="3" t="inlineStr">
        <x:is>
          <x:t xml:space="preserve">福建省南平市工业路102号</x:t>
        </x:is>
      </x:c>
      <x:c r="K4716" s="12" t="str">
        <x:f>LEFT("913500001569895802",18)</x:f>
        <x:v>913500001569895800</x:v>
      </x:c>
    </x:row>
    <x:row r="4717">
      <x:c r="A4717" s="4" t="n">
        <x:v>4716</x:v>
      </x:c>
      <x:c r="B4717" s="4" t="inlineStr">
        <x:is>
          <x:t xml:space="preserve">002335</x:t>
        </x:is>
      </x:c>
      <x:c r="C4717" s="5" t="inlineStr">
        <x:is>
          <x:t xml:space="preserve">科华数据</x:t>
        </x:is>
      </x:c>
      <x:c r="D4717" s="5" t="inlineStr">
        <x:is>
          <x:t xml:space="preserve">科华数据股份有限公司</x:t>
        </x:is>
      </x:c>
      <x:c r="E4717" s="4" t="inlineStr">
        <x:is>
          <x:t xml:space="preserve">福建省</x:t>
        </x:is>
      </x:c>
      <x:c r="F4717" s="4" t="inlineStr">
        <x:is>
          <x:t xml:space="preserve">厦门市</x:t>
        </x:is>
      </x:c>
      <x:c r="G4717" s="5" t="inlineStr">
        <x:is>
          <x:t xml:space="preserve">福建省-厦门市</x:t>
        </x:is>
      </x:c>
      <x:c r="H4717" s="4" t="inlineStr">
        <x:is>
          <x:t xml:space="preserve">电源设备</x:t>
        </x:is>
      </x:c>
      <x:c r="I4717" s="4" t="inlineStr">
        <x:is>
          <x:t xml:space="preserve">2010-01-13</x:t>
        </x:is>
      </x:c>
      <x:c r="J4717" s="5" t="inlineStr">
        <x:is>
          <x:t xml:space="preserve">厦门火炬高新区火炬园马垄路457号</x:t>
        </x:is>
      </x:c>
      <x:c r="K4717" s="12" t="str">
        <x:f>LEFT("91350200705404670M",18)</x:f>
        <x:v>91350200705404670M</x:v>
      </x:c>
    </x:row>
    <x:row r="4718">
      <x:c r="A4718" s="2" t="n">
        <x:v>4717</x:v>
      </x:c>
      <x:c r="B4718" s="2" t="inlineStr">
        <x:is>
          <x:t xml:space="preserve">002396</x:t>
        </x:is>
      </x:c>
      <x:c r="C4718" s="3" t="inlineStr">
        <x:is>
          <x:t xml:space="preserve">星网锐捷</x:t>
        </x:is>
      </x:c>
      <x:c r="D4718" s="3" t="inlineStr">
        <x:is>
          <x:t xml:space="preserve">福建星网锐捷通讯股份有限公司</x:t>
        </x:is>
      </x:c>
      <x:c r="E4718" s="2" t="inlineStr">
        <x:is>
          <x:t xml:space="preserve">福建省</x:t>
        </x:is>
      </x:c>
      <x:c r="F4718" s="2" t="inlineStr">
        <x:is>
          <x:t xml:space="preserve">福州市</x:t>
        </x:is>
      </x:c>
      <x:c r="G4718" s="3" t="inlineStr">
        <x:is>
          <x:t xml:space="preserve">福建省-福州市</x:t>
        </x:is>
      </x:c>
      <x:c r="H4718" s="2" t="inlineStr">
        <x:is>
          <x:t xml:space="preserve">通讯行业</x:t>
        </x:is>
      </x:c>
      <x:c r="I4718" s="2" t="inlineStr">
        <x:is>
          <x:t xml:space="preserve">2010-06-23</x:t>
        </x:is>
      </x:c>
      <x:c r="J4718" s="3" t="inlineStr">
        <x:is>
          <x:t xml:space="preserve">福州市仓山区金山大道618号桔园洲星网锐捷科技园19-22栋</x:t>
        </x:is>
      </x:c>
      <x:c r="K4718" s="12" t="str">
        <x:f>LEFT("913500006110085113",18)</x:f>
        <x:v>913500006110085100</x:v>
      </x:c>
    </x:row>
    <x:row r="4719">
      <x:c r="A4719" s="4" t="n">
        <x:v>4718</x:v>
      </x:c>
      <x:c r="B4719" s="4" t="inlineStr">
        <x:is>
          <x:t xml:space="preserve">002398</x:t>
        </x:is>
      </x:c>
      <x:c r="C4719" s="5" t="inlineStr">
        <x:is>
          <x:t xml:space="preserve">垒知集团</x:t>
        </x:is>
      </x:c>
      <x:c r="D4719" s="5" t="inlineStr">
        <x:is>
          <x:t xml:space="preserve">垒知控股集团股份有限公司</x:t>
        </x:is>
      </x:c>
      <x:c r="E4719" s="4" t="inlineStr">
        <x:is>
          <x:t xml:space="preserve">福建省</x:t>
        </x:is>
      </x:c>
      <x:c r="F4719" s="4" t="inlineStr">
        <x:is>
          <x:t xml:space="preserve">厦门市</x:t>
        </x:is>
      </x:c>
      <x:c r="G4719" s="5" t="inlineStr">
        <x:is>
          <x:t xml:space="preserve">福建省-厦门市</x:t>
        </x:is>
      </x:c>
      <x:c r="H4719" s="4" t="inlineStr">
        <x:is>
          <x:t xml:space="preserve">装修建材</x:t>
        </x:is>
      </x:c>
      <x:c r="I4719" s="4" t="inlineStr">
        <x:is>
          <x:t xml:space="preserve">2010-05-06</x:t>
        </x:is>
      </x:c>
      <x:c r="J4719" s="5" t="inlineStr">
        <x:is>
          <x:t xml:space="preserve">福建省厦门市思明区湖滨南路62号</x:t>
        </x:is>
      </x:c>
      <x:c r="K4719" s="12" t="str">
        <x:f>LEFT("913502004266020172",18)</x:f>
        <x:v>913502004266020200</x:v>
      </x:c>
    </x:row>
    <x:row r="4720">
      <x:c r="A4720" s="2" t="n">
        <x:v>4719</x:v>
      </x:c>
      <x:c r="B4720" s="2" t="inlineStr">
        <x:is>
          <x:t xml:space="preserve">002474</x:t>
        </x:is>
      </x:c>
      <x:c r="C4720" s="3" t="inlineStr">
        <x:is>
          <x:t xml:space="preserve">榕基软件</x:t>
        </x:is>
      </x:c>
      <x:c r="D4720" s="3" t="inlineStr">
        <x:is>
          <x:t xml:space="preserve">福建榕基软件股份有限公司</x:t>
        </x:is>
      </x:c>
      <x:c r="E4720" s="2" t="inlineStr">
        <x:is>
          <x:t xml:space="preserve">福建省</x:t>
        </x:is>
      </x:c>
      <x:c r="F4720" s="2" t="inlineStr">
        <x:is>
          <x:t xml:space="preserve">福州市</x:t>
        </x:is>
      </x:c>
      <x:c r="G4720" s="3" t="inlineStr">
        <x:is>
          <x:t xml:space="preserve">福建省-福州市</x:t>
        </x:is>
      </x:c>
      <x:c r="H4720" s="2" t="inlineStr">
        <x:is>
          <x:t xml:space="preserve">互联网服务</x:t>
        </x:is>
      </x:c>
      <x:c r="I4720" s="2" t="inlineStr">
        <x:is>
          <x:t xml:space="preserve">2010-09-15</x:t>
        </x:is>
      </x:c>
      <x:c r="J4720" s="3" t="inlineStr">
        <x:is>
          <x:t xml:space="preserve">福建省福州市鼓楼区铜盘路福州软件园产业基地</x:t>
        </x:is>
      </x:c>
      <x:c r="K4720" s="12" t="str">
        <x:f>LEFT("913500006285075795",18)</x:f>
        <x:v>913500006285075800</x:v>
      </x:c>
    </x:row>
    <x:row r="4721">
      <x:c r="A4721" s="4" t="n">
        <x:v>4720</x:v>
      </x:c>
      <x:c r="B4721" s="4" t="inlineStr">
        <x:is>
          <x:t xml:space="preserve">002512</x:t>
        </x:is>
      </x:c>
      <x:c r="C4721" s="5" t="inlineStr">
        <x:is>
          <x:t xml:space="preserve">ST达华</x:t>
        </x:is>
      </x:c>
      <x:c r="D4721" s="5" t="inlineStr">
        <x:is>
          <x:t xml:space="preserve">福州达华智能科技股份有限公司</x:t>
        </x:is>
      </x:c>
      <x:c r="E4721" s="4" t="inlineStr">
        <x:is>
          <x:t xml:space="preserve">福建省</x:t>
        </x:is>
      </x:c>
      <x:c r="F4721" s="4" t="inlineStr">
        <x:is>
          <x:t xml:space="preserve">福州市</x:t>
        </x:is>
      </x:c>
      <x:c r="G4721" s="5" t="inlineStr">
        <x:is>
          <x:t xml:space="preserve">福建省-福州市</x:t>
        </x:is>
      </x:c>
      <x:c r="H4721" s="4" t="inlineStr">
        <x:is>
          <x:t xml:space="preserve">计算机设备</x:t>
        </x:is>
      </x:c>
      <x:c r="I4721" s="4" t="inlineStr">
        <x:is>
          <x:t xml:space="preserve">2010-12-03</x:t>
        </x:is>
      </x:c>
      <x:c r="J4721" s="5" t="inlineStr">
        <x:is>
          <x:t xml:space="preserve">福建省福州市鼓楼区软件大道89号福州软件园G区17号楼</x:t>
        </x:is>
      </x:c>
      <x:c r="K4721" s="12" t="str">
        <x:f>LEFT("91442000618086205K",18)</x:f>
        <x:v>91442000618086205K</x:v>
      </x:c>
    </x:row>
    <x:row r="4722">
      <x:c r="A4722" s="2" t="n">
        <x:v>4721</x:v>
      </x:c>
      <x:c r="B4722" s="2" t="inlineStr">
        <x:is>
          <x:t xml:space="preserve">002517</x:t>
        </x:is>
      </x:c>
      <x:c r="C4722" s="3" t="inlineStr">
        <x:is>
          <x:t xml:space="preserve">恺英网络</x:t>
        </x:is>
      </x:c>
      <x:c r="D4722" s="3" t="inlineStr">
        <x:is>
          <x:t xml:space="preserve">恺英网络股份有限公司</x:t>
        </x:is>
      </x:c>
      <x:c r="E4722" s="2" t="inlineStr">
        <x:is>
          <x:t xml:space="preserve">福建省</x:t>
        </x:is>
      </x:c>
      <x:c r="F4722" s="2" t="inlineStr">
        <x:is>
          <x:t xml:space="preserve">泉州市</x:t>
        </x:is>
      </x:c>
      <x:c r="G4722" s="3" t="inlineStr">
        <x:is>
          <x:t xml:space="preserve">福建省-泉州市</x:t>
        </x:is>
      </x:c>
      <x:c r="H4722" s="2" t="inlineStr">
        <x:is>
          <x:t xml:space="preserve">游戏</x:t>
        </x:is>
      </x:c>
      <x:c r="I4722" s="2" t="inlineStr">
        <x:is>
          <x:t xml:space="preserve">2010-12-07</x:t>
        </x:is>
      </x:c>
      <x:c r="J4722" s="3" t="inlineStr">
        <x:is>
          <x:t xml:space="preserve">福建省泉州市经济技术开发区清蒙园区美泰路36号</x:t>
        </x:is>
      </x:c>
      <x:c r="K4722" s="12" t="str">
        <x:f>LEFT("913500006339022070",18)</x:f>
        <x:v>913500006339022100</x:v>
      </x:c>
    </x:row>
    <x:row r="4723">
      <x:c r="A4723" s="4" t="n">
        <x:v>4722</x:v>
      </x:c>
      <x:c r="B4723" s="4" t="inlineStr">
        <x:is>
          <x:t xml:space="preserve">002578</x:t>
        </x:is>
      </x:c>
      <x:c r="C4723" s="5" t="inlineStr">
        <x:is>
          <x:t xml:space="preserve">闽发铝业</x:t>
        </x:is>
      </x:c>
      <x:c r="D4723" s="5" t="inlineStr">
        <x:is>
          <x:t xml:space="preserve">福建省闽发铝业股份有限公司</x:t>
        </x:is>
      </x:c>
      <x:c r="E4723" s="4" t="inlineStr">
        <x:is>
          <x:t xml:space="preserve">福建省</x:t>
        </x:is>
      </x:c>
      <x:c r="F4723" s="4" t="inlineStr">
        <x:is>
          <x:t xml:space="preserve">泉州市</x:t>
        </x:is>
      </x:c>
      <x:c r="G4723" s="5" t="inlineStr">
        <x:is>
          <x:t xml:space="preserve">福建省-泉州市</x:t>
        </x:is>
      </x:c>
      <x:c r="H4723" s="4" t="inlineStr">
        <x:is>
          <x:t xml:space="preserve">有色金属</x:t>
        </x:is>
      </x:c>
      <x:c r="I4723" s="4" t="inlineStr">
        <x:is>
          <x:t xml:space="preserve">2011-04-28</x:t>
        </x:is>
      </x:c>
      <x:c r="J4723" s="5" t="inlineStr">
        <x:is>
          <x:t xml:space="preserve">福建省泉州市南安市东田镇蓝溪街228号闽发研发楼</x:t>
        </x:is>
      </x:c>
      <x:c r="K4723" s="12" t="str">
        <x:f>LEFT("913500001563372595",18)</x:f>
        <x:v>913500001563372500</x:v>
      </x:c>
    </x:row>
    <x:row r="4724">
      <x:c r="A4724" s="2" t="n">
        <x:v>4723</x:v>
      </x:c>
      <x:c r="B4724" s="2" t="inlineStr">
        <x:is>
          <x:t xml:space="preserve">002593</x:t>
        </x:is>
      </x:c>
      <x:c r="C4724" s="3" t="inlineStr">
        <x:is>
          <x:t xml:space="preserve">日上集团</x:t>
        </x:is>
      </x:c>
      <x:c r="D4724" s="3" t="inlineStr">
        <x:is>
          <x:t xml:space="preserve">厦门日上集团股份有限公司</x:t>
        </x:is>
      </x:c>
      <x:c r="E4724" s="2" t="inlineStr">
        <x:is>
          <x:t xml:space="preserve">福建省</x:t>
        </x:is>
      </x:c>
      <x:c r="F4724" s="2" t="inlineStr">
        <x:is>
          <x:t xml:space="preserve">厦门市</x:t>
        </x:is>
      </x:c>
      <x:c r="G4724" s="3" t="inlineStr">
        <x:is>
          <x:t xml:space="preserve">福建省-厦门市</x:t>
        </x:is>
      </x:c>
      <x:c r="H4724" s="2" t="inlineStr">
        <x:is>
          <x:t xml:space="preserve">汽车零部件</x:t>
        </x:is>
      </x:c>
      <x:c r="I4724" s="2" t="inlineStr">
        <x:is>
          <x:t xml:space="preserve">2011-06-28</x:t>
        </x:is>
      </x:c>
      <x:c r="J4724" s="3" t="inlineStr">
        <x:is>
          <x:t xml:space="preserve">厦门市集美区杏林杏北路30号</x:t>
        </x:is>
      </x:c>
      <x:c r="K4724" s="12" t="str">
        <x:f>LEFT("91350200612260049W",18)</x:f>
        <x:v>91350200612260049W</x:v>
      </x:c>
    </x:row>
    <x:row r="4725">
      <x:c r="A4725" s="4" t="n">
        <x:v>4724</x:v>
      </x:c>
      <x:c r="B4725" s="4" t="inlineStr">
        <x:is>
          <x:t xml:space="preserve">002614</x:t>
        </x:is>
      </x:c>
      <x:c r="C4725" s="5" t="inlineStr">
        <x:is>
          <x:t xml:space="preserve">奥佳华</x:t>
        </x:is>
      </x:c>
      <x:c r="D4725" s="5" t="inlineStr">
        <x:is>
          <x:t xml:space="preserve">奥佳华智能健康科技集团股份有限公司</x:t>
        </x:is>
      </x:c>
      <x:c r="E4725" s="4" t="inlineStr">
        <x:is>
          <x:t xml:space="preserve">福建省</x:t>
        </x:is>
      </x:c>
      <x:c r="F4725" s="4" t="inlineStr">
        <x:is>
          <x:t xml:space="preserve">厦门市</x:t>
        </x:is>
      </x:c>
      <x:c r="G4725" s="5" t="inlineStr">
        <x:is>
          <x:t xml:space="preserve">福建省-厦门市</x:t>
        </x:is>
      </x:c>
      <x:c r="H4725" s="4" t="inlineStr">
        <x:is>
          <x:t xml:space="preserve">家电行业</x:t>
        </x:is>
      </x:c>
      <x:c r="I4725" s="4" t="inlineStr">
        <x:is>
          <x:t xml:space="preserve">2011-09-09</x:t>
        </x:is>
      </x:c>
      <x:c r="J4725" s="5" t="inlineStr">
        <x:is>
          <x:t xml:space="preserve">厦门市思明区前埔路168号(五楼)</x:t>
        </x:is>
      </x:c>
      <x:c r="K4725" s="12" t="str">
        <x:f>LEFT("91350200260060034P",18)</x:f>
        <x:v>91350200260060034P</x:v>
      </x:c>
    </x:row>
    <x:row r="4726">
      <x:c r="A4726" s="2" t="n">
        <x:v>4725</x:v>
      </x:c>
      <x:c r="B4726" s="2" t="inlineStr">
        <x:is>
          <x:t xml:space="preserve">002626</x:t>
        </x:is>
      </x:c>
      <x:c r="C4726" s="3" t="inlineStr">
        <x:is>
          <x:t xml:space="preserve">金达威</x:t>
        </x:is>
      </x:c>
      <x:c r="D4726" s="3" t="inlineStr">
        <x:is>
          <x:t xml:space="preserve">厦门金达威集团股份有限公司</x:t>
        </x:is>
      </x:c>
      <x:c r="E4726" s="2" t="inlineStr">
        <x:is>
          <x:t xml:space="preserve">福建省</x:t>
        </x:is>
      </x:c>
      <x:c r="F4726" s="2" t="inlineStr">
        <x:is>
          <x:t xml:space="preserve">厦门市</x:t>
        </x:is>
      </x:c>
      <x:c r="G4726" s="3" t="inlineStr">
        <x:is>
          <x:t xml:space="preserve">福建省-厦门市</x:t>
        </x:is>
      </x:c>
      <x:c r="H4726" s="2" t="inlineStr">
        <x:is>
          <x:t xml:space="preserve">食品饮料</x:t>
        </x:is>
      </x:c>
      <x:c r="I4726" s="2" t="inlineStr">
        <x:is>
          <x:t xml:space="preserve">2011-10-28</x:t>
        </x:is>
      </x:c>
      <x:c r="J4726" s="3" t="inlineStr">
        <x:is>
          <x:t xml:space="preserve">福建省厦门市海沧新阳工业区</x:t>
        </x:is>
      </x:c>
      <x:c r="K4726" s="12" t="str">
        <x:f>LEFT("91350200612033399C",18)</x:f>
        <x:v>91350200612033399C</x:v>
      </x:c>
    </x:row>
    <x:row r="4727">
      <x:c r="A4727" s="4" t="n">
        <x:v>4726</x:v>
      </x:c>
      <x:c r="B4727" s="4" t="inlineStr">
        <x:is>
          <x:t xml:space="preserve">002639</x:t>
        </x:is>
      </x:c>
      <x:c r="C4727" s="5" t="inlineStr">
        <x:is>
          <x:t xml:space="preserve">雪人集团</x:t>
        </x:is>
      </x:c>
      <x:c r="D4727" s="5" t="inlineStr">
        <x:is>
          <x:t xml:space="preserve">福建雪人集团股份有限公司</x:t>
        </x:is>
      </x:c>
      <x:c r="E4727" s="4" t="inlineStr">
        <x:is>
          <x:t xml:space="preserve">福建省</x:t>
        </x:is>
      </x:c>
      <x:c r="F4727" s="4" t="inlineStr">
        <x:is>
          <x:t xml:space="preserve">福州市</x:t>
        </x:is>
      </x:c>
      <x:c r="G4727" s="5" t="inlineStr">
        <x:is>
          <x:t xml:space="preserve">福建省-福州市</x:t>
        </x:is>
      </x:c>
      <x:c r="H4727" s="4" t="inlineStr">
        <x:is>
          <x:t xml:space="preserve">机械行业</x:t>
        </x:is>
      </x:c>
      <x:c r="I4727" s="4" t="inlineStr">
        <x:is>
          <x:t xml:space="preserve">2011-12-05</x:t>
        </x:is>
      </x:c>
      <x:c r="J4727" s="5" t="inlineStr">
        <x:is>
          <x:t xml:space="preserve">福州滨海工业区(松下镇首祉村)</x:t>
        </x:is>
      </x:c>
      <x:c r="K4727" s="12" t="str">
        <x:f>LEFT("91350000705110322E",18)</x:f>
        <x:v>91350000705110322E</x:v>
      </x:c>
    </x:row>
    <x:row r="4728">
      <x:c r="A4728" s="2" t="n">
        <x:v>4727</x:v>
      </x:c>
      <x:c r="B4728" s="2" t="inlineStr">
        <x:is>
          <x:t xml:space="preserve">002674</x:t>
        </x:is>
      </x:c>
      <x:c r="C4728" s="3" t="inlineStr">
        <x:is>
          <x:t xml:space="preserve">兴业科技</x:t>
        </x:is>
      </x:c>
      <x:c r="D4728" s="3" t="inlineStr">
        <x:is>
          <x:t xml:space="preserve">兴业皮革科技股份有限公司</x:t>
        </x:is>
      </x:c>
      <x:c r="E4728" s="2" t="inlineStr">
        <x:is>
          <x:t xml:space="preserve">福建省</x:t>
        </x:is>
      </x:c>
      <x:c r="F4728" s="2" t="inlineStr">
        <x:is>
          <x:t xml:space="preserve">晋江市</x:t>
        </x:is>
      </x:c>
      <x:c r="G4728" s="3" t="inlineStr">
        <x:is>
          <x:t xml:space="preserve">福建省-晋江市</x:t>
        </x:is>
      </x:c>
      <x:c r="H4728" s="2" t="inlineStr">
        <x:is>
          <x:t xml:space="preserve">纺织服装</x:t>
        </x:is>
      </x:c>
      <x:c r="I4728" s="2" t="inlineStr">
        <x:is>
          <x:t xml:space="preserve">2012-05-07</x:t>
        </x:is>
      </x:c>
      <x:c r="J4728" s="3" t="inlineStr">
        <x:is>
          <x:t xml:space="preserve">晋江市安海第二工业区兴业路1号</x:t>
        </x:is>
      </x:c>
      <x:c r="K4728" s="12" t="str">
        <x:f>LEFT("91350000154341545Q",18)</x:f>
        <x:v>91350000154341545Q</x:v>
      </x:c>
    </x:row>
    <x:row r="4729">
      <x:c r="A4729" s="4" t="n">
        <x:v>4728</x:v>
      </x:c>
      <x:c r="B4729" s="4" t="inlineStr">
        <x:is>
          <x:t xml:space="preserve">002679</x:t>
        </x:is>
      </x:c>
      <x:c r="C4729" s="5" t="inlineStr">
        <x:is>
          <x:t xml:space="preserve">福建金森</x:t>
        </x:is>
      </x:c>
      <x:c r="D4729" s="5" t="inlineStr">
        <x:is>
          <x:t xml:space="preserve">福建金森林业股份有限公司</x:t>
        </x:is>
      </x:c>
      <x:c r="E4729" s="4" t="inlineStr">
        <x:is>
          <x:t xml:space="preserve">福建省</x:t>
        </x:is>
      </x:c>
      <x:c r="F4729" s="4" t="inlineStr">
        <x:is>
          <x:t xml:space="preserve">三明市</x:t>
        </x:is>
      </x:c>
      <x:c r="G4729" s="5" t="inlineStr">
        <x:is>
          <x:t xml:space="preserve">福建省-三明市</x:t>
        </x:is>
      </x:c>
      <x:c r="H4729" s="4" t="inlineStr">
        <x:is>
          <x:t xml:space="preserve">农牧饲渔</x:t>
        </x:is>
      </x:c>
      <x:c r="I4729" s="4" t="inlineStr">
        <x:is>
          <x:t xml:space="preserve">2012-06-05</x:t>
        </x:is>
      </x:c>
      <x:c r="J4729" s="5" t="inlineStr">
        <x:is>
          <x:t xml:space="preserve">福建省三明市将乐县水南镇三华南路50号12-15层</x:t>
        </x:is>
      </x:c>
      <x:c r="K4729" s="12" t="str">
        <x:f>LEFT("91350000705188269J",18)</x:f>
        <x:v>91350000705188269J</x:v>
      </x:c>
    </x:row>
    <x:row r="4730">
      <x:c r="A4730" s="2" t="n">
        <x:v>4729</x:v>
      </x:c>
      <x:c r="B4730" s="2" t="inlineStr">
        <x:is>
          <x:t xml:space="preserve">002682</x:t>
        </x:is>
      </x:c>
      <x:c r="C4730" s="3" t="inlineStr">
        <x:is>
          <x:t xml:space="preserve">龙洲股份</x:t>
        </x:is>
      </x:c>
      <x:c r="D4730" s="3" t="inlineStr">
        <x:is>
          <x:t xml:space="preserve">龙洲集团股份有限公司</x:t>
        </x:is>
      </x:c>
      <x:c r="E4730" s="2" t="inlineStr">
        <x:is>
          <x:t xml:space="preserve">福建省</x:t>
        </x:is>
      </x:c>
      <x:c r="F4730" s="2" t="inlineStr">
        <x:is>
          <x:t xml:space="preserve">龙岩市</x:t>
        </x:is>
      </x:c>
      <x:c r="G4730" s="3" t="inlineStr">
        <x:is>
          <x:t xml:space="preserve">福建省-龙岩市</x:t>
        </x:is>
      </x:c>
      <x:c r="H4730" s="2" t="inlineStr">
        <x:is>
          <x:t xml:space="preserve">交运物流</x:t>
        </x:is>
      </x:c>
      <x:c r="I4730" s="2" t="inlineStr">
        <x:is>
          <x:t xml:space="preserve">2012-06-12</x:t>
        </x:is>
      </x:c>
      <x:c r="J4730" s="3" t="inlineStr">
        <x:is>
          <x:t xml:space="preserve">福建省龙岩市新罗区南环西路112号</x:t>
        </x:is>
      </x:c>
      <x:c r="K4730" s="12" t="str">
        <x:f>LEFT("91350000753125975Q",18)</x:f>
        <x:v>91350000753125975Q</x:v>
      </x:c>
    </x:row>
    <x:row r="4731">
      <x:c r="A4731" s="4" t="n">
        <x:v>4730</x:v>
      </x:c>
      <x:c r="B4731" s="4" t="inlineStr">
        <x:is>
          <x:t xml:space="preserve">002702</x:t>
        </x:is>
      </x:c>
      <x:c r="C4731" s="5" t="inlineStr">
        <x:is>
          <x:t xml:space="preserve">海欣食品</x:t>
        </x:is>
      </x:c>
      <x:c r="D4731" s="5" t="inlineStr">
        <x:is>
          <x:t xml:space="preserve">海欣食品股份有限公司</x:t>
        </x:is>
      </x:c>
      <x:c r="E4731" s="4" t="inlineStr">
        <x:is>
          <x:t xml:space="preserve">福建省</x:t>
        </x:is>
      </x:c>
      <x:c r="F4731" s="4" t="inlineStr">
        <x:is>
          <x:t xml:space="preserve">福州市</x:t>
        </x:is>
      </x:c>
      <x:c r="G4731" s="5" t="inlineStr">
        <x:is>
          <x:t xml:space="preserve">福建省-福州市</x:t>
        </x:is>
      </x:c>
      <x:c r="H4731" s="4" t="inlineStr">
        <x:is>
          <x:t xml:space="preserve">食品饮料</x:t>
        </x:is>
      </x:c>
      <x:c r="I4731" s="4" t="inlineStr">
        <x:is>
          <x:t xml:space="preserve">2012-10-11</x:t>
        </x:is>
      </x:c>
      <x:c r="J4731" s="5" t="inlineStr">
        <x:is>
          <x:t xml:space="preserve">福州市仓山区建新镇建新北路150号1#楼</x:t>
        </x:is>
      </x:c>
      <x:c r="K4731" s="12" t="str">
        <x:f>LEFT("91350000260191878C",18)</x:f>
        <x:v>91350000260191878C</x:v>
      </x:c>
    </x:row>
    <x:row r="4732">
      <x:c r="A4732" s="2" t="n">
        <x:v>4731</x:v>
      </x:c>
      <x:c r="B4732" s="2" t="inlineStr">
        <x:is>
          <x:t xml:space="preserve">002729</x:t>
        </x:is>
      </x:c>
      <x:c r="C4732" s="3" t="inlineStr">
        <x:is>
          <x:t xml:space="preserve">好利科技</x:t>
        </x:is>
      </x:c>
      <x:c r="D4732" s="3" t="inlineStr">
        <x:is>
          <x:t xml:space="preserve">好利来(中国)电子科技股份有限公司</x:t>
        </x:is>
      </x:c>
      <x:c r="E4732" s="2" t="inlineStr">
        <x:is>
          <x:t xml:space="preserve">福建省</x:t>
        </x:is>
      </x:c>
      <x:c r="F4732" s="2" t="inlineStr">
        <x:is>
          <x:t xml:space="preserve">厦门市</x:t>
        </x:is>
      </x:c>
      <x:c r="G4732" s="3" t="inlineStr">
        <x:is>
          <x:t xml:space="preserve">福建省-厦门市</x:t>
        </x:is>
      </x:c>
      <x:c r="H4732" s="2" t="inlineStr">
        <x:is>
          <x:t xml:space="preserve">电子元件</x:t>
        </x:is>
      </x:c>
      <x:c r="I4732" s="2" t="inlineStr">
        <x:is>
          <x:t xml:space="preserve">2014-09-12</x:t>
        </x:is>
      </x:c>
      <x:c r="J4732" s="3" t="inlineStr">
        <x:is>
          <x:t xml:space="preserve">厦门市翔安区舫山东二路829号</x:t>
        </x:is>
      </x:c>
      <x:c r="K4732" s="12" t="str">
        <x:f>LEFT("91350200612010525Y",18)</x:f>
        <x:v>91350200612010525Y</x:v>
      </x:c>
    </x:row>
    <x:row r="4733">
      <x:c r="A4733" s="4" t="n">
        <x:v>4732</x:v>
      </x:c>
      <x:c r="B4733" s="4" t="inlineStr">
        <x:is>
          <x:t xml:space="preserve">002752</x:t>
        </x:is>
      </x:c>
      <x:c r="C4733" s="5" t="inlineStr">
        <x:is>
          <x:t xml:space="preserve">昇兴股份</x:t>
        </x:is>
      </x:c>
      <x:c r="D4733" s="5" t="inlineStr">
        <x:is>
          <x:t xml:space="preserve">昇兴集团股份有限公司</x:t>
        </x:is>
      </x:c>
      <x:c r="E4733" s="4" t="inlineStr">
        <x:is>
          <x:t xml:space="preserve">福建省</x:t>
        </x:is>
      </x:c>
      <x:c r="F4733" s="4" t="inlineStr">
        <x:is>
          <x:t xml:space="preserve">福州市</x:t>
        </x:is>
      </x:c>
      <x:c r="G4733" s="5" t="inlineStr">
        <x:is>
          <x:t xml:space="preserve">福建省-福州市</x:t>
        </x:is>
      </x:c>
      <x:c r="H4733" s="4" t="inlineStr">
        <x:is>
          <x:t xml:space="preserve">包装材料</x:t>
        </x:is>
      </x:c>
      <x:c r="I4733" s="4" t="inlineStr">
        <x:is>
          <x:t xml:space="preserve">2015-04-22</x:t>
        </x:is>
      </x:c>
      <x:c r="J4733" s="5" t="inlineStr">
        <x:is>
          <x:t xml:space="preserve">福建省福州市马尾区经济技术开发区经一路</x:t>
        </x:is>
      </x:c>
      <x:c r="K4733" s="12" t="str">
        <x:f>LEFT("913500006110059518",18)</x:f>
        <x:v>913500006110059500</x:v>
      </x:c>
    </x:row>
    <x:row r="4734">
      <x:c r="A4734" s="2" t="n">
        <x:v>4733</x:v>
      </x:c>
      <x:c r="B4734" s="2" t="inlineStr">
        <x:is>
          <x:t xml:space="preserve">002785</x:t>
        </x:is>
      </x:c>
      <x:c r="C4734" s="3" t="inlineStr">
        <x:is>
          <x:t xml:space="preserve">万里石</x:t>
        </x:is>
      </x:c>
      <x:c r="D4734" s="3" t="inlineStr">
        <x:is>
          <x:t xml:space="preserve">厦门万里石股份有限公司</x:t>
        </x:is>
      </x:c>
      <x:c r="E4734" s="2" t="inlineStr">
        <x:is>
          <x:t xml:space="preserve">福建省</x:t>
        </x:is>
      </x:c>
      <x:c r="F4734" s="2" t="inlineStr">
        <x:is>
          <x:t xml:space="preserve">厦门市</x:t>
        </x:is>
      </x:c>
      <x:c r="G4734" s="3" t="inlineStr">
        <x:is>
          <x:t xml:space="preserve">福建省-厦门市</x:t>
        </x:is>
      </x:c>
      <x:c r="H4734" s="2" t="inlineStr">
        <x:is>
          <x:t xml:space="preserve">装修建材</x:t>
        </x:is>
      </x:c>
      <x:c r="I4734" s="2" t="inlineStr">
        <x:is>
          <x:t xml:space="preserve">2015-12-23</x:t>
        </x:is>
      </x:c>
      <x:c r="J4734" s="3" t="inlineStr">
        <x:is>
          <x:t xml:space="preserve">厦门市思明区湖滨北路201号宏业大厦8楼</x:t>
        </x:is>
      </x:c>
      <x:c r="K4734" s="12" t="str">
        <x:f>LEFT("91350200260120674H",18)</x:f>
        <x:v>91350200260120674H</x:v>
      </x:c>
    </x:row>
    <x:row r="4735">
      <x:c r="A4735" s="4" t="n">
        <x:v>4734</x:v>
      </x:c>
      <x:c r="B4735" s="4" t="inlineStr">
        <x:is>
          <x:t xml:space="preserve">002788</x:t>
        </x:is>
      </x:c>
      <x:c r="C4735" s="5" t="inlineStr">
        <x:is>
          <x:t xml:space="preserve">鹭燕医药</x:t>
        </x:is>
      </x:c>
      <x:c r="D4735" s="5" t="inlineStr">
        <x:is>
          <x:t xml:space="preserve">鹭燕医药股份有限公司</x:t>
        </x:is>
      </x:c>
      <x:c r="E4735" s="4" t="inlineStr">
        <x:is>
          <x:t xml:space="preserve">福建省</x:t>
        </x:is>
      </x:c>
      <x:c r="F4735" s="4" t="inlineStr">
        <x:is>
          <x:t xml:space="preserve">厦门市</x:t>
        </x:is>
      </x:c>
      <x:c r="G4735" s="5" t="inlineStr">
        <x:is>
          <x:t xml:space="preserve">福建省-厦门市</x:t>
        </x:is>
      </x:c>
      <x:c r="H4735" s="4" t="inlineStr">
        <x:is>
          <x:t xml:space="preserve">医药商业</x:t>
        </x:is>
      </x:c>
      <x:c r="I4735" s="4" t="inlineStr">
        <x:is>
          <x:t xml:space="preserve">2016-02-18</x:t>
        </x:is>
      </x:c>
      <x:c r="J4735" s="5" t="inlineStr">
        <x:is>
          <x:t xml:space="preserve">厦门市湖里区安岭路1004号</x:t>
        </x:is>
      </x:c>
      <x:c r="K4735" s="12" t="str">
        <x:f>LEFT("913502006782575042",18)</x:f>
        <x:v>913502006782575100</x:v>
      </x:c>
    </x:row>
    <x:row r="4736">
      <x:c r="A4736" s="2" t="n">
        <x:v>4735</x:v>
      </x:c>
      <x:c r="B4736" s="2" t="inlineStr">
        <x:is>
          <x:t xml:space="preserve">002790</x:t>
        </x:is>
      </x:c>
      <x:c r="C4736" s="3" t="inlineStr">
        <x:is>
          <x:t xml:space="preserve">瑞尔特</x:t>
        </x:is>
      </x:c>
      <x:c r="D4736" s="3" t="inlineStr">
        <x:is>
          <x:t xml:space="preserve">厦门瑞尔特卫浴科技股份有限公司</x:t>
        </x:is>
      </x:c>
      <x:c r="E4736" s="2" t="inlineStr">
        <x:is>
          <x:t xml:space="preserve">福建省</x:t>
        </x:is>
      </x:c>
      <x:c r="F4736" s="2" t="inlineStr">
        <x:is>
          <x:t xml:space="preserve">厦门市</x:t>
        </x:is>
      </x:c>
      <x:c r="G4736" s="3" t="inlineStr">
        <x:is>
          <x:t xml:space="preserve">福建省-厦门市</x:t>
        </x:is>
      </x:c>
      <x:c r="H4736" s="2" t="inlineStr">
        <x:is>
          <x:t xml:space="preserve">装修建材</x:t>
        </x:is>
      </x:c>
      <x:c r="I4736" s="2" t="inlineStr">
        <x:is>
          <x:t xml:space="preserve">2016-03-08</x:t>
        </x:is>
      </x:c>
      <x:c r="J4736" s="3" t="inlineStr">
        <x:is>
          <x:t xml:space="preserve">厦门市海沧区后祥路18号</x:t>
        </x:is>
      </x:c>
      <x:c r="K4736" s="12" t="str">
        <x:f>LEFT("913502007054071347",18)</x:f>
        <x:v>913502007054071300</x:v>
      </x:c>
    </x:row>
    <x:row r="4737">
      <x:c r="A4737" s="4" t="n">
        <x:v>4736</x:v>
      </x:c>
      <x:c r="B4737" s="4" t="inlineStr">
        <x:is>
          <x:t xml:space="preserve">002803</x:t>
        </x:is>
      </x:c>
      <x:c r="C4737" s="5" t="inlineStr">
        <x:is>
          <x:t xml:space="preserve">吉宏股份</x:t>
        </x:is>
      </x:c>
      <x:c r="D4737" s="5" t="inlineStr">
        <x:is>
          <x:t xml:space="preserve">厦门吉宏科技股份有限公司</x:t>
        </x:is>
      </x:c>
      <x:c r="E4737" s="4" t="inlineStr">
        <x:is>
          <x:t xml:space="preserve">福建省</x:t>
        </x:is>
      </x:c>
      <x:c r="F4737" s="4" t="inlineStr">
        <x:is>
          <x:t xml:space="preserve">厦门市</x:t>
        </x:is>
      </x:c>
      <x:c r="G4737" s="5" t="inlineStr">
        <x:is>
          <x:t xml:space="preserve">福建省-厦门市</x:t>
        </x:is>
      </x:c>
      <x:c r="H4737" s="4" t="inlineStr">
        <x:is>
          <x:t xml:space="preserve">文化传媒</x:t>
        </x:is>
      </x:c>
      <x:c r="I4737" s="4" t="inlineStr">
        <x:is>
          <x:t xml:space="preserve">2016-07-12</x:t>
        </x:is>
      </x:c>
      <x:c r="J4737" s="5" t="inlineStr">
        <x:is>
          <x:t xml:space="preserve">厦门市海沧区东孚工业区二期浦头路9号</x:t>
        </x:is>
      </x:c>
      <x:c r="K4737" s="12" t="str">
        <x:f>LEFT("913502007516215965",18)</x:f>
        <x:v>913502007516215900</x:v>
      </x:c>
    </x:row>
    <x:row r="4738">
      <x:c r="A4738" s="2" t="n">
        <x:v>4737</x:v>
      </x:c>
      <x:c r="B4738" s="2" t="inlineStr">
        <x:is>
          <x:t xml:space="preserve">002868</x:t>
        </x:is>
      </x:c>
      <x:c r="C4738" s="3" t="inlineStr">
        <x:is>
          <x:t xml:space="preserve">绿康生化</x:t>
        </x:is>
      </x:c>
      <x:c r="D4738" s="3" t="inlineStr">
        <x:is>
          <x:t xml:space="preserve">绿康生化股份有限公司</x:t>
        </x:is>
      </x:c>
      <x:c r="E4738" s="2" t="inlineStr">
        <x:is>
          <x:t xml:space="preserve">福建省</x:t>
        </x:is>
      </x:c>
      <x:c r="F4738" s="2" t="inlineStr">
        <x:is>
          <x:t xml:space="preserve">南平市</x:t>
        </x:is>
      </x:c>
      <x:c r="G4738" s="3" t="inlineStr">
        <x:is>
          <x:t xml:space="preserve">福建省-南平市</x:t>
        </x:is>
      </x:c>
      <x:c r="H4738" s="2" t="inlineStr">
        <x:is>
          <x:t xml:space="preserve">农药兽药</x:t>
        </x:is>
      </x:c>
      <x:c r="I4738" s="2" t="inlineStr">
        <x:is>
          <x:t xml:space="preserve">2017-05-03</x:t>
        </x:is>
      </x:c>
      <x:c r="J4738" s="3" t="inlineStr">
        <x:is>
          <x:t xml:space="preserve">福建省浦城县园区大道6号</x:t>
        </x:is>
      </x:c>
      <x:c r="K4738" s="12" t="str">
        <x:f>LEFT("91350000751354926F",18)</x:f>
        <x:v>91350000751354926F</x:v>
      </x:c>
    </x:row>
    <x:row r="4739">
      <x:c r="A4739" s="4" t="n">
        <x:v>4738</x:v>
      </x:c>
      <x:c r="B4739" s="4" t="inlineStr">
        <x:is>
          <x:t xml:space="preserve">002901</x:t>
        </x:is>
      </x:c>
      <x:c r="C4739" s="5" t="inlineStr">
        <x:is>
          <x:t xml:space="preserve">大博医疗</x:t>
        </x:is>
      </x:c>
      <x:c r="D4739" s="5" t="inlineStr">
        <x:is>
          <x:t xml:space="preserve">大博医疗科技股份有限公司</x:t>
        </x:is>
      </x:c>
      <x:c r="E4739" s="4" t="inlineStr">
        <x:is>
          <x:t xml:space="preserve">福建省</x:t>
        </x:is>
      </x:c>
      <x:c r="F4739" s="4" t="inlineStr">
        <x:is>
          <x:t xml:space="preserve">厦门市</x:t>
        </x:is>
      </x:c>
      <x:c r="G4739" s="5" t="inlineStr">
        <x:is>
          <x:t xml:space="preserve">福建省-厦门市</x:t>
        </x:is>
      </x:c>
      <x:c r="H4739" s="4" t="inlineStr">
        <x:is>
          <x:t xml:space="preserve">医疗器械</x:t>
        </x:is>
      </x:c>
      <x:c r="I4739" s="4" t="inlineStr">
        <x:is>
          <x:t xml:space="preserve">2017-09-22</x:t>
        </x:is>
      </x:c>
      <x:c r="J4739" s="5" t="inlineStr">
        <x:is>
          <x:t xml:space="preserve">厦门市海沧区山边洪东路18号</x:t>
        </x:is>
      </x:c>
      <x:c r="K4739" s="12" t="str">
        <x:f>LEFT("913502007617290664",18)</x:f>
        <x:v>913502007617290600</x:v>
      </x:c>
    </x:row>
    <x:row r="4740">
      <x:c r="A4740" s="2" t="n">
        <x:v>4739</x:v>
      </x:c>
      <x:c r="B4740" s="2" t="inlineStr">
        <x:is>
          <x:t xml:space="preserve">002925</x:t>
        </x:is>
      </x:c>
      <x:c r="C4740" s="3" t="inlineStr">
        <x:is>
          <x:t xml:space="preserve">盈趣科技</x:t>
        </x:is>
      </x:c>
      <x:c r="D4740" s="3" t="inlineStr">
        <x:is>
          <x:t xml:space="preserve">厦门盈趣科技股份有限公司</x:t>
        </x:is>
      </x:c>
      <x:c r="E4740" s="2" t="inlineStr">
        <x:is>
          <x:t xml:space="preserve">福建省</x:t>
        </x:is>
      </x:c>
      <x:c r="F4740" s="2" t="inlineStr">
        <x:is>
          <x:t xml:space="preserve">厦门市</x:t>
        </x:is>
      </x:c>
      <x:c r="G4740" s="3" t="inlineStr">
        <x:is>
          <x:t xml:space="preserve">福建省-厦门市</x:t>
        </x:is>
      </x:c>
      <x:c r="H4740" s="2" t="inlineStr">
        <x:is>
          <x:t xml:space="preserve">消费电子</x:t>
        </x:is>
      </x:c>
      <x:c r="I4740" s="2" t="inlineStr">
        <x:is>
          <x:t xml:space="preserve">2018-01-15</x:t>
        </x:is>
      </x:c>
      <x:c r="J4740" s="3" t="inlineStr">
        <x:is>
          <x:t xml:space="preserve">厦门市海沧区东孚西路100号</x:t>
        </x:is>
      </x:c>
      <x:c r="K4740" s="12" t="str">
        <x:f>LEFT("913502005750038518",18)</x:f>
        <x:v>913502005750038500</x:v>
      </x:c>
    </x:row>
    <x:row r="4741">
      <x:c r="A4741" s="4" t="n">
        <x:v>4740</x:v>
      </x:c>
      <x:c r="B4741" s="4" t="inlineStr">
        <x:is>
          <x:t xml:space="preserve">002961</x:t>
        </x:is>
      </x:c>
      <x:c r="C4741" s="5" t="inlineStr">
        <x:is>
          <x:t xml:space="preserve">瑞达期货</x:t>
        </x:is>
      </x:c>
      <x:c r="D4741" s="5" t="inlineStr">
        <x:is>
          <x:t xml:space="preserve">瑞达期货股份有限公司</x:t>
        </x:is>
      </x:c>
      <x:c r="E4741" s="4" t="inlineStr">
        <x:is>
          <x:t xml:space="preserve">福建省</x:t>
        </x:is>
      </x:c>
      <x:c r="F4741" s="4" t="inlineStr">
        <x:is>
          <x:t xml:space="preserve">厦门市</x:t>
        </x:is>
      </x:c>
      <x:c r="G4741" s="5" t="inlineStr">
        <x:is>
          <x:t xml:space="preserve">福建省-厦门市</x:t>
        </x:is>
      </x:c>
      <x:c r="H4741" s="4" t="inlineStr">
        <x:is>
          <x:t xml:space="preserve">多元金融</x:t>
        </x:is>
      </x:c>
      <x:c r="I4741" s="4" t="inlineStr">
        <x:is>
          <x:t xml:space="preserve">2019-09-05</x:t>
        </x:is>
      </x:c>
      <x:c r="J4741" s="5" t="inlineStr">
        <x:is>
          <x:t xml:space="preserve">福建省厦门市思明区桃园路18号26-29层</x:t>
        </x:is>
      </x:c>
      <x:c r="K4741" s="12" t="str">
        <x:f>LEFT("91350000201934803B",18)</x:f>
        <x:v>91350000201934803B</x:v>
      </x:c>
    </x:row>
    <x:row r="4742">
      <x:c r="A4742" s="2" t="n">
        <x:v>4741</x:v>
      </x:c>
      <x:c r="B4742" s="2" t="inlineStr">
        <x:is>
          <x:t xml:space="preserve">003016</x:t>
        </x:is>
      </x:c>
      <x:c r="C4742" s="3" t="inlineStr">
        <x:is>
          <x:t xml:space="preserve">欣贺股份</x:t>
        </x:is>
      </x:c>
      <x:c r="D4742" s="3" t="inlineStr">
        <x:is>
          <x:t xml:space="preserve">欣贺股份有限公司</x:t>
        </x:is>
      </x:c>
      <x:c r="E4742" s="2" t="inlineStr">
        <x:is>
          <x:t xml:space="preserve">福建省</x:t>
        </x:is>
      </x:c>
      <x:c r="F4742" s="2" t="inlineStr">
        <x:is>
          <x:t xml:space="preserve">厦门市</x:t>
        </x:is>
      </x:c>
      <x:c r="G4742" s="3" t="inlineStr">
        <x:is>
          <x:t xml:space="preserve">福建省-厦门市</x:t>
        </x:is>
      </x:c>
      <x:c r="H4742" s="2" t="inlineStr">
        <x:is>
          <x:t xml:space="preserve">纺织服装</x:t>
        </x:is>
      </x:c>
      <x:c r="I4742" s="2" t="inlineStr">
        <x:is>
          <x:t xml:space="preserve">2020-10-26</x:t>
        </x:is>
      </x:c>
      <x:c r="J4742" s="3" t="inlineStr">
        <x:is>
          <x:t xml:space="preserve">福建省厦门市湖里区岐山路392号</x:t>
        </x:is>
      </x:c>
      <x:c r="K4742" s="12" t="str">
        <x:f>LEFT("91350200784171077C",18)</x:f>
        <x:v>91350200784171077C</x:v>
      </x:c>
    </x:row>
    <x:row r="4743">
      <x:c r="A4743" s="4" t="n">
        <x:v>4742</x:v>
      </x:c>
      <x:c r="B4743" s="4" t="inlineStr">
        <x:is>
          <x:t xml:space="preserve">003019</x:t>
        </x:is>
      </x:c>
      <x:c r="C4743" s="5" t="inlineStr">
        <x:is>
          <x:t xml:space="preserve">宸展光电</x:t>
        </x:is>
      </x:c>
      <x:c r="D4743" s="5" t="inlineStr">
        <x:is>
          <x:t xml:space="preserve">宸展光电(厦门)股份有限公司</x:t>
        </x:is>
      </x:c>
      <x:c r="E4743" s="4" t="inlineStr">
        <x:is>
          <x:t xml:space="preserve">福建省</x:t>
        </x:is>
      </x:c>
      <x:c r="F4743" s="4" t="inlineStr">
        <x:is>
          <x:t xml:space="preserve">厦门市</x:t>
        </x:is>
      </x:c>
      <x:c r="G4743" s="5" t="inlineStr">
        <x:is>
          <x:t xml:space="preserve">福建省-厦门市</x:t>
        </x:is>
      </x:c>
      <x:c r="H4743" s="4" t="inlineStr">
        <x:is>
          <x:t xml:space="preserve">光学光电子</x:t>
        </x:is>
      </x:c>
      <x:c r="I4743" s="4" t="inlineStr">
        <x:is>
          <x:t xml:space="preserve">2020-11-17</x:t>
        </x:is>
      </x:c>
      <x:c r="J4743" s="5" t="inlineStr">
        <x:is>
          <x:t xml:space="preserve">厦门市集美区杏林南路60号厂房</x:t>
        </x:is>
      </x:c>
      <x:c r="K4743" s="12" t="str">
        <x:f>LEFT("913502003295944816",18)</x:f>
        <x:v>913502003295944800</x:v>
      </x:c>
    </x:row>
    <x:row r="4744">
      <x:c r="A4744" s="2" t="n">
        <x:v>4743</x:v>
      </x:c>
      <x:c r="B4744" s="2" t="inlineStr">
        <x:is>
          <x:t xml:space="preserve">300056</x:t>
        </x:is>
      </x:c>
      <x:c r="C4744" s="3" t="inlineStr">
        <x:is>
          <x:t xml:space="preserve">中创环保</x:t>
        </x:is>
      </x:c>
      <x:c r="D4744" s="3" t="inlineStr">
        <x:is>
          <x:t xml:space="preserve">厦门中创环保科技股份有限公司</x:t>
        </x:is>
      </x:c>
      <x:c r="E4744" s="2" t="inlineStr">
        <x:is>
          <x:t xml:space="preserve">福建省</x:t>
        </x:is>
      </x:c>
      <x:c r="F4744" s="2" t="inlineStr">
        <x:is>
          <x:t xml:space="preserve">厦门市</x:t>
        </x:is>
      </x:c>
      <x:c r="G4744" s="3" t="inlineStr">
        <x:is>
          <x:t xml:space="preserve">福建省-厦门市</x:t>
        </x:is>
      </x:c>
      <x:c r="H4744" s="2" t="inlineStr">
        <x:is>
          <x:t xml:space="preserve">环保工程</x:t>
        </x:is>
      </x:c>
      <x:c r="I4744" s="2" t="inlineStr">
        <x:is>
          <x:t xml:space="preserve">2010-02-26</x:t>
        </x:is>
      </x:c>
      <x:c r="J4744" s="3" t="inlineStr">
        <x:is>
          <x:t xml:space="preserve">厦门火炬高新区(翔安)产业区春光路1178-1188号</x:t>
        </x:is>
      </x:c>
      <x:c r="K4744" s="12" t="str">
        <x:f>LEFT("91350200705466767W",18)</x:f>
        <x:v>91350200705466767W</x:v>
      </x:c>
    </x:row>
    <x:row r="4745">
      <x:c r="A4745" s="4" t="n">
        <x:v>4744</x:v>
      </x:c>
      <x:c r="B4745" s="4" t="inlineStr">
        <x:is>
          <x:t xml:space="preserve">300062</x:t>
        </x:is>
      </x:c>
      <x:c r="C4745" s="5" t="inlineStr">
        <x:is>
          <x:t xml:space="preserve">中能电气</x:t>
        </x:is>
      </x:c>
      <x:c r="D4745" s="5" t="inlineStr">
        <x:is>
          <x:t xml:space="preserve">中能电气股份有限公司</x:t>
        </x:is>
      </x:c>
      <x:c r="E4745" s="4" t="inlineStr">
        <x:is>
          <x:t xml:space="preserve">福建省</x:t>
        </x:is>
      </x:c>
      <x:c r="F4745" s="4" t="inlineStr">
        <x:is>
          <x:t xml:space="preserve">福州市</x:t>
        </x:is>
      </x:c>
      <x:c r="G4745" s="5" t="inlineStr">
        <x:is>
          <x:t xml:space="preserve">福建省-福州市</x:t>
        </x:is>
      </x:c>
      <x:c r="H4745" s="4" t="inlineStr">
        <x:is>
          <x:t xml:space="preserve">输配电气</x:t>
        </x:is>
      </x:c>
      <x:c r="I4745" s="4" t="inlineStr">
        <x:is>
          <x:t xml:space="preserve">2010-03-19</x:t>
        </x:is>
      </x:c>
      <x:c r="J4745" s="5" t="inlineStr">
        <x:is>
          <x:t xml:space="preserve">福建省福州市仓山区金山工业区金洲北路</x:t>
        </x:is>
      </x:c>
      <x:c r="K4745" s="12" t="str">
        <x:f>LEFT("91350000743821715A",18)</x:f>
        <x:v>91350000743821715A</x:v>
      </x:c>
    </x:row>
    <x:row r="4746">
      <x:c r="A4746" s="2" t="n">
        <x:v>4745</x:v>
      </x:c>
      <x:c r="B4746" s="2" t="inlineStr">
        <x:is>
          <x:t xml:space="preserve">300096</x:t>
        </x:is>
      </x:c>
      <x:c r="C4746" s="3" t="inlineStr">
        <x:is>
          <x:t xml:space="preserve">ST易联众</x:t>
        </x:is>
      </x:c>
      <x:c r="D4746" s="3" t="inlineStr">
        <x:is>
          <x:t xml:space="preserve">易联众信息技术股份有限公司</x:t>
        </x:is>
      </x:c>
      <x:c r="E4746" s="2" t="inlineStr">
        <x:is>
          <x:t xml:space="preserve">福建省</x:t>
        </x:is>
      </x:c>
      <x:c r="F4746" s="2" t="inlineStr">
        <x:is>
          <x:t xml:space="preserve">厦门市</x:t>
        </x:is>
      </x:c>
      <x:c r="G4746" s="3" t="inlineStr">
        <x:is>
          <x:t xml:space="preserve">福建省-厦门市</x:t>
        </x:is>
      </x:c>
      <x:c r="H4746" s="2" t="inlineStr">
        <x:is>
          <x:t xml:space="preserve">互联网服务</x:t>
        </x:is>
      </x:c>
      <x:c r="I4746" s="2" t="inlineStr">
        <x:is>
          <x:t xml:space="preserve">2010-07-28</x:t>
        </x:is>
      </x:c>
      <x:c r="J4746" s="3" t="inlineStr">
        <x:is>
          <x:t xml:space="preserve">厦门市软件园二期观日路18号502室</x:t>
        </x:is>
      </x:c>
      <x:c r="K4746" s="12" t="str">
        <x:f>LEFT("91350200612040492E",18)</x:f>
        <x:v>91350200612040492E</x:v>
      </x:c>
    </x:row>
    <x:row r="4747">
      <x:c r="A4747" s="4" t="n">
        <x:v>4746</x:v>
      </x:c>
      <x:c r="B4747" s="4" t="inlineStr">
        <x:is>
          <x:t xml:space="preserve">300102</x:t>
        </x:is>
      </x:c>
      <x:c r="C4747" s="5" t="inlineStr">
        <x:is>
          <x:t xml:space="preserve">乾照光电</x:t>
        </x:is>
      </x:c>
      <x:c r="D4747" s="5" t="inlineStr">
        <x:is>
          <x:t xml:space="preserve">厦门乾照光电股份有限公司</x:t>
        </x:is>
      </x:c>
      <x:c r="E4747" s="4" t="inlineStr">
        <x:is>
          <x:t xml:space="preserve">福建省</x:t>
        </x:is>
      </x:c>
      <x:c r="F4747" s="4" t="inlineStr">
        <x:is>
          <x:t xml:space="preserve">厦门市</x:t>
        </x:is>
      </x:c>
      <x:c r="G4747" s="5" t="inlineStr">
        <x:is>
          <x:t xml:space="preserve">福建省-厦门市</x:t>
        </x:is>
      </x:c>
      <x:c r="H4747" s="4" t="inlineStr">
        <x:is>
          <x:t xml:space="preserve">光学光电子</x:t>
        </x:is>
      </x:c>
      <x:c r="I4747" s="4" t="inlineStr">
        <x:is>
          <x:t xml:space="preserve">2010-08-12</x:t>
        </x:is>
      </x:c>
      <x:c r="J4747" s="5" t="inlineStr">
        <x:is>
          <x:t xml:space="preserve">厦门火炬高新区(翔安)产业区翔天路259-269号</x:t>
        </x:is>
      </x:c>
      <x:c r="K4747" s="12" t="str">
        <x:f>LEFT("91350200784153733J",18)</x:f>
        <x:v>91350200784153733J</x:v>
      </x:c>
    </x:row>
    <x:row r="4748">
      <x:c r="A4748" s="2" t="n">
        <x:v>4747</x:v>
      </x:c>
      <x:c r="B4748" s="2" t="inlineStr">
        <x:is>
          <x:t xml:space="preserve">300132</x:t>
        </x:is>
      </x:c>
      <x:c r="C4748" s="3" t="inlineStr">
        <x:is>
          <x:t xml:space="preserve">青松股份</x:t>
        </x:is>
      </x:c>
      <x:c r="D4748" s="3" t="inlineStr">
        <x:is>
          <x:t xml:space="preserve">福建青松股份有限公司</x:t>
        </x:is>
      </x:c>
      <x:c r="E4748" s="2" t="inlineStr">
        <x:is>
          <x:t xml:space="preserve">福建省</x:t>
        </x:is>
      </x:c>
      <x:c r="F4748" s="2" t="inlineStr">
        <x:is>
          <x:t xml:space="preserve">南平市</x:t>
        </x:is>
      </x:c>
      <x:c r="G4748" s="3" t="inlineStr">
        <x:is>
          <x:t xml:space="preserve">福建省-南平市</x:t>
        </x:is>
      </x:c>
      <x:c r="H4748" s="2" t="inlineStr">
        <x:is>
          <x:t xml:space="preserve">美容护理</x:t>
        </x:is>
      </x:c>
      <x:c r="I4748" s="2" t="inlineStr">
        <x:is>
          <x:t xml:space="preserve">2010-10-26</x:t>
        </x:is>
      </x:c>
      <x:c r="J4748" s="3" t="inlineStr">
        <x:is>
          <x:t xml:space="preserve">福建省南平市建阳区长安路515号武夷悦酒店2幢209室</x:t>
        </x:is>
      </x:c>
      <x:c r="K4748" s="12" t="str">
        <x:f>LEFT("913500007264402916",18)</x:f>
        <x:v>913500007264403000</x:v>
      </x:c>
    </x:row>
    <x:row r="4749">
      <x:c r="A4749" s="4" t="n">
        <x:v>4748</x:v>
      </x:c>
      <x:c r="B4749" s="4" t="inlineStr">
        <x:is>
          <x:t xml:space="preserve">300174</x:t>
        </x:is>
      </x:c>
      <x:c r="C4749" s="5" t="inlineStr">
        <x:is>
          <x:t xml:space="preserve">元力股份</x:t>
        </x:is>
      </x:c>
      <x:c r="D4749" s="5" t="inlineStr">
        <x:is>
          <x:t xml:space="preserve">福建元力活性炭股份有限公司</x:t>
        </x:is>
      </x:c>
      <x:c r="E4749" s="4" t="inlineStr">
        <x:is>
          <x:t xml:space="preserve">福建省</x:t>
        </x:is>
      </x:c>
      <x:c r="F4749" s="4" t="inlineStr">
        <x:is>
          <x:t xml:space="preserve">南平市</x:t>
        </x:is>
      </x:c>
      <x:c r="G4749" s="5" t="inlineStr">
        <x:is>
          <x:t xml:space="preserve">福建省-南平市</x:t>
        </x:is>
      </x:c>
      <x:c r="H4749" s="4" t="inlineStr">
        <x:is>
          <x:t xml:space="preserve">化工行业</x:t>
        </x:is>
      </x:c>
      <x:c r="I4749" s="4" t="inlineStr">
        <x:is>
          <x:t xml:space="preserve">2011-02-01</x:t>
        </x:is>
      </x:c>
      <x:c r="J4749" s="5" t="inlineStr">
        <x:is>
          <x:t xml:space="preserve">福建省南平来舟经济开发区</x:t>
        </x:is>
      </x:c>
      <x:c r="K4749" s="12" t="str">
        <x:f>LEFT("91350000611069146L",18)</x:f>
        <x:v>91350000611069146L</x:v>
      </x:c>
    </x:row>
    <x:row r="4750">
      <x:c r="A4750" s="2" t="n">
        <x:v>4749</x:v>
      </x:c>
      <x:c r="B4750" s="2" t="inlineStr">
        <x:is>
          <x:t xml:space="preserve">300188</x:t>
        </x:is>
      </x:c>
      <x:c r="C4750" s="3" t="inlineStr">
        <x:is>
          <x:t xml:space="preserve">国投智能</x:t>
        </x:is>
      </x:c>
      <x:c r="D4750" s="3" t="inlineStr">
        <x:is>
          <x:t xml:space="preserve">国投智能信息科技股份有限公司</x:t>
        </x:is>
      </x:c>
      <x:c r="E4750" s="2" t="inlineStr">
        <x:is>
          <x:t xml:space="preserve">福建省</x:t>
        </x:is>
      </x:c>
      <x:c r="F4750" s="2" t="inlineStr">
        <x:is>
          <x:t xml:space="preserve">厦门市</x:t>
        </x:is>
      </x:c>
      <x:c r="G4750" s="3" t="inlineStr">
        <x:is>
          <x:t xml:space="preserve">福建省-厦门市</x:t>
        </x:is>
      </x:c>
      <x:c r="H4750" s="2" t="inlineStr">
        <x:is>
          <x:t xml:space="preserve">软件服务</x:t>
        </x:is>
      </x:c>
      <x:c r="I4750" s="2" t="inlineStr">
        <x:is>
          <x:t xml:space="preserve">2011-03-16</x:t>
        </x:is>
      </x:c>
      <x:c r="J4750" s="3" t="inlineStr">
        <x:is>
          <x:t xml:space="preserve">厦门火炬高新区软件园二期前埔东路188号19层</x:t>
        </x:is>
      </x:c>
      <x:c r="K4750" s="12" t="str">
        <x:f>LEFT("91350200705420347R",18)</x:f>
        <x:v>91350200705420347R</x:v>
      </x:c>
    </x:row>
    <x:row r="4751">
      <x:c r="A4751" s="4" t="n">
        <x:v>4750</x:v>
      </x:c>
      <x:c r="B4751" s="4" t="inlineStr">
        <x:is>
          <x:t xml:space="preserve">300198</x:t>
        </x:is>
      </x:c>
      <x:c r="C4751" s="5" t="inlineStr">
        <x:is>
          <x:t xml:space="preserve">纳川股份</x:t>
        </x:is>
      </x:c>
      <x:c r="D4751" s="5" t="inlineStr">
        <x:is>
          <x:t xml:space="preserve">福建纳川管材科技股份有限公司</x:t>
        </x:is>
      </x:c>
      <x:c r="E4751" s="4" t="inlineStr">
        <x:is>
          <x:t xml:space="preserve">福建省</x:t>
        </x:is>
      </x:c>
      <x:c r="F4751" s="4" t="inlineStr">
        <x:is>
          <x:t xml:space="preserve">泉州市</x:t>
        </x:is>
      </x:c>
      <x:c r="G4751" s="5" t="inlineStr">
        <x:is>
          <x:t xml:space="preserve">福建省-泉州市</x:t>
        </x:is>
      </x:c>
      <x:c r="H4751" s="4" t="inlineStr">
        <x:is>
          <x:t xml:space="preserve">装修建材</x:t>
        </x:is>
      </x:c>
      <x:c r="I4751" s="4" t="inlineStr">
        <x:is>
          <x:t xml:space="preserve">2011-04-07</x:t>
        </x:is>
      </x:c>
      <x:c r="J4751" s="5" t="inlineStr">
        <x:is>
          <x:t xml:space="preserve">泉州市泉港区普安工业区</x:t>
        </x:is>
      </x:c>
      <x:c r="K4751" s="12" t="str">
        <x:f>LEFT("91350000751353819T",18)</x:f>
        <x:v>91350000751353819T</x:v>
      </x:c>
    </x:row>
    <x:row r="4752">
      <x:c r="A4752" s="2" t="n">
        <x:v>4751</x:v>
      </x:c>
      <x:c r="B4752" s="2" t="inlineStr">
        <x:is>
          <x:t xml:space="preserve">300299</x:t>
        </x:is>
      </x:c>
      <x:c r="C4752" s="3" t="inlineStr">
        <x:is>
          <x:t xml:space="preserve">富春股份</x:t>
        </x:is>
      </x:c>
      <x:c r="D4752" s="3" t="inlineStr">
        <x:is>
          <x:t xml:space="preserve">富春科技股份有限公司</x:t>
        </x:is>
      </x:c>
      <x:c r="E4752" s="2" t="inlineStr">
        <x:is>
          <x:t xml:space="preserve">福建省</x:t>
        </x:is>
      </x:c>
      <x:c r="F4752" s="2" t="inlineStr">
        <x:is>
          <x:t xml:space="preserve">福州市</x:t>
        </x:is>
      </x:c>
      <x:c r="G4752" s="3" t="inlineStr">
        <x:is>
          <x:t xml:space="preserve">福建省-福州市</x:t>
        </x:is>
      </x:c>
      <x:c r="H4752" s="2" t="inlineStr">
        <x:is>
          <x:t xml:space="preserve">游戏</x:t>
        </x:is>
      </x:c>
      <x:c r="I4752" s="2" t="inlineStr">
        <x:is>
          <x:t xml:space="preserve">2012-03-19</x:t>
        </x:is>
      </x:c>
      <x:c r="J4752" s="3" t="inlineStr">
        <x:is>
          <x:t xml:space="preserve">福州市鼓楼区铜盘路软件大道89号C区25号楼</x:t>
        </x:is>
      </x:c>
      <x:c r="K4752" s="12" t="str">
        <x:f>LEFT("913500007264587158",18)</x:f>
        <x:v>913500007264587100</x:v>
      </x:c>
    </x:row>
    <x:row r="4753">
      <x:c r="A4753" s="4" t="n">
        <x:v>4752</x:v>
      </x:c>
      <x:c r="B4753" s="4" t="inlineStr">
        <x:is>
          <x:t xml:space="preserve">300300</x:t>
        </x:is>
      </x:c>
      <x:c r="C4753" s="5" t="inlineStr">
        <x:is>
          <x:t xml:space="preserve">海峡创新</x:t>
        </x:is>
      </x:c>
      <x:c r="D4753" s="5" t="inlineStr">
        <x:is>
          <x:t xml:space="preserve">海峡创新互联网股份有限公司</x:t>
        </x:is>
      </x:c>
      <x:c r="E4753" s="4" t="inlineStr">
        <x:is>
          <x:t xml:space="preserve">福建省</x:t>
        </x:is>
      </x:c>
      <x:c r="F4753" s="4" t="inlineStr">
        <x:is>
          <x:t xml:space="preserve">福州市</x:t>
        </x:is>
      </x:c>
      <x:c r="G4753" s="5" t="inlineStr">
        <x:is>
          <x:t xml:space="preserve">福建省-福州市</x:t>
        </x:is>
      </x:c>
      <x:c r="H4753" s="4" t="inlineStr">
        <x:is>
          <x:t xml:space="preserve">互联网服务</x:t>
        </x:is>
      </x:c>
      <x:c r="I4753" s="4" t="inlineStr">
        <x:is>
          <x:t xml:space="preserve">2012-03-19</x:t>
        </x:is>
      </x:c>
      <x:c r="J4753" s="5" t="inlineStr">
        <x:is>
          <x:t xml:space="preserve">福建省平潭综合实验区金井湾片区商务营运中心6号楼17层</x:t>
        </x:is>
      </x:c>
      <x:c r="K4753" s="12" t="str">
        <x:f>LEFT("913300007441437848",18)</x:f>
        <x:v>913300007441437800</x:v>
      </x:c>
    </x:row>
    <x:row r="4754">
      <x:c r="A4754" s="2" t="n">
        <x:v>4753</x:v>
      </x:c>
      <x:c r="B4754" s="2" t="inlineStr">
        <x:is>
          <x:t xml:space="preserve">300341</x:t>
        </x:is>
      </x:c>
      <x:c r="C4754" s="3" t="inlineStr">
        <x:is>
          <x:t xml:space="preserve">麦克奥迪</x:t>
        </x:is>
      </x:c>
      <x:c r="D4754" s="3" t="inlineStr">
        <x:is>
          <x:t xml:space="preserve">麦克奥迪(厦门)电气股份有限公司</x:t>
        </x:is>
      </x:c>
      <x:c r="E4754" s="2" t="inlineStr">
        <x:is>
          <x:t xml:space="preserve">福建省</x:t>
        </x:is>
      </x:c>
      <x:c r="F4754" s="2" t="inlineStr">
        <x:is>
          <x:t xml:space="preserve">厦门市</x:t>
        </x:is>
      </x:c>
      <x:c r="G4754" s="3" t="inlineStr">
        <x:is>
          <x:t xml:space="preserve">福建省-厦门市</x:t>
        </x:is>
      </x:c>
      <x:c r="H4754" s="2" t="inlineStr">
        <x:is>
          <x:t xml:space="preserve">电网设备</x:t>
        </x:is>
      </x:c>
      <x:c r="I4754" s="2" t="inlineStr">
        <x:is>
          <x:t xml:space="preserve">2012-07-26</x:t>
        </x:is>
      </x:c>
      <x:c r="J4754" s="3" t="inlineStr">
        <x:is>
          <x:t xml:space="preserve">厦门火炬高新区(翔安)产业区舫山南路808号</x:t>
        </x:is>
      </x:c>
      <x:c r="K4754" s="12" t="str">
        <x:f>LEFT("91350200612046405R",18)</x:f>
        <x:v>91350200612046405R</x:v>
      </x:c>
    </x:row>
    <x:row r="4755">
      <x:c r="A4755" s="4" t="n">
        <x:v>4754</x:v>
      </x:c>
      <x:c r="B4755" s="4" t="inlineStr">
        <x:is>
          <x:t xml:space="preserve">300427</x:t>
        </x:is>
      </x:c>
      <x:c r="C4755" s="5" t="inlineStr">
        <x:is>
          <x:t xml:space="preserve">红相股份</x:t>
        </x:is>
      </x:c>
      <x:c r="D4755" s="5" t="inlineStr">
        <x:is>
          <x:t xml:space="preserve">红相股份有限公司</x:t>
        </x:is>
      </x:c>
      <x:c r="E4755" s="4" t="inlineStr">
        <x:is>
          <x:t xml:space="preserve">福建省</x:t>
        </x:is>
      </x:c>
      <x:c r="F4755" s="4" t="inlineStr">
        <x:is>
          <x:t xml:space="preserve">厦门市</x:t>
        </x:is>
      </x:c>
      <x:c r="G4755" s="5" t="inlineStr">
        <x:is>
          <x:t xml:space="preserve">福建省-厦门市</x:t>
        </x:is>
      </x:c>
      <x:c r="H4755" s="4" t="inlineStr">
        <x:is>
          <x:t xml:space="preserve">输配电气</x:t>
        </x:is>
      </x:c>
      <x:c r="I4755" s="4" t="inlineStr">
        <x:is>
          <x:t xml:space="preserve">2015-02-17</x:t>
        </x:is>
      </x:c>
      <x:c r="J4755" s="5" t="inlineStr">
        <x:is>
          <x:t xml:space="preserve">厦门市思明区南投路3号1002单元之一</x:t>
        </x:is>
      </x:c>
      <x:c r="K4755" s="12" t="str">
        <x:f>LEFT("91350200776007963Y",18)</x:f>
        <x:v>91350200776007963Y</x:v>
      </x:c>
    </x:row>
    <x:row r="4756">
      <x:c r="A4756" s="2" t="n">
        <x:v>4755</x:v>
      </x:c>
      <x:c r="B4756" s="2" t="inlineStr">
        <x:is>
          <x:t xml:space="preserve">300436</x:t>
        </x:is>
      </x:c>
      <x:c r="C4756" s="3" t="inlineStr">
        <x:is>
          <x:t xml:space="preserve">广生堂</x:t>
        </x:is>
      </x:c>
      <x:c r="D4756" s="3" t="inlineStr">
        <x:is>
          <x:t xml:space="preserve">福建广生堂药业股份有限公司</x:t>
        </x:is>
      </x:c>
      <x:c r="E4756" s="2" t="inlineStr">
        <x:is>
          <x:t xml:space="preserve">福建省</x:t>
        </x:is>
      </x:c>
      <x:c r="F4756" s="2" t="inlineStr">
        <x:is>
          <x:t xml:space="preserve">宁德市</x:t>
        </x:is>
      </x:c>
      <x:c r="G4756" s="3" t="inlineStr">
        <x:is>
          <x:t xml:space="preserve">福建省-宁德市</x:t>
        </x:is>
      </x:c>
      <x:c r="H4756" s="2" t="inlineStr">
        <x:is>
          <x:t xml:space="preserve">医药制造</x:t>
        </x:is>
      </x:c>
      <x:c r="I4756" s="2" t="inlineStr">
        <x:is>
          <x:t xml:space="preserve">2015-04-22</x:t>
        </x:is>
      </x:c>
      <x:c r="J4756" s="3" t="inlineStr">
        <x:is>
          <x:t xml:space="preserve">福建省宁德市柘荣县富源工业园区1-7幢</x:t>
        </x:is>
      </x:c>
      <x:c r="K4756" s="12" t="str">
        <x:f>LEFT("913500007297027606",18)</x:f>
        <x:v>913500007297027600</x:v>
      </x:c>
    </x:row>
    <x:row r="4757">
      <x:c r="A4757" s="4" t="n">
        <x:v>4756</x:v>
      </x:c>
      <x:c r="B4757" s="4" t="inlineStr">
        <x:is>
          <x:t xml:space="preserve">300525</x:t>
        </x:is>
      </x:c>
      <x:c r="C4757" s="5" t="inlineStr">
        <x:is>
          <x:t xml:space="preserve">博思软件</x:t>
        </x:is>
      </x:c>
      <x:c r="D4757" s="5" t="inlineStr">
        <x:is>
          <x:t xml:space="preserve">福建博思软件股份有限公司</x:t>
        </x:is>
      </x:c>
      <x:c r="E4757" s="4" t="inlineStr">
        <x:is>
          <x:t xml:space="preserve">福建省</x:t>
        </x:is>
      </x:c>
      <x:c r="F4757" s="4" t="inlineStr">
        <x:is>
          <x:t xml:space="preserve">福州市</x:t>
        </x:is>
      </x:c>
      <x:c r="G4757" s="5" t="inlineStr">
        <x:is>
          <x:t xml:space="preserve">福建省-福州市</x:t>
        </x:is>
      </x:c>
      <x:c r="H4757" s="4" t="inlineStr">
        <x:is>
          <x:t xml:space="preserve">软件服务</x:t>
        </x:is>
      </x:c>
      <x:c r="I4757" s="4" t="inlineStr">
        <x:is>
          <x:t xml:space="preserve">2016-07-26</x:t>
        </x:is>
      </x:c>
      <x:c r="J4757" s="5" t="inlineStr">
        <x:is>
          <x:t xml:space="preserve">福建省闽侯县上街镇高新大道5号</x:t>
        </x:is>
      </x:c>
      <x:c r="K4757" s="12" t="str">
        <x:f>LEFT("91350100731844207Y",18)</x:f>
        <x:v>91350100731844207Y</x:v>
      </x:c>
    </x:row>
    <x:row r="4758">
      <x:c r="A4758" s="2" t="n">
        <x:v>4757</x:v>
      </x:c>
      <x:c r="B4758" s="2" t="inlineStr">
        <x:is>
          <x:t xml:space="preserve">300560</x:t>
        </x:is>
      </x:c>
      <x:c r="C4758" s="3" t="inlineStr">
        <x:is>
          <x:t xml:space="preserve">中富通</x:t>
        </x:is>
      </x:c>
      <x:c r="D4758" s="3" t="inlineStr">
        <x:is>
          <x:t xml:space="preserve">中富通集团股份有限公司</x:t>
        </x:is>
      </x:c>
      <x:c r="E4758" s="2" t="inlineStr">
        <x:is>
          <x:t xml:space="preserve">福建省</x:t>
        </x:is>
      </x:c>
      <x:c r="F4758" s="2" t="inlineStr">
        <x:is>
          <x:t xml:space="preserve">福州市</x:t>
        </x:is>
      </x:c>
      <x:c r="G4758" s="3" t="inlineStr">
        <x:is>
          <x:t xml:space="preserve">福建省-福州市</x:t>
        </x:is>
      </x:c>
      <x:c r="H4758" s="2" t="inlineStr">
        <x:is>
          <x:t xml:space="preserve">通信服务</x:t>
        </x:is>
      </x:c>
      <x:c r="I4758" s="2" t="inlineStr">
        <x:is>
          <x:t xml:space="preserve">2016-11-01</x:t>
        </x:is>
      </x:c>
      <x:c r="J4758" s="3" t="inlineStr">
        <x:is>
          <x:t xml:space="preserve">福建省福州市鼓楼区铜盘路软件大道89号软件园F区4号楼20、21、22层</x:t>
        </x:is>
      </x:c>
      <x:c r="K4758" s="12" t="str">
        <x:f>LEFT("913500007356527552",18)</x:f>
        <x:v>913500007356527600</x:v>
      </x:c>
    </x:row>
    <x:row r="4759">
      <x:c r="A4759" s="4" t="n">
        <x:v>4758</x:v>
      </x:c>
      <x:c r="B4759" s="4" t="inlineStr">
        <x:is>
          <x:t xml:space="preserve">300605</x:t>
        </x:is>
      </x:c>
      <x:c r="C4759" s="5" t="inlineStr">
        <x:is>
          <x:t xml:space="preserve">恒锋信息</x:t>
        </x:is>
      </x:c>
      <x:c r="D4759" s="5" t="inlineStr">
        <x:is>
          <x:t xml:space="preserve">恒锋信息科技股份有限公司</x:t>
        </x:is>
      </x:c>
      <x:c r="E4759" s="4" t="inlineStr">
        <x:is>
          <x:t xml:space="preserve">福建省</x:t>
        </x:is>
      </x:c>
      <x:c r="F4759" s="4" t="inlineStr">
        <x:is>
          <x:t xml:space="preserve">福州市</x:t>
        </x:is>
      </x:c>
      <x:c r="G4759" s="5" t="inlineStr">
        <x:is>
          <x:t xml:space="preserve">福建省-福州市</x:t>
        </x:is>
      </x:c>
      <x:c r="H4759" s="4" t="inlineStr">
        <x:is>
          <x:t xml:space="preserve">软件服务</x:t>
        </x:is>
      </x:c>
      <x:c r="I4759" s="4" t="inlineStr">
        <x:is>
          <x:t xml:space="preserve">2017-02-08</x:t>
        </x:is>
      </x:c>
      <x:c r="J4759" s="5" t="inlineStr">
        <x:is>
          <x:t xml:space="preserve">福州市鼓楼区软件大道89号福州软件园F区8号楼4层437室</x:t>
        </x:is>
      </x:c>
      <x:c r="K4759" s="12" t="str">
        <x:f>LEFT("9135010026017703XW",18)</x:f>
        <x:v>9135010026017703XW</x:v>
      </x:c>
    </x:row>
    <x:row r="4760">
      <x:c r="A4760" s="2" t="n">
        <x:v>4759</x:v>
      </x:c>
      <x:c r="B4760" s="2" t="inlineStr">
        <x:is>
          <x:t xml:space="preserve">300628</x:t>
        </x:is>
      </x:c>
      <x:c r="C4760" s="3" t="inlineStr">
        <x:is>
          <x:t xml:space="preserve">亿联网络</x:t>
        </x:is>
      </x:c>
      <x:c r="D4760" s="3" t="inlineStr">
        <x:is>
          <x:t xml:space="preserve">厦门亿联网络技术股份有限公司</x:t>
        </x:is>
      </x:c>
      <x:c r="E4760" s="2" t="inlineStr">
        <x:is>
          <x:t xml:space="preserve">福建省</x:t>
        </x:is>
      </x:c>
      <x:c r="F4760" s="2" t="inlineStr">
        <x:is>
          <x:t xml:space="preserve">厦门市</x:t>
        </x:is>
      </x:c>
      <x:c r="G4760" s="3" t="inlineStr">
        <x:is>
          <x:t xml:space="preserve">福建省-厦门市</x:t>
        </x:is>
      </x:c>
      <x:c r="H4760" s="2" t="inlineStr">
        <x:is>
          <x:t xml:space="preserve">通讯行业</x:t>
        </x:is>
      </x:c>
      <x:c r="I4760" s="2" t="inlineStr">
        <x:is>
          <x:t xml:space="preserve">2017-03-17</x:t>
        </x:is>
      </x:c>
      <x:c r="J4760" s="3" t="inlineStr">
        <x:is>
          <x:t xml:space="preserve">厦门市湖里区护安路666号</x:t>
        </x:is>
      </x:c>
      <x:c r="K4760" s="12" t="str">
        <x:f>LEFT("91350200705487306K",18)</x:f>
        <x:v>91350200705487306K</x:v>
      </x:c>
    </x:row>
    <x:row r="4761">
      <x:c r="A4761" s="4" t="n">
        <x:v>4760</x:v>
      </x:c>
      <x:c r="B4761" s="4" t="inlineStr">
        <x:is>
          <x:t xml:space="preserve">300632</x:t>
        </x:is>
      </x:c>
      <x:c r="C4761" s="5" t="inlineStr">
        <x:is>
          <x:t xml:space="preserve">光莆股份</x:t>
        </x:is>
      </x:c>
      <x:c r="D4761" s="5" t="inlineStr">
        <x:is>
          <x:t xml:space="preserve">厦门光莆电子股份有限公司</x:t>
        </x:is>
      </x:c>
      <x:c r="E4761" s="4" t="inlineStr">
        <x:is>
          <x:t xml:space="preserve">福建省</x:t>
        </x:is>
      </x:c>
      <x:c r="F4761" s="4" t="inlineStr">
        <x:is>
          <x:t xml:space="preserve">厦门市</x:t>
        </x:is>
      </x:c>
      <x:c r="G4761" s="5" t="inlineStr">
        <x:is>
          <x:t xml:space="preserve">福建省-厦门市</x:t>
        </x:is>
      </x:c>
      <x:c r="H4761" s="4" t="inlineStr">
        <x:is>
          <x:t xml:space="preserve">光学光电子</x:t>
        </x:is>
      </x:c>
      <x:c r="I4761" s="4" t="inlineStr">
        <x:is>
          <x:t xml:space="preserve">2017-04-06</x:t>
        </x:is>
      </x:c>
      <x:c r="J4761" s="5" t="inlineStr">
        <x:is>
          <x:t xml:space="preserve">厦门火炬高新区思明软件园3号创新大厦C区3F-A1468</x:t>
        </x:is>
      </x:c>
      <x:c r="K4761" s="12" t="str">
        <x:f>LEFT("91350200612261252T",18)</x:f>
        <x:v>91350200612261252T</x:v>
      </x:c>
    </x:row>
    <x:row r="4762">
      <x:c r="A4762" s="2" t="n">
        <x:v>4761</x:v>
      </x:c>
      <x:c r="B4762" s="2" t="inlineStr">
        <x:is>
          <x:t xml:space="preserve">300640</x:t>
        </x:is>
      </x:c>
      <x:c r="C4762" s="3" t="inlineStr">
        <x:is>
          <x:t xml:space="preserve">德艺文创</x:t>
        </x:is>
      </x:c>
      <x:c r="D4762" s="3" t="inlineStr">
        <x:is>
          <x:t xml:space="preserve">德艺文化创意集团股份有限公司</x:t>
        </x:is>
      </x:c>
      <x:c r="E4762" s="2" t="inlineStr">
        <x:is>
          <x:t xml:space="preserve">福建省</x:t>
        </x:is>
      </x:c>
      <x:c r="F4762" s="2" t="inlineStr">
        <x:is>
          <x:t xml:space="preserve">福州市</x:t>
        </x:is>
      </x:c>
      <x:c r="G4762" s="3" t="inlineStr">
        <x:is>
          <x:t xml:space="preserve">福建省-福州市</x:t>
        </x:is>
      </x:c>
      <x:c r="H4762" s="2" t="inlineStr">
        <x:is>
          <x:t xml:space="preserve">工艺商品</x:t>
        </x:is>
      </x:c>
      <x:c r="I4762" s="2" t="inlineStr">
        <x:is>
          <x:t xml:space="preserve">2017-04-17</x:t>
        </x:is>
      </x:c>
      <x:c r="J4762" s="3" t="inlineStr">
        <x:is>
          <x:t xml:space="preserve">福建省福州市晋安区鼓山镇福兴大道22号512室</x:t>
        </x:is>
      </x:c>
      <x:c r="K4762" s="12" t="str">
        <x:f>LEFT("913501001543955516",18)</x:f>
        <x:v>913501001543955500</x:v>
      </x:c>
    </x:row>
    <x:row r="4763">
      <x:c r="A4763" s="4" t="n">
        <x:v>4762</x:v>
      </x:c>
      <x:c r="B4763" s="4" t="inlineStr">
        <x:is>
          <x:t xml:space="preserve">300648</x:t>
        </x:is>
      </x:c>
      <x:c r="C4763" s="5" t="inlineStr">
        <x:is>
          <x:t xml:space="preserve">星云股份</x:t>
        </x:is>
      </x:c>
      <x:c r="D4763" s="5" t="inlineStr">
        <x:is>
          <x:t xml:space="preserve">福建星云电子股份有限公司</x:t>
        </x:is>
      </x:c>
      <x:c r="E4763" s="4" t="inlineStr">
        <x:is>
          <x:t xml:space="preserve">福建省</x:t>
        </x:is>
      </x:c>
      <x:c r="F4763" s="4" t="inlineStr">
        <x:is>
          <x:t xml:space="preserve">福州市</x:t>
        </x:is>
      </x:c>
      <x:c r="G4763" s="5" t="inlineStr">
        <x:is>
          <x:t xml:space="preserve">福建省-福州市</x:t>
        </x:is>
      </x:c>
      <x:c r="H4763" s="4" t="inlineStr">
        <x:is>
          <x:t xml:space="preserve">电池</x:t>
        </x:is>
      </x:c>
      <x:c r="I4763" s="4" t="inlineStr">
        <x:is>
          <x:t xml:space="preserve">2017-04-25</x:t>
        </x:is>
      </x:c>
      <x:c r="J4763" s="5" t="inlineStr">
        <x:is>
          <x:t xml:space="preserve">福建省福州市马尾区快安马江大道石狮路6号1-4#楼</x:t>
        </x:is>
      </x:c>
      <x:c r="K4763" s="12" t="str">
        <x:f>LEFT("91350100770663716E",18)</x:f>
        <x:v>91350100770663716E</x:v>
      </x:c>
    </x:row>
    <x:row r="4764">
      <x:c r="A4764" s="2" t="n">
        <x:v>4763</x:v>
      </x:c>
      <x:c r="B4764" s="2" t="inlineStr">
        <x:is>
          <x:t xml:space="preserve">300650</x:t>
        </x:is>
      </x:c>
      <x:c r="C4764" s="3" t="inlineStr">
        <x:is>
          <x:t xml:space="preserve">太龙股份</x:t>
        </x:is>
      </x:c>
      <x:c r="D4764" s="3" t="inlineStr">
        <x:is>
          <x:t xml:space="preserve">太龙电子股份有限公司</x:t>
        </x:is>
      </x:c>
      <x:c r="E4764" s="2" t="inlineStr">
        <x:is>
          <x:t xml:space="preserve">福建省</x:t>
        </x:is>
      </x:c>
      <x:c r="F4764" s="2" t="inlineStr">
        <x:is>
          <x:t xml:space="preserve">漳州市</x:t>
        </x:is>
      </x:c>
      <x:c r="G4764" s="3" t="inlineStr">
        <x:is>
          <x:t xml:space="preserve">福建省-漳州市</x:t>
        </x:is>
      </x:c>
      <x:c r="H4764" s="2" t="inlineStr">
        <x:is>
          <x:t xml:space="preserve">光学光电子</x:t>
        </x:is>
      </x:c>
      <x:c r="I4764" s="2" t="inlineStr">
        <x:is>
          <x:t xml:space="preserve">2017-05-03</x:t>
        </x:is>
      </x:c>
      <x:c r="J4764" s="3" t="inlineStr">
        <x:is>
          <x:t xml:space="preserve">福建省漳州台商投资区角美镇角江路吴宅园区</x:t>
        </x:is>
      </x:c>
      <x:c r="K4764" s="12" t="str">
        <x:f>LEFT("9135060066509817X1",18)</x:f>
        <x:v>9135060066509817X1</x:v>
      </x:c>
    </x:row>
    <x:row r="4765">
      <x:c r="A4765" s="4" t="n">
        <x:v>4764</x:v>
      </x:c>
      <x:c r="B4765" s="4" t="inlineStr">
        <x:is>
          <x:t xml:space="preserve">300657</x:t>
        </x:is>
      </x:c>
      <x:c r="C4765" s="5" t="inlineStr">
        <x:is>
          <x:t xml:space="preserve">弘信电子</x:t>
        </x:is>
      </x:c>
      <x:c r="D4765" s="5" t="inlineStr">
        <x:is>
          <x:t xml:space="preserve">厦门弘信电子科技集团股份有限公司</x:t>
        </x:is>
      </x:c>
      <x:c r="E4765" s="4" t="inlineStr">
        <x:is>
          <x:t xml:space="preserve">福建省</x:t>
        </x:is>
      </x:c>
      <x:c r="F4765" s="4" t="inlineStr">
        <x:is>
          <x:t xml:space="preserve">厦门市</x:t>
        </x:is>
      </x:c>
      <x:c r="G4765" s="5" t="inlineStr">
        <x:is>
          <x:t xml:space="preserve">福建省-厦门市</x:t>
        </x:is>
      </x:c>
      <x:c r="H4765" s="4" t="inlineStr">
        <x:is>
          <x:t xml:space="preserve">电子元件</x:t>
        </x:is>
      </x:c>
      <x:c r="I4765" s="4" t="inlineStr">
        <x:is>
          <x:t xml:space="preserve">2017-05-23</x:t>
        </x:is>
      </x:c>
      <x:c r="J4765" s="5" t="inlineStr">
        <x:is>
          <x:t xml:space="preserve">厦门火炬高新区(翔安)产业区翔海路19号之2(1#厂房3楼)</x:t>
        </x:is>
      </x:c>
      <x:c r="K4765" s="12" t="str">
        <x:f>LEFT("91350200751606855K",18)</x:f>
        <x:v>91350200751606855K</x:v>
      </x:c>
    </x:row>
    <x:row r="4766">
      <x:c r="A4766" s="2" t="n">
        <x:v>4765</x:v>
      </x:c>
      <x:c r="B4766" s="2" t="inlineStr">
        <x:is>
          <x:t xml:space="preserve">300658</x:t>
        </x:is>
      </x:c>
      <x:c r="C4766" s="3" t="inlineStr">
        <x:is>
          <x:t xml:space="preserve">延江股份</x:t>
        </x:is>
      </x:c>
      <x:c r="D4766" s="3" t="inlineStr">
        <x:is>
          <x:t xml:space="preserve">厦门延江新材料股份有限公司</x:t>
        </x:is>
      </x:c>
      <x:c r="E4766" s="2" t="inlineStr">
        <x:is>
          <x:t xml:space="preserve">福建省</x:t>
        </x:is>
      </x:c>
      <x:c r="F4766" s="2" t="inlineStr">
        <x:is>
          <x:t xml:space="preserve">厦门市</x:t>
        </x:is>
      </x:c>
      <x:c r="G4766" s="3" t="inlineStr">
        <x:is>
          <x:t xml:space="preserve">福建省-厦门市</x:t>
        </x:is>
      </x:c>
      <x:c r="H4766" s="2" t="inlineStr">
        <x:is>
          <x:t xml:space="preserve">美容护理</x:t>
        </x:is>
      </x:c>
      <x:c r="I4766" s="2" t="inlineStr">
        <x:is>
          <x:t xml:space="preserve">2017-06-02</x:t>
        </x:is>
      </x:c>
      <x:c r="J4766" s="3" t="inlineStr">
        <x:is>
          <x:t xml:space="preserve">厦门市翔安区内厝工业区后堤路666号</x:t>
        </x:is>
      </x:c>
      <x:c r="K4766" s="12" t="str">
        <x:f>LEFT("913502007054371227",18)</x:f>
        <x:v>913502007054371200</x:v>
      </x:c>
    </x:row>
    <x:row r="4767">
      <x:c r="A4767" s="4" t="n">
        <x:v>4766</x:v>
      </x:c>
      <x:c r="B4767" s="4" t="inlineStr">
        <x:is>
          <x:t xml:space="preserve">300685</x:t>
        </x:is>
      </x:c>
      <x:c r="C4767" s="5" t="inlineStr">
        <x:is>
          <x:t xml:space="preserve">艾德生物</x:t>
        </x:is>
      </x:c>
      <x:c r="D4767" s="5" t="inlineStr">
        <x:is>
          <x:t xml:space="preserve">厦门艾德生物医药科技股份有限公司</x:t>
        </x:is>
      </x:c>
      <x:c r="E4767" s="4" t="inlineStr">
        <x:is>
          <x:t xml:space="preserve">福建省</x:t>
        </x:is>
      </x:c>
      <x:c r="F4767" s="4" t="inlineStr">
        <x:is>
          <x:t xml:space="preserve">厦门市</x:t>
        </x:is>
      </x:c>
      <x:c r="G4767" s="5" t="inlineStr">
        <x:is>
          <x:t xml:space="preserve">福建省-厦门市</x:t>
        </x:is>
      </x:c>
      <x:c r="H4767" s="4" t="inlineStr">
        <x:is>
          <x:t xml:space="preserve">医疗器械</x:t>
        </x:is>
      </x:c>
      <x:c r="I4767" s="4" t="inlineStr">
        <x:is>
          <x:t xml:space="preserve">2017-08-02</x:t>
        </x:is>
      </x:c>
      <x:c r="J4767" s="5" t="inlineStr">
        <x:is>
          <x:t xml:space="preserve">厦门市海沧区鼎山路39号</x:t>
        </x:is>
      </x:c>
      <x:c r="K4767" s="12" t="str">
        <x:f>LEFT("9135020066474298XL",18)</x:f>
        <x:v>9135020066474298XL</x:v>
      </x:c>
    </x:row>
    <x:row r="4768">
      <x:c r="A4768" s="2" t="n">
        <x:v>4767</x:v>
      </x:c>
      <x:c r="B4768" s="2" t="inlineStr">
        <x:is>
          <x:t xml:space="preserve">300706</x:t>
        </x:is>
      </x:c>
      <x:c r="C4768" s="3" t="inlineStr">
        <x:is>
          <x:t xml:space="preserve">阿石创</x:t>
        </x:is>
      </x:c>
      <x:c r="D4768" s="3" t="inlineStr">
        <x:is>
          <x:t xml:space="preserve">福建阿石创新材料股份有限公司</x:t>
        </x:is>
      </x:c>
      <x:c r="E4768" s="2" t="inlineStr">
        <x:is>
          <x:t xml:space="preserve">福建省</x:t>
        </x:is>
      </x:c>
      <x:c r="F4768" s="2" t="inlineStr">
        <x:is>
          <x:t xml:space="preserve">福州市</x:t>
        </x:is>
      </x:c>
      <x:c r="G4768" s="3" t="inlineStr">
        <x:is>
          <x:t xml:space="preserve">福建省-福州市</x:t>
        </x:is>
      </x:c>
      <x:c r="H4768" s="2" t="inlineStr">
        <x:is>
          <x:t xml:space="preserve">半导体</x:t>
        </x:is>
      </x:c>
      <x:c r="I4768" s="2" t="inlineStr">
        <x:is>
          <x:t xml:space="preserve">2017-09-26</x:t>
        </x:is>
      </x:c>
      <x:c r="J4768" s="3" t="inlineStr">
        <x:is>
          <x:t xml:space="preserve">福州市长乐区漳港街道漳湖路66号</x:t>
        </x:is>
      </x:c>
      <x:c r="K4768" s="12" t="str">
        <x:f>LEFT("913501007438096369",18)</x:f>
        <x:v>913501007438096400</x:v>
      </x:c>
    </x:row>
    <x:row r="4769">
      <x:c r="A4769" s="4" t="n">
        <x:v>4768</x:v>
      </x:c>
      <x:c r="B4769" s="4" t="inlineStr">
        <x:is>
          <x:t xml:space="preserve">300712</x:t>
        </x:is>
      </x:c>
      <x:c r="C4769" s="5" t="inlineStr">
        <x:is>
          <x:t xml:space="preserve">永福股份</x:t>
        </x:is>
      </x:c>
      <x:c r="D4769" s="5" t="inlineStr">
        <x:is>
          <x:t xml:space="preserve">福建永福电力设计股份有限公司</x:t>
        </x:is>
      </x:c>
      <x:c r="E4769" s="4" t="inlineStr">
        <x:is>
          <x:t xml:space="preserve">福建省</x:t>
        </x:is>
      </x:c>
      <x:c r="F4769" s="4" t="inlineStr">
        <x:is>
          <x:t xml:space="preserve">福州市</x:t>
        </x:is>
      </x:c>
      <x:c r="G4769" s="5" t="inlineStr">
        <x:is>
          <x:t xml:space="preserve">福建省-福州市</x:t>
        </x:is>
      </x:c>
      <x:c r="H4769" s="4" t="inlineStr">
        <x:is>
          <x:t xml:space="preserve">工程建设</x:t>
        </x:is>
      </x:c>
      <x:c r="I4769" s="4" t="inlineStr">
        <x:is>
          <x:t xml:space="preserve">2017-10-31</x:t>
        </x:is>
      </x:c>
      <x:c r="J4769" s="5" t="inlineStr">
        <x:is>
          <x:t xml:space="preserve">福建省福州市闽侯县上街镇海西科技园高新大道3号</x:t>
        </x:is>
      </x:c>
      <x:c r="K4769" s="12" t="str">
        <x:f>LEFT("91350000611005994M",18)</x:f>
        <x:v>91350000611005994M</x:v>
      </x:c>
    </x:row>
    <x:row r="4770">
      <x:c r="A4770" s="2" t="n">
        <x:v>4769</x:v>
      </x:c>
      <x:c r="B4770" s="2" t="inlineStr">
        <x:is>
          <x:t xml:space="preserve">300750</x:t>
        </x:is>
      </x:c>
      <x:c r="C4770" s="3" t="inlineStr">
        <x:is>
          <x:t xml:space="preserve">宁德时代</x:t>
        </x:is>
      </x:c>
      <x:c r="D4770" s="3" t="inlineStr">
        <x:is>
          <x:t xml:space="preserve">宁德时代新能源科技股份有限公司</x:t>
        </x:is>
      </x:c>
      <x:c r="E4770" s="2" t="inlineStr">
        <x:is>
          <x:t xml:space="preserve">福建省</x:t>
        </x:is>
      </x:c>
      <x:c r="F4770" s="2" t="inlineStr">
        <x:is>
          <x:t xml:space="preserve">宁德市</x:t>
        </x:is>
      </x:c>
      <x:c r="G4770" s="3" t="inlineStr">
        <x:is>
          <x:t xml:space="preserve">福建省-宁德市</x:t>
        </x:is>
      </x:c>
      <x:c r="H4770" s="2" t="inlineStr">
        <x:is>
          <x:t xml:space="preserve">电池</x:t>
        </x:is>
      </x:c>
      <x:c r="I4770" s="2" t="inlineStr">
        <x:is>
          <x:t xml:space="preserve">2018-06-11</x:t>
        </x:is>
      </x:c>
      <x:c r="J4770" s="3" t="inlineStr">
        <x:is>
          <x:t xml:space="preserve">中国福建省宁德市蕉城区漳湾镇新港路2号</x:t>
        </x:is>
      </x:c>
      <x:c r="K4770" s="12" t="str">
        <x:f>LEFT("91350900587527783P",18)</x:f>
        <x:v>91350900587527783P</x:v>
      </x:c>
    </x:row>
    <x:row r="4771">
      <x:c r="A4771" s="4" t="n">
        <x:v>4770</x:v>
      </x:c>
      <x:c r="B4771" s="4" t="inlineStr">
        <x:is>
          <x:t xml:space="preserve">300867</x:t>
        </x:is>
      </x:c>
      <x:c r="C4771" s="5" t="inlineStr">
        <x:is>
          <x:t xml:space="preserve">圣元环保</x:t>
        </x:is>
      </x:c>
      <x:c r="D4771" s="5" t="inlineStr">
        <x:is>
          <x:t xml:space="preserve">圣元环保股份有限公司</x:t>
        </x:is>
      </x:c>
      <x:c r="E4771" s="4" t="inlineStr">
        <x:is>
          <x:t xml:space="preserve">福建省</x:t>
        </x:is>
      </x:c>
      <x:c r="F4771" s="4" t="inlineStr">
        <x:is>
          <x:t xml:space="preserve">厦门市</x:t>
        </x:is>
      </x:c>
      <x:c r="G4771" s="5" t="inlineStr">
        <x:is>
          <x:t xml:space="preserve">福建省-厦门市</x:t>
        </x:is>
      </x:c>
      <x:c r="H4771" s="4" t="inlineStr">
        <x:is>
          <x:t xml:space="preserve">环保工程</x:t>
        </x:is>
      </x:c>
      <x:c r="I4771" s="4" t="inlineStr">
        <x:is>
          <x:t xml:space="preserve">2020-08-24</x:t>
        </x:is>
      </x:c>
      <x:c r="J4771" s="5" t="inlineStr">
        <x:is>
          <x:t xml:space="preserve">福建省厦门市湖里区湖里大道6号北方商务大厦519</x:t>
        </x:is>
      </x:c>
      <x:c r="K4771" s="12" t="str">
        <x:f>LEFT("91350000158176890E",18)</x:f>
        <x:v>91350000158176890E</x:v>
      </x:c>
    </x:row>
    <x:row r="4772">
      <x:c r="A4772" s="2" t="n">
        <x:v>4771</x:v>
      </x:c>
      <x:c r="B4772" s="2" t="inlineStr">
        <x:is>
          <x:t xml:space="preserve">300884</x:t>
        </x:is>
      </x:c>
      <x:c r="C4772" s="3" t="inlineStr">
        <x:is>
          <x:t xml:space="preserve">狄耐克</x:t>
        </x:is>
      </x:c>
      <x:c r="D4772" s="3" t="inlineStr">
        <x:is>
          <x:t xml:space="preserve">厦门狄耐克智能科技股份有限公司</x:t>
        </x:is>
      </x:c>
      <x:c r="E4772" s="2" t="inlineStr">
        <x:is>
          <x:t xml:space="preserve">福建省</x:t>
        </x:is>
      </x:c>
      <x:c r="F4772" s="2" t="inlineStr">
        <x:is>
          <x:t xml:space="preserve">厦门市</x:t>
        </x:is>
      </x:c>
      <x:c r="G4772" s="3" t="inlineStr">
        <x:is>
          <x:t xml:space="preserve">福建省-厦门市</x:t>
        </x:is>
      </x:c>
      <x:c r="H4772" s="2" t="inlineStr">
        <x:is>
          <x:t xml:space="preserve">计算机设备</x:t>
        </x:is>
      </x:c>
      <x:c r="I4772" s="2" t="inlineStr">
        <x:is>
          <x:t xml:space="preserve">2020-11-12</x:t>
        </x:is>
      </x:c>
      <x:c r="J4772" s="3" t="inlineStr">
        <x:is>
          <x:t xml:space="preserve">中国(褔建)自由贸易试验区厦门片区海景北二路8号</x:t>
        </x:is>
      </x:c>
      <x:c r="K4772" s="12" t="str">
        <x:f>LEFT("9135020076928783XA",18)</x:f>
        <x:v>9135020076928783XA</x:v>
      </x:c>
    </x:row>
    <x:row r="4773">
      <x:c r="A4773" s="4" t="n">
        <x:v>4772</x:v>
      </x:c>
      <x:c r="B4773" s="4" t="inlineStr">
        <x:is>
          <x:t xml:space="preserve">300902</x:t>
        </x:is>
      </x:c>
      <x:c r="C4773" s="5" t="inlineStr">
        <x:is>
          <x:t xml:space="preserve">国安达</x:t>
        </x:is>
      </x:c>
      <x:c r="D4773" s="5" t="inlineStr">
        <x:is>
          <x:t xml:space="preserve">国安达股份有限公司</x:t>
        </x:is>
      </x:c>
      <x:c r="E4773" s="4" t="inlineStr">
        <x:is>
          <x:t xml:space="preserve">福建省</x:t>
        </x:is>
      </x:c>
      <x:c r="F4773" s="4" t="inlineStr">
        <x:is>
          <x:t xml:space="preserve">厦门市</x:t>
        </x:is>
      </x:c>
      <x:c r="G4773" s="5" t="inlineStr">
        <x:is>
          <x:t xml:space="preserve">福建省-厦门市</x:t>
        </x:is>
      </x:c>
      <x:c r="H4773" s="4" t="inlineStr">
        <x:is>
          <x:t xml:space="preserve">专用设备</x:t>
        </x:is>
      </x:c>
      <x:c r="I4773" s="4" t="inlineStr">
        <x:is>
          <x:t xml:space="preserve">2020-10-29</x:t>
        </x:is>
      </x:c>
      <x:c r="J4773" s="5" t="inlineStr">
        <x:is>
          <x:t xml:space="preserve">厦门市集美区灌口镇后山头路39号之一</x:t>
        </x:is>
      </x:c>
      <x:c r="K4773" s="12" t="str">
        <x:f>LEFT("91350200798092564D",18)</x:f>
        <x:v>91350200798092564D</x:v>
      </x:c>
    </x:row>
    <x:row r="4774">
      <x:c r="A4774" s="2" t="n">
        <x:v>4773</x:v>
      </x:c>
      <x:c r="B4774" s="2" t="inlineStr">
        <x:is>
          <x:t xml:space="preserve">300941</x:t>
        </x:is>
      </x:c>
      <x:c r="C4774" s="3" t="inlineStr">
        <x:is>
          <x:t xml:space="preserve">创识科技</x:t>
        </x:is>
      </x:c>
      <x:c r="D4774" s="3" t="inlineStr">
        <x:is>
          <x:t xml:space="preserve">福建创识科技股份有限公司</x:t>
        </x:is>
      </x:c>
      <x:c r="E4774" s="2" t="inlineStr">
        <x:is>
          <x:t xml:space="preserve">福建省</x:t>
        </x:is>
      </x:c>
      <x:c r="F4774" s="2" t="inlineStr">
        <x:is>
          <x:t xml:space="preserve">福州市</x:t>
        </x:is>
      </x:c>
      <x:c r="G4774" s="3" t="inlineStr">
        <x:is>
          <x:t xml:space="preserve">福建省-福州市</x:t>
        </x:is>
      </x:c>
      <x:c r="H4774" s="2" t="inlineStr">
        <x:is>
          <x:t xml:space="preserve">互联网服务</x:t>
        </x:is>
      </x:c>
      <x:c r="I4774" s="2" t="inlineStr">
        <x:is>
          <x:t xml:space="preserve">2021-02-09</x:t>
        </x:is>
      </x:c>
      <x:c r="J4774" s="3" t="inlineStr">
        <x:is>
          <x:t xml:space="preserve">福州开发区科技园区快安大道创新楼二层</x:t>
        </x:is>
      </x:c>
      <x:c r="K4774" s="12" t="str">
        <x:f>LEFT("91350000628594836Q",18)</x:f>
        <x:v>91350000628594836Q</x:v>
      </x:c>
    </x:row>
    <x:row r="4775">
      <x:c r="A4775" s="4" t="n">
        <x:v>4774</x:v>
      </x:c>
      <x:c r="B4775" s="4" t="inlineStr">
        <x:is>
          <x:t xml:space="preserve">300946</x:t>
        </x:is>
      </x:c>
      <x:c r="C4775" s="5" t="inlineStr">
        <x:is>
          <x:t xml:space="preserve">恒而达</x:t>
        </x:is>
      </x:c>
      <x:c r="D4775" s="5" t="inlineStr">
        <x:is>
          <x:t xml:space="preserve">福建恒而达新材料股份有限公司</x:t>
        </x:is>
      </x:c>
      <x:c r="E4775" s="4" t="inlineStr">
        <x:is>
          <x:t xml:space="preserve">福建省</x:t>
        </x:is>
      </x:c>
      <x:c r="F4775" s="4" t="inlineStr">
        <x:is>
          <x:t xml:space="preserve">莆田市</x:t>
        </x:is>
      </x:c>
      <x:c r="G4775" s="5" t="inlineStr">
        <x:is>
          <x:t xml:space="preserve">福建省-莆田市</x:t>
        </x:is>
      </x:c>
      <x:c r="H4775" s="4" t="inlineStr">
        <x:is>
          <x:t xml:space="preserve">通用设备</x:t>
        </x:is>
      </x:c>
      <x:c r="I4775" s="4" t="inlineStr">
        <x:is>
          <x:t xml:space="preserve">2021-02-08</x:t>
        </x:is>
      </x:c>
      <x:c r="J4775" s="5" t="inlineStr">
        <x:is>
          <x:t xml:space="preserve">福建省莆田市荔城区新度镇厝柄工业区</x:t>
        </x:is>
      </x:c>
      <x:c r="K4775" s="12" t="str">
        <x:f>LEFT("91350300155517020R",18)</x:f>
        <x:v>91350300155517020R</x:v>
      </x:c>
    </x:row>
    <x:row r="4776">
      <x:c r="A4776" s="2" t="n">
        <x:v>4775</x:v>
      </x:c>
      <x:c r="B4776" s="2" t="inlineStr">
        <x:is>
          <x:t xml:space="preserve">300955</x:t>
        </x:is>
      </x:c>
      <x:c r="C4776" s="3" t="inlineStr">
        <x:is>
          <x:t xml:space="preserve">嘉亨家化</x:t>
        </x:is>
      </x:c>
      <x:c r="D4776" s="3" t="inlineStr">
        <x:is>
          <x:t xml:space="preserve">嘉亨家化股份有限公司</x:t>
        </x:is>
      </x:c>
      <x:c r="E4776" s="2" t="inlineStr">
        <x:is>
          <x:t xml:space="preserve">福建省</x:t>
        </x:is>
      </x:c>
      <x:c r="F4776" s="2" t="inlineStr">
        <x:is>
          <x:t xml:space="preserve">泉州市</x:t>
        </x:is>
      </x:c>
      <x:c r="G4776" s="3" t="inlineStr">
        <x:is>
          <x:t xml:space="preserve">福建省-泉州市</x:t>
        </x:is>
      </x:c>
      <x:c r="H4776" s="2" t="inlineStr">
        <x:is>
          <x:t xml:space="preserve">美容护理</x:t>
        </x:is>
      </x:c>
      <x:c r="I4776" s="2" t="inlineStr">
        <x:is>
          <x:t xml:space="preserve">2021-03-24</x:t>
        </x:is>
      </x:c>
      <x:c r="J4776" s="3" t="inlineStr">
        <x:is>
          <x:t xml:space="preserve">泉州市鲤城区江南火炬工业区</x:t>
        </x:is>
      </x:c>
      <x:c r="K4776" s="12" t="str">
        <x:f>LEFT("91350500775373224G",18)</x:f>
        <x:v>91350500775373224G</x:v>
      </x:c>
    </x:row>
    <x:row r="4777">
      <x:c r="A4777" s="4" t="n">
        <x:v>4776</x:v>
      </x:c>
      <x:c r="B4777" s="4" t="inlineStr">
        <x:is>
          <x:t xml:space="preserve">300972</x:t>
        </x:is>
      </x:c>
      <x:c r="C4777" s="5" t="inlineStr">
        <x:is>
          <x:t xml:space="preserve">万辰集团</x:t>
        </x:is>
      </x:c>
      <x:c r="D4777" s="5" t="inlineStr">
        <x:is>
          <x:t xml:space="preserve">福建万辰食品集团股份有限公司</x:t>
        </x:is>
      </x:c>
      <x:c r="E4777" s="4" t="inlineStr">
        <x:is>
          <x:t xml:space="preserve">福建省</x:t>
        </x:is>
      </x:c>
      <x:c r="F4777" s="4" t="inlineStr">
        <x:is>
          <x:t xml:space="preserve">漳州市</x:t>
        </x:is>
      </x:c>
      <x:c r="G4777" s="5" t="inlineStr">
        <x:is>
          <x:t xml:space="preserve">福建省-漳州市</x:t>
        </x:is>
      </x:c>
      <x:c r="H4777" s="4" t="inlineStr">
        <x:is>
          <x:t xml:space="preserve">农牧饲渔</x:t>
        </x:is>
      </x:c>
      <x:c r="I4777" s="4" t="inlineStr">
        <x:is>
          <x:t xml:space="preserve">2021-04-19</x:t>
        </x:is>
      </x:c>
      <x:c r="J4777" s="5" t="inlineStr">
        <x:is>
          <x:t xml:space="preserve">福建漳浦台湾农民创业园</x:t>
        </x:is>
      </x:c>
      <x:c r="K4777" s="12" t="str">
        <x:f>LEFT("91350600587527169N",18)</x:f>
        <x:v>91350600587527169N</x:v>
      </x:c>
    </x:row>
    <x:row r="4778">
      <x:c r="A4778" s="2" t="n">
        <x:v>4777</x:v>
      </x:c>
      <x:c r="B4778" s="2" t="inlineStr">
        <x:is>
          <x:t xml:space="preserve">301028</x:t>
        </x:is>
      </x:c>
      <x:c r="C4778" s="3" t="inlineStr">
        <x:is>
          <x:t xml:space="preserve">东亚机械</x:t>
        </x:is>
      </x:c>
      <x:c r="D4778" s="3" t="inlineStr">
        <x:is>
          <x:t xml:space="preserve">厦门鼎熔岩科技股份有限公司</x:t>
        </x:is>
      </x:c>
      <x:c r="E4778" s="2" t="inlineStr">
        <x:is>
          <x:t xml:space="preserve">福建省</x:t>
        </x:is>
      </x:c>
      <x:c r="F4778" s="2" t="inlineStr">
        <x:is>
          <x:t xml:space="preserve">厦门市</x:t>
        </x:is>
      </x:c>
      <x:c r="G4778" s="3" t="inlineStr">
        <x:is>
          <x:t xml:space="preserve">福建省-厦门市</x:t>
        </x:is>
      </x:c>
      <x:c r="H4778" s="2" t="inlineStr">
        <x:is>
          <x:t xml:space="preserve">机械行业</x:t>
        </x:is>
      </x:c>
      <x:c r="I4778" s="2" t="inlineStr">
        <x:is>
          <x:t xml:space="preserve">2021-07-20</x:t>
        </x:is>
      </x:c>
      <x:c r="J4778" s="3" t="inlineStr">
        <x:is>
          <x:t xml:space="preserve">厦门市同安区西柯镇西柯街611号</x:t>
        </x:is>
      </x:c>
      <x:c r="K4778" s="12" t="str">
        <x:f>LEFT("9135020061200896X6",18)</x:f>
        <x:v>9135020061200896X6</x:v>
      </x:c>
    </x:row>
    <x:row r="4779">
      <x:c r="A4779" s="4" t="n">
        <x:v>4778</x:v>
      </x:c>
      <x:c r="B4779" s="4" t="inlineStr">
        <x:is>
          <x:t xml:space="preserve">301136</x:t>
        </x:is>
      </x:c>
      <x:c r="C4779" s="5" t="inlineStr">
        <x:is>
          <x:t xml:space="preserve">招标股份</x:t>
        </x:is>
      </x:c>
      <x:c r="D4779" s="5" t="inlineStr">
        <x:is>
          <x:t xml:space="preserve">福建省招标股份有限公司</x:t>
        </x:is>
      </x:c>
      <x:c r="E4779" s="4" t="inlineStr">
        <x:is>
          <x:t xml:space="preserve">福建省</x:t>
        </x:is>
      </x:c>
      <x:c r="F4779" s="4" t="inlineStr">
        <x:is>
          <x:t xml:space="preserve">福州市</x:t>
        </x:is>
      </x:c>
      <x:c r="G4779" s="5" t="inlineStr">
        <x:is>
          <x:t xml:space="preserve">福建省-福州市</x:t>
        </x:is>
      </x:c>
      <x:c r="H4779" s="4" t="inlineStr">
        <x:is>
          <x:t xml:space="preserve">工程咨询服务</x:t>
        </x:is>
      </x:c>
      <x:c r="I4779" s="4" t="inlineStr">
        <x:is>
          <x:t xml:space="preserve">2022-01-11</x:t>
        </x:is>
      </x:c>
      <x:c r="J4779" s="5" t="inlineStr">
        <x:is>
          <x:t xml:space="preserve">福建省福州市鼓楼区洪山园路68号</x:t>
        </x:is>
      </x:c>
      <x:c r="K4779" s="12" t="str">
        <x:f>LEFT("91350000MA2XU85R9K",18)</x:f>
        <x:v>91350000MA2XU85R9K</x:v>
      </x:c>
    </x:row>
    <x:row r="4780">
      <x:c r="A4780" s="2" t="n">
        <x:v>4779</x:v>
      </x:c>
      <x:c r="B4780" s="2" t="inlineStr">
        <x:is>
          <x:t xml:space="preserve">301148</x:t>
        </x:is>
      </x:c>
      <x:c r="C4780" s="3" t="inlineStr">
        <x:is>
          <x:t xml:space="preserve">嘉戎技术</x:t>
        </x:is>
      </x:c>
      <x:c r="D4780" s="3" t="inlineStr">
        <x:is>
          <x:t xml:space="preserve">厦门嘉戎技术股份有限公司</x:t>
        </x:is>
      </x:c>
      <x:c r="E4780" s="2" t="inlineStr">
        <x:is>
          <x:t xml:space="preserve">福建省</x:t>
        </x:is>
      </x:c>
      <x:c r="F4780" s="2" t="inlineStr">
        <x:is>
          <x:t xml:space="preserve">厦门市</x:t>
        </x:is>
      </x:c>
      <x:c r="G4780" s="3" t="inlineStr">
        <x:is>
          <x:t xml:space="preserve">福建省-厦门市</x:t>
        </x:is>
      </x:c>
      <x:c r="H4780" s="2" t="inlineStr">
        <x:is>
          <x:t xml:space="preserve">环保行业</x:t>
        </x:is>
      </x:c>
      <x:c r="I4780" s="2" t="inlineStr">
        <x:is>
          <x:t xml:space="preserve">2022-04-21</x:t>
        </x:is>
      </x:c>
      <x:c r="J4780" s="3" t="inlineStr">
        <x:is>
          <x:t xml:space="preserve">厦门火炬高新区(同翔)产业基地布塘中路1670-2号6层</x:t>
        </x:is>
      </x:c>
      <x:c r="K4780" s="12" t="str">
        <x:f>LEFT("91350200769267978K",18)</x:f>
        <x:v>91350200769267978K</x:v>
      </x:c>
    </x:row>
    <x:row r="4781">
      <x:c r="A4781" s="4" t="n">
        <x:v>4780</x:v>
      </x:c>
      <x:c r="B4781" s="4" t="inlineStr">
        <x:is>
          <x:t xml:space="preserve">301165</x:t>
        </x:is>
      </x:c>
      <x:c r="C4781" s="5" t="inlineStr">
        <x:is>
          <x:t xml:space="preserve">锐捷网络</x:t>
        </x:is>
      </x:c>
      <x:c r="D4781" s="5" t="inlineStr">
        <x:is>
          <x:t xml:space="preserve">锐捷网络股份有限公司</x:t>
        </x:is>
      </x:c>
      <x:c r="E4781" s="4" t="inlineStr">
        <x:is>
          <x:t xml:space="preserve">福建省</x:t>
        </x:is>
      </x:c>
      <x:c r="F4781" s="4" t="inlineStr">
        <x:is>
          <x:t xml:space="preserve">福州市</x:t>
        </x:is>
      </x:c>
      <x:c r="G4781" s="5" t="inlineStr">
        <x:is>
          <x:t xml:space="preserve">福建省-福州市</x:t>
        </x:is>
      </x:c>
      <x:c r="H4781" s="4" t="inlineStr">
        <x:is>
          <x:t xml:space="preserve">通信设备</x:t>
        </x:is>
      </x:c>
      <x:c r="I4781" s="4" t="inlineStr">
        <x:is>
          <x:t xml:space="preserve">2022-11-21</x:t>
        </x:is>
      </x:c>
      <x:c r="J4781" s="5" t="inlineStr">
        <x:is>
          <x:t xml:space="preserve">福州市仓山区金山大道618号桔园洲工业园19#楼</x:t>
        </x:is>
      </x:c>
      <x:c r="K4781" s="12" t="str">
        <x:f>LEFT("913500007549617646",18)</x:f>
        <x:v>913500007549617700</x:v>
      </x:c>
    </x:row>
    <x:row r="4782">
      <x:c r="A4782" s="2" t="n">
        <x:v>4781</x:v>
      </x:c>
      <x:c r="B4782" s="2" t="inlineStr">
        <x:is>
          <x:t xml:space="preserve">301196</x:t>
        </x:is>
      </x:c>
      <x:c r="C4782" s="3" t="inlineStr">
        <x:is>
          <x:t xml:space="preserve">唯科科技</x:t>
        </x:is>
      </x:c>
      <x:c r="D4782" s="3" t="inlineStr">
        <x:is>
          <x:t xml:space="preserve">厦门唯科模塑科技股份有限公司</x:t>
        </x:is>
      </x:c>
      <x:c r="E4782" s="2" t="inlineStr">
        <x:is>
          <x:t xml:space="preserve">福建省</x:t>
        </x:is>
      </x:c>
      <x:c r="F4782" s="2" t="inlineStr">
        <x:is>
          <x:t xml:space="preserve">厦门市</x:t>
        </x:is>
      </x:c>
      <x:c r="G4782" s="3" t="inlineStr">
        <x:is>
          <x:t xml:space="preserve">福建省-厦门市</x:t>
        </x:is>
      </x:c>
      <x:c r="H4782" s="2" t="inlineStr">
        <x:is>
          <x:t xml:space="preserve">塑料制品</x:t>
        </x:is>
      </x:c>
      <x:c r="I4782" s="2" t="inlineStr">
        <x:is>
          <x:t xml:space="preserve">2022-01-11</x:t>
        </x:is>
      </x:c>
      <x:c r="J4782" s="3" t="inlineStr">
        <x:is>
          <x:t xml:space="preserve">厦门火炬高新区(翔安)产业区春光路1152-1156号(双号)</x:t>
        </x:is>
      </x:c>
      <x:c r="K4782" s="12" t="str">
        <x:f>LEFT("91350200769278466Y",18)</x:f>
        <x:v>91350200769278466Y</x:v>
      </x:c>
    </x:row>
    <x:row r="4783">
      <x:c r="A4783" s="4" t="n">
        <x:v>4782</x:v>
      </x:c>
      <x:c r="B4783" s="4" t="inlineStr">
        <x:is>
          <x:t xml:space="preserve">301267</x:t>
        </x:is>
      </x:c>
      <x:c r="C4783" s="5" t="inlineStr">
        <x:is>
          <x:t xml:space="preserve">华厦眼科</x:t>
        </x:is>
      </x:c>
      <x:c r="D4783" s="5" t="inlineStr">
        <x:is>
          <x:t xml:space="preserve">华厦眼科医院集团股份有限公司</x:t>
        </x:is>
      </x:c>
      <x:c r="E4783" s="4" t="inlineStr">
        <x:is>
          <x:t xml:space="preserve">福建省</x:t>
        </x:is>
      </x:c>
      <x:c r="F4783" s="4" t="inlineStr">
        <x:is>
          <x:t xml:space="preserve">厦门市</x:t>
        </x:is>
      </x:c>
      <x:c r="G4783" s="5" t="inlineStr">
        <x:is>
          <x:t xml:space="preserve">福建省-厦门市</x:t>
        </x:is>
      </x:c>
      <x:c r="H4783" s="4" t="inlineStr">
        <x:is>
          <x:t xml:space="preserve">医疗服务</x:t>
        </x:is>
      </x:c>
      <x:c r="I4783" s="4" t="inlineStr">
        <x:is>
          <x:t xml:space="preserve">2022-11-07</x:t>
        </x:is>
      </x:c>
      <x:c r="J4783" s="5" t="inlineStr">
        <x:is>
          <x:t xml:space="preserve">厦门市湖里区五通西路999号之1701</x:t>
        </x:is>
      </x:c>
      <x:c r="K4783" s="12" t="str">
        <x:f>LEFT("91350200761727554T",18)</x:f>
        <x:v>91350200761727554T</x:v>
      </x:c>
    </x:row>
    <x:row r="4784">
      <x:c r="A4784" s="2" t="n">
        <x:v>4783</x:v>
      </x:c>
      <x:c r="B4784" s="2" t="inlineStr">
        <x:is>
          <x:t xml:space="preserve">301300</x:t>
        </x:is>
      </x:c>
      <x:c r="C4784" s="3" t="inlineStr">
        <x:is>
          <x:t xml:space="preserve">远翔新材</x:t>
        </x:is>
      </x:c>
      <x:c r="D4784" s="3" t="inlineStr">
        <x:is>
          <x:t xml:space="preserve">福建远翔新材料股份有限公司</x:t>
        </x:is>
      </x:c>
      <x:c r="E4784" s="2" t="inlineStr">
        <x:is>
          <x:t xml:space="preserve">福建省</x:t>
        </x:is>
      </x:c>
      <x:c r="F4784" s="2" t="inlineStr">
        <x:is>
          <x:t xml:space="preserve">邵武市</x:t>
        </x:is>
      </x:c>
      <x:c r="G4784" s="3" t="inlineStr">
        <x:is>
          <x:t xml:space="preserve">福建省-邵武市</x:t>
        </x:is>
      </x:c>
      <x:c r="H4784" s="2" t="inlineStr">
        <x:is>
          <x:t xml:space="preserve">化学制品</x:t>
        </x:is>
      </x:c>
      <x:c r="I4784" s="2" t="inlineStr">
        <x:is>
          <x:t xml:space="preserve">2022-08-19</x:t>
        </x:is>
      </x:c>
      <x:c r="J4784" s="3" t="inlineStr">
        <x:is>
          <x:t xml:space="preserve">邵武市城郊工业园区</x:t>
        </x:is>
      </x:c>
      <x:c r="K4784" s="12" t="str">
        <x:f>LEFT("91350700793779818M",18)</x:f>
        <x:v>91350700793779818M</x:v>
      </x:c>
    </x:row>
    <x:row r="4785">
      <x:c r="A4785" s="4" t="n">
        <x:v>4784</x:v>
      </x:c>
      <x:c r="B4785" s="4" t="inlineStr">
        <x:is>
          <x:t xml:space="preserve">301355</x:t>
        </x:is>
      </x:c>
      <x:c r="C4785" s="5" t="inlineStr">
        <x:is>
          <x:t xml:space="preserve">南王科技</x:t>
        </x:is>
      </x:c>
      <x:c r="D4785" s="5" t="inlineStr">
        <x:is>
          <x:t xml:space="preserve">福建南王环保科技股份有限公司</x:t>
        </x:is>
      </x:c>
      <x:c r="E4785" s="4" t="inlineStr">
        <x:is>
          <x:t xml:space="preserve">福建省</x:t>
        </x:is>
      </x:c>
      <x:c r="F4785" s="4" t="inlineStr">
        <x:is>
          <x:t xml:space="preserve">泉州市</x:t>
        </x:is>
      </x:c>
      <x:c r="G4785" s="5" t="inlineStr">
        <x:is>
          <x:t xml:space="preserve">福建省-泉州市</x:t>
        </x:is>
      </x:c>
      <x:c r="H4785" s="4" t="inlineStr">
        <x:is>
          <x:t xml:space="preserve">造纸印刷</x:t>
        </x:is>
      </x:c>
      <x:c r="I4785" s="4" t="inlineStr">
        <x:is>
          <x:t xml:space="preserve">2023-06-12</x:t>
        </x:is>
      </x:c>
      <x:c r="J4785" s="5" t="inlineStr">
        <x:is>
          <x:t xml:space="preserve">福建省惠安县东桥镇莲塘村560号</x:t>
        </x:is>
      </x:c>
      <x:c r="K4785" s="12" t="str">
        <x:f>LEFT("913505215550950668",18)</x:f>
        <x:v>913505215550950700</x:v>
      </x:c>
    </x:row>
    <x:row r="4786">
      <x:c r="A4786" s="2" t="n">
        <x:v>4785</x:v>
      </x:c>
      <x:c r="B4786" s="2" t="inlineStr">
        <x:is>
          <x:t xml:space="preserve">301536</x:t>
        </x:is>
      </x:c>
      <x:c r="C4786" s="3" t="inlineStr">
        <x:is>
          <x:t xml:space="preserve">星宸科技</x:t>
        </x:is>
      </x:c>
      <x:c r="D4786" s="3" t="inlineStr">
        <x:is>
          <x:t xml:space="preserve">星宸科技股份有限公司</x:t>
        </x:is>
      </x:c>
      <x:c r="E4786" s="2" t="inlineStr">
        <x:is>
          <x:t xml:space="preserve">福建省</x:t>
        </x:is>
      </x:c>
      <x:c r="F4786" s="2" t="inlineStr">
        <x:is>
          <x:t xml:space="preserve">厦门市</x:t>
        </x:is>
      </x:c>
      <x:c r="G4786" s="3" t="inlineStr">
        <x:is>
          <x:t xml:space="preserve">福建省-厦门市</x:t>
        </x:is>
      </x:c>
      <x:c r="H4786" s="2" t="inlineStr">
        <x:is>
          <x:t xml:space="preserve">半导体</x:t>
        </x:is>
      </x:c>
      <x:c r="I4786" s="2" t="inlineStr">
        <x:is>
          <x:t xml:space="preserve">2024-03-28</x:t>
        </x:is>
      </x:c>
      <x:c r="J4786" s="3" t="inlineStr">
        <x:is>
          <x:t xml:space="preserve">厦门火炬高新区(翔安)产业区同龙二路942号423-49</x:t>
        </x:is>
      </x:c>
      <x:c r="K4786" s="12" t="str">
        <x:f>LEFT("91350200MA31DMUX52",18)</x:f>
        <x:v>91350200MA31DMUX52</x:v>
      </x:c>
    </x:row>
    <x:row r="4787">
      <x:c r="A4787" s="4" t="n">
        <x:v>4786</x:v>
      </x:c>
      <x:c r="B4787" s="4" t="inlineStr">
        <x:is>
          <x:t xml:space="preserve">301565</x:t>
        </x:is>
      </x:c>
      <x:c r="C4787" s="5" t="inlineStr">
        <x:is>
          <x:t xml:space="preserve">中仑新材</x:t>
        </x:is>
      </x:c>
      <x:c r="D4787" s="5" t="inlineStr">
        <x:is>
          <x:t xml:space="preserve">中仑新材料股份有限公司</x:t>
        </x:is>
      </x:c>
      <x:c r="E4787" s="4" t="inlineStr">
        <x:is>
          <x:t xml:space="preserve">福建省</x:t>
        </x:is>
      </x:c>
      <x:c r="F4787" s="4" t="inlineStr">
        <x:is>
          <x:t xml:space="preserve">厦门市</x:t>
        </x:is>
      </x:c>
      <x:c r="G4787" s="5" t="inlineStr">
        <x:is>
          <x:t xml:space="preserve">福建省-厦门市</x:t>
        </x:is>
      </x:c>
      <x:c r="H4787" s="4" t="inlineStr">
        <x:is>
          <x:t xml:space="preserve">塑料制品</x:t>
        </x:is>
      </x:c>
      <x:c r="I4787" s="4" t="inlineStr">
        <x:is>
          <x:t xml:space="preserve">2024-06-20</x:t>
        </x:is>
      </x:c>
      <x:c r="J4787" s="5" t="inlineStr">
        <x:is>
          <x:t xml:space="preserve">厦门市海沧区翁角路268-1号</x:t>
        </x:is>
      </x:c>
      <x:c r="K4787" s="12" t="str">
        <x:f>LEFT("91350200MA3293HD6D",18)</x:f>
        <x:v>91350200MA3293HD6D</x:v>
      </x:c>
    </x:row>
    <x:row r="4788">
      <x:c r="A4788" s="2" t="n">
        <x:v>4787</x:v>
      </x:c>
      <x:c r="B4788" s="2" t="inlineStr">
        <x:is>
          <x:t xml:space="preserve">301568</x:t>
        </x:is>
      </x:c>
      <x:c r="C4788" s="3" t="inlineStr">
        <x:is>
          <x:t xml:space="preserve">思泰克</x:t>
        </x:is>
      </x:c>
      <x:c r="D4788" s="3" t="inlineStr">
        <x:is>
          <x:t xml:space="preserve">厦门思泰克智能科技股份有限公司</x:t>
        </x:is>
      </x:c>
      <x:c r="E4788" s="2" t="inlineStr">
        <x:is>
          <x:t xml:space="preserve">福建省</x:t>
        </x:is>
      </x:c>
      <x:c r="F4788" s="2" t="inlineStr">
        <x:is>
          <x:t xml:space="preserve">厦门市</x:t>
        </x:is>
      </x:c>
      <x:c r="G4788" s="3" t="inlineStr">
        <x:is>
          <x:t xml:space="preserve">福建省-厦门市</x:t>
        </x:is>
      </x:c>
      <x:c r="H4788" s="2" t="inlineStr">
        <x:is>
          <x:t xml:space="preserve">专用设备</x:t>
        </x:is>
      </x:c>
      <x:c r="I4788" s="2" t="inlineStr">
        <x:is>
          <x:t xml:space="preserve">2023-11-28</x:t>
        </x:is>
      </x:c>
      <x:c r="J4788" s="3" t="inlineStr">
        <x:is>
          <x:t xml:space="preserve">厦门火炬高新区同翔高新城市头东一路273号</x:t>
        </x:is>
      </x:c>
      <x:c r="K4788" s="12" t="str">
        <x:f>LEFT("91350200562824044R",18)</x:f>
        <x:v>91350200562824044R</x:v>
      </x:c>
    </x:row>
    <x:row r="4789">
      <x:c r="A4789" s="4" t="n">
        <x:v>4788</x:v>
      </x:c>
      <x:c r="B4789" s="4" t="inlineStr">
        <x:is>
          <x:t xml:space="preserve">301600</x:t>
        </x:is>
      </x:c>
      <x:c r="C4789" s="5" t="inlineStr">
        <x:is>
          <x:t xml:space="preserve">慧翰股份</x:t>
        </x:is>
      </x:c>
      <x:c r="D4789" s="5" t="inlineStr">
        <x:is>
          <x:t xml:space="preserve">慧翰微电子股份有限公司</x:t>
        </x:is>
      </x:c>
      <x:c r="E4789" s="4" t="inlineStr">
        <x:is>
          <x:t xml:space="preserve">福建省</x:t>
        </x:is>
      </x:c>
      <x:c r="F4789" s="4" t="inlineStr">
        <x:is>
          <x:t xml:space="preserve">福州市</x:t>
        </x:is>
      </x:c>
      <x:c r="G4789" s="5" t="inlineStr">
        <x:is>
          <x:t xml:space="preserve">福建省-福州市</x:t>
        </x:is>
      </x:c>
      <x:c r="H4789" s="4" t="inlineStr">
        <x:is>
          <x:t xml:space="preserve">通信设备</x:t>
        </x:is>
      </x:c>
      <x:c r="I4789" s="4" t="inlineStr">
        <x:is>
          <x:t xml:space="preserve">2024-09-11</x:t>
        </x:is>
      </x:c>
      <x:c r="J4789" s="5" t="inlineStr">
        <x:is>
          <x:t xml:space="preserve">福建省福州市马尾区江滨东大道116号1#楼5楼</x:t>
        </x:is>
      </x:c>
      <x:c r="K4789" s="12" t="str">
        <x:f>LEFT("91350000676537158E",18)</x:f>
        <x:v>91350000676537158E</x:v>
      </x:c>
    </x:row>
    <x:row r="4790">
      <x:c r="A4790" s="2" t="n">
        <x:v>4789</x:v>
      </x:c>
      <x:c r="B4790" s="2" t="inlineStr">
        <x:is>
          <x:t xml:space="preserve">600033</x:t>
        </x:is>
      </x:c>
      <x:c r="C4790" s="3" t="inlineStr">
        <x:is>
          <x:t xml:space="preserve">福建高速</x:t>
        </x:is>
      </x:c>
      <x:c r="D4790" s="3" t="inlineStr">
        <x:is>
          <x:t xml:space="preserve">福建发展高速公路股份有限公司</x:t>
        </x:is>
      </x:c>
      <x:c r="E4790" s="2" t="inlineStr">
        <x:is>
          <x:t xml:space="preserve">福建省</x:t>
        </x:is>
      </x:c>
      <x:c r="F4790" s="2" t="inlineStr">
        <x:is>
          <x:t xml:space="preserve">福州市</x:t>
        </x:is>
      </x:c>
      <x:c r="G4790" s="3" t="inlineStr">
        <x:is>
          <x:t xml:space="preserve">福建省-福州市</x:t>
        </x:is>
      </x:c>
      <x:c r="H4790" s="2" t="inlineStr">
        <x:is>
          <x:t xml:space="preserve">高速公路</x:t>
        </x:is>
      </x:c>
      <x:c r="I4790" s="2" t="inlineStr">
        <x:is>
          <x:t xml:space="preserve">2001-02-09</x:t>
        </x:is>
      </x:c>
      <x:c r="J4790" s="3" t="inlineStr">
        <x:is>
          <x:t xml:space="preserve">福建省福州市东水路18号福建交通综合大楼26层</x:t>
        </x:is>
      </x:c>
      <x:c r="K4790" s="12" t="str">
        <x:f>LEFT("91350000705102437B",18)</x:f>
        <x:v>91350000705102437B</x:v>
      </x:c>
    </x:row>
    <x:row r="4791">
      <x:c r="A4791" s="4" t="n">
        <x:v>4790</x:v>
      </x:c>
      <x:c r="B4791" s="4" t="inlineStr">
        <x:is>
          <x:t xml:space="preserve">600057</x:t>
        </x:is>
      </x:c>
      <x:c r="C4791" s="5" t="inlineStr">
        <x:is>
          <x:t xml:space="preserve">厦门象屿</x:t>
        </x:is>
      </x:c>
      <x:c r="D4791" s="5" t="inlineStr">
        <x:is>
          <x:t xml:space="preserve">厦门象屿股份有限公司</x:t>
        </x:is>
      </x:c>
      <x:c r="E4791" s="4" t="inlineStr">
        <x:is>
          <x:t xml:space="preserve">福建省</x:t>
        </x:is>
      </x:c>
      <x:c r="F4791" s="4" t="inlineStr">
        <x:is>
          <x:t xml:space="preserve">厦门市</x:t>
        </x:is>
      </x:c>
      <x:c r="G4791" s="5" t="inlineStr">
        <x:is>
          <x:t xml:space="preserve">福建省-厦门市</x:t>
        </x:is>
      </x:c>
      <x:c r="H4791" s="4" t="inlineStr">
        <x:is>
          <x:t xml:space="preserve">交运物流</x:t>
        </x:is>
      </x:c>
      <x:c r="I4791" s="4" t="inlineStr">
        <x:is>
          <x:t xml:space="preserve">1997-06-04</x:t>
        </x:is>
      </x:c>
      <x:c r="J4791" s="5" t="inlineStr">
        <x:is>
          <x:t xml:space="preserve">中国(福建)自由贸易试验区厦门片区象屿路99号厦门国际航运中心E栋9层05单元之一</x:t>
        </x:is>
      </x:c>
      <x:c r="K4791" s="12" t="str">
        <x:f>LEFT("91350200260131285X",18)</x:f>
        <x:v>91350200260131285X</x:v>
      </x:c>
    </x:row>
    <x:row r="4792">
      <x:c r="A4792" s="2" t="n">
        <x:v>4791</x:v>
      </x:c>
      <x:c r="B4792" s="2" t="inlineStr">
        <x:is>
          <x:t xml:space="preserve">600067</x:t>
        </x:is>
      </x:c>
      <x:c r="C4792" s="3" t="inlineStr">
        <x:is>
          <x:t xml:space="preserve">冠城新材</x:t>
        </x:is>
      </x:c>
      <x:c r="D4792" s="3" t="inlineStr">
        <x:is>
          <x:t xml:space="preserve">冠城大通新材料股份有限公司</x:t>
        </x:is>
      </x:c>
      <x:c r="E4792" s="2" t="inlineStr">
        <x:is>
          <x:t xml:space="preserve">福建省</x:t>
        </x:is>
      </x:c>
      <x:c r="F4792" s="2" t="inlineStr">
        <x:is>
          <x:t xml:space="preserve">福州市</x:t>
        </x:is>
      </x:c>
      <x:c r="G4792" s="3" t="inlineStr">
        <x:is>
          <x:t xml:space="preserve">福建省-福州市</x:t>
        </x:is>
      </x:c>
      <x:c r="H4792" s="2" t="inlineStr">
        <x:is>
          <x:t xml:space="preserve">电网设备</x:t>
        </x:is>
      </x:c>
      <x:c r="I4792" s="2" t="inlineStr">
        <x:is>
          <x:t xml:space="preserve">1997-05-08</x:t>
        </x:is>
      </x:c>
      <x:c r="J4792" s="3" t="inlineStr">
        <x:is>
          <x:t xml:space="preserve">福建省福州市开发区快安延伸区创新楼</x:t>
        </x:is>
      </x:c>
      <x:c r="K4792" s="12" t="str">
        <x:f>LEFT("91350000158166190Y",18)</x:f>
        <x:v>91350000158166190Y</x:v>
      </x:c>
    </x:row>
    <x:row r="4793">
      <x:c r="A4793" s="4" t="n">
        <x:v>4792</x:v>
      </x:c>
      <x:c r="B4793" s="4" t="inlineStr">
        <x:is>
          <x:t xml:space="preserve">600103</x:t>
        </x:is>
      </x:c>
      <x:c r="C4793" s="5" t="inlineStr">
        <x:is>
          <x:t xml:space="preserve">青山纸业</x:t>
        </x:is>
      </x:c>
      <x:c r="D4793" s="5" t="inlineStr">
        <x:is>
          <x:t xml:space="preserve">福建省青山纸业股份有限公司</x:t>
        </x:is>
      </x:c>
      <x:c r="E4793" s="4" t="inlineStr">
        <x:is>
          <x:t xml:space="preserve">福建省</x:t>
        </x:is>
      </x:c>
      <x:c r="F4793" s="4" t="inlineStr">
        <x:is>
          <x:t xml:space="preserve">福州市</x:t>
        </x:is>
      </x:c>
      <x:c r="G4793" s="5" t="inlineStr">
        <x:is>
          <x:t xml:space="preserve">福建省-福州市</x:t>
        </x:is>
      </x:c>
      <x:c r="H4793" s="4" t="inlineStr">
        <x:is>
          <x:t xml:space="preserve">造纸印刷</x:t>
        </x:is>
      </x:c>
      <x:c r="I4793" s="4" t="inlineStr">
        <x:is>
          <x:t xml:space="preserve">1997-07-03</x:t>
        </x:is>
      </x:c>
      <x:c r="J4793" s="5" t="inlineStr">
        <x:is>
          <x:t xml:space="preserve">福建省福州市五一北路171号新都会花园广场16层</x:t>
        </x:is>
      </x:c>
      <x:c r="K4793" s="12" t="str">
        <x:f>LEFT("913500001581574975",18)</x:f>
        <x:v>913500001581574900</x:v>
      </x:c>
    </x:row>
    <x:row r="4794">
      <x:c r="A4794" s="2" t="n">
        <x:v>4793</x:v>
      </x:c>
      <x:c r="B4794" s="2" t="inlineStr">
        <x:is>
          <x:t xml:space="preserve">600153</x:t>
        </x:is>
      </x:c>
      <x:c r="C4794" s="3" t="inlineStr">
        <x:is>
          <x:t xml:space="preserve">建发股份</x:t>
        </x:is>
      </x:c>
      <x:c r="D4794" s="3" t="inlineStr">
        <x:is>
          <x:t xml:space="preserve">厦门建发股份有限公司</x:t>
        </x:is>
      </x:c>
      <x:c r="E4794" s="2" t="inlineStr">
        <x:is>
          <x:t xml:space="preserve">福建省</x:t>
        </x:is>
      </x:c>
      <x:c r="F4794" s="2" t="inlineStr">
        <x:is>
          <x:t xml:space="preserve">厦门市</x:t>
        </x:is>
      </x:c>
      <x:c r="G4794" s="3" t="inlineStr">
        <x:is>
          <x:t xml:space="preserve">福建省-厦门市</x:t>
        </x:is>
      </x:c>
      <x:c r="H4794" s="2" t="inlineStr">
        <x:is>
          <x:t xml:space="preserve">国际贸易</x:t>
        </x:is>
      </x:c>
      <x:c r="I4794" s="2" t="inlineStr">
        <x:is>
          <x:t xml:space="preserve">1998-06-16</x:t>
        </x:is>
      </x:c>
      <x:c r="J4794" s="3" t="inlineStr">
        <x:is>
          <x:t xml:space="preserve">中国福建省厦门市思明区环岛东路1699号建发国际大厦29层</x:t>
        </x:is>
      </x:c>
      <x:c r="K4794" s="12" t="str">
        <x:f>LEFT("91350200260130346B",18)</x:f>
        <x:v>91350200260130346B</x:v>
      </x:c>
    </x:row>
    <x:row r="4795">
      <x:c r="A4795" s="4" t="n">
        <x:v>4794</x:v>
      </x:c>
      <x:c r="B4795" s="4" t="inlineStr">
        <x:is>
          <x:t xml:space="preserve">600163</x:t>
        </x:is>
      </x:c>
      <x:c r="C4795" s="5" t="inlineStr">
        <x:is>
          <x:t xml:space="preserve">中闽能源</x:t>
        </x:is>
      </x:c>
      <x:c r="D4795" s="5" t="inlineStr">
        <x:is>
          <x:t xml:space="preserve">中闽能源股份有限公司</x:t>
        </x:is>
      </x:c>
      <x:c r="E4795" s="4" t="inlineStr">
        <x:is>
          <x:t xml:space="preserve">福建省</x:t>
        </x:is>
      </x:c>
      <x:c r="F4795" s="4" t="inlineStr">
        <x:is>
          <x:t xml:space="preserve">福州市</x:t>
        </x:is>
      </x:c>
      <x:c r="G4795" s="5" t="inlineStr">
        <x:is>
          <x:t xml:space="preserve">福建省-福州市</x:t>
        </x:is>
      </x:c>
      <x:c r="H4795" s="4" t="inlineStr">
        <x:is>
          <x:t xml:space="preserve">电力行业</x:t>
        </x:is>
      </x:c>
      <x:c r="I4795" s="4" t="inlineStr">
        <x:is>
          <x:t xml:space="preserve">1998-06-02</x:t>
        </x:is>
      </x:c>
      <x:c r="J4795" s="5" t="inlineStr">
        <x:is>
          <x:t xml:space="preserve">福建省福州市鼓楼区五四路国际大厦二十二层A、B、C座</x:t>
        </x:is>
      </x:c>
      <x:c r="K4795" s="12" t="str">
        <x:f>LEFT("91350000158150236X",18)</x:f>
        <x:v>91350000158150236X</x:v>
      </x:c>
    </x:row>
    <x:row r="4796">
      <x:c r="A4796" s="2" t="n">
        <x:v>4795</x:v>
      </x:c>
      <x:c r="B4796" s="2" t="inlineStr">
        <x:is>
          <x:t xml:space="preserve">600179</x:t>
        </x:is>
      </x:c>
      <x:c r="C4796" s="3" t="inlineStr">
        <x:is>
          <x:t xml:space="preserve">安通控股</x:t>
        </x:is>
      </x:c>
      <x:c r="D4796" s="3" t="inlineStr">
        <x:is>
          <x:t xml:space="preserve">安通控股股份有限公司</x:t>
        </x:is>
      </x:c>
      <x:c r="E4796" s="2" t="inlineStr">
        <x:is>
          <x:t xml:space="preserve">福建省</x:t>
        </x:is>
      </x:c>
      <x:c r="F4796" s="2" t="inlineStr">
        <x:is>
          <x:t xml:space="preserve">泉州市</x:t>
        </x:is>
      </x:c>
      <x:c r="G4796" s="3" t="inlineStr">
        <x:is>
          <x:t xml:space="preserve">福建省-泉州市</x:t>
        </x:is>
      </x:c>
      <x:c r="H4796" s="2" t="inlineStr">
        <x:is>
          <x:t xml:space="preserve">交运物流</x:t>
        </x:is>
      </x:c>
      <x:c r="I4796" s="2" t="inlineStr">
        <x:is>
          <x:t xml:space="preserve">1998-11-04</x:t>
        </x:is>
      </x:c>
      <x:c r="J4796" s="3" t="inlineStr">
        <x:is>
          <x:t xml:space="preserve">福建省泉州市丰泽区通港西街156号安通控股大厦</x:t>
        </x:is>
      </x:c>
      <x:c r="K4796" s="12" t="str">
        <x:f>LEFT("912302007028474177",18)</x:f>
        <x:v>912302007028474200</x:v>
      </x:c>
    </x:row>
    <x:row r="4797">
      <x:c r="A4797" s="4" t="n">
        <x:v>4796</x:v>
      </x:c>
      <x:c r="B4797" s="4" t="inlineStr">
        <x:is>
          <x:t xml:space="preserve">600203</x:t>
        </x:is>
      </x:c>
      <x:c r="C4797" s="5" t="inlineStr">
        <x:is>
          <x:t xml:space="preserve">福日电子</x:t>
        </x:is>
      </x:c>
      <x:c r="D4797" s="5" t="inlineStr">
        <x:is>
          <x:t xml:space="preserve">福建福日电子股份有限公司</x:t>
        </x:is>
      </x:c>
      <x:c r="E4797" s="4" t="inlineStr">
        <x:is>
          <x:t xml:space="preserve">福建省</x:t>
        </x:is>
      </x:c>
      <x:c r="F4797" s="4" t="inlineStr">
        <x:is>
          <x:t xml:space="preserve">福州市</x:t>
        </x:is>
      </x:c>
      <x:c r="G4797" s="5" t="inlineStr">
        <x:is>
          <x:t xml:space="preserve">福建省-福州市</x:t>
        </x:is>
      </x:c>
      <x:c r="H4797" s="4" t="inlineStr">
        <x:is>
          <x:t xml:space="preserve">消费电子</x:t>
        </x:is>
      </x:c>
      <x:c r="I4797" s="4" t="inlineStr">
        <x:is>
          <x:t xml:space="preserve">1999-05-14</x:t>
        </x:is>
      </x:c>
      <x:c r="J4797" s="5" t="inlineStr">
        <x:is>
          <x:t xml:space="preserve">福州开发区科技园区快安大道创新楼</x:t>
        </x:is>
      </x:c>
      <x:c r="K4797" s="12" t="str">
        <x:f>LEFT("91350000705101389R",18)</x:f>
        <x:v>91350000705101389R</x:v>
      </x:c>
    </x:row>
    <x:row r="4798">
      <x:c r="A4798" s="2" t="n">
        <x:v>4797</x:v>
      </x:c>
      <x:c r="B4798" s="2" t="inlineStr">
        <x:is>
          <x:t xml:space="preserve">600388</x:t>
        </x:is>
      </x:c>
      <x:c r="C4798" s="3" t="inlineStr">
        <x:is>
          <x:t xml:space="preserve">龙净环保</x:t>
        </x:is>
      </x:c>
      <x:c r="D4798" s="3" t="inlineStr">
        <x:is>
          <x:t xml:space="preserve">福建龙净环保股份有限公司</x:t>
        </x:is>
      </x:c>
      <x:c r="E4798" s="2" t="inlineStr">
        <x:is>
          <x:t xml:space="preserve">福建省</x:t>
        </x:is>
      </x:c>
      <x:c r="F4798" s="2" t="inlineStr">
        <x:is>
          <x:t xml:space="preserve">龙岩市</x:t>
        </x:is>
      </x:c>
      <x:c r="G4798" s="3" t="inlineStr">
        <x:is>
          <x:t xml:space="preserve">福建省-龙岩市</x:t>
        </x:is>
      </x:c>
      <x:c r="H4798" s="2" t="inlineStr">
        <x:is>
          <x:t xml:space="preserve">环保行业</x:t>
        </x:is>
      </x:c>
      <x:c r="I4798" s="2" t="inlineStr">
        <x:is>
          <x:t xml:space="preserve">2000-12-29</x:t>
        </x:is>
      </x:c>
      <x:c r="J4798" s="3" t="inlineStr">
        <x:is>
          <x:t xml:space="preserve">福建省龙岩市新罗区工业中路19号</x:t>
        </x:is>
      </x:c>
      <x:c r="K4798" s="12" t="str">
        <x:f>LEFT("913500007053171557",18)</x:f>
        <x:v>913500007053171600</x:v>
      </x:c>
    </x:row>
    <x:row r="4799">
      <x:c r="A4799" s="4" t="n">
        <x:v>4798</x:v>
      </x:c>
      <x:c r="B4799" s="4" t="inlineStr">
        <x:is>
          <x:t xml:space="preserve">600436</x:t>
        </x:is>
      </x:c>
      <x:c r="C4799" s="5" t="inlineStr">
        <x:is>
          <x:t xml:space="preserve">片仔癀</x:t>
        </x:is>
      </x:c>
      <x:c r="D4799" s="5" t="inlineStr">
        <x:is>
          <x:t xml:space="preserve">漳州片仔癀药业股份有限公司</x:t>
        </x:is>
      </x:c>
      <x:c r="E4799" s="4" t="inlineStr">
        <x:is>
          <x:t xml:space="preserve">福建省</x:t>
        </x:is>
      </x:c>
      <x:c r="F4799" s="4" t="inlineStr">
        <x:is>
          <x:t xml:space="preserve">漳州市</x:t>
        </x:is>
      </x:c>
      <x:c r="G4799" s="5" t="inlineStr">
        <x:is>
          <x:t xml:space="preserve">福建省-漳州市</x:t>
        </x:is>
      </x:c>
      <x:c r="H4799" s="4" t="inlineStr">
        <x:is>
          <x:t xml:space="preserve">中药</x:t>
        </x:is>
      </x:c>
      <x:c r="I4799" s="4" t="inlineStr">
        <x:is>
          <x:t xml:space="preserve">2003-06-16</x:t>
        </x:is>
      </x:c>
      <x:c r="J4799" s="5" t="inlineStr">
        <x:is>
          <x:t xml:space="preserve">福建省漳州市芗城区琥珀路1号</x:t>
        </x:is>
      </x:c>
      <x:c r="K4799" s="12" t="str">
        <x:f>LEFT("91350000705210294Q",18)</x:f>
        <x:v>91350000705210294Q</x:v>
      </x:c>
    </x:row>
    <x:row r="4800">
      <x:c r="A4800" s="2" t="n">
        <x:v>4799</x:v>
      </x:c>
      <x:c r="B4800" s="2" t="inlineStr">
        <x:is>
          <x:t xml:space="preserve">600483</x:t>
        </x:is>
      </x:c>
      <x:c r="C4800" s="3" t="inlineStr">
        <x:is>
          <x:t xml:space="preserve">福能股份</x:t>
        </x:is>
      </x:c>
      <x:c r="D4800" s="3" t="inlineStr">
        <x:is>
          <x:t xml:space="preserve">福建福能股份有限公司</x:t>
        </x:is>
      </x:c>
      <x:c r="E4800" s="2" t="inlineStr">
        <x:is>
          <x:t xml:space="preserve">福建省</x:t>
        </x:is>
      </x:c>
      <x:c r="F4800" s="2" t="inlineStr">
        <x:is>
          <x:t xml:space="preserve">南平市</x:t>
        </x:is>
      </x:c>
      <x:c r="G4800" s="3" t="inlineStr">
        <x:is>
          <x:t xml:space="preserve">福建省-南平市</x:t>
        </x:is>
      </x:c>
      <x:c r="H4800" s="2" t="inlineStr">
        <x:is>
          <x:t xml:space="preserve">电力行业</x:t>
        </x:is>
      </x:c>
      <x:c r="I4800" s="2" t="inlineStr">
        <x:is>
          <x:t xml:space="preserve">2004-05-31</x:t>
        </x:is>
      </x:c>
      <x:c r="J4800" s="3" t="inlineStr">
        <x:is>
          <x:t xml:space="preserve">福建省南平市安丰路63号</x:t>
        </x:is>
      </x:c>
      <x:c r="K4800" s="12" t="str">
        <x:f>LEFT("91350000156983680C",18)</x:f>
        <x:v>91350000156983680C</x:v>
      </x:c>
    </x:row>
    <x:row r="4801">
      <x:c r="A4801" s="4" t="n">
        <x:v>4800</x:v>
      </x:c>
      <x:c r="B4801" s="4" t="inlineStr">
        <x:is>
          <x:t xml:space="preserve">600493</x:t>
        </x:is>
      </x:c>
      <x:c r="C4801" s="5" t="inlineStr">
        <x:is>
          <x:t xml:space="preserve">凤竹纺织</x:t>
        </x:is>
      </x:c>
      <x:c r="D4801" s="5" t="inlineStr">
        <x:is>
          <x:t xml:space="preserve">福建凤竹纺织科技股份有限公司</x:t>
        </x:is>
      </x:c>
      <x:c r="E4801" s="4" t="inlineStr">
        <x:is>
          <x:t xml:space="preserve">福建省</x:t>
        </x:is>
      </x:c>
      <x:c r="F4801" s="4" t="inlineStr">
        <x:is>
          <x:t xml:space="preserve">晋江市</x:t>
        </x:is>
      </x:c>
      <x:c r="G4801" s="5" t="inlineStr">
        <x:is>
          <x:t xml:space="preserve">福建省-晋江市</x:t>
        </x:is>
      </x:c>
      <x:c r="H4801" s="4" t="inlineStr">
        <x:is>
          <x:t xml:space="preserve">纺织服装</x:t>
        </x:is>
      </x:c>
      <x:c r="I4801" s="4" t="inlineStr">
        <x:is>
          <x:t xml:space="preserve">2004-04-21</x:t>
        </x:is>
      </x:c>
      <x:c r="J4801" s="5" t="inlineStr">
        <x:is>
          <x:t xml:space="preserve">晋江市梅岭街道世纪大道975号</x:t>
        </x:is>
      </x:c>
      <x:c r="K4801" s="12" t="str">
        <x:f>LEFT("913500006115251139",18)</x:f>
        <x:v>913500006115251200</x:v>
      </x:c>
    </x:row>
    <x:row r="4802">
      <x:c r="A4802" s="2" t="n">
        <x:v>4801</x:v>
      </x:c>
      <x:c r="B4802" s="2" t="inlineStr">
        <x:is>
          <x:t xml:space="preserve">600549</x:t>
        </x:is>
      </x:c>
      <x:c r="C4802" s="3" t="inlineStr">
        <x:is>
          <x:t xml:space="preserve">厦门钨业</x:t>
        </x:is>
      </x:c>
      <x:c r="D4802" s="3" t="inlineStr">
        <x:is>
          <x:t xml:space="preserve">厦门钨业股份有限公司</x:t>
        </x:is>
      </x:c>
      <x:c r="E4802" s="2" t="inlineStr">
        <x:is>
          <x:t xml:space="preserve">福建省</x:t>
        </x:is>
      </x:c>
      <x:c r="F4802" s="2" t="inlineStr">
        <x:is>
          <x:t xml:space="preserve">厦门市</x:t>
        </x:is>
      </x:c>
      <x:c r="G4802" s="3" t="inlineStr">
        <x:is>
          <x:t xml:space="preserve">福建省-厦门市</x:t>
        </x:is>
      </x:c>
      <x:c r="H4802" s="2" t="inlineStr">
        <x:is>
          <x:t xml:space="preserve">小金属</x:t>
        </x:is>
      </x:c>
      <x:c r="I4802" s="2" t="inlineStr">
        <x:is>
          <x:t xml:space="preserve">2002-11-07</x:t>
        </x:is>
      </x:c>
      <x:c r="J4802" s="3" t="inlineStr">
        <x:is>
          <x:t xml:space="preserve">福建省厦门市海沧区柯井社</x:t>
        </x:is>
      </x:c>
      <x:c r="K4802" s="12" t="str">
        <x:f>LEFT("91350200155013367M",18)</x:f>
        <x:v>91350200155013367M</x:v>
      </x:c>
    </x:row>
    <x:row r="4803">
      <x:c r="A4803" s="4" t="n">
        <x:v>4802</x:v>
      </x:c>
      <x:c r="B4803" s="4" t="inlineStr">
        <x:is>
          <x:t xml:space="preserve">600563</x:t>
        </x:is>
      </x:c>
      <x:c r="C4803" s="5" t="inlineStr">
        <x:is>
          <x:t xml:space="preserve">法拉电子</x:t>
        </x:is>
      </x:c>
      <x:c r="D4803" s="5" t="inlineStr">
        <x:is>
          <x:t xml:space="preserve">厦门法拉电子股份有限公司</x:t>
        </x:is>
      </x:c>
      <x:c r="E4803" s="4" t="inlineStr">
        <x:is>
          <x:t xml:space="preserve">福建省</x:t>
        </x:is>
      </x:c>
      <x:c r="F4803" s="4" t="inlineStr">
        <x:is>
          <x:t xml:space="preserve">厦门市</x:t>
        </x:is>
      </x:c>
      <x:c r="G4803" s="5" t="inlineStr">
        <x:is>
          <x:t xml:space="preserve">福建省-厦门市</x:t>
        </x:is>
      </x:c>
      <x:c r="H4803" s="4" t="inlineStr">
        <x:is>
          <x:t xml:space="preserve">电子元件</x:t>
        </x:is>
      </x:c>
      <x:c r="I4803" s="4" t="inlineStr">
        <x:is>
          <x:t xml:space="preserve">2002-12-10</x:t>
        </x:is>
      </x:c>
      <x:c r="J4803" s="5" t="inlineStr">
        <x:is>
          <x:t xml:space="preserve">福建省厦门市海沧区新园路99号</x:t>
        </x:is>
      </x:c>
      <x:c r="K4803" s="12" t="str">
        <x:f>LEFT("913502002600846346",18)</x:f>
        <x:v>913502002600846300</x:v>
      </x:c>
    </x:row>
    <x:row r="4804">
      <x:c r="A4804" s="2" t="n">
        <x:v>4803</x:v>
      </x:c>
      <x:c r="B4804" s="2" t="inlineStr">
        <x:is>
          <x:t xml:space="preserve">600573</x:t>
        </x:is>
      </x:c>
      <x:c r="C4804" s="3" t="inlineStr">
        <x:is>
          <x:t xml:space="preserve">惠泉啤酒</x:t>
        </x:is>
      </x:c>
      <x:c r="D4804" s="3" t="inlineStr">
        <x:is>
          <x:t xml:space="preserve">福建省燕京惠泉啤酒股份有限公司</x:t>
        </x:is>
      </x:c>
      <x:c r="E4804" s="2" t="inlineStr">
        <x:is>
          <x:t xml:space="preserve">福建省</x:t>
        </x:is>
      </x:c>
      <x:c r="F4804" s="2" t="inlineStr">
        <x:is>
          <x:t xml:space="preserve">泉州市</x:t>
        </x:is>
      </x:c>
      <x:c r="G4804" s="3" t="inlineStr">
        <x:is>
          <x:t xml:space="preserve">福建省-泉州市</x:t>
        </x:is>
      </x:c>
      <x:c r="H4804" s="2" t="inlineStr">
        <x:is>
          <x:t xml:space="preserve">酿酒行业</x:t>
        </x:is>
      </x:c>
      <x:c r="I4804" s="2" t="inlineStr">
        <x:is>
          <x:t xml:space="preserve">2003-02-26</x:t>
        </x:is>
      </x:c>
      <x:c r="J4804" s="3" t="inlineStr">
        <x:is>
          <x:t xml:space="preserve">福建省泉州市惠安县螺城镇惠泉北路1999号</x:t>
        </x:is>
      </x:c>
      <x:c r="K4804" s="12" t="str">
        <x:f>LEFT("91350000158164558U",18)</x:f>
        <x:v>91350000158164558U</x:v>
      </x:c>
    </x:row>
    <x:row r="4805">
      <x:c r="A4805" s="4" t="n">
        <x:v>4804</x:v>
      </x:c>
      <x:c r="B4805" s="4" t="inlineStr">
        <x:is>
          <x:t xml:space="preserve">600592</x:t>
        </x:is>
      </x:c>
      <x:c r="C4805" s="5" t="inlineStr">
        <x:is>
          <x:t xml:space="preserve">龙溪股份</x:t>
        </x:is>
      </x:c>
      <x:c r="D4805" s="5" t="inlineStr">
        <x:is>
          <x:t xml:space="preserve">福建龙溪轴承(集团)股份有限公司</x:t>
        </x:is>
      </x:c>
      <x:c r="E4805" s="4" t="inlineStr">
        <x:is>
          <x:t xml:space="preserve">福建省</x:t>
        </x:is>
      </x:c>
      <x:c r="F4805" s="4" t="inlineStr">
        <x:is>
          <x:t xml:space="preserve">漳州市</x:t>
        </x:is>
      </x:c>
      <x:c r="G4805" s="5" t="inlineStr">
        <x:is>
          <x:t xml:space="preserve">福建省-漳州市</x:t>
        </x:is>
      </x:c>
      <x:c r="H4805" s="4" t="inlineStr">
        <x:is>
          <x:t xml:space="preserve">机械行业</x:t>
        </x:is>
      </x:c>
      <x:c r="I4805" s="4" t="inlineStr">
        <x:is>
          <x:t xml:space="preserve">2002-08-05</x:t>
        </x:is>
      </x:c>
      <x:c r="J4805" s="5" t="inlineStr">
        <x:is>
          <x:t xml:space="preserve">福建省漳州市龙文区湖滨路1号城投碧湖城市广场1幢B1501室-B1901室</x:t>
        </x:is>
      </x:c>
      <x:c r="K4805" s="12" t="str">
        <x:f>LEFT("91350000158166297A",18)</x:f>
        <x:v>91350000158166297A</x:v>
      </x:c>
    </x:row>
    <x:row r="4806">
      <x:c r="A4806" s="2" t="n">
        <x:v>4805</x:v>
      </x:c>
      <x:c r="B4806" s="2" t="inlineStr">
        <x:is>
          <x:t xml:space="preserve">600660</x:t>
        </x:is>
      </x:c>
      <x:c r="C4806" s="3" t="inlineStr">
        <x:is>
          <x:t xml:space="preserve">福耀玻璃</x:t>
        </x:is>
      </x:c>
      <x:c r="D4806" s="3" t="inlineStr">
        <x:is>
          <x:t xml:space="preserve">福耀玻璃工业集团股份有限公司</x:t>
        </x:is>
      </x:c>
      <x:c r="E4806" s="2" t="inlineStr">
        <x:is>
          <x:t xml:space="preserve">福建省</x:t>
        </x:is>
      </x:c>
      <x:c r="F4806" s="2" t="inlineStr">
        <x:is>
          <x:t xml:space="preserve">建省福清市</x:t>
        </x:is>
      </x:c>
      <x:c r="G4806" s="3" t="inlineStr">
        <x:is>
          <x:t xml:space="preserve">福建省-建省福清市</x:t>
        </x:is>
      </x:c>
      <x:c r="H4806" s="2" t="inlineStr">
        <x:is>
          <x:t xml:space="preserve">玻璃玻纤</x:t>
        </x:is>
      </x:c>
      <x:c r="I4806" s="2" t="inlineStr">
        <x:is>
          <x:t xml:space="preserve">1993-06-10</x:t>
        </x:is>
      </x:c>
      <x:c r="J4806" s="3" t="inlineStr">
        <x:is>
          <x:t xml:space="preserve">福建省福清市融侨经济技术开发区福耀工业村</x:t>
        </x:is>
      </x:c>
      <x:c r="K4806" s="12" t="str">
        <x:f>LEFT("91350100611300758B",18)</x:f>
        <x:v>91350100611300758B</x:v>
      </x:c>
    </x:row>
    <x:row r="4807">
      <x:c r="A4807" s="4" t="n">
        <x:v>4806</x:v>
      </x:c>
      <x:c r="B4807" s="4" t="inlineStr">
        <x:is>
          <x:t xml:space="preserve">600686</x:t>
        </x:is>
      </x:c>
      <x:c r="C4807" s="5" t="inlineStr">
        <x:is>
          <x:t xml:space="preserve">金龙汽车</x:t>
        </x:is>
      </x:c>
      <x:c r="D4807" s="5" t="inlineStr">
        <x:is>
          <x:t xml:space="preserve">厦门金龙汽车集团股份有限公司</x:t>
        </x:is>
      </x:c>
      <x:c r="E4807" s="4" t="inlineStr">
        <x:is>
          <x:t xml:space="preserve">福建省</x:t>
        </x:is>
      </x:c>
      <x:c r="F4807" s="4" t="inlineStr">
        <x:is>
          <x:t xml:space="preserve">厦门市</x:t>
        </x:is>
      </x:c>
      <x:c r="G4807" s="5" t="inlineStr">
        <x:is>
          <x:t xml:space="preserve">福建省-厦门市</x:t>
        </x:is>
      </x:c>
      <x:c r="H4807" s="4" t="inlineStr">
        <x:is>
          <x:t xml:space="preserve">汽车整车</x:t>
        </x:is>
      </x:c>
      <x:c r="I4807" s="4" t="inlineStr">
        <x:is>
          <x:t xml:space="preserve">1993-11-08</x:t>
        </x:is>
      </x:c>
      <x:c r="J4807" s="5" t="inlineStr">
        <x:is>
          <x:t xml:space="preserve">厦门市湖里区湖里大道69号</x:t>
        </x:is>
      </x:c>
      <x:c r="K4807" s="12" t="str">
        <x:f>LEFT("91350200154998133X",18)</x:f>
        <x:v>91350200154998133X</x:v>
      </x:c>
    </x:row>
    <x:row r="4808">
      <x:c r="A4808" s="2" t="n">
        <x:v>4807</x:v>
      </x:c>
      <x:c r="B4808" s="2" t="inlineStr">
        <x:is>
          <x:t xml:space="preserve">600693</x:t>
        </x:is>
      </x:c>
      <x:c r="C4808" s="3" t="inlineStr">
        <x:is>
          <x:t xml:space="preserve">东百集团</x:t>
        </x:is>
      </x:c>
      <x:c r="D4808" s="3" t="inlineStr">
        <x:is>
          <x:t xml:space="preserve">福建东百集团股份有限公司</x:t>
        </x:is>
      </x:c>
      <x:c r="E4808" s="2" t="inlineStr">
        <x:is>
          <x:t xml:space="preserve">福建省</x:t>
        </x:is>
      </x:c>
      <x:c r="F4808" s="2" t="inlineStr">
        <x:is>
          <x:t xml:space="preserve">福州市</x:t>
        </x:is>
      </x:c>
      <x:c r="G4808" s="3" t="inlineStr">
        <x:is>
          <x:t xml:space="preserve">福建省-福州市</x:t>
        </x:is>
      </x:c>
      <x:c r="H4808" s="2" t="inlineStr">
        <x:is>
          <x:t xml:space="preserve">商业百货</x:t>
        </x:is>
      </x:c>
      <x:c r="I4808" s="2" t="inlineStr">
        <x:is>
          <x:t xml:space="preserve">1993-11-22</x:t>
        </x:is>
      </x:c>
      <x:c r="J4808" s="3" t="inlineStr">
        <x:is>
          <x:t xml:space="preserve">福州市八一七北路84号-185号(除178-1号)</x:t>
        </x:is>
      </x:c>
      <x:c r="K4808" s="12" t="str">
        <x:f>LEFT("91350000154382187J",18)</x:f>
        <x:v>91350000154382187J</x:v>
      </x:c>
    </x:row>
    <x:row r="4809">
      <x:c r="A4809" s="4" t="n">
        <x:v>4808</x:v>
      </x:c>
      <x:c r="B4809" s="4" t="inlineStr">
        <x:is>
          <x:t xml:space="preserve">600711</x:t>
        </x:is>
      </x:c>
      <x:c r="C4809" s="5" t="inlineStr">
        <x:is>
          <x:t xml:space="preserve">盛屯矿业</x:t>
        </x:is>
      </x:c>
      <x:c r="D4809" s="5" t="inlineStr">
        <x:is>
          <x:t xml:space="preserve">盛屯矿业集团股份有限公司</x:t>
        </x:is>
      </x:c>
      <x:c r="E4809" s="4" t="inlineStr">
        <x:is>
          <x:t xml:space="preserve">福建省</x:t>
        </x:is>
      </x:c>
      <x:c r="F4809" s="4" t="inlineStr">
        <x:is>
          <x:t xml:space="preserve">厦门市</x:t>
        </x:is>
      </x:c>
      <x:c r="G4809" s="5" t="inlineStr">
        <x:is>
          <x:t xml:space="preserve">福建省-厦门市</x:t>
        </x:is>
      </x:c>
      <x:c r="H4809" s="4" t="inlineStr">
        <x:is>
          <x:t xml:space="preserve">能源金属</x:t>
        </x:is>
      </x:c>
      <x:c r="I4809" s="4" t="inlineStr">
        <x:is>
          <x:t xml:space="preserve">1996-05-31</x:t>
        </x:is>
      </x:c>
      <x:c r="J4809" s="5" t="inlineStr">
        <x:is>
          <x:t xml:space="preserve">厦门市翔安区莲亭路836号3#楼101号A单元</x:t>
        </x:is>
      </x:c>
      <x:c r="K4809" s="12" t="str">
        <x:f>LEFT("9135020015499727X1",18)</x:f>
        <x:v>9135020015499727X1</x:v>
      </x:c>
    </x:row>
    <x:row r="4810">
      <x:c r="A4810" s="2" t="n">
        <x:v>4809</x:v>
      </x:c>
      <x:c r="B4810" s="2" t="inlineStr">
        <x:is>
          <x:t xml:space="preserve">600734</x:t>
        </x:is>
      </x:c>
      <x:c r="C4810" s="3" t="inlineStr">
        <x:is>
          <x:t xml:space="preserve">实达集团</x:t>
        </x:is>
      </x:c>
      <x:c r="D4810" s="3" t="inlineStr">
        <x:is>
          <x:t xml:space="preserve">福建实达集团股份有限公司</x:t>
        </x:is>
      </x:c>
      <x:c r="E4810" s="2" t="inlineStr">
        <x:is>
          <x:t xml:space="preserve">福建省</x:t>
        </x:is>
      </x:c>
      <x:c r="F4810" s="2" t="inlineStr">
        <x:is>
          <x:t xml:space="preserve">福州市</x:t>
        </x:is>
      </x:c>
      <x:c r="G4810" s="3" t="inlineStr">
        <x:is>
          <x:t xml:space="preserve">福建省-福州市</x:t>
        </x:is>
      </x:c>
      <x:c r="H4810" s="2" t="inlineStr">
        <x:is>
          <x:t xml:space="preserve">互联网服务</x:t>
        </x:is>
      </x:c>
      <x:c r="I4810" s="2" t="inlineStr">
        <x:is>
          <x:t xml:space="preserve">1996-08-08</x:t>
        </x:is>
      </x:c>
      <x:c r="J4810" s="3" t="inlineStr">
        <x:is>
          <x:t xml:space="preserve">福建省福州市长乐区文武砂街道智慧路8号1号楼16层</x:t>
        </x:is>
      </x:c>
      <x:c r="K4810" s="12" t="str">
        <x:f>LEFT("913500001581425518",18)</x:f>
        <x:v>913500001581425500</x:v>
      </x:c>
    </x:row>
    <x:row r="4811">
      <x:c r="A4811" s="4" t="n">
        <x:v>4810</x:v>
      </x:c>
      <x:c r="B4811" s="4" t="inlineStr">
        <x:is>
          <x:t xml:space="preserve">600753</x:t>
        </x:is>
      </x:c>
      <x:c r="C4811" s="5" t="inlineStr">
        <x:is>
          <x:t xml:space="preserve">*ST海钦</x:t>
        </x:is>
      </x:c>
      <x:c r="D4811" s="5" t="inlineStr">
        <x:is>
          <x:t xml:space="preserve">福建海钦能源集团股份有限公司</x:t>
        </x:is>
      </x:c>
      <x:c r="E4811" s="4" t="inlineStr">
        <x:is>
          <x:t xml:space="preserve">福建省</x:t>
        </x:is>
      </x:c>
      <x:c r="F4811" s="4" t="inlineStr">
        <x:is>
          <x:t xml:space="preserve">福州市</x:t>
        </x:is>
      </x:c>
      <x:c r="G4811" s="5" t="inlineStr">
        <x:is>
          <x:t xml:space="preserve">福建省-福州市</x:t>
        </x:is>
      </x:c>
      <x:c r="H4811" s="4" t="inlineStr">
        <x:is>
          <x:t xml:space="preserve">国际贸易</x:t>
        </x:is>
      </x:c>
      <x:c r="I4811" s="4" t="inlineStr">
        <x:is>
          <x:t xml:space="preserve">1996-09-27</x:t>
        </x:is>
      </x:c>
      <x:c r="J4811" s="5" t="inlineStr">
        <x:is>
          <x:t xml:space="preserve">福州市长乐区文武砂镇壶江路2号中国东南大数据产业园1号研发楼306</x:t>
        </x:is>
      </x:c>
      <x:c r="K4811" s="12" t="str">
        <x:f>LEFT("91410000169997985C",18)</x:f>
        <x:v>91410000169997985C</x:v>
      </x:c>
    </x:row>
    <x:row r="4812">
      <x:c r="A4812" s="2" t="n">
        <x:v>4811</x:v>
      </x:c>
      <x:c r="B4812" s="2" t="inlineStr">
        <x:is>
          <x:t xml:space="preserve">600755</x:t>
        </x:is>
      </x:c>
      <x:c r="C4812" s="3" t="inlineStr">
        <x:is>
          <x:t xml:space="preserve">厦门国贸</x:t>
        </x:is>
      </x:c>
      <x:c r="D4812" s="3" t="inlineStr">
        <x:is>
          <x:t xml:space="preserve">厦门国贸集团股份有限公司</x:t>
        </x:is>
      </x:c>
      <x:c r="E4812" s="2" t="inlineStr">
        <x:is>
          <x:t xml:space="preserve">福建省</x:t>
        </x:is>
      </x:c>
      <x:c r="F4812" s="2" t="inlineStr">
        <x:is>
          <x:t xml:space="preserve">厦门市</x:t>
        </x:is>
      </x:c>
      <x:c r="G4812" s="3" t="inlineStr">
        <x:is>
          <x:t xml:space="preserve">福建省-厦门市</x:t>
        </x:is>
      </x:c>
      <x:c r="H4812" s="2" t="inlineStr">
        <x:is>
          <x:t xml:space="preserve">国际贸易</x:t>
        </x:is>
      </x:c>
      <x:c r="I4812" s="2" t="inlineStr">
        <x:is>
          <x:t xml:space="preserve">1996-10-03</x:t>
        </x:is>
      </x:c>
      <x:c r="J4812" s="3" t="inlineStr">
        <x:is>
          <x:t xml:space="preserve">中国福建省厦门市湖里区仙岳路4688号国贸中心2801单元</x:t>
        </x:is>
      </x:c>
      <x:c r="K4812" s="12" t="str">
        <x:f>LEFT("913502001550054395",18)</x:f>
        <x:v>913502001550054400</x:v>
      </x:c>
    </x:row>
    <x:row r="4813">
      <x:c r="A4813" s="4" t="n">
        <x:v>4812</x:v>
      </x:c>
      <x:c r="B4813" s="4" t="inlineStr">
        <x:is>
          <x:t xml:space="preserve">600802</x:t>
        </x:is>
      </x:c>
      <x:c r="C4813" s="5" t="inlineStr">
        <x:is>
          <x:t xml:space="preserve">福建水泥</x:t>
        </x:is>
      </x:c>
      <x:c r="D4813" s="5" t="inlineStr">
        <x:is>
          <x:t xml:space="preserve">福建水泥股份有限公司</x:t>
        </x:is>
      </x:c>
      <x:c r="E4813" s="4" t="inlineStr">
        <x:is>
          <x:t xml:space="preserve">福建省</x:t>
        </x:is>
      </x:c>
      <x:c r="F4813" s="4" t="inlineStr">
        <x:is>
          <x:t xml:space="preserve">福州市</x:t>
        </x:is>
      </x:c>
      <x:c r="G4813" s="5" t="inlineStr">
        <x:is>
          <x:t xml:space="preserve">福建省-福州市</x:t>
        </x:is>
      </x:c>
      <x:c r="H4813" s="4" t="inlineStr">
        <x:is>
          <x:t xml:space="preserve">水泥建材</x:t>
        </x:is>
      </x:c>
      <x:c r="I4813" s="4" t="inlineStr">
        <x:is>
          <x:t xml:space="preserve">1994-01-03</x:t>
        </x:is>
      </x:c>
      <x:c r="J4813" s="5" t="inlineStr">
        <x:is>
          <x:t xml:space="preserve">福建省福州市杨桥路118号宏扬新城福州建福大厦</x:t>
        </x:is>
      </x:c>
      <x:c r="K4813" s="12" t="str">
        <x:f>LEFT("91350000158142658K",18)</x:f>
        <x:v>91350000158142658K</x:v>
      </x:c>
    </x:row>
    <x:row r="4814">
      <x:c r="A4814" s="2" t="n">
        <x:v>4813</x:v>
      </x:c>
      <x:c r="B4814" s="2" t="inlineStr">
        <x:is>
          <x:t xml:space="preserve">600815</x:t>
        </x:is>
      </x:c>
      <x:c r="C4814" s="3" t="inlineStr">
        <x:is>
          <x:t xml:space="preserve">厦工股份</x:t>
        </x:is>
      </x:c>
      <x:c r="D4814" s="3" t="inlineStr">
        <x:is>
          <x:t xml:space="preserve">厦门厦工机械股份有限公司</x:t>
        </x:is>
      </x:c>
      <x:c r="E4814" s="2" t="inlineStr">
        <x:is>
          <x:t xml:space="preserve">福建省</x:t>
        </x:is>
      </x:c>
      <x:c r="F4814" s="2" t="inlineStr">
        <x:is>
          <x:t xml:space="preserve">厦门市</x:t>
        </x:is>
      </x:c>
      <x:c r="G4814" s="3" t="inlineStr">
        <x:is>
          <x:t xml:space="preserve">福建省-厦门市</x:t>
        </x:is>
      </x:c>
      <x:c r="H4814" s="2" t="inlineStr">
        <x:is>
          <x:t xml:space="preserve">工程机械</x:t>
        </x:is>
      </x:c>
      <x:c r="I4814" s="2" t="inlineStr">
        <x:is>
          <x:t xml:space="preserve">1994-01-28</x:t>
        </x:is>
      </x:c>
      <x:c r="J4814" s="3" t="inlineStr">
        <x:is>
          <x:t xml:space="preserve">厦门市思明区厦禾路668号</x:t>
        </x:is>
      </x:c>
      <x:c r="K4814" s="12" t="str">
        <x:f>LEFT("91350200155052227K",18)</x:f>
        <x:v>91350200155052227K</x:v>
      </x:c>
    </x:row>
    <x:row r="4815">
      <x:c r="A4815" s="4" t="n">
        <x:v>4814</x:v>
      </x:c>
      <x:c r="B4815" s="4" t="inlineStr">
        <x:is>
          <x:t xml:space="preserve">600897</x:t>
        </x:is>
      </x:c>
      <x:c r="C4815" s="5" t="inlineStr">
        <x:is>
          <x:t xml:space="preserve">厦门空港</x:t>
        </x:is>
      </x:c>
      <x:c r="D4815" s="5" t="inlineStr">
        <x:is>
          <x:t xml:space="preserve">元翔(厦门)国际航空港股份有限公司</x:t>
        </x:is>
      </x:c>
      <x:c r="E4815" s="4" t="inlineStr">
        <x:is>
          <x:t xml:space="preserve">福建省</x:t>
        </x:is>
      </x:c>
      <x:c r="F4815" s="4" t="inlineStr">
        <x:is>
          <x:t xml:space="preserve">厦门市</x:t>
        </x:is>
      </x:c>
      <x:c r="G4815" s="5" t="inlineStr">
        <x:is>
          <x:t xml:space="preserve">福建省-厦门市</x:t>
        </x:is>
      </x:c>
      <x:c r="H4815" s="4" t="inlineStr">
        <x:is>
          <x:t xml:space="preserve">民航机场</x:t>
        </x:is>
      </x:c>
      <x:c r="I4815" s="4" t="inlineStr">
        <x:is>
          <x:t xml:space="preserve">1996-05-31</x:t>
        </x:is>
      </x:c>
      <x:c r="J4815" s="5" t="inlineStr">
        <x:is>
          <x:t xml:space="preserve">厦门高崎</x:t>
        </x:is>
      </x:c>
      <x:c r="K4815" s="12" t="str">
        <x:f>LEFT("91350200158163213A",18)</x:f>
        <x:v>91350200158163213A</x:v>
      </x:c>
    </x:row>
    <x:row r="4816">
      <x:c r="A4816" s="2" t="n">
        <x:v>4815</x:v>
      </x:c>
      <x:c r="B4816" s="2" t="inlineStr">
        <x:is>
          <x:t xml:space="preserve">600930</x:t>
        </x:is>
      </x:c>
      <x:c r="C4816" s="3" t="inlineStr">
        <x:is>
          <x:t xml:space="preserve">华电新能</x:t>
        </x:is>
      </x:c>
      <x:c r="D4816" s="3" t="inlineStr">
        <x:is>
          <x:t xml:space="preserve">华电新能源集团股份有限公司</x:t>
        </x:is>
      </x:c>
      <x:c r="E4816" s="2" t="inlineStr">
        <x:is>
          <x:t xml:space="preserve">福建省</x:t>
        </x:is>
      </x:c>
      <x:c r="F4816" s="2" t="inlineStr">
        <x:is>
          <x:t xml:space="preserve">福州市</x:t>
        </x:is>
      </x:c>
      <x:c r="G4816" s="3" t="inlineStr">
        <x:is>
          <x:t xml:space="preserve">福建省-福州市</x:t>
        </x:is>
      </x:c>
      <x:c r="H4816" s="2" t="inlineStr">
        <x:is>
          <x:t xml:space="preserve">电力行业</x:t>
        </x:is>
      </x:c>
      <x:c r="I4816" s="2" t="inlineStr">
        <x:is>
          <x:t xml:space="preserve">2025-07-16</x:t>
        </x:is>
      </x:c>
      <x:c r="J4816" s="3" t="inlineStr">
        <x:is>
          <x:t xml:space="preserve">福州市鼓楼区五四路75号福建外贸大厦32层02单元</x:t>
        </x:is>
      </x:c>
      <x:c r="K4816" s="12" t="str">
        <x:f>LEFT("91350181694368538K",18)</x:f>
        <x:v>91350181694368538K</x:v>
      </x:c>
    </x:row>
    <x:row r="4817">
      <x:c r="A4817" s="4" t="n">
        <x:v>4816</x:v>
      </x:c>
      <x:c r="B4817" s="4" t="inlineStr">
        <x:is>
          <x:t xml:space="preserve">601166</x:t>
        </x:is>
      </x:c>
      <x:c r="C4817" s="5" t="inlineStr">
        <x:is>
          <x:t xml:space="preserve">兴业银行</x:t>
        </x:is>
      </x:c>
      <x:c r="D4817" s="5" t="inlineStr">
        <x:is>
          <x:t xml:space="preserve">兴业银行股份有限公司</x:t>
        </x:is>
      </x:c>
      <x:c r="E4817" s="4" t="inlineStr">
        <x:is>
          <x:t xml:space="preserve">福建省</x:t>
        </x:is>
      </x:c>
      <x:c r="F4817" s="4" t="inlineStr">
        <x:is>
          <x:t xml:space="preserve">福州市</x:t>
        </x:is>
      </x:c>
      <x:c r="G4817" s="5" t="inlineStr">
        <x:is>
          <x:t xml:space="preserve">福建省-福州市</x:t>
        </x:is>
      </x:c>
      <x:c r="H4817" s="4" t="inlineStr">
        <x:is>
          <x:t xml:space="preserve">银行</x:t>
        </x:is>
      </x:c>
      <x:c r="I4817" s="4" t="inlineStr">
        <x:is>
          <x:t xml:space="preserve">2007-02-05</x:t>
        </x:is>
      </x:c>
      <x:c r="J4817" s="5" t="inlineStr">
        <x:is>
          <x:t xml:space="preserve">中国福建省福州市台江区江滨中大道398号兴业银行大厦</x:t>
        </x:is>
      </x:c>
      <x:c r="K4817" s="12" t="str">
        <x:f>LEFT("91350000158142711F",18)</x:f>
        <x:v>91350000158142711F</x:v>
      </x:c>
    </x:row>
    <x:row r="4818">
      <x:c r="A4818" s="2" t="n">
        <x:v>4817</x:v>
      </x:c>
      <x:c r="B4818" s="2" t="inlineStr">
        <x:is>
          <x:t xml:space="preserve">601187</x:t>
        </x:is>
      </x:c>
      <x:c r="C4818" s="3" t="inlineStr">
        <x:is>
          <x:t xml:space="preserve">厦门银行</x:t>
        </x:is>
      </x:c>
      <x:c r="D4818" s="3" t="inlineStr">
        <x:is>
          <x:t xml:space="preserve">厦门银行股份有限公司</x:t>
        </x:is>
      </x:c>
      <x:c r="E4818" s="2" t="inlineStr">
        <x:is>
          <x:t xml:space="preserve">福建省</x:t>
        </x:is>
      </x:c>
      <x:c r="F4818" s="2" t="inlineStr">
        <x:is>
          <x:t xml:space="preserve">厦门市</x:t>
        </x:is>
      </x:c>
      <x:c r="G4818" s="3" t="inlineStr">
        <x:is>
          <x:t xml:space="preserve">福建省-厦门市</x:t>
        </x:is>
      </x:c>
      <x:c r="H4818" s="2" t="inlineStr">
        <x:is>
          <x:t xml:space="preserve">银行</x:t>
        </x:is>
      </x:c>
      <x:c r="I4818" s="2" t="inlineStr">
        <x:is>
          <x:t xml:space="preserve">2020-10-27</x:t>
        </x:is>
      </x:c>
      <x:c r="J4818" s="3" t="inlineStr">
        <x:is>
          <x:t xml:space="preserve">厦门市思明区湖滨北路101号商业银行大厦</x:t>
        </x:is>
      </x:c>
      <x:c r="K4818" s="12" t="str">
        <x:f>LEFT("9135020026013710XM",18)</x:f>
        <x:v>9135020026013710XM</x:v>
      </x:c>
    </x:row>
    <x:row r="4819">
      <x:c r="A4819" s="4" t="n">
        <x:v>4818</x:v>
      </x:c>
      <x:c r="B4819" s="4" t="inlineStr">
        <x:is>
          <x:t xml:space="preserve">601377</x:t>
        </x:is>
      </x:c>
      <x:c r="C4819" s="5" t="inlineStr">
        <x:is>
          <x:t xml:space="preserve">兴业证券</x:t>
        </x:is>
      </x:c>
      <x:c r="D4819" s="5" t="inlineStr">
        <x:is>
          <x:t xml:space="preserve">兴业证券股份有限公司</x:t>
        </x:is>
      </x:c>
      <x:c r="E4819" s="4" t="inlineStr">
        <x:is>
          <x:t xml:space="preserve">福建省</x:t>
        </x:is>
      </x:c>
      <x:c r="F4819" s="4" t="inlineStr">
        <x:is>
          <x:t xml:space="preserve">福州市</x:t>
        </x:is>
      </x:c>
      <x:c r="G4819" s="5" t="inlineStr">
        <x:is>
          <x:t xml:space="preserve">福建省-福州市</x:t>
        </x:is>
      </x:c>
      <x:c r="H4819" s="4" t="inlineStr">
        <x:is>
          <x:t xml:space="preserve">券商信托</x:t>
        </x:is>
      </x:c>
      <x:c r="I4819" s="4" t="inlineStr">
        <x:is>
          <x:t xml:space="preserve">2010-10-13</x:t>
        </x:is>
      </x:c>
      <x:c r="J4819" s="5" t="inlineStr">
        <x:is>
          <x:t xml:space="preserve">福建省福州市湖东路268号</x:t>
        </x:is>
      </x:c>
      <x:c r="K4819" s="12" t="str">
        <x:f>LEFT("91350000158159898D",18)</x:f>
        <x:v>91350000158159898D</x:v>
      </x:c>
    </x:row>
    <x:row r="4820">
      <x:c r="A4820" s="2" t="n">
        <x:v>4819</x:v>
      </x:c>
      <x:c r="B4820" s="2" t="inlineStr">
        <x:is>
          <x:t xml:space="preserve">601566</x:t>
        </x:is>
      </x:c>
      <x:c r="C4820" s="3" t="inlineStr">
        <x:is>
          <x:t xml:space="preserve">九牧王</x:t>
        </x:is>
      </x:c>
      <x:c r="D4820" s="3" t="inlineStr">
        <x:is>
          <x:t xml:space="preserve">九牧王股份有限公司</x:t>
        </x:is>
      </x:c>
      <x:c r="E4820" s="2" t="inlineStr">
        <x:is>
          <x:t xml:space="preserve">福建省</x:t>
        </x:is>
      </x:c>
      <x:c r="F4820" s="2" t="inlineStr">
        <x:is>
          <x:t xml:space="preserve">泉州市</x:t>
        </x:is>
      </x:c>
      <x:c r="G4820" s="3" t="inlineStr">
        <x:is>
          <x:t xml:space="preserve">福建省-泉州市</x:t>
        </x:is>
      </x:c>
      <x:c r="H4820" s="2" t="inlineStr">
        <x:is>
          <x:t xml:space="preserve">纺织服装</x:t>
        </x:is>
      </x:c>
      <x:c r="I4820" s="2" t="inlineStr">
        <x:is>
          <x:t xml:space="preserve">2011-05-30</x:t>
        </x:is>
      </x:c>
      <x:c r="J4820" s="3" t="inlineStr">
        <x:is>
          <x:t xml:space="preserve">泉州市经济技术开发区清蒙园区</x:t>
        </x:is>
      </x:c>
      <x:c r="K4820" s="12" t="str">
        <x:f>LEFT("91350000759352255T",18)</x:f>
        <x:v>91350000759352255T</x:v>
      </x:c>
    </x:row>
    <x:row r="4821">
      <x:c r="A4821" s="4" t="n">
        <x:v>4820</x:v>
      </x:c>
      <x:c r="B4821" s="4" t="inlineStr">
        <x:is>
          <x:t xml:space="preserve">601899</x:t>
        </x:is>
      </x:c>
      <x:c r="C4821" s="5" t="inlineStr">
        <x:is>
          <x:t xml:space="preserve">紫金矿业</x:t>
        </x:is>
      </x:c>
      <x:c r="D4821" s="5" t="inlineStr">
        <x:is>
          <x:t xml:space="preserve">紫金矿业集团股份有限公司</x:t>
        </x:is>
      </x:c>
      <x:c r="E4821" s="4" t="inlineStr">
        <x:is>
          <x:t xml:space="preserve">福建省</x:t>
        </x:is>
      </x:c>
      <x:c r="F4821" s="4" t="inlineStr">
        <x:is>
          <x:t xml:space="preserve">龙岩市</x:t>
        </x:is>
      </x:c>
      <x:c r="G4821" s="5" t="inlineStr">
        <x:is>
          <x:t xml:space="preserve">福建省-龙岩市</x:t>
        </x:is>
      </x:c>
      <x:c r="H4821" s="4" t="inlineStr">
        <x:is>
          <x:t xml:space="preserve">有色金属</x:t>
        </x:is>
      </x:c>
      <x:c r="I4821" s="4" t="inlineStr">
        <x:is>
          <x:t xml:space="preserve">2008-04-25</x:t>
        </x:is>
      </x:c>
      <x:c r="J4821" s="5" t="inlineStr">
        <x:is>
          <x:t xml:space="preserve">福建省龙岩市上杭县紫金大道1号</x:t>
        </x:is>
      </x:c>
      <x:c r="K4821" s="12" t="str">
        <x:f>LEFT("91350000157987632G",18)</x:f>
        <x:v>91350000157987632G</x:v>
      </x:c>
    </x:row>
    <x:row r="4822">
      <x:c r="A4822" s="2" t="n">
        <x:v>4821</x:v>
      </x:c>
      <x:c r="B4822" s="2" t="inlineStr">
        <x:is>
          <x:t xml:space="preserve">601933</x:t>
        </x:is>
      </x:c>
      <x:c r="C4822" s="3" t="inlineStr">
        <x:is>
          <x:t xml:space="preserve">永辉超市</x:t>
        </x:is>
      </x:c>
      <x:c r="D4822" s="3" t="inlineStr">
        <x:is>
          <x:t xml:space="preserve">永辉超市股份有限公司</x:t>
        </x:is>
      </x:c>
      <x:c r="E4822" s="2" t="inlineStr">
        <x:is>
          <x:t xml:space="preserve">福建省</x:t>
        </x:is>
      </x:c>
      <x:c r="F4822" s="2" t="inlineStr">
        <x:is>
          <x:t xml:space="preserve">福州市</x:t>
        </x:is>
      </x:c>
      <x:c r="G4822" s="3" t="inlineStr">
        <x:is>
          <x:t xml:space="preserve">福建省-福州市</x:t>
        </x:is>
      </x:c>
      <x:c r="H4822" s="2" t="inlineStr">
        <x:is>
          <x:t xml:space="preserve">商业百货</x:t>
        </x:is>
      </x:c>
      <x:c r="I4822" s="2" t="inlineStr">
        <x:is>
          <x:t xml:space="preserve">2010-12-15</x:t>
        </x:is>
      </x:c>
      <x:c r="J4822" s="3" t="inlineStr">
        <x:is>
          <x:t xml:space="preserve">福建省福州市西二环中路436号</x:t>
        </x:is>
      </x:c>
      <x:c r="K4822" s="12" t="str">
        <x:f>LEFT("91350000727900106T",18)</x:f>
        <x:v>91350000727900106T</x:v>
      </x:c>
    </x:row>
    <x:row r="4823">
      <x:c r="A4823" s="4" t="n">
        <x:v>4822</x:v>
      </x:c>
      <x:c r="B4823" s="4" t="inlineStr">
        <x:is>
          <x:t xml:space="preserve">603162</x:t>
        </x:is>
      </x:c>
      <x:c r="C4823" s="5" t="inlineStr">
        <x:is>
          <x:t xml:space="preserve">海通发展</x:t>
        </x:is>
      </x:c>
      <x:c r="D4823" s="5" t="inlineStr">
        <x:is>
          <x:t xml:space="preserve">福建海通发展股份有限公司</x:t>
        </x:is>
      </x:c>
      <x:c r="E4823" s="4" t="inlineStr">
        <x:is>
          <x:t xml:space="preserve">福建省</x:t>
        </x:is>
      </x:c>
      <x:c r="F4823" s="4" t="inlineStr">
        <x:is>
          <x:t xml:space="preserve">福州市</x:t>
        </x:is>
      </x:c>
      <x:c r="G4823" s="5" t="inlineStr">
        <x:is>
          <x:t xml:space="preserve">福建省-福州市</x:t>
        </x:is>
      </x:c>
      <x:c r="H4823" s="4" t="inlineStr">
        <x:is>
          <x:t xml:space="preserve">航运港口</x:t>
        </x:is>
      </x:c>
      <x:c r="I4823" s="4" t="inlineStr">
        <x:is>
          <x:t xml:space="preserve">2023-03-29</x:t>
        </x:is>
      </x:c>
      <x:c r="J4823" s="5" t="inlineStr">
        <x:is>
          <x:t xml:space="preserve">平潭综合实验区金井湾商务营运中心3号楼17层1705-2室</x:t>
        </x:is>
      </x:c>
      <x:c r="K4823" s="12" t="str">
        <x:f>LEFT("91350128685097908U",18)</x:f>
        <x:v>91350128685097908U</x:v>
      </x:c>
    </x:row>
    <x:row r="4824">
      <x:c r="A4824" s="2" t="n">
        <x:v>4823</x:v>
      </x:c>
      <x:c r="B4824" s="2" t="inlineStr">
        <x:is>
          <x:t xml:space="preserve">603180</x:t>
        </x:is>
      </x:c>
      <x:c r="C4824" s="3" t="inlineStr">
        <x:is>
          <x:t xml:space="preserve">金牌家居</x:t>
        </x:is>
      </x:c>
      <x:c r="D4824" s="3" t="inlineStr">
        <x:is>
          <x:t xml:space="preserve">金牌厨柜家居科技股份有限公司</x:t>
        </x:is>
      </x:c>
      <x:c r="E4824" s="2" t="inlineStr">
        <x:is>
          <x:t xml:space="preserve">福建省</x:t>
        </x:is>
      </x:c>
      <x:c r="F4824" s="2" t="inlineStr">
        <x:is>
          <x:t xml:space="preserve">厦门市</x:t>
        </x:is>
      </x:c>
      <x:c r="G4824" s="3" t="inlineStr">
        <x:is>
          <x:t xml:space="preserve">福建省-厦门市</x:t>
        </x:is>
      </x:c>
      <x:c r="H4824" s="2" t="inlineStr">
        <x:is>
          <x:t xml:space="preserve">木业家具</x:t>
        </x:is>
      </x:c>
      <x:c r="I4824" s="2" t="inlineStr">
        <x:is>
          <x:t xml:space="preserve">2017-05-12</x:t>
        </x:is>
      </x:c>
      <x:c r="J4824" s="3" t="inlineStr">
        <x:is>
          <x:t xml:space="preserve">厦门市同安工业集中区同安园集和路190号</x:t>
        </x:is>
      </x:c>
      <x:c r="K4824" s="12" t="str">
        <x:f>LEFT("913502007054014451",18)</x:f>
        <x:v>913502007054014500</x:v>
      </x:c>
    </x:row>
    <x:row r="4825">
      <x:c r="A4825" s="4" t="n">
        <x:v>4824</x:v>
      </x:c>
      <x:c r="B4825" s="4" t="inlineStr">
        <x:is>
          <x:t xml:space="preserve">603209</x:t>
        </x:is>
      </x:c>
      <x:c r="C4825" s="5" t="inlineStr">
        <x:is>
          <x:t xml:space="preserve">兴通股份</x:t>
        </x:is>
      </x:c>
      <x:c r="D4825" s="5" t="inlineStr">
        <x:is>
          <x:t xml:space="preserve">兴通海运股份有限公司</x:t>
        </x:is>
      </x:c>
      <x:c r="E4825" s="4" t="inlineStr">
        <x:is>
          <x:t xml:space="preserve">福建省</x:t>
        </x:is>
      </x:c>
      <x:c r="F4825" s="4" t="inlineStr">
        <x:is>
          <x:t xml:space="preserve">泉州市</x:t>
        </x:is>
      </x:c>
      <x:c r="G4825" s="5" t="inlineStr">
        <x:is>
          <x:t xml:space="preserve">福建省-泉州市</x:t>
        </x:is>
      </x:c>
      <x:c r="H4825" s="4" t="inlineStr">
        <x:is>
          <x:t xml:space="preserve">航运港口</x:t>
        </x:is>
      </x:c>
      <x:c r="I4825" s="4" t="inlineStr">
        <x:is>
          <x:t xml:space="preserve">2022-03-24</x:t>
        </x:is>
      </x:c>
      <x:c r="J4825" s="5" t="inlineStr">
        <x:is>
          <x:t xml:space="preserve">福建省泉州市泉港区驿峰东路295号兴通海运大厦8-9楼</x:t>
        </x:is>
      </x:c>
      <x:c r="K4825" s="12" t="str">
        <x:f>LEFT("91350505705245753B",18)</x:f>
        <x:v>91350505705245753B</x:v>
      </x:c>
    </x:row>
    <x:row r="4826">
      <x:c r="A4826" s="2" t="n">
        <x:v>4825</x:v>
      </x:c>
      <x:c r="B4826" s="2" t="inlineStr">
        <x:is>
          <x:t xml:space="preserve">603280</x:t>
        </x:is>
      </x:c>
      <x:c r="C4826" s="3" t="inlineStr">
        <x:is>
          <x:t xml:space="preserve">南方路机</x:t>
        </x:is>
      </x:c>
      <x:c r="D4826" s="3" t="inlineStr">
        <x:is>
          <x:t xml:space="preserve">福建南方路面机械股份有限公司</x:t>
        </x:is>
      </x:c>
      <x:c r="E4826" s="2" t="inlineStr">
        <x:is>
          <x:t xml:space="preserve">福建省</x:t>
        </x:is>
      </x:c>
      <x:c r="F4826" s="2" t="inlineStr">
        <x:is>
          <x:t xml:space="preserve">泉州市</x:t>
        </x:is>
      </x:c>
      <x:c r="G4826" s="3" t="inlineStr">
        <x:is>
          <x:t xml:space="preserve">福建省-泉州市</x:t>
        </x:is>
      </x:c>
      <x:c r="H4826" s="2" t="inlineStr">
        <x:is>
          <x:t xml:space="preserve">专用设备</x:t>
        </x:is>
      </x:c>
      <x:c r="I4826" s="2" t="inlineStr">
        <x:is>
          <x:t xml:space="preserve">2022-11-08</x:t>
        </x:is>
      </x:c>
      <x:c r="J4826" s="3" t="inlineStr">
        <x:is>
          <x:t xml:space="preserve">泉州市丰泽区高新产业园体育街700号</x:t>
        </x:is>
      </x:c>
      <x:c r="K4826" s="12" t="str">
        <x:f>LEFT("91350503260043939B",18)</x:f>
        <x:v>91350503260043939B</x:v>
      </x:c>
    </x:row>
    <x:row r="4827">
      <x:c r="A4827" s="4" t="n">
        <x:v>4826</x:v>
      </x:c>
      <x:c r="B4827" s="4" t="inlineStr">
        <x:is>
          <x:t xml:space="preserve">603306</x:t>
        </x:is>
      </x:c>
      <x:c r="C4827" s="5" t="inlineStr">
        <x:is>
          <x:t xml:space="preserve">华懋科技</x:t>
        </x:is>
      </x:c>
      <x:c r="D4827" s="5" t="inlineStr">
        <x:is>
          <x:t xml:space="preserve">华懋(厦门)新材料科技股份有限公司</x:t>
        </x:is>
      </x:c>
      <x:c r="E4827" s="4" t="inlineStr">
        <x:is>
          <x:t xml:space="preserve">福建省</x:t>
        </x:is>
      </x:c>
      <x:c r="F4827" s="4" t="inlineStr">
        <x:is>
          <x:t xml:space="preserve">厦门市</x:t>
        </x:is>
      </x:c>
      <x:c r="G4827" s="5" t="inlineStr">
        <x:is>
          <x:t xml:space="preserve">福建省-厦门市</x:t>
        </x:is>
      </x:c>
      <x:c r="H4827" s="4" t="inlineStr">
        <x:is>
          <x:t xml:space="preserve">汽车行业</x:t>
        </x:is>
      </x:c>
      <x:c r="I4827" s="4" t="inlineStr">
        <x:is>
          <x:t xml:space="preserve">2014-09-26</x:t>
        </x:is>
      </x:c>
      <x:c r="J4827" s="5" t="inlineStr">
        <x:is>
          <x:t xml:space="preserve">福建省厦门市集美区后溪镇苏山路69号</x:t>
        </x:is>
      </x:c>
      <x:c r="K4827" s="12" t="str">
        <x:f>LEFT("91350200612046130C",18)</x:f>
        <x:v>91350200612046130C</x:v>
      </x:c>
    </x:row>
    <x:row r="4828">
      <x:c r="A4828" s="2" t="n">
        <x:v>4827</x:v>
      </x:c>
      <x:c r="B4828" s="2" t="inlineStr">
        <x:is>
          <x:t xml:space="preserve">603345</x:t>
        </x:is>
      </x:c>
      <x:c r="C4828" s="3" t="inlineStr">
        <x:is>
          <x:t xml:space="preserve">安井食品</x:t>
        </x:is>
      </x:c>
      <x:c r="D4828" s="3" t="inlineStr">
        <x:is>
          <x:t xml:space="preserve">安井食品集团股份有限公司</x:t>
        </x:is>
      </x:c>
      <x:c r="E4828" s="2" t="inlineStr">
        <x:is>
          <x:t xml:space="preserve">福建省</x:t>
        </x:is>
      </x:c>
      <x:c r="F4828" s="2" t="inlineStr">
        <x:is>
          <x:t xml:space="preserve">厦门市</x:t>
        </x:is>
      </x:c>
      <x:c r="G4828" s="3" t="inlineStr">
        <x:is>
          <x:t xml:space="preserve">福建省-厦门市</x:t>
        </x:is>
      </x:c>
      <x:c r="H4828" s="2" t="inlineStr">
        <x:is>
          <x:t xml:space="preserve">食品饮料</x:t>
        </x:is>
      </x:c>
      <x:c r="I4828" s="2" t="inlineStr">
        <x:is>
          <x:t xml:space="preserve">2017-02-22</x:t>
        </x:is>
      </x:c>
      <x:c r="J4828" s="3" t="inlineStr">
        <x:is>
          <x:t xml:space="preserve">厦门市海沧区新阳路2508号</x:t>
        </x:is>
      </x:c>
      <x:c r="K4828" s="12" t="str">
        <x:f>LEFT("913502007054909195",18)</x:f>
        <x:v>913502007054909200</x:v>
      </x:c>
    </x:row>
    <x:row r="4829">
      <x:c r="A4829" s="4" t="n">
        <x:v>4828</x:v>
      </x:c>
      <x:c r="B4829" s="4" t="inlineStr">
        <x:is>
          <x:t xml:space="preserve">603363</x:t>
        </x:is>
      </x:c>
      <x:c r="C4829" s="5" t="inlineStr">
        <x:is>
          <x:t xml:space="preserve">傲农生物</x:t>
        </x:is>
      </x:c>
      <x:c r="D4829" s="5" t="inlineStr">
        <x:is>
          <x:t xml:space="preserve">福建傲农生物科技集团股份有限公司</x:t>
        </x:is>
      </x:c>
      <x:c r="E4829" s="4" t="inlineStr">
        <x:is>
          <x:t xml:space="preserve">福建省</x:t>
        </x:is>
      </x:c>
      <x:c r="F4829" s="4" t="inlineStr">
        <x:is>
          <x:t xml:space="preserve">漳州市</x:t>
        </x:is>
      </x:c>
      <x:c r="G4829" s="5" t="inlineStr">
        <x:is>
          <x:t xml:space="preserve">福建省-漳州市</x:t>
        </x:is>
      </x:c>
      <x:c r="H4829" s="4" t="inlineStr">
        <x:is>
          <x:t xml:space="preserve">农牧饲渔</x:t>
        </x:is>
      </x:c>
      <x:c r="I4829" s="4" t="inlineStr">
        <x:is>
          <x:t xml:space="preserve">2017-09-26</x:t>
        </x:is>
      </x:c>
      <x:c r="J4829" s="5" t="inlineStr">
        <x:is>
          <x:t xml:space="preserve">福建省漳州市芗城区金峰经济开发区兴亭路与宝莲路交叉处</x:t>
        </x:is>
      </x:c>
      <x:c r="K4829" s="12" t="str">
        <x:f>LEFT("91350600572989045Q",18)</x:f>
        <x:v>91350600572989045Q</x:v>
      </x:c>
    </x:row>
    <x:row r="4830">
      <x:c r="A4830" s="2" t="n">
        <x:v>4829</x:v>
      </x:c>
      <x:c r="B4830" s="2" t="inlineStr">
        <x:is>
          <x:t xml:space="preserve">603383</x:t>
        </x:is>
      </x:c>
      <x:c r="C4830" s="3" t="inlineStr">
        <x:is>
          <x:t xml:space="preserve">顶点软件</x:t>
        </x:is>
      </x:c>
      <x:c r="D4830" s="3" t="inlineStr">
        <x:is>
          <x:t xml:space="preserve">福建顶点软件股份有限公司</x:t>
        </x:is>
      </x:c>
      <x:c r="E4830" s="2" t="inlineStr">
        <x:is>
          <x:t xml:space="preserve">福建省</x:t>
        </x:is>
      </x:c>
      <x:c r="F4830" s="2" t="inlineStr">
        <x:is>
          <x:t xml:space="preserve">福州市</x:t>
        </x:is>
      </x:c>
      <x:c r="G4830" s="3" t="inlineStr">
        <x:is>
          <x:t xml:space="preserve">福建省-福州市</x:t>
        </x:is>
      </x:c>
      <x:c r="H4830" s="2" t="inlineStr">
        <x:is>
          <x:t xml:space="preserve">软件服务</x:t>
        </x:is>
      </x:c>
      <x:c r="I4830" s="2" t="inlineStr">
        <x:is>
          <x:t xml:space="preserve">2017-05-22</x:t>
        </x:is>
      </x:c>
      <x:c r="J4830" s="3" t="inlineStr">
        <x:is>
          <x:t xml:space="preserve">福建省福州市鼓楼区铜盘路软件大道89号软件园A区13号楼</x:t>
        </x:is>
      </x:c>
      <x:c r="K4830" s="12" t="str">
        <x:f>LEFT("91350000260188521B",18)</x:f>
        <x:v>91350000260188521B</x:v>
      </x:c>
    </x:row>
    <x:row r="4831">
      <x:c r="A4831" s="4" t="n">
        <x:v>4830</x:v>
      </x:c>
      <x:c r="B4831" s="4" t="inlineStr">
        <x:is>
          <x:t xml:space="preserve">603408</x:t>
        </x:is>
      </x:c>
      <x:c r="C4831" s="5" t="inlineStr">
        <x:is>
          <x:t xml:space="preserve">建霖家居</x:t>
        </x:is>
      </x:c>
      <x:c r="D4831" s="5" t="inlineStr">
        <x:is>
          <x:t xml:space="preserve">厦门建霖健康家居股份有限公司</x:t>
        </x:is>
      </x:c>
      <x:c r="E4831" s="4" t="inlineStr">
        <x:is>
          <x:t xml:space="preserve">福建省</x:t>
        </x:is>
      </x:c>
      <x:c r="F4831" s="4" t="inlineStr">
        <x:is>
          <x:t xml:space="preserve">厦门市</x:t>
        </x:is>
      </x:c>
      <x:c r="G4831" s="5" t="inlineStr">
        <x:is>
          <x:t xml:space="preserve">福建省-厦门市</x:t>
        </x:is>
      </x:c>
      <x:c r="H4831" s="4" t="inlineStr">
        <x:is>
          <x:t xml:space="preserve">装修装饰</x:t>
        </x:is>
      </x:c>
      <x:c r="I4831" s="4" t="inlineStr">
        <x:is>
          <x:t xml:space="preserve">2020-07-30</x:t>
        </x:is>
      </x:c>
      <x:c r="J4831" s="5" t="inlineStr">
        <x:is>
          <x:t xml:space="preserve">厦门市集美区天凤路69号</x:t>
        </x:is>
      </x:c>
      <x:c r="K4831" s="12" t="str">
        <x:f>LEFT("913502006120063749",18)</x:f>
        <x:v>913502006120063700</x:v>
      </x:c>
    </x:row>
    <x:row r="4832">
      <x:c r="A4832" s="2" t="n">
        <x:v>4831</x:v>
      </x:c>
      <x:c r="B4832" s="2" t="inlineStr">
        <x:is>
          <x:t xml:space="preserve">603444</x:t>
        </x:is>
      </x:c>
      <x:c r="C4832" s="3" t="inlineStr">
        <x:is>
          <x:t xml:space="preserve">吉比特</x:t>
        </x:is>
      </x:c>
      <x:c r="D4832" s="3" t="inlineStr">
        <x:is>
          <x:t xml:space="preserve">厦门吉比特网络技术股份有限公司</x:t>
        </x:is>
      </x:c>
      <x:c r="E4832" s="2" t="inlineStr">
        <x:is>
          <x:t xml:space="preserve">福建省</x:t>
        </x:is>
      </x:c>
      <x:c r="F4832" s="2" t="inlineStr">
        <x:is>
          <x:t xml:space="preserve">厦门市</x:t>
        </x:is>
      </x:c>
      <x:c r="G4832" s="3" t="inlineStr">
        <x:is>
          <x:t xml:space="preserve">福建省-厦门市</x:t>
        </x:is>
      </x:c>
      <x:c r="H4832" s="2" t="inlineStr">
        <x:is>
          <x:t xml:space="preserve">游戏</x:t>
        </x:is>
      </x:c>
      <x:c r="I4832" s="2" t="inlineStr">
        <x:is>
          <x:t xml:space="preserve">2017-01-04</x:t>
        </x:is>
      </x:c>
      <x:c r="J4832" s="3" t="inlineStr">
        <x:is>
          <x:t xml:space="preserve">厦门软件园二期望海路4号101室</x:t>
        </x:is>
      </x:c>
      <x:c r="K4832" s="12" t="str">
        <x:f>LEFT("91350200751636712P",18)</x:f>
        <x:v>91350200751636712P</x:v>
      </x:c>
    </x:row>
    <x:row r="4833">
      <x:c r="A4833" s="4" t="n">
        <x:v>4832</x:v>
      </x:c>
      <x:c r="B4833" s="4" t="inlineStr">
        <x:is>
          <x:t xml:space="preserve">603615</x:t>
        </x:is>
      </x:c>
      <x:c r="C4833" s="5" t="inlineStr">
        <x:is>
          <x:t xml:space="preserve">茶花股份</x:t>
        </x:is>
      </x:c>
      <x:c r="D4833" s="5" t="inlineStr">
        <x:is>
          <x:t xml:space="preserve">茶花现代家居用品股份有限公司</x:t>
        </x:is>
      </x:c>
      <x:c r="E4833" s="4" t="inlineStr">
        <x:is>
          <x:t xml:space="preserve">福建省</x:t>
        </x:is>
      </x:c>
      <x:c r="F4833" s="4" t="inlineStr">
        <x:is>
          <x:t xml:space="preserve">福州市</x:t>
        </x:is>
      </x:c>
      <x:c r="G4833" s="5" t="inlineStr">
        <x:is>
          <x:t xml:space="preserve">福建省-福州市</x:t>
        </x:is>
      </x:c>
      <x:c r="H4833" s="4" t="inlineStr">
        <x:is>
          <x:t xml:space="preserve">塑胶制品</x:t>
        </x:is>
      </x:c>
      <x:c r="I4833" s="4" t="inlineStr">
        <x:is>
          <x:t xml:space="preserve">2017-02-13</x:t>
        </x:is>
      </x:c>
      <x:c r="J4833" s="5" t="inlineStr">
        <x:is>
          <x:t xml:space="preserve">福建省福州市晋安区鼓山镇蕉坑路168号</x:t>
        </x:is>
      </x:c>
      <x:c r="K4833" s="12" t="str">
        <x:f>LEFT("913501002601745333",18)</x:f>
        <x:v>913501002601745300</x:v>
      </x:c>
    </x:row>
    <x:row r="4834">
      <x:c r="A4834" s="2" t="n">
        <x:v>4833</x:v>
      </x:c>
      <x:c r="B4834" s="2" t="inlineStr">
        <x:is>
          <x:t xml:space="preserve">603628</x:t>
        </x:is>
      </x:c>
      <x:c r="C4834" s="3" t="inlineStr">
        <x:is>
          <x:t xml:space="preserve">清源股份</x:t>
        </x:is>
      </x:c>
      <x:c r="D4834" s="3" t="inlineStr">
        <x:is>
          <x:t xml:space="preserve">清源科技股份有限公司</x:t>
        </x:is>
      </x:c>
      <x:c r="E4834" s="2" t="inlineStr">
        <x:is>
          <x:t xml:space="preserve">福建省</x:t>
        </x:is>
      </x:c>
      <x:c r="F4834" s="2" t="inlineStr">
        <x:is>
          <x:t xml:space="preserve">厦门市</x:t>
        </x:is>
      </x:c>
      <x:c r="G4834" s="3" t="inlineStr">
        <x:is>
          <x:t xml:space="preserve">福建省-厦门市</x:t>
        </x:is>
      </x:c>
      <x:c r="H4834" s="2" t="inlineStr">
        <x:is>
          <x:t xml:space="preserve">光伏设备</x:t>
        </x:is>
      </x:c>
      <x:c r="I4834" s="2" t="inlineStr">
        <x:is>
          <x:t xml:space="preserve">2017-01-12</x:t>
        </x:is>
      </x:c>
      <x:c r="J4834" s="3" t="inlineStr">
        <x:is>
          <x:t xml:space="preserve">厦门火炬高新区(翔安)产业区民安大道1001号、1003号、1005号、1007号、1009号</x:t>
        </x:is>
      </x:c>
      <x:c r="K4834" s="12" t="str">
        <x:f>LEFT("91350200664711147G",18)</x:f>
        <x:v>91350200664711147G</x:v>
      </x:c>
    </x:row>
    <x:row r="4835">
      <x:c r="A4835" s="4" t="n">
        <x:v>4834</x:v>
      </x:c>
      <x:c r="B4835" s="4" t="inlineStr">
        <x:is>
          <x:t xml:space="preserve">603636</x:t>
        </x:is>
      </x:c>
      <x:c r="C4835" s="5" t="inlineStr">
        <x:is>
          <x:t xml:space="preserve">南威软件</x:t>
        </x:is>
      </x:c>
      <x:c r="D4835" s="5" t="inlineStr">
        <x:is>
          <x:t xml:space="preserve">南威软件股份有限公司</x:t>
        </x:is>
      </x:c>
      <x:c r="E4835" s="4" t="inlineStr">
        <x:is>
          <x:t xml:space="preserve">福建省</x:t>
        </x:is>
      </x:c>
      <x:c r="F4835" s="4" t="inlineStr">
        <x:is>
          <x:t xml:space="preserve">泉州市</x:t>
        </x:is>
      </x:c>
      <x:c r="G4835" s="5" t="inlineStr">
        <x:is>
          <x:t xml:space="preserve">福建省-泉州市</x:t>
        </x:is>
      </x:c>
      <x:c r="H4835" s="4" t="inlineStr">
        <x:is>
          <x:t xml:space="preserve">互联网服务</x:t>
        </x:is>
      </x:c>
      <x:c r="I4835" s="4" t="inlineStr">
        <x:is>
          <x:t xml:space="preserve">2014-12-30</x:t>
        </x:is>
      </x:c>
      <x:c r="J4835" s="5" t="inlineStr">
        <x:is>
          <x:t xml:space="preserve">福建省泉州市丰泽区丰海路南威大厦2号楼</x:t>
        </x:is>
      </x:c>
      <x:c r="K4835" s="12" t="str">
        <x:f>LEFT("91350000743817927G",18)</x:f>
        <x:v>91350000743817927G</x:v>
      </x:c>
    </x:row>
    <x:row r="4836">
      <x:c r="A4836" s="2" t="n">
        <x:v>4835</x:v>
      </x:c>
      <x:c r="B4836" s="2" t="inlineStr">
        <x:is>
          <x:t xml:space="preserve">603663</x:t>
        </x:is>
      </x:c>
      <x:c r="C4836" s="3" t="inlineStr">
        <x:is>
          <x:t xml:space="preserve">三祥新材</x:t>
        </x:is>
      </x:c>
      <x:c r="D4836" s="3" t="inlineStr">
        <x:is>
          <x:t xml:space="preserve">三祥新材股份有限公司</x:t>
        </x:is>
      </x:c>
      <x:c r="E4836" s="2" t="inlineStr">
        <x:is>
          <x:t xml:space="preserve">福建省</x:t>
        </x:is>
      </x:c>
      <x:c r="F4836" s="2" t="inlineStr">
        <x:is>
          <x:t xml:space="preserve">宁德市</x:t>
        </x:is>
      </x:c>
      <x:c r="G4836" s="3" t="inlineStr">
        <x:is>
          <x:t xml:space="preserve">福建省-宁德市</x:t>
        </x:is>
      </x:c>
      <x:c r="H4836" s="2" t="inlineStr">
        <x:is>
          <x:t xml:space="preserve">化学原料</x:t>
        </x:is>
      </x:c>
      <x:c r="I4836" s="2" t="inlineStr">
        <x:is>
          <x:t xml:space="preserve">2016-08-01</x:t>
        </x:is>
      </x:c>
      <x:c r="J4836" s="3" t="inlineStr">
        <x:is>
          <x:t xml:space="preserve">福建省寿宁县解放街292号</x:t>
        </x:is>
      </x:c>
      <x:c r="K4836" s="12" t="str">
        <x:f>LEFT("91350000611157883K",18)</x:f>
        <x:v>91350000611157883K</x:v>
      </x:c>
    </x:row>
    <x:row r="4837">
      <x:c r="A4837" s="4" t="n">
        <x:v>4836</x:v>
      </x:c>
      <x:c r="B4837" s="4" t="inlineStr">
        <x:is>
          <x:t xml:space="preserve">603668</x:t>
        </x:is>
      </x:c>
      <x:c r="C4837" s="5" t="inlineStr">
        <x:is>
          <x:t xml:space="preserve">天马科技</x:t>
        </x:is>
      </x:c>
      <x:c r="D4837" s="5" t="inlineStr">
        <x:is>
          <x:t xml:space="preserve">福建天马科技集团股份有限公司</x:t>
        </x:is>
      </x:c>
      <x:c r="E4837" s="4" t="inlineStr">
        <x:is>
          <x:t xml:space="preserve">福建省</x:t>
        </x:is>
      </x:c>
      <x:c r="F4837" s="4" t="inlineStr">
        <x:is>
          <x:t xml:space="preserve">建省福清市</x:t>
        </x:is>
      </x:c>
      <x:c r="G4837" s="5" t="inlineStr">
        <x:is>
          <x:t xml:space="preserve">福建省-建省福清市</x:t>
        </x:is>
      </x:c>
      <x:c r="H4837" s="4" t="inlineStr">
        <x:is>
          <x:t xml:space="preserve">农牧饲渔</x:t>
        </x:is>
      </x:c>
      <x:c r="I4837" s="4" t="inlineStr">
        <x:is>
          <x:t xml:space="preserve">2017-01-17</x:t>
        </x:is>
      </x:c>
      <x:c r="J4837" s="5" t="inlineStr">
        <x:is>
          <x:t xml:space="preserve">福建省福清市上迳镇工业区</x:t>
        </x:is>
      </x:c>
      <x:c r="K4837" s="12" t="str">
        <x:f>LEFT("913500007821745223",18)</x:f>
        <x:v>913500007821745300</x:v>
      </x:c>
    </x:row>
    <x:row r="4838">
      <x:c r="A4838" s="2" t="n">
        <x:v>4837</x:v>
      </x:c>
      <x:c r="B4838" s="2" t="inlineStr">
        <x:is>
          <x:t xml:space="preserve">603678</x:t>
        </x:is>
      </x:c>
      <x:c r="C4838" s="3" t="inlineStr">
        <x:is>
          <x:t xml:space="preserve">火炬电子</x:t>
        </x:is>
      </x:c>
      <x:c r="D4838" s="3" t="inlineStr">
        <x:is>
          <x:t xml:space="preserve">福建火炬电子科技股份有限公司</x:t>
        </x:is>
      </x:c>
      <x:c r="E4838" s="2" t="inlineStr">
        <x:is>
          <x:t xml:space="preserve">福建省</x:t>
        </x:is>
      </x:c>
      <x:c r="F4838" s="2" t="inlineStr">
        <x:is>
          <x:t xml:space="preserve">泉州市</x:t>
        </x:is>
      </x:c>
      <x:c r="G4838" s="3" t="inlineStr">
        <x:is>
          <x:t xml:space="preserve">福建省-泉州市</x:t>
        </x:is>
      </x:c>
      <x:c r="H4838" s="2" t="inlineStr">
        <x:is>
          <x:t xml:space="preserve">电子元件</x:t>
        </x:is>
      </x:c>
      <x:c r="I4838" s="2" t="inlineStr">
        <x:is>
          <x:t xml:space="preserve">2015-01-26</x:t>
        </x:is>
      </x:c>
      <x:c r="J4838" s="3" t="inlineStr">
        <x:is>
          <x:t xml:space="preserve">泉州市鲤城区江南高新技术电子信息园区紫华路4号(经营场所:福建省泉州市鲤城区常泰北路178号、泉州市鲤城区常泰街道新塘社区泰新街58号)</x:t>
        </x:is>
      </x:c>
      <x:c r="K4838" s="12" t="str">
        <x:f>LEFT("913500001562023628",18)</x:f>
        <x:v>913500001562023700</x:v>
      </x:c>
    </x:row>
    <x:row r="4839">
      <x:c r="A4839" s="4" t="n">
        <x:v>4838</x:v>
      </x:c>
      <x:c r="B4839" s="4" t="inlineStr">
        <x:is>
          <x:t xml:space="preserve">603686</x:t>
        </x:is>
      </x:c>
      <x:c r="C4839" s="5" t="inlineStr">
        <x:is>
          <x:t xml:space="preserve">福龙马</x:t>
        </x:is>
      </x:c>
      <x:c r="D4839" s="5" t="inlineStr">
        <x:is>
          <x:t xml:space="preserve">福龙马集团股份有限公司</x:t>
        </x:is>
      </x:c>
      <x:c r="E4839" s="4" t="inlineStr">
        <x:is>
          <x:t xml:space="preserve">福建省</x:t>
        </x:is>
      </x:c>
      <x:c r="F4839" s="4" t="inlineStr">
        <x:is>
          <x:t xml:space="preserve">龙岩市</x:t>
        </x:is>
      </x:c>
      <x:c r="G4839" s="5" t="inlineStr">
        <x:is>
          <x:t xml:space="preserve">福建省-龙岩市</x:t>
        </x:is>
      </x:c>
      <x:c r="H4839" s="4" t="inlineStr">
        <x:is>
          <x:t xml:space="preserve">环保行业</x:t>
        </x:is>
      </x:c>
      <x:c r="I4839" s="4" t="inlineStr">
        <x:is>
          <x:t xml:space="preserve">2015-01-26</x:t>
        </x:is>
      </x:c>
      <x:c r="J4839" s="5" t="inlineStr">
        <x:is>
          <x:t xml:space="preserve">福建省龙岩市新罗区东肖镇东华社区龙腾南路42号</x:t>
        </x:is>
      </x:c>
      <x:c r="K4839" s="12" t="str">
        <x:f>LEFT("91350000669280235M",18)</x:f>
        <x:v>91350000669280235M</x:v>
      </x:c>
    </x:row>
    <x:row r="4840">
      <x:c r="A4840" s="2" t="n">
        <x:v>4839</x:v>
      </x:c>
      <x:c r="B4840" s="2" t="inlineStr">
        <x:is>
          <x:t xml:space="preserve">603696</x:t>
        </x:is>
      </x:c>
      <x:c r="C4840" s="3" t="inlineStr">
        <x:is>
          <x:t xml:space="preserve">安记食品</x:t>
        </x:is>
      </x:c>
      <x:c r="D4840" s="3" t="inlineStr">
        <x:is>
          <x:t xml:space="preserve">安记食品股份有限公司</x:t>
        </x:is>
      </x:c>
      <x:c r="E4840" s="2" t="inlineStr">
        <x:is>
          <x:t xml:space="preserve">福建省</x:t>
        </x:is>
      </x:c>
      <x:c r="F4840" s="2" t="inlineStr">
        <x:is>
          <x:t xml:space="preserve">泉州市</x:t>
        </x:is>
      </x:c>
      <x:c r="G4840" s="3" t="inlineStr">
        <x:is>
          <x:t xml:space="preserve">福建省-泉州市</x:t>
        </x:is>
      </x:c>
      <x:c r="H4840" s="2" t="inlineStr">
        <x:is>
          <x:t xml:space="preserve">食品饮料</x:t>
        </x:is>
      </x:c>
      <x:c r="I4840" s="2" t="inlineStr">
        <x:is>
          <x:t xml:space="preserve">2015-12-09</x:t>
        </x:is>
      </x:c>
      <x:c r="J4840" s="3" t="inlineStr">
        <x:is>
          <x:t xml:space="preserve">泉州市清蒙科技工业区4-9(A)、4-9(B),泉州市经济技术开发区清蒙园区4-5(C)</x:t>
        </x:is>
      </x:c>
      <x:c r="K4840" s="12" t="str">
        <x:f>LEFT("913500006118811182",18)</x:f>
        <x:v>913500006118811100</x:v>
      </x:c>
    </x:row>
    <x:row r="4841">
      <x:c r="A4841" s="4" t="n">
        <x:v>4840</x:v>
      </x:c>
      <x:c r="B4841" s="4" t="inlineStr">
        <x:is>
          <x:t xml:space="preserve">603737</x:t>
        </x:is>
      </x:c>
      <x:c r="C4841" s="5" t="inlineStr">
        <x:is>
          <x:t xml:space="preserve">三棵树</x:t>
        </x:is>
      </x:c>
      <x:c r="D4841" s="5" t="inlineStr">
        <x:is>
          <x:t xml:space="preserve">三棵树涂料股份有限公司</x:t>
        </x:is>
      </x:c>
      <x:c r="E4841" s="4" t="inlineStr">
        <x:is>
          <x:t xml:space="preserve">福建省</x:t>
        </x:is>
      </x:c>
      <x:c r="F4841" s="4" t="inlineStr">
        <x:is>
          <x:t xml:space="preserve">莆田市</x:t>
        </x:is>
      </x:c>
      <x:c r="G4841" s="5" t="inlineStr">
        <x:is>
          <x:t xml:space="preserve">福建省-莆田市</x:t>
        </x:is>
      </x:c>
      <x:c r="H4841" s="4" t="inlineStr">
        <x:is>
          <x:t xml:space="preserve">装修建材</x:t>
        </x:is>
      </x:c>
      <x:c r="I4841" s="4" t="inlineStr">
        <x:is>
          <x:t xml:space="preserve">2016-06-03</x:t>
        </x:is>
      </x:c>
      <x:c r="J4841" s="5" t="inlineStr">
        <x:is>
          <x:t xml:space="preserve">福建省莆田市荔城区荔园北大道518号</x:t>
        </x:is>
      </x:c>
      <x:c r="K4841" s="12" t="str">
        <x:f>LEFT("91350300751385327E",18)</x:f>
        <x:v>91350300751385327E</x:v>
      </x:c>
    </x:row>
    <x:row r="4842">
      <x:c r="A4842" s="2" t="n">
        <x:v>4841</x:v>
      </x:c>
      <x:c r="B4842" s="2" t="inlineStr">
        <x:is>
          <x:t xml:space="preserve">603817</x:t>
        </x:is>
      </x:c>
      <x:c r="C4842" s="3" t="inlineStr">
        <x:is>
          <x:t xml:space="preserve">海峡环保</x:t>
        </x:is>
      </x:c>
      <x:c r="D4842" s="3" t="inlineStr">
        <x:is>
          <x:t xml:space="preserve">福建海峡环保集团股份有限公司</x:t>
        </x:is>
      </x:c>
      <x:c r="E4842" s="2" t="inlineStr">
        <x:is>
          <x:t xml:space="preserve">福建省</x:t>
        </x:is>
      </x:c>
      <x:c r="F4842" s="2" t="inlineStr">
        <x:is>
          <x:t xml:space="preserve">福州市</x:t>
        </x:is>
      </x:c>
      <x:c r="G4842" s="3" t="inlineStr">
        <x:is>
          <x:t xml:space="preserve">福建省-福州市</x:t>
        </x:is>
      </x:c>
      <x:c r="H4842" s="2" t="inlineStr">
        <x:is>
          <x:t xml:space="preserve">环保工程</x:t>
        </x:is>
      </x:c>
      <x:c r="I4842" s="2" t="inlineStr">
        <x:is>
          <x:t xml:space="preserve">2017-02-20</x:t>
        </x:is>
      </x:c>
      <x:c r="J4842" s="3" t="inlineStr">
        <x:is>
          <x:t xml:space="preserve">福建省福州市晋安区鼓山镇洋里路16号</x:t>
        </x:is>
      </x:c>
      <x:c r="K4842" s="12" t="str">
        <x:f>LEFT("91350100739548277W",18)</x:f>
        <x:v>91350100739548277W</x:v>
      </x:c>
    </x:row>
    <x:row r="4843">
      <x:c r="A4843" s="4" t="n">
        <x:v>4842</x:v>
      </x:c>
      <x:c r="B4843" s="4" t="inlineStr">
        <x:is>
          <x:t xml:space="preserve">603826</x:t>
        </x:is>
      </x:c>
      <x:c r="C4843" s="5" t="inlineStr">
        <x:is>
          <x:t xml:space="preserve">坤彩科技</x:t>
        </x:is>
      </x:c>
      <x:c r="D4843" s="5" t="inlineStr">
        <x:is>
          <x:t xml:space="preserve">福建坤彩材料科技股份有限公司</x:t>
        </x:is>
      </x:c>
      <x:c r="E4843" s="4" t="inlineStr">
        <x:is>
          <x:t xml:space="preserve">福建省</x:t>
        </x:is>
      </x:c>
      <x:c r="F4843" s="4" t="inlineStr">
        <x:is>
          <x:t xml:space="preserve">福州市</x:t>
        </x:is>
      </x:c>
      <x:c r="G4843" s="5" t="inlineStr">
        <x:is>
          <x:t xml:space="preserve">福建省-福州市</x:t>
        </x:is>
      </x:c>
      <x:c r="H4843" s="4" t="inlineStr">
        <x:is>
          <x:t xml:space="preserve">非金属材料</x:t>
        </x:is>
      </x:c>
      <x:c r="I4843" s="4" t="inlineStr">
        <x:is>
          <x:t xml:space="preserve">2017-04-14</x:t>
        </x:is>
      </x:c>
      <x:c r="J4843" s="5" t="inlineStr">
        <x:is>
          <x:t xml:space="preserve">福州市元洪投资区(城头)</x:t>
        </x:is>
      </x:c>
      <x:c r="K4843" s="12" t="str">
        <x:f>LEFT("9135010078216907X1",18)</x:f>
        <x:v>9135010078216907X1</x:v>
      </x:c>
    </x:row>
    <x:row r="4844">
      <x:c r="A4844" s="2" t="n">
        <x:v>4843</x:v>
      </x:c>
      <x:c r="B4844" s="2" t="inlineStr">
        <x:is>
          <x:t xml:space="preserve">603893</x:t>
        </x:is>
      </x:c>
      <x:c r="C4844" s="3" t="inlineStr">
        <x:is>
          <x:t xml:space="preserve">瑞芯微</x:t>
        </x:is>
      </x:c>
      <x:c r="D4844" s="3" t="inlineStr">
        <x:is>
          <x:t xml:space="preserve">瑞芯微电子股份有限公司</x:t>
        </x:is>
      </x:c>
      <x:c r="E4844" s="2" t="inlineStr">
        <x:is>
          <x:t xml:space="preserve">福建省</x:t>
        </x:is>
      </x:c>
      <x:c r="F4844" s="2" t="inlineStr">
        <x:is>
          <x:t xml:space="preserve">福州市</x:t>
        </x:is>
      </x:c>
      <x:c r="G4844" s="3" t="inlineStr">
        <x:is>
          <x:t xml:space="preserve">福建省-福州市</x:t>
        </x:is>
      </x:c>
      <x:c r="H4844" s="2" t="inlineStr">
        <x:is>
          <x:t xml:space="preserve">半导体</x:t>
        </x:is>
      </x:c>
      <x:c r="I4844" s="2" t="inlineStr">
        <x:is>
          <x:t xml:space="preserve">2020-02-07</x:t>
        </x:is>
      </x:c>
      <x:c r="J4844" s="3" t="inlineStr">
        <x:is>
          <x:t xml:space="preserve">福州市鼓楼区软件大道89号18号楼</x:t>
        </x:is>
      </x:c>
      <x:c r="K4844" s="12" t="str">
        <x:f>LEFT("913501007335995323",18)</x:f>
        <x:v>913501007335995300</x:v>
      </x:c>
    </x:row>
    <x:row r="4845">
      <x:c r="A4845" s="4" t="n">
        <x:v>4844</x:v>
      </x:c>
      <x:c r="B4845" s="4" t="inlineStr">
        <x:is>
          <x:t xml:space="preserve">603909</x:t>
        </x:is>
      </x:c>
      <x:c r="C4845" s="5" t="inlineStr">
        <x:is>
          <x:t xml:space="preserve">建发合诚</x:t>
        </x:is>
      </x:c>
      <x:c r="D4845" s="5" t="inlineStr">
        <x:is>
          <x:t xml:space="preserve">建发合诚工程咨询股份有限公司</x:t>
        </x:is>
      </x:c>
      <x:c r="E4845" s="4" t="inlineStr">
        <x:is>
          <x:t xml:space="preserve">福建省</x:t>
        </x:is>
      </x:c>
      <x:c r="F4845" s="4" t="inlineStr">
        <x:is>
          <x:t xml:space="preserve">厦门市</x:t>
        </x:is>
      </x:c>
      <x:c r="G4845" s="5" t="inlineStr">
        <x:is>
          <x:t xml:space="preserve">福建省-厦门市</x:t>
        </x:is>
      </x:c>
      <x:c r="H4845" s="4" t="inlineStr">
        <x:is>
          <x:t xml:space="preserve">工程咨询服务</x:t>
        </x:is>
      </x:c>
      <x:c r="I4845" s="4" t="inlineStr">
        <x:is>
          <x:t xml:space="preserve">2016-06-28</x:t>
        </x:is>
      </x:c>
      <x:c r="J4845" s="5" t="inlineStr">
        <x:is>
          <x:t xml:space="preserve">厦门市湖里区枋钟路2368号1101-1104单元</x:t>
        </x:is>
      </x:c>
      <x:c r="K4845" s="12" t="str">
        <x:f>LEFT("91350200260149960M",18)</x:f>
        <x:v>91350200260149960M</x:v>
      </x:c>
    </x:row>
    <x:row r="4846">
      <x:c r="A4846" s="2" t="n">
        <x:v>4845</x:v>
      </x:c>
      <x:c r="B4846" s="2" t="inlineStr">
        <x:is>
          <x:t xml:space="preserve">603933</x:t>
        </x:is>
      </x:c>
      <x:c r="C4846" s="3" t="inlineStr">
        <x:is>
          <x:t xml:space="preserve">睿能科技</x:t>
        </x:is>
      </x:c>
      <x:c r="D4846" s="3" t="inlineStr">
        <x:is>
          <x:t xml:space="preserve">福建睿能科技股份有限公司</x:t>
        </x:is>
      </x:c>
      <x:c r="E4846" s="2" t="inlineStr">
        <x:is>
          <x:t xml:space="preserve">福建省</x:t>
        </x:is>
      </x:c>
      <x:c r="F4846" s="2" t="inlineStr">
        <x:is>
          <x:t xml:space="preserve">福州市</x:t>
        </x:is>
      </x:c>
      <x:c r="G4846" s="3" t="inlineStr">
        <x:is>
          <x:t xml:space="preserve">福建省-福州市</x:t>
        </x:is>
      </x:c>
      <x:c r="H4846" s="2" t="inlineStr">
        <x:is>
          <x:t xml:space="preserve">半导体</x:t>
        </x:is>
      </x:c>
      <x:c r="I4846" s="2" t="inlineStr">
        <x:is>
          <x:t xml:space="preserve">2017-07-06</x:t>
        </x:is>
      </x:c>
      <x:c r="J4846" s="3" t="inlineStr">
        <x:is>
          <x:t xml:space="preserve">福州市鼓楼区铜盘路软件大道89号软件园C区26号A幢三层</x:t>
        </x:is>
      </x:c>
      <x:c r="K4846" s="12" t="str">
        <x:f>LEFT("9135000066509091XF",18)</x:f>
        <x:v>9135000066509091XF</x:v>
      </x:c>
    </x:row>
    <x:row r="4847">
      <x:c r="A4847" s="4" t="n">
        <x:v>4846</x:v>
      </x:c>
      <x:c r="B4847" s="4" t="inlineStr">
        <x:is>
          <x:t xml:space="preserve">603992</x:t>
        </x:is>
      </x:c>
      <x:c r="C4847" s="5" t="inlineStr">
        <x:is>
          <x:t xml:space="preserve">松霖科技</x:t>
        </x:is>
      </x:c>
      <x:c r="D4847" s="5" t="inlineStr">
        <x:is>
          <x:t xml:space="preserve">厦门松霖科技股份有限公司</x:t>
        </x:is>
      </x:c>
      <x:c r="E4847" s="4" t="inlineStr">
        <x:is>
          <x:t xml:space="preserve">福建省</x:t>
        </x:is>
      </x:c>
      <x:c r="F4847" s="4" t="inlineStr">
        <x:is>
          <x:t xml:space="preserve">厦门市</x:t>
        </x:is>
      </x:c>
      <x:c r="G4847" s="5" t="inlineStr">
        <x:is>
          <x:t xml:space="preserve">福建省-厦门市</x:t>
        </x:is>
      </x:c>
      <x:c r="H4847" s="4" t="inlineStr">
        <x:is>
          <x:t xml:space="preserve">装修建材</x:t>
        </x:is>
      </x:c>
      <x:c r="I4847" s="4" t="inlineStr">
        <x:is>
          <x:t xml:space="preserve">2019-08-26</x:t>
        </x:is>
      </x:c>
      <x:c r="J4847" s="5" t="inlineStr">
        <x:is>
          <x:t xml:space="preserve">厦门市海沧区阳光西路298号</x:t>
        </x:is>
      </x:c>
      <x:c r="K4847" s="12" t="str">
        <x:f>LEFT("91350200751643429F",18)</x:f>
        <x:v>91350200751643429F</x:v>
      </x:c>
    </x:row>
    <x:row r="4848">
      <x:c r="A4848" s="2" t="n">
        <x:v>4847</x:v>
      </x:c>
      <x:c r="B4848" s="2" t="inlineStr">
        <x:is>
          <x:t xml:space="preserve">605086</x:t>
        </x:is>
      </x:c>
      <x:c r="C4848" s="3" t="inlineStr">
        <x:is>
          <x:t xml:space="preserve">龙高股份</x:t>
        </x:is>
      </x:c>
      <x:c r="D4848" s="3" t="inlineStr">
        <x:is>
          <x:t xml:space="preserve">龙岩高岭土股份有限公司</x:t>
        </x:is>
      </x:c>
      <x:c r="E4848" s="2" t="inlineStr">
        <x:is>
          <x:t xml:space="preserve">福建省</x:t>
        </x:is>
      </x:c>
      <x:c r="F4848" s="2" t="inlineStr">
        <x:is>
          <x:t xml:space="preserve">龙岩市</x:t>
        </x:is>
      </x:c>
      <x:c r="G4848" s="3" t="inlineStr">
        <x:is>
          <x:t xml:space="preserve">福建省-龙岩市</x:t>
        </x:is>
      </x:c>
      <x:c r="H4848" s="2" t="inlineStr">
        <x:is>
          <x:t xml:space="preserve">采掘行业</x:t>
        </x:is>
      </x:c>
      <x:c r="I4848" s="2" t="inlineStr">
        <x:is>
          <x:t xml:space="preserve">2021-04-16</x:t>
        </x:is>
      </x:c>
      <x:c r="J4848" s="3" t="inlineStr">
        <x:is>
          <x:t xml:space="preserve">福建省龙岩市新罗区西陂街道龙岩大道260号国资大厦10-12层</x:t>
        </x:is>
      </x:c>
      <x:c r="K4848" s="12" t="str">
        <x:f>LEFT("9135080074907436X9",18)</x:f>
        <x:v>9135080074907436X9</x:v>
      </x:c>
    </x:row>
    <x:row r="4849">
      <x:c r="A4849" s="4" t="n">
        <x:v>4848</x:v>
      </x:c>
      <x:c r="B4849" s="4" t="inlineStr">
        <x:is>
          <x:t xml:space="preserve">605118</x:t>
        </x:is>
      </x:c>
      <x:c r="C4849" s="5" t="inlineStr">
        <x:is>
          <x:t xml:space="preserve">力鼎光电</x:t>
        </x:is>
      </x:c>
      <x:c r="D4849" s="5" t="inlineStr">
        <x:is>
          <x:t xml:space="preserve">厦门力鼎光电股份有限公司</x:t>
        </x:is>
      </x:c>
      <x:c r="E4849" s="4" t="inlineStr">
        <x:is>
          <x:t xml:space="preserve">福建省</x:t>
        </x:is>
      </x:c>
      <x:c r="F4849" s="4" t="inlineStr">
        <x:is>
          <x:t xml:space="preserve">厦门市</x:t>
        </x:is>
      </x:c>
      <x:c r="G4849" s="5" t="inlineStr">
        <x:is>
          <x:t xml:space="preserve">福建省-厦门市</x:t>
        </x:is>
      </x:c>
      <x:c r="H4849" s="4" t="inlineStr">
        <x:is>
          <x:t xml:space="preserve">光学光电子</x:t>
        </x:is>
      </x:c>
      <x:c r="I4849" s="4" t="inlineStr">
        <x:is>
          <x:t xml:space="preserve">2020-07-30</x:t>
        </x:is>
      </x:c>
      <x:c r="J4849" s="5" t="inlineStr">
        <x:is>
          <x:t xml:space="preserve">厦门市海沧区新阳工业区新美路26号1号厂房</x:t>
        </x:is>
      </x:c>
      <x:c r="K4849" s="12" t="str">
        <x:f>LEFT("91350200612047694J",18)</x:f>
        <x:v>91350200612047694J</x:v>
      </x:c>
    </x:row>
    <x:row r="4850">
      <x:c r="A4850" s="2" t="n">
        <x:v>4849</x:v>
      </x:c>
      <x:c r="B4850" s="2" t="inlineStr">
        <x:is>
          <x:t xml:space="preserve">605299</x:t>
        </x:is>
      </x:c>
      <x:c r="C4850" s="3" t="inlineStr">
        <x:is>
          <x:t xml:space="preserve">舒华体育</x:t>
        </x:is>
      </x:c>
      <x:c r="D4850" s="3" t="inlineStr">
        <x:is>
          <x:t xml:space="preserve">舒华体育股份有限公司</x:t>
        </x:is>
      </x:c>
      <x:c r="E4850" s="2" t="inlineStr">
        <x:is>
          <x:t xml:space="preserve">福建省</x:t>
        </x:is>
      </x:c>
      <x:c r="F4850" s="2" t="inlineStr">
        <x:is>
          <x:t xml:space="preserve">建省晋江市</x:t>
        </x:is>
      </x:c>
      <x:c r="G4850" s="3" t="inlineStr">
        <x:is>
          <x:t xml:space="preserve">福建省-建省晋江市</x:t>
        </x:is>
      </x:c>
      <x:c r="H4850" s="2" t="inlineStr">
        <x:is>
          <x:t xml:space="preserve">家用轻工</x:t>
        </x:is>
      </x:c>
      <x:c r="I4850" s="2" t="inlineStr">
        <x:is>
          <x:t xml:space="preserve">2020-12-15</x:t>
        </x:is>
      </x:c>
      <x:c r="J4850" s="3" t="inlineStr">
        <x:is>
          <x:t xml:space="preserve">福建省晋江市池店镇凤池西路528号</x:t>
        </x:is>
      </x:c>
      <x:c r="K4850" s="12" t="str">
        <x:f>LEFT("9135050061160716XA",18)</x:f>
        <x:v>9135050061160716XA</x:v>
      </x:c>
    </x:row>
    <x:row r="4851">
      <x:c r="A4851" s="4" t="n">
        <x:v>4850</x:v>
      </x:c>
      <x:c r="B4851" s="4" t="inlineStr">
        <x:is>
          <x:t xml:space="preserve">605365</x:t>
        </x:is>
      </x:c>
      <x:c r="C4851" s="5" t="inlineStr">
        <x:is>
          <x:t xml:space="preserve">立达信</x:t>
        </x:is>
      </x:c>
      <x:c r="D4851" s="5" t="inlineStr">
        <x:is>
          <x:t xml:space="preserve">立达信物联科技股份有限公司</x:t>
        </x:is>
      </x:c>
      <x:c r="E4851" s="4" t="inlineStr">
        <x:is>
          <x:t xml:space="preserve">福建省</x:t>
        </x:is>
      </x:c>
      <x:c r="F4851" s="4" t="inlineStr">
        <x:is>
          <x:t xml:space="preserve">厦门市</x:t>
        </x:is>
      </x:c>
      <x:c r="G4851" s="5" t="inlineStr">
        <x:is>
          <x:t xml:space="preserve">福建省-厦门市</x:t>
        </x:is>
      </x:c>
      <x:c r="H4851" s="4" t="inlineStr">
        <x:is>
          <x:t xml:space="preserve">家电行业</x:t>
        </x:is>
      </x:c>
      <x:c r="I4851" s="4" t="inlineStr">
        <x:is>
          <x:t xml:space="preserve">2021-07-20</x:t>
        </x:is>
      </x:c>
      <x:c r="J4851" s="5" t="inlineStr">
        <x:is>
          <x:t xml:space="preserve">厦门市湖里区枋湖北二路1511号7层701单元</x:t>
        </x:is>
      </x:c>
      <x:c r="K4851" s="12" t="str">
        <x:f>LEFT("913502003031792555",18)</x:f>
        <x:v>913502003031792500</x:v>
      </x:c>
    </x:row>
    <x:row r="4852">
      <x:c r="A4852" s="2" t="n">
        <x:v>4851</x:v>
      </x:c>
      <x:c r="B4852" s="2" t="inlineStr">
        <x:is>
          <x:t xml:space="preserve">688010</x:t>
        </x:is>
      </x:c>
      <x:c r="C4852" s="3" t="inlineStr">
        <x:is>
          <x:t xml:space="preserve">福光股份</x:t>
        </x:is>
      </x:c>
      <x:c r="D4852" s="3" t="inlineStr">
        <x:is>
          <x:t xml:space="preserve">福建福光股份有限公司</x:t>
        </x:is>
      </x:c>
      <x:c r="E4852" s="2" t="inlineStr">
        <x:is>
          <x:t xml:space="preserve">福建省</x:t>
        </x:is>
      </x:c>
      <x:c r="F4852" s="2" t="inlineStr">
        <x:is>
          <x:t xml:space="preserve">福州市</x:t>
        </x:is>
      </x:c>
      <x:c r="G4852" s="3" t="inlineStr">
        <x:is>
          <x:t xml:space="preserve">福建省-福州市</x:t>
        </x:is>
      </x:c>
      <x:c r="H4852" s="2" t="inlineStr">
        <x:is>
          <x:t xml:space="preserve">光学光电子</x:t>
        </x:is>
      </x:c>
      <x:c r="I4852" s="2" t="inlineStr">
        <x:is>
          <x:t xml:space="preserve">2019-07-22</x:t>
        </x:is>
      </x:c>
      <x:c r="J4852" s="3" t="inlineStr">
        <x:is>
          <x:t xml:space="preserve">福州市马尾区江滨东大道158号</x:t>
        </x:is>
      </x:c>
      <x:c r="K4852" s="12" t="str">
        <x:f>LEFT("91350100757384472D",18)</x:f>
        <x:v>91350100757384472D</x:v>
      </x:c>
    </x:row>
    <x:row r="4853">
      <x:c r="A4853" s="4" t="n">
        <x:v>4852</x:v>
      </x:c>
      <x:c r="B4853" s="4" t="inlineStr">
        <x:is>
          <x:t xml:space="preserve">688095</x:t>
        </x:is>
      </x:c>
      <x:c r="C4853" s="5" t="inlineStr">
        <x:is>
          <x:t xml:space="preserve">福昕软件</x:t>
        </x:is>
      </x:c>
      <x:c r="D4853" s="5" t="inlineStr">
        <x:is>
          <x:t xml:space="preserve">福建福昕软件开发股份有限公司</x:t>
        </x:is>
      </x:c>
      <x:c r="E4853" s="4" t="inlineStr">
        <x:is>
          <x:t xml:space="preserve">福建省</x:t>
        </x:is>
      </x:c>
      <x:c r="F4853" s="4" t="inlineStr">
        <x:is>
          <x:t xml:space="preserve">福州市</x:t>
        </x:is>
      </x:c>
      <x:c r="G4853" s="5" t="inlineStr">
        <x:is>
          <x:t xml:space="preserve">福建省-福州市</x:t>
        </x:is>
      </x:c>
      <x:c r="H4853" s="4" t="inlineStr">
        <x:is>
          <x:t xml:space="preserve">软件服务</x:t>
        </x:is>
      </x:c>
      <x:c r="I4853" s="4" t="inlineStr">
        <x:is>
          <x:t xml:space="preserve">2020-09-08</x:t>
        </x:is>
      </x:c>
      <x:c r="J4853" s="5" t="inlineStr">
        <x:is>
          <x:t xml:space="preserve">福州市鼓楼区软件大道89号福州软件园G区5号楼</x:t>
        </x:is>
      </x:c>
      <x:c r="K4853" s="12" t="str">
        <x:f>LEFT("91350100731862878C",18)</x:f>
        <x:v>91350100731862878C</x:v>
      </x:c>
    </x:row>
    <x:row r="4854">
      <x:c r="A4854" s="2" t="n">
        <x:v>4853</x:v>
      </x:c>
      <x:c r="B4854" s="2" t="inlineStr">
        <x:is>
          <x:t xml:space="preserve">688195</x:t>
        </x:is>
      </x:c>
      <x:c r="C4854" s="3" t="inlineStr">
        <x:is>
          <x:t xml:space="preserve">腾景科技</x:t>
        </x:is>
      </x:c>
      <x:c r="D4854" s="3" t="inlineStr">
        <x:is>
          <x:t xml:space="preserve">腾景科技股份有限公司</x:t>
        </x:is>
      </x:c>
      <x:c r="E4854" s="2" t="inlineStr">
        <x:is>
          <x:t xml:space="preserve">福建省</x:t>
        </x:is>
      </x:c>
      <x:c r="F4854" s="2" t="inlineStr">
        <x:is>
          <x:t xml:space="preserve">福州市</x:t>
        </x:is>
      </x:c>
      <x:c r="G4854" s="3" t="inlineStr">
        <x:is>
          <x:t xml:space="preserve">福建省-福州市</x:t>
        </x:is>
      </x:c>
      <x:c r="H4854" s="2" t="inlineStr">
        <x:is>
          <x:t xml:space="preserve">光学光电子</x:t>
        </x:is>
      </x:c>
      <x:c r="I4854" s="2" t="inlineStr">
        <x:is>
          <x:t xml:space="preserve">2021-03-26</x:t>
        </x:is>
      </x:c>
      <x:c r="J4854" s="3" t="inlineStr">
        <x:is>
          <x:t xml:space="preserve">福州市马尾科技园区珍珠路2号(自贸试验区内)</x:t>
        </x:is>
      </x:c>
      <x:c r="K4854" s="12" t="str">
        <x:f>LEFT("913501050797815747",18)</x:f>
        <x:v>913501050797815800</x:v>
      </x:c>
    </x:row>
    <x:row r="4855">
      <x:c r="A4855" s="4" t="n">
        <x:v>4854</x:v>
      </x:c>
      <x:c r="B4855" s="4" t="inlineStr">
        <x:is>
          <x:t xml:space="preserve">688196</x:t>
        </x:is>
      </x:c>
      <x:c r="C4855" s="5" t="inlineStr">
        <x:is>
          <x:t xml:space="preserve">卓越新能</x:t>
        </x:is>
      </x:c>
      <x:c r="D4855" s="5" t="inlineStr">
        <x:is>
          <x:t xml:space="preserve">龙岩卓越新能源股份有限公司</x:t>
        </x:is>
      </x:c>
      <x:c r="E4855" s="4" t="inlineStr">
        <x:is>
          <x:t xml:space="preserve">福建省</x:t>
        </x:is>
      </x:c>
      <x:c r="F4855" s="4" t="inlineStr">
        <x:is>
          <x:t xml:space="preserve">龙岩市</x:t>
        </x:is>
      </x:c>
      <x:c r="G4855" s="5" t="inlineStr">
        <x:is>
          <x:t xml:space="preserve">福建省-龙岩市</x:t>
        </x:is>
      </x:c>
      <x:c r="H4855" s="4" t="inlineStr">
        <x:is>
          <x:t xml:space="preserve">化学制品</x:t>
        </x:is>
      </x:c>
      <x:c r="I4855" s="4" t="inlineStr">
        <x:is>
          <x:t xml:space="preserve">2019-11-21</x:t>
        </x:is>
      </x:c>
      <x:c r="J4855" s="5" t="inlineStr">
        <x:is>
          <x:t xml:space="preserve">龙岩市新罗区铁山镇平林(福建龙州工业园东宝工业集中区)</x:t>
        </x:is>
      </x:c>
      <x:c r="K4855" s="12" t="str">
        <x:f>LEFT("91350000731877199G",18)</x:f>
        <x:v>91350000731877199G</x:v>
      </x:c>
    </x:row>
    <x:row r="4856">
      <x:c r="A4856" s="2" t="n">
        <x:v>4855</x:v>
      </x:c>
      <x:c r="B4856" s="2" t="inlineStr">
        <x:is>
          <x:t xml:space="preserve">688278</x:t>
        </x:is>
      </x:c>
      <x:c r="C4856" s="3" t="inlineStr">
        <x:is>
          <x:t xml:space="preserve">特宝生物</x:t>
        </x:is>
      </x:c>
      <x:c r="D4856" s="3" t="inlineStr">
        <x:is>
          <x:t xml:space="preserve">厦门特宝生物工程股份有限公司</x:t>
        </x:is>
      </x:c>
      <x:c r="E4856" s="2" t="inlineStr">
        <x:is>
          <x:t xml:space="preserve">福建省</x:t>
        </x:is>
      </x:c>
      <x:c r="F4856" s="2" t="inlineStr">
        <x:is>
          <x:t xml:space="preserve">厦门市</x:t>
        </x:is>
      </x:c>
      <x:c r="G4856" s="3" t="inlineStr">
        <x:is>
          <x:t xml:space="preserve">福建省-厦门市</x:t>
        </x:is>
      </x:c>
      <x:c r="H4856" s="2" t="inlineStr">
        <x:is>
          <x:t xml:space="preserve">生物制品</x:t>
        </x:is>
      </x:c>
      <x:c r="I4856" s="2" t="inlineStr">
        <x:is>
          <x:t xml:space="preserve">2020-01-17</x:t>
        </x:is>
      </x:c>
      <x:c r="J4856" s="3" t="inlineStr">
        <x:is>
          <x:t xml:space="preserve">厦门市海沧新阳工业区翁角路330号</x:t>
        </x:is>
      </x:c>
      <x:c r="K4856" s="12" t="str">
        <x:f>LEFT("913502002600603688",18)</x:f>
        <x:v>913502002600603600</x:v>
      </x:c>
    </x:row>
    <x:row r="4857">
      <x:c r="A4857" s="4" t="n">
        <x:v>4856</x:v>
      </x:c>
      <x:c r="B4857" s="4" t="inlineStr">
        <x:is>
          <x:t xml:space="preserve">688398</x:t>
        </x:is>
      </x:c>
      <x:c r="C4857" s="5" t="inlineStr">
        <x:is>
          <x:t xml:space="preserve">赛特新材</x:t>
        </x:is>
      </x:c>
      <x:c r="D4857" s="5" t="inlineStr">
        <x:is>
          <x:t xml:space="preserve">福建赛特新材股份有限公司</x:t>
        </x:is>
      </x:c>
      <x:c r="E4857" s="4" t="inlineStr">
        <x:is>
          <x:t xml:space="preserve">福建省</x:t>
        </x:is>
      </x:c>
      <x:c r="F4857" s="4" t="inlineStr">
        <x:is>
          <x:t xml:space="preserve">龙岩市</x:t>
        </x:is>
      </x:c>
      <x:c r="G4857" s="5" t="inlineStr">
        <x:is>
          <x:t xml:space="preserve">福建省-龙岩市</x:t>
        </x:is>
      </x:c>
      <x:c r="H4857" s="4" t="inlineStr">
        <x:is>
          <x:t xml:space="preserve">化学制品</x:t>
        </x:is>
      </x:c>
      <x:c r="I4857" s="4" t="inlineStr">
        <x:is>
          <x:t xml:space="preserve">2020-02-11</x:t>
        </x:is>
      </x:c>
      <x:c r="J4857" s="5" t="inlineStr">
        <x:is>
          <x:t xml:space="preserve">福建省连城县莲峰镇姚坪村工业二路5号</x:t>
        </x:is>
      </x:c>
      <x:c r="K4857" s="12" t="str">
        <x:f>LEFT("91350800666877327H",18)</x:f>
        <x:v>91350800666877327H</x:v>
      </x:c>
    </x:row>
    <x:row r="4858">
      <x:c r="A4858" s="2" t="n">
        <x:v>4857</x:v>
      </x:c>
      <x:c r="B4858" s="2" t="inlineStr">
        <x:is>
          <x:t xml:space="preserve">688619</x:t>
        </x:is>
      </x:c>
      <x:c r="C4858" s="3" t="inlineStr">
        <x:is>
          <x:t xml:space="preserve">罗普特</x:t>
        </x:is>
      </x:c>
      <x:c r="D4858" s="3" t="inlineStr">
        <x:is>
          <x:t xml:space="preserve">罗普特科技集团股份有限公司</x:t>
        </x:is>
      </x:c>
      <x:c r="E4858" s="2" t="inlineStr">
        <x:is>
          <x:t xml:space="preserve">福建省</x:t>
        </x:is>
      </x:c>
      <x:c r="F4858" s="2" t="inlineStr">
        <x:is>
          <x:t xml:space="preserve">厦门市</x:t>
        </x:is>
      </x:c>
      <x:c r="G4858" s="3" t="inlineStr">
        <x:is>
          <x:t xml:space="preserve">福建省-厦门市</x:t>
        </x:is>
      </x:c>
      <x:c r="H4858" s="2" t="inlineStr">
        <x:is>
          <x:t xml:space="preserve">互联网服务</x:t>
        </x:is>
      </x:c>
      <x:c r="I4858" s="2" t="inlineStr">
        <x:is>
          <x:t xml:space="preserve">2021-02-23</x:t>
        </x:is>
      </x:c>
      <x:c r="J4858" s="3" t="inlineStr">
        <x:is>
          <x:t xml:space="preserve">厦门火炬高新区软件园三期凤岐路188号-101室</x:t>
        </x:is>
      </x:c>
      <x:c r="K4858" s="12" t="str">
        <x:f>LEFT("91350200784161055C",18)</x:f>
        <x:v>91350200784161055C</x:v>
      </x:c>
    </x:row>
    <x:row r="4859">
      <x:c r="A4859" s="4" t="n">
        <x:v>4858</x:v>
      </x:c>
      <x:c r="B4859" s="4" t="inlineStr">
        <x:is>
          <x:t xml:space="preserve">688727</x:t>
        </x:is>
      </x:c>
      <x:c r="C4859" s="5" t="inlineStr">
        <x:is>
          <x:t xml:space="preserve">恒坤新材</x:t>
        </x:is>
      </x:c>
      <x:c r="D4859" s="5" t="inlineStr">
        <x:is>
          <x:t xml:space="preserve">厦门恒坤新材料科技股份有限公司</x:t>
        </x:is>
      </x:c>
      <x:c r="E4859" s="4" t="inlineStr">
        <x:is>
          <x:t xml:space="preserve">福建省</x:t>
        </x:is>
      </x:c>
      <x:c r="F4859" s="4" t="inlineStr">
        <x:is>
          <x:t xml:space="preserve">厦门市</x:t>
        </x:is>
      </x:c>
      <x:c r="G4859" s="5" t="inlineStr">
        <x:is>
          <x:t xml:space="preserve">福建省-厦门市</x:t>
        </x:is>
      </x:c>
      <x:c r="H4859" s="4" t="inlineStr">
        <x:is>
          <x:t xml:space="preserve">半导体</x:t>
        </x:is>
      </x:c>
      <x:c r="I4859" s="4" t="inlineStr">
        <x:is>
          <x:t xml:space="preserve">2025-11-18</x:t>
        </x:is>
      </x:c>
      <x:c r="J4859" s="5" t="inlineStr">
        <x:is>
          <x:t xml:space="preserve">厦门市海沧区东孚镇山边路389号</x:t>
        </x:is>
      </x:c>
      <x:c r="K4859" s="12" t="str">
        <x:f>LEFT("91350200769253672B",18)</x:f>
        <x:v>91350200769253672B</x:v>
      </x:c>
    </x:row>
    <x:row r="4860">
      <x:c r="A4860" s="2" t="n">
        <x:v>4859</x:v>
      </x:c>
      <x:c r="B4860" s="2" t="inlineStr">
        <x:is>
          <x:t xml:space="preserve">688778</x:t>
        </x:is>
      </x:c>
      <x:c r="C4860" s="3" t="inlineStr">
        <x:is>
          <x:t xml:space="preserve">厦钨新能</x:t>
        </x:is>
      </x:c>
      <x:c r="D4860" s="3" t="inlineStr">
        <x:is>
          <x:t xml:space="preserve">厦门厦钨新能源材料股份有限公司</x:t>
        </x:is>
      </x:c>
      <x:c r="E4860" s="2" t="inlineStr">
        <x:is>
          <x:t xml:space="preserve">福建省</x:t>
        </x:is>
      </x:c>
      <x:c r="F4860" s="2" t="inlineStr">
        <x:is>
          <x:t xml:space="preserve">厦门市</x:t>
        </x:is>
      </x:c>
      <x:c r="G4860" s="3" t="inlineStr">
        <x:is>
          <x:t xml:space="preserve">福建省-厦门市</x:t>
        </x:is>
      </x:c>
      <x:c r="H4860" s="2" t="inlineStr">
        <x:is>
          <x:t xml:space="preserve">电池</x:t>
        </x:is>
      </x:c>
      <x:c r="I4860" s="2" t="inlineStr">
        <x:is>
          <x:t xml:space="preserve">2021-08-05</x:t>
        </x:is>
      </x:c>
      <x:c r="J4860" s="3" t="inlineStr">
        <x:is>
          <x:t xml:space="preserve">中国(福建)自由贸易试验区厦门片区柯井社300号之一</x:t>
        </x:is>
      </x:c>
      <x:c r="K4860" s="12" t="str">
        <x:f>LEFT("91350200MA2XWQAT7G",18)</x:f>
        <x:v>91350200MA2XWQAT7G</x:v>
      </x:c>
    </x:row>
    <x:row r="4861">
      <x:c r="A4861" s="4" t="n">
        <x:v>4860</x:v>
      </x:c>
      <x:c r="B4861" s="4" t="inlineStr">
        <x:is>
          <x:t xml:space="preserve">688807</x:t>
        </x:is>
      </x:c>
      <x:c r="C4861" s="5" t="inlineStr">
        <x:is>
          <x:t xml:space="preserve">优迅股份</x:t>
        </x:is>
      </x:c>
      <x:c r="D4861" s="5" t="inlineStr">
        <x:is>
          <x:t xml:space="preserve">厦门优迅芯片股份有限公司</x:t>
        </x:is>
      </x:c>
      <x:c r="E4861" s="4" t="inlineStr">
        <x:is>
          <x:t xml:space="preserve">福建省</x:t>
        </x:is>
      </x:c>
      <x:c r="F4861" s="4" t="inlineStr">
        <x:is>
          <x:t xml:space="preserve">厦门市</x:t>
        </x:is>
      </x:c>
      <x:c r="G4861" s="5" t="inlineStr">
        <x:is>
          <x:t xml:space="preserve">福建省-厦门市</x:t>
        </x:is>
      </x:c>
      <x:c r="H4861" s="4" t="inlineStr">
        <x:is>
          <x:t xml:space="preserve">半导体</x:t>
        </x:is>
      </x:c>
      <x:c r="I4861" s="4" t="inlineStr">
        <x:is>
          <x:t xml:space="preserve">2025-12-19</x:t>
        </x:is>
      </x:c>
      <x:c r="J4861" s="5" t="inlineStr">
        <x:is>
          <x:t xml:space="preserve">厦门市软件园观日路52号402</x:t>
        </x:is>
      </x:c>
      <x:c r="K4861" s="12" t="str">
        <x:f>LEFT("913502006120496576",18)</x:f>
        <x:v>913502006120496600</x:v>
      </x:c>
    </x:row>
    <x:row r="4862">
      <x:c r="A4862" s="2" t="n">
        <x:v>4861</x:v>
      </x:c>
      <x:c r="B4862" s="2" t="inlineStr">
        <x:is>
          <x:t xml:space="preserve">000752</x:t>
        </x:is>
      </x:c>
      <x:c r="C4862" s="3" t="inlineStr">
        <x:is>
          <x:t xml:space="preserve">ST西发</x:t>
        </x:is>
      </x:c>
      <x:c r="D4862" s="3" t="inlineStr">
        <x:is>
          <x:t xml:space="preserve">西藏发展股份有限公司</x:t>
        </x:is>
      </x:c>
      <x:c r="E4862" s="2" t="inlineStr">
        <x:is>
          <x:t xml:space="preserve">西藏自治区</x:t>
        </x:is>
      </x:c>
      <x:c r="F4862" s="2" t="inlineStr">
        <x:is>
          <x:t xml:space="preserve">拉萨市</x:t>
        </x:is>
      </x:c>
      <x:c r="G4862" s="3" t="inlineStr">
        <x:is>
          <x:t xml:space="preserve">西藏自治区-拉萨市</x:t>
        </x:is>
      </x:c>
      <x:c r="H4862" s="2" t="inlineStr">
        <x:is>
          <x:t xml:space="preserve">酿酒行业</x:t>
        </x:is>
      </x:c>
      <x:c r="I4862" s="2" t="inlineStr">
        <x:is>
          <x:t xml:space="preserve">1997-06-25</x:t>
        </x:is>
      </x:c>
      <x:c r="J4862" s="3" t="inlineStr">
        <x:is>
          <x:t xml:space="preserve">西藏自治区拉萨市金珠西路格桑林卡A区28-5</x:t>
        </x:is>
      </x:c>
      <x:c r="K4862" s="12" t="str">
        <x:f>LEFT("915400007109057360",18)</x:f>
        <x:v>915400007109057400</x:v>
      </x:c>
    </x:row>
    <x:row r="4863">
      <x:c r="A4863" s="4" t="n">
        <x:v>4862</x:v>
      </x:c>
      <x:c r="B4863" s="4" t="inlineStr">
        <x:is>
          <x:t xml:space="preserve">000762</x:t>
        </x:is>
      </x:c>
      <x:c r="C4863" s="5" t="inlineStr">
        <x:is>
          <x:t xml:space="preserve">西藏矿业</x:t>
        </x:is>
      </x:c>
      <x:c r="D4863" s="5" t="inlineStr">
        <x:is>
          <x:t xml:space="preserve">西藏矿业发展股份有限公司</x:t>
        </x:is>
      </x:c>
      <x:c r="E4863" s="4" t="inlineStr">
        <x:is>
          <x:t xml:space="preserve">西藏自治区</x:t>
        </x:is>
      </x:c>
      <x:c r="F4863" s="4" t="inlineStr">
        <x:is>
          <x:t xml:space="preserve">拉萨市</x:t>
        </x:is>
      </x:c>
      <x:c r="G4863" s="5" t="inlineStr">
        <x:is>
          <x:t xml:space="preserve">西藏自治区-拉萨市</x:t>
        </x:is>
      </x:c>
      <x:c r="H4863" s="4" t="inlineStr">
        <x:is>
          <x:t xml:space="preserve">能源金属</x:t>
        </x:is>
      </x:c>
      <x:c r="I4863" s="4" t="inlineStr">
        <x:is>
          <x:t xml:space="preserve">1997-07-08</x:t>
        </x:is>
      </x:c>
      <x:c r="J4863" s="5" t="inlineStr">
        <x:is>
          <x:t xml:space="preserve">西藏自治区拉萨市中和国际城金珠二路8号</x:t>
        </x:is>
      </x:c>
      <x:c r="K4863" s="12" t="str">
        <x:f>LEFT("915400002196726375",18)</x:f>
        <x:v>915400002196726400</x:v>
      </x:c>
    </x:row>
    <x:row r="4864">
      <x:c r="A4864" s="2" t="n">
        <x:v>4863</x:v>
      </x:c>
      <x:c r="B4864" s="2" t="inlineStr">
        <x:is>
          <x:t xml:space="preserve">002287</x:t>
        </x:is>
      </x:c>
      <x:c r="C4864" s="3" t="inlineStr">
        <x:is>
          <x:t xml:space="preserve">奇正藏药</x:t>
        </x:is>
      </x:c>
      <x:c r="D4864" s="3" t="inlineStr">
        <x:is>
          <x:t xml:space="preserve">西藏奇正藏药股份有限公司</x:t>
        </x:is>
      </x:c>
      <x:c r="E4864" s="2" t="inlineStr">
        <x:is>
          <x:t xml:space="preserve">西藏自治区</x:t>
        </x:is>
      </x:c>
      <x:c r="F4864" s="2" t="inlineStr">
        <x:is>
          <x:t xml:space="preserve">林芝市</x:t>
        </x:is>
      </x:c>
      <x:c r="G4864" s="3" t="inlineStr">
        <x:is>
          <x:t xml:space="preserve">西藏自治区-林芝市</x:t>
        </x:is>
      </x:c>
      <x:c r="H4864" s="2" t="inlineStr">
        <x:is>
          <x:t xml:space="preserve">中药</x:t>
        </x:is>
      </x:c>
      <x:c r="I4864" s="2" t="inlineStr">
        <x:is>
          <x:t xml:space="preserve">2009-08-28</x:t>
        </x:is>
      </x:c>
      <x:c r="J4864" s="3" t="inlineStr">
        <x:is>
          <x:t xml:space="preserve">西藏林芝市巴宜区德吉路2号</x:t>
        </x:is>
      </x:c>
      <x:c r="K4864" s="12" t="str">
        <x:f>LEFT("91540000710910578J",18)</x:f>
        <x:v>91540000710910578J</x:v>
      </x:c>
    </x:row>
    <x:row r="4865">
      <x:c r="A4865" s="4" t="n">
        <x:v>4864</x:v>
      </x:c>
      <x:c r="B4865" s="4" t="inlineStr">
        <x:is>
          <x:t xml:space="preserve">002653</x:t>
        </x:is>
      </x:c>
      <x:c r="C4865" s="5" t="inlineStr">
        <x:is>
          <x:t xml:space="preserve">海思科</x:t>
        </x:is>
      </x:c>
      <x:c r="D4865" s="5" t="inlineStr">
        <x:is>
          <x:t xml:space="preserve">海思科医药集团股份有限公司</x:t>
        </x:is>
      </x:c>
      <x:c r="E4865" s="4" t="inlineStr">
        <x:is>
          <x:t xml:space="preserve">西藏自治区</x:t>
        </x:is>
      </x:c>
      <x:c r="F4865" s="4" t="inlineStr">
        <x:is>
          <x:t xml:space="preserve">山南市</x:t>
        </x:is>
      </x:c>
      <x:c r="G4865" s="5" t="inlineStr">
        <x:is>
          <x:t xml:space="preserve">西藏自治区-山南市</x:t>
        </x:is>
      </x:c>
      <x:c r="H4865" s="4" t="inlineStr">
        <x:is>
          <x:t xml:space="preserve">医药制造</x:t>
        </x:is>
      </x:c>
      <x:c r="I4865" s="4" t="inlineStr">
        <x:is>
          <x:t xml:space="preserve">2012-01-17</x:t>
        </x:is>
      </x:c>
      <x:c r="J4865" s="5" t="inlineStr">
        <x:is>
          <x:t xml:space="preserve">西藏山南市泽当镇三湘大道17号</x:t>
        </x:is>
      </x:c>
      <x:c r="K4865" s="12" t="str">
        <x:f>LEFT("91542200741928586E",18)</x:f>
        <x:v>91542200741928586E</x:v>
      </x:c>
    </x:row>
    <x:row r="4866">
      <x:c r="A4866" s="2" t="n">
        <x:v>4865</x:v>
      </x:c>
      <x:c r="B4866" s="2" t="inlineStr">
        <x:is>
          <x:t xml:space="preserve">002826</x:t>
        </x:is>
      </x:c>
      <x:c r="C4866" s="3" t="inlineStr">
        <x:is>
          <x:t xml:space="preserve">易明医药</x:t>
        </x:is>
      </x:c>
      <x:c r="D4866" s="3" t="inlineStr">
        <x:is>
          <x:t xml:space="preserve">西藏易明西雅医药科技股份有限公司</x:t>
        </x:is>
      </x:c>
      <x:c r="E4866" s="2" t="inlineStr">
        <x:is>
          <x:t xml:space="preserve">西藏自治区</x:t>
        </x:is>
      </x:c>
      <x:c r="F4866" s="2" t="inlineStr">
        <x:is>
          <x:t xml:space="preserve">拉萨市</x:t>
        </x:is>
      </x:c>
      <x:c r="G4866" s="3" t="inlineStr">
        <x:is>
          <x:t xml:space="preserve">西藏自治区-拉萨市</x:t>
        </x:is>
      </x:c>
      <x:c r="H4866" s="2" t="inlineStr">
        <x:is>
          <x:t xml:space="preserve">中药</x:t>
        </x:is>
      </x:c>
      <x:c r="I4866" s="2" t="inlineStr">
        <x:is>
          <x:t xml:space="preserve">2016-12-09</x:t>
        </x:is>
      </x:c>
      <x:c r="J4866" s="3" t="inlineStr">
        <x:is>
          <x:t xml:space="preserve">拉萨经济技术开发区林琼岗路6号</x:t>
        </x:is>
      </x:c>
      <x:c r="K4866" s="12" t="str">
        <x:f>LEFT("915400917835344626",18)</x:f>
        <x:v>915400917835344600</x:v>
      </x:c>
    </x:row>
    <x:row r="4867">
      <x:c r="A4867" s="4" t="n">
        <x:v>4866</x:v>
      </x:c>
      <x:c r="B4867" s="4" t="inlineStr">
        <x:is>
          <x:t xml:space="preserve">002827</x:t>
        </x:is>
      </x:c>
      <x:c r="C4867" s="5" t="inlineStr">
        <x:is>
          <x:t xml:space="preserve">高争民爆</x:t>
        </x:is>
      </x:c>
      <x:c r="D4867" s="5" t="inlineStr">
        <x:is>
          <x:t xml:space="preserve">西藏高争民爆股份有限公司</x:t>
        </x:is>
      </x:c>
      <x:c r="E4867" s="4" t="inlineStr">
        <x:is>
          <x:t xml:space="preserve">西藏自治区</x:t>
        </x:is>
      </x:c>
      <x:c r="F4867" s="4" t="inlineStr">
        <x:is>
          <x:t xml:space="preserve">拉萨市</x:t>
        </x:is>
      </x:c>
      <x:c r="G4867" s="5" t="inlineStr">
        <x:is>
          <x:t xml:space="preserve">西藏自治区-拉萨市</x:t>
        </x:is>
      </x:c>
      <x:c r="H4867" s="4" t="inlineStr">
        <x:is>
          <x:t xml:space="preserve">化工行业</x:t>
        </x:is>
      </x:c>
      <x:c r="I4867" s="4" t="inlineStr">
        <x:is>
          <x:t xml:space="preserve">2016-12-09</x:t>
        </x:is>
      </x:c>
      <x:c r="J4867" s="5" t="inlineStr">
        <x:is>
          <x:t xml:space="preserve">拉萨市经济技术开发区A区林琼岗路18号</x:t>
        </x:is>
      </x:c>
      <x:c r="K4867" s="12" t="str">
        <x:f>LEFT("91540000783527334P",18)</x:f>
        <x:v>91540000783527334P</x:v>
      </x:c>
    </x:row>
    <x:row r="4868">
      <x:c r="A4868" s="2" t="n">
        <x:v>4867</x:v>
      </x:c>
      <x:c r="B4868" s="2" t="inlineStr">
        <x:is>
          <x:t xml:space="preserve">002945</x:t>
        </x:is>
      </x:c>
      <x:c r="C4868" s="3" t="inlineStr">
        <x:is>
          <x:t xml:space="preserve">华林证券</x:t>
        </x:is>
      </x:c>
      <x:c r="D4868" s="3" t="inlineStr">
        <x:is>
          <x:t xml:space="preserve">华林证券股份有限公司</x:t>
        </x:is>
      </x:c>
      <x:c r="E4868" s="2" t="inlineStr">
        <x:is>
          <x:t xml:space="preserve">西藏自治区</x:t>
        </x:is>
      </x:c>
      <x:c r="F4868" s="2" t="inlineStr">
        <x:is>
          <x:t xml:space="preserve">拉萨市</x:t>
        </x:is>
      </x:c>
      <x:c r="G4868" s="3" t="inlineStr">
        <x:is>
          <x:t xml:space="preserve">西藏自治区-拉萨市</x:t>
        </x:is>
      </x:c>
      <x:c r="H4868" s="2" t="inlineStr">
        <x:is>
          <x:t xml:space="preserve">券商信托</x:t>
        </x:is>
      </x:c>
      <x:c r="I4868" s="2" t="inlineStr">
        <x:is>
          <x:t xml:space="preserve">2019-01-17</x:t>
        </x:is>
      </x:c>
      <x:c r="J4868" s="3" t="inlineStr">
        <x:is>
          <x:t xml:space="preserve">西藏自治区拉萨市柳梧新区国际总部城3幢1单元5层5号</x:t>
        </x:is>
      </x:c>
      <x:c r="K4868" s="12" t="str">
        <x:f>LEFT("915400001939663889",18)</x:f>
        <x:v>915400001939663900</x:v>
      </x:c>
    </x:row>
    <x:row r="4869">
      <x:c r="A4869" s="4" t="n">
        <x:v>4868</x:v>
      </x:c>
      <x:c r="B4869" s="4" t="inlineStr">
        <x:is>
          <x:t xml:space="preserve">300564</x:t>
        </x:is>
      </x:c>
      <x:c r="C4869" s="5" t="inlineStr">
        <x:is>
          <x:t xml:space="preserve">筑博设计</x:t>
        </x:is>
      </x:c>
      <x:c r="D4869" s="5" t="inlineStr">
        <x:is>
          <x:t xml:space="preserve">筑博设计股份有限公司</x:t>
        </x:is>
      </x:c>
      <x:c r="E4869" s="4" t="inlineStr">
        <x:is>
          <x:t xml:space="preserve">西藏自治区</x:t>
        </x:is>
      </x:c>
      <x:c r="F4869" s="4" t="inlineStr">
        <x:is>
          <x:t xml:space="preserve">拉萨市</x:t>
        </x:is>
      </x:c>
      <x:c r="G4869" s="5" t="inlineStr">
        <x:is>
          <x:t xml:space="preserve">西藏自治区-拉萨市</x:t>
        </x:is>
      </x:c>
      <x:c r="H4869" s="4" t="inlineStr">
        <x:is>
          <x:t xml:space="preserve">工程咨询服务</x:t>
        </x:is>
      </x:c>
      <x:c r="I4869" s="4" t="inlineStr">
        <x:is>
          <x:t xml:space="preserve">2019-11-08</x:t>
        </x:is>
      </x:c>
      <x:c r="J4869" s="5" t="inlineStr">
        <x:is>
          <x:t xml:space="preserve">西藏自治区拉萨高新区管理中心(孵化器)1号楼2单元802室</x:t>
        </x:is>
      </x:c>
      <x:c r="K4869" s="12" t="str">
        <x:f>LEFT("91440300192420826L",18)</x:f>
        <x:v>91440300192420826L</x:v>
      </x:c>
    </x:row>
    <x:row r="4870">
      <x:c r="A4870" s="2" t="n">
        <x:v>4869</x:v>
      </x:c>
      <x:c r="B4870" s="2" t="inlineStr">
        <x:is>
          <x:t xml:space="preserve">300624</x:t>
        </x:is>
      </x:c>
      <x:c r="C4870" s="3" t="inlineStr">
        <x:is>
          <x:t xml:space="preserve">万兴科技</x:t>
        </x:is>
      </x:c>
      <x:c r="D4870" s="3" t="inlineStr">
        <x:is>
          <x:t xml:space="preserve">万兴科技集团股份有限公司</x:t>
        </x:is>
      </x:c>
      <x:c r="E4870" s="2" t="inlineStr">
        <x:is>
          <x:t xml:space="preserve">西藏自治区</x:t>
        </x:is>
      </x:c>
      <x:c r="F4870" s="2" t="inlineStr">
        <x:is>
          <x:t xml:space="preserve">拉萨市</x:t>
        </x:is>
      </x:c>
      <x:c r="G4870" s="3" t="inlineStr">
        <x:is>
          <x:t xml:space="preserve">西藏自治区-拉萨市</x:t>
        </x:is>
      </x:c>
      <x:c r="H4870" s="2" t="inlineStr">
        <x:is>
          <x:t xml:space="preserve">软件服务</x:t>
        </x:is>
      </x:c>
      <x:c r="I4870" s="2" t="inlineStr">
        <x:is>
          <x:t xml:space="preserve">2018-01-18</x:t>
        </x:is>
      </x:c>
      <x:c r="J4870" s="3" t="inlineStr">
        <x:is>
          <x:t xml:space="preserve">拉萨市柳梧新区东环路以西、1-4路以北、1-3路以南、柳梧大厦以东8栋2单元6层2号</x:t>
        </x:is>
      </x:c>
      <x:c r="K4870" s="12" t="str">
        <x:f>LEFT("91540195754285145H",18)</x:f>
        <x:v>91540195754285145H</x:v>
      </x:c>
    </x:row>
    <x:row r="4871">
      <x:c r="A4871" s="4" t="n">
        <x:v>4870</x:v>
      </x:c>
      <x:c r="B4871" s="4" t="inlineStr">
        <x:is>
          <x:t xml:space="preserve">300741</x:t>
        </x:is>
      </x:c>
      <x:c r="C4871" s="5" t="inlineStr">
        <x:is>
          <x:t xml:space="preserve">华宝股份</x:t>
        </x:is>
      </x:c>
      <x:c r="D4871" s="5" t="inlineStr">
        <x:is>
          <x:t xml:space="preserve">华宝香精股份有限公司</x:t>
        </x:is>
      </x:c>
      <x:c r="E4871" s="4" t="inlineStr">
        <x:is>
          <x:t xml:space="preserve">西藏自治区</x:t>
        </x:is>
      </x:c>
      <x:c r="F4871" s="4" t="inlineStr">
        <x:is>
          <x:t xml:space="preserve">拉萨市</x:t>
        </x:is>
      </x:c>
      <x:c r="G4871" s="5" t="inlineStr">
        <x:is>
          <x:t xml:space="preserve">西藏自治区-拉萨市</x:t>
        </x:is>
      </x:c>
      <x:c r="H4871" s="4" t="inlineStr">
        <x:is>
          <x:t xml:space="preserve">食品饮料</x:t>
        </x:is>
      </x:c>
      <x:c r="I4871" s="4" t="inlineStr">
        <x:is>
          <x:t xml:space="preserve">2018-03-01</x:t>
        </x:is>
      </x:c>
      <x:c r="J4871" s="5" t="inlineStr">
        <x:is>
          <x:t xml:space="preserve">拉萨经济技术开发区B区工业中心二期(6号楼1层)</x:t>
        </x:is>
      </x:c>
      <x:c r="K4871" s="12" t="str">
        <x:f>LEFT("91310000607355000X",18)</x:f>
        <x:v>91310000607355000X</x:v>
      </x:c>
    </x:row>
    <x:row r="4872">
      <x:c r="A4872" s="2" t="n">
        <x:v>4871</x:v>
      </x:c>
      <x:c r="B4872" s="2" t="inlineStr">
        <x:is>
          <x:t xml:space="preserve">300872</x:t>
        </x:is>
      </x:c>
      <x:c r="C4872" s="3" t="inlineStr">
        <x:is>
          <x:t xml:space="preserve">天阳科技</x:t>
        </x:is>
      </x:c>
      <x:c r="D4872" s="3" t="inlineStr">
        <x:is>
          <x:t xml:space="preserve">天阳宏业科技股份有限公司</x:t>
        </x:is>
      </x:c>
      <x:c r="E4872" s="2" t="inlineStr">
        <x:is>
          <x:t xml:space="preserve">西藏自治区</x:t>
        </x:is>
      </x:c>
      <x:c r="F4872" s="2" t="inlineStr">
        <x:is>
          <x:t xml:space="preserve">拉萨市</x:t>
        </x:is>
      </x:c>
      <x:c r="G4872" s="3" t="inlineStr">
        <x:is>
          <x:t xml:space="preserve">西藏自治区-拉萨市</x:t>
        </x:is>
      </x:c>
      <x:c r="H4872" s="2" t="inlineStr">
        <x:is>
          <x:t xml:space="preserve">互联网服务</x:t>
        </x:is>
      </x:c>
      <x:c r="I4872" s="2" t="inlineStr">
        <x:is>
          <x:t xml:space="preserve">2020-08-24</x:t>
        </x:is>
      </x:c>
      <x:c r="J4872" s="3" t="inlineStr">
        <x:is>
          <x:t xml:space="preserve">拉萨经济技术开发区林琼岗东一路7号西藏西欣商贸有限公司A座608房</x:t>
        </x:is>
      </x:c>
      <x:c r="K4872" s="12" t="str">
        <x:f>LEFT("91110108752161931Y",18)</x:f>
        <x:v>91110108752161931Y</x:v>
      </x:c>
    </x:row>
    <x:row r="4873">
      <x:c r="A4873" s="4" t="n">
        <x:v>4872</x:v>
      </x:c>
      <x:c r="B4873" s="4" t="inlineStr">
        <x:is>
          <x:t xml:space="preserve">301075</x:t>
        </x:is>
      </x:c>
      <x:c r="C4873" s="5" t="inlineStr">
        <x:is>
          <x:t xml:space="preserve">多瑞医药</x:t>
        </x:is>
      </x:c>
      <x:c r="D4873" s="5" t="inlineStr">
        <x:is>
          <x:t xml:space="preserve">西藏多瑞医药股份有限公司</x:t>
        </x:is>
      </x:c>
      <x:c r="E4873" s="4" t="inlineStr">
        <x:is>
          <x:t xml:space="preserve">西藏自治区</x:t>
        </x:is>
      </x:c>
      <x:c r="F4873" s="4" t="inlineStr">
        <x:is>
          <x:t xml:space="preserve">昌都市</x:t>
        </x:is>
      </x:c>
      <x:c r="G4873" s="5" t="inlineStr">
        <x:is>
          <x:t xml:space="preserve">西藏自治区-昌都市</x:t>
        </x:is>
      </x:c>
      <x:c r="H4873" s="4" t="inlineStr">
        <x:is>
          <x:t xml:space="preserve">医药制造</x:t>
        </x:is>
      </x:c>
      <x:c r="I4873" s="4" t="inlineStr">
        <x:is>
          <x:t xml:space="preserve">2021-09-29</x:t>
        </x:is>
      </x:c>
      <x:c r="J4873" s="5" t="inlineStr">
        <x:is>
          <x:t xml:space="preserve">西藏自治区昌都市经济技术开发区A区创业大道9号</x:t>
        </x:is>
      </x:c>
      <x:c r="K4873" s="12" t="str">
        <x:f>LEFT("91540300MA6T1TRQ34",18)</x:f>
        <x:v>91540300MA6T1TRQ34</x:v>
      </x:c>
    </x:row>
    <x:row r="4874">
      <x:c r="A4874" s="2" t="n">
        <x:v>4873</x:v>
      </x:c>
      <x:c r="B4874" s="2" t="inlineStr">
        <x:is>
          <x:t xml:space="preserve">301331</x:t>
        </x:is>
      </x:c>
      <x:c r="C4874" s="3" t="inlineStr">
        <x:is>
          <x:t xml:space="preserve">恩威医药</x:t>
        </x:is>
      </x:c>
      <x:c r="D4874" s="3" t="inlineStr">
        <x:is>
          <x:t xml:space="preserve">恩威医药股份有限公司</x:t>
        </x:is>
      </x:c>
      <x:c r="E4874" s="2" t="inlineStr">
        <x:is>
          <x:t xml:space="preserve">西藏自治区</x:t>
        </x:is>
      </x:c>
      <x:c r="F4874" s="2" t="inlineStr">
        <x:is>
          <x:t xml:space="preserve">昌都市</x:t>
        </x:is>
      </x:c>
      <x:c r="G4874" s="3" t="inlineStr">
        <x:is>
          <x:t xml:space="preserve">西藏自治区-昌都市</x:t>
        </x:is>
      </x:c>
      <x:c r="H4874" s="2" t="inlineStr">
        <x:is>
          <x:t xml:space="preserve">中药</x:t>
        </x:is>
      </x:c>
      <x:c r="I4874" s="2" t="inlineStr">
        <x:is>
          <x:t xml:space="preserve">2022-09-21</x:t>
        </x:is>
      </x:c>
      <x:c r="J4874" s="3" t="inlineStr">
        <x:is>
          <x:t xml:space="preserve">西藏自治区昌都市经开区A坝区创业大道恩威大厦</x:t>
        </x:is>
      </x:c>
      <x:c r="K4874" s="12" t="str">
        <x:f>LEFT("91540300741923208K",18)</x:f>
        <x:v>91540300741923208K</x:v>
      </x:c>
    </x:row>
    <x:row r="4875">
      <x:c r="A4875" s="4" t="n">
        <x:v>4874</x:v>
      </x:c>
      <x:c r="B4875" s="4" t="inlineStr">
        <x:is>
          <x:t xml:space="preserve">600211</x:t>
        </x:is>
      </x:c>
      <x:c r="C4875" s="5" t="inlineStr">
        <x:is>
          <x:t xml:space="preserve">西藏药业</x:t>
        </x:is>
      </x:c>
      <x:c r="D4875" s="5" t="inlineStr">
        <x:is>
          <x:t xml:space="preserve">西藏诺迪康药业股份有限公司</x:t>
        </x:is>
      </x:c>
      <x:c r="E4875" s="4" t="inlineStr">
        <x:is>
          <x:t xml:space="preserve">西藏自治区</x:t>
        </x:is>
      </x:c>
      <x:c r="F4875" s="4" t="inlineStr">
        <x:is>
          <x:t xml:space="preserve">拉萨市</x:t>
        </x:is>
      </x:c>
      <x:c r="G4875" s="5" t="inlineStr">
        <x:is>
          <x:t xml:space="preserve">西藏自治区-拉萨市</x:t>
        </x:is>
      </x:c>
      <x:c r="H4875" s="4" t="inlineStr">
        <x:is>
          <x:t xml:space="preserve">生物制品</x:t>
        </x:is>
      </x:c>
      <x:c r="I4875" s="4" t="inlineStr">
        <x:is>
          <x:t xml:space="preserve">1999-07-21</x:t>
        </x:is>
      </x:c>
      <x:c r="J4875" s="5" t="inlineStr">
        <x:is>
          <x:t xml:space="preserve">西藏自治区拉萨经济技术开发区A区广州路3号</x:t>
        </x:is>
      </x:c>
      <x:c r="K4875" s="12" t="str">
        <x:f>LEFT("91540000710906683D",18)</x:f>
        <x:v>91540000710906683D</x:v>
      </x:c>
    </x:row>
    <x:row r="4876">
      <x:c r="A4876" s="2" t="n">
        <x:v>4875</x:v>
      </x:c>
      <x:c r="B4876" s="2" t="inlineStr">
        <x:is>
          <x:t xml:space="preserve">600326</x:t>
        </x:is>
      </x:c>
      <x:c r="C4876" s="3" t="inlineStr">
        <x:is>
          <x:t xml:space="preserve">西藏天路</x:t>
        </x:is>
      </x:c>
      <x:c r="D4876" s="3" t="inlineStr">
        <x:is>
          <x:t xml:space="preserve">西藏天路股份有限公司</x:t>
        </x:is>
      </x:c>
      <x:c r="E4876" s="2" t="inlineStr">
        <x:is>
          <x:t xml:space="preserve">西藏自治区</x:t>
        </x:is>
      </x:c>
      <x:c r="F4876" s="2" t="inlineStr">
        <x:is>
          <x:t xml:space="preserve">拉萨市</x:t>
        </x:is>
      </x:c>
      <x:c r="G4876" s="3" t="inlineStr">
        <x:is>
          <x:t xml:space="preserve">西藏自治区-拉萨市</x:t>
        </x:is>
      </x:c>
      <x:c r="H4876" s="2" t="inlineStr">
        <x:is>
          <x:t xml:space="preserve">水泥建材</x:t>
        </x:is>
      </x:c>
      <x:c r="I4876" s="2" t="inlineStr">
        <x:is>
          <x:t xml:space="preserve">2001-01-16</x:t>
        </x:is>
      </x:c>
      <x:c r="J4876" s="3" t="inlineStr">
        <x:is>
          <x:t xml:space="preserve">西藏拉萨市夺底路14号</x:t>
        </x:is>
      </x:c>
      <x:c r="K4876" s="12" t="str">
        <x:f>LEFT("91540000710905111C",18)</x:f>
        <x:v>91540000710905111C</x:v>
      </x:c>
    </x:row>
    <x:row r="4877">
      <x:c r="A4877" s="4" t="n">
        <x:v>4876</x:v>
      </x:c>
      <x:c r="B4877" s="4" t="inlineStr">
        <x:is>
          <x:t xml:space="preserve">600338</x:t>
        </x:is>
      </x:c>
      <x:c r="C4877" s="5" t="inlineStr">
        <x:is>
          <x:t xml:space="preserve">西藏珠峰</x:t>
        </x:is>
      </x:c>
      <x:c r="D4877" s="5" t="inlineStr">
        <x:is>
          <x:t xml:space="preserve">西藏珠峰资源股份有限公司</x:t>
        </x:is>
      </x:c>
      <x:c r="E4877" s="4" t="inlineStr">
        <x:is>
          <x:t xml:space="preserve">西藏自治区</x:t>
        </x:is>
      </x:c>
      <x:c r="F4877" s="4" t="inlineStr">
        <x:is>
          <x:t xml:space="preserve">拉萨市</x:t>
        </x:is>
      </x:c>
      <x:c r="G4877" s="5" t="inlineStr">
        <x:is>
          <x:t xml:space="preserve">西藏自治区-拉萨市</x:t>
        </x:is>
      </x:c>
      <x:c r="H4877" s="4" t="inlineStr">
        <x:is>
          <x:t xml:space="preserve">有色金属</x:t>
        </x:is>
      </x:c>
      <x:c r="I4877" s="4" t="inlineStr">
        <x:is>
          <x:t xml:space="preserve">2000-12-27</x:t>
        </x:is>
      </x:c>
      <x:c r="J4877" s="5" t="inlineStr">
        <x:is>
          <x:t xml:space="preserve">西藏自治区拉萨市北京中路65号</x:t>
        </x:is>
      </x:c>
      <x:c r="K4877" s="12" t="str">
        <x:f>LEFT("915400007109040550",18)</x:f>
        <x:v>915400007109040500</x:v>
      </x:c>
    </x:row>
    <x:row r="4878">
      <x:c r="A4878" s="2" t="n">
        <x:v>4877</x:v>
      </x:c>
      <x:c r="B4878" s="2" t="inlineStr">
        <x:is>
          <x:t xml:space="preserve">600749</x:t>
        </x:is>
      </x:c>
      <x:c r="C4878" s="3" t="inlineStr">
        <x:is>
          <x:t xml:space="preserve">西藏旅游</x:t>
        </x:is>
      </x:c>
      <x:c r="D4878" s="3" t="inlineStr">
        <x:is>
          <x:t xml:space="preserve">西藏旅游股份有限公司</x:t>
        </x:is>
      </x:c>
      <x:c r="E4878" s="2" t="inlineStr">
        <x:is>
          <x:t xml:space="preserve">西藏自治区</x:t>
        </x:is>
      </x:c>
      <x:c r="F4878" s="2" t="inlineStr">
        <x:is>
          <x:t xml:space="preserve">拉萨市</x:t>
        </x:is>
      </x:c>
      <x:c r="G4878" s="3" t="inlineStr">
        <x:is>
          <x:t xml:space="preserve">西藏自治区-拉萨市</x:t>
        </x:is>
      </x:c>
      <x:c r="H4878" s="2" t="inlineStr">
        <x:is>
          <x:t xml:space="preserve">旅游酒店</x:t>
        </x:is>
      </x:c>
      <x:c r="I4878" s="2" t="inlineStr">
        <x:is>
          <x:t xml:space="preserve">1996-10-15</x:t>
        </x:is>
      </x:c>
      <x:c r="J4878" s="3" t="inlineStr">
        <x:is>
          <x:t xml:space="preserve">中国西藏自治区拉萨市柳梧新区国际总部城11栋</x:t>
        </x:is>
      </x:c>
      <x:c r="K4878" s="12" t="str">
        <x:f>LEFT("91540000219670359X",18)</x:f>
        <x:v>91540000219670359X</x:v>
      </x:c>
    </x:row>
    <x:row r="4879">
      <x:c r="A4879" s="4" t="n">
        <x:v>4878</x:v>
      </x:c>
      <x:c r="B4879" s="4" t="inlineStr">
        <x:is>
          <x:t xml:space="preserve">600773</x:t>
        </x:is>
      </x:c>
      <x:c r="C4879" s="5" t="inlineStr">
        <x:is>
          <x:t xml:space="preserve">西藏城投</x:t>
        </x:is>
      </x:c>
      <x:c r="D4879" s="5" t="inlineStr">
        <x:is>
          <x:t xml:space="preserve">西藏城市发展投资股份有限公司</x:t>
        </x:is>
      </x:c>
      <x:c r="E4879" s="4" t="inlineStr">
        <x:is>
          <x:t xml:space="preserve">西藏自治区</x:t>
        </x:is>
      </x:c>
      <x:c r="F4879" s="4" t="inlineStr">
        <x:is>
          <x:t xml:space="preserve">拉萨市</x:t>
        </x:is>
      </x:c>
      <x:c r="G4879" s="5" t="inlineStr">
        <x:is>
          <x:t xml:space="preserve">西藏自治区-拉萨市</x:t>
        </x:is>
      </x:c>
      <x:c r="H4879" s="4" t="inlineStr">
        <x:is>
          <x:t xml:space="preserve">房地产</x:t>
        </x:is>
      </x:c>
      <x:c r="I4879" s="4" t="inlineStr">
        <x:is>
          <x:t xml:space="preserve">1996-11-08</x:t>
        </x:is>
      </x:c>
      <x:c r="J4879" s="5" t="inlineStr">
        <x:is>
          <x:t xml:space="preserve">拉萨经济技术开发区博达路A1-10金泰集团办公楼第三层311室</x:t>
        </x:is>
      </x:c>
      <x:c r="K4879" s="12" t="str">
        <x:f>LEFT("91540000219664071B",18)</x:f>
        <x:v>91540000219664071B</x:v>
      </x:c>
    </x:row>
    <x:row r="4880">
      <x:c r="A4880" s="2" t="n">
        <x:v>4879</x:v>
      </x:c>
      <x:c r="B4880" s="2" t="inlineStr">
        <x:is>
          <x:t xml:space="preserve">600873</x:t>
        </x:is>
      </x:c>
      <x:c r="C4880" s="3" t="inlineStr">
        <x:is>
          <x:t xml:space="preserve">梅花生物</x:t>
        </x:is>
      </x:c>
      <x:c r="D4880" s="3" t="inlineStr">
        <x:is>
          <x:t xml:space="preserve">梅花生物科技集团股份有限公司</x:t>
        </x:is>
      </x:c>
      <x:c r="E4880" s="2" t="inlineStr">
        <x:is>
          <x:t xml:space="preserve">西藏自治区</x:t>
        </x:is>
      </x:c>
      <x:c r="F4880" s="2" t="inlineStr">
        <x:is>
          <x:t xml:space="preserve">拉萨市</x:t>
        </x:is>
      </x:c>
      <x:c r="G4880" s="3" t="inlineStr">
        <x:is>
          <x:t xml:space="preserve">西藏自治区-拉萨市</x:t>
        </x:is>
      </x:c>
      <x:c r="H4880" s="2" t="inlineStr">
        <x:is>
          <x:t xml:space="preserve">食品饮料</x:t>
        </x:is>
      </x:c>
      <x:c r="I4880" s="2" t="inlineStr">
        <x:is>
          <x:t xml:space="preserve">1995-02-17</x:t>
        </x:is>
      </x:c>
      <x:c r="J4880" s="3" t="inlineStr">
        <x:is>
          <x:t xml:space="preserve">西藏自治区拉萨市金珠西路158号阳光新城11幢5号</x:t>
        </x:is>
      </x:c>
      <x:c r="K4880" s="12" t="str">
        <x:f>LEFT("91540000219667563J",18)</x:f>
        <x:v>91540000219667563J</x:v>
      </x:c>
    </x:row>
    <x:row r="4881">
      <x:c r="A4881" s="4" t="n">
        <x:v>4880</x:v>
      </x:c>
      <x:c r="B4881" s="4" t="inlineStr">
        <x:is>
          <x:t xml:space="preserve">601020</x:t>
        </x:is>
      </x:c>
      <x:c r="C4881" s="5" t="inlineStr">
        <x:is>
          <x:t xml:space="preserve">华钰矿业</x:t>
        </x:is>
      </x:c>
      <x:c r="D4881" s="5" t="inlineStr">
        <x:is>
          <x:t xml:space="preserve">西藏华钰矿业股份有限公司</x:t>
        </x:is>
      </x:c>
      <x:c r="E4881" s="4" t="inlineStr">
        <x:is>
          <x:t xml:space="preserve">西藏自治区</x:t>
        </x:is>
      </x:c>
      <x:c r="F4881" s="4" t="inlineStr">
        <x:is>
          <x:t xml:space="preserve">拉萨市</x:t>
        </x:is>
      </x:c>
      <x:c r="G4881" s="5" t="inlineStr">
        <x:is>
          <x:t xml:space="preserve">西藏自治区-拉萨市</x:t>
        </x:is>
      </x:c>
      <x:c r="H4881" s="4" t="inlineStr">
        <x:is>
          <x:t xml:space="preserve">有色金属</x:t>
        </x:is>
      </x:c>
      <x:c r="I4881" s="4" t="inlineStr">
        <x:is>
          <x:t xml:space="preserve">2016-03-16</x:t>
        </x:is>
      </x:c>
      <x:c r="J4881" s="5" t="inlineStr">
        <x:is>
          <x:t xml:space="preserve">西藏拉萨经济技术开发区格桑路华钰大厦</x:t>
        </x:is>
      </x:c>
      <x:c r="K4881" s="12" t="str">
        <x:f>LEFT("91540091741900655B",18)</x:f>
        <x:v>91540091741900655B</x:v>
      </x:c>
    </x:row>
    <x:row r="4882">
      <x:c r="A4882" s="2" t="n">
        <x:v>4881</x:v>
      </x:c>
      <x:c r="B4882" s="2" t="inlineStr">
        <x:is>
          <x:t xml:space="preserve">603669</x:t>
        </x:is>
      </x:c>
      <x:c r="C4882" s="3" t="inlineStr">
        <x:is>
          <x:t xml:space="preserve">灵康药业</x:t>
        </x:is>
      </x:c>
      <x:c r="D4882" s="3" t="inlineStr">
        <x:is>
          <x:t xml:space="preserve">灵康药业集团股份有限公司</x:t>
        </x:is>
      </x:c>
      <x:c r="E4882" s="2" t="inlineStr">
        <x:is>
          <x:t xml:space="preserve">西藏自治区</x:t>
        </x:is>
      </x:c>
      <x:c r="F4882" s="2" t="inlineStr">
        <x:is>
          <x:t xml:space="preserve">山南市</x:t>
        </x:is>
      </x:c>
      <x:c r="G4882" s="3" t="inlineStr">
        <x:is>
          <x:t xml:space="preserve">西藏自治区-山南市</x:t>
        </x:is>
      </x:c>
      <x:c r="H4882" s="2" t="inlineStr">
        <x:is>
          <x:t xml:space="preserve">医药制造</x:t>
        </x:is>
      </x:c>
      <x:c r="I4882" s="2" t="inlineStr">
        <x:is>
          <x:t xml:space="preserve">2015-05-28</x:t>
        </x:is>
      </x:c>
      <x:c r="J4882" s="3" t="inlineStr">
        <x:is>
          <x:t xml:space="preserve">西藏自治区山南市乃东区国道349(结巴乡段)20号</x:t>
        </x:is>
      </x:c>
      <x:c r="K4882" s="12" t="str">
        <x:f>LEFT("915422007543753944",18)</x:f>
        <x:v>915422007543754000</x:v>
      </x:c>
    </x:row>
    <x:row r="4883">
      <x:c r="A4883" s="4" t="n">
        <x:v>4882</x:v>
      </x:c>
      <x:c r="B4883" s="4" t="inlineStr">
        <x:is>
          <x:t xml:space="preserve">603676</x:t>
        </x:is>
      </x:c>
      <x:c r="C4883" s="5" t="inlineStr">
        <x:is>
          <x:t xml:space="preserve">卫信康</x:t>
        </x:is>
      </x:c>
      <x:c r="D4883" s="5" t="inlineStr">
        <x:is>
          <x:t xml:space="preserve">西藏卫信康医药股份有限公司</x:t>
        </x:is>
      </x:c>
      <x:c r="E4883" s="4" t="inlineStr">
        <x:is>
          <x:t xml:space="preserve">西藏自治区</x:t>
        </x:is>
      </x:c>
      <x:c r="F4883" s="4" t="inlineStr">
        <x:is>
          <x:t xml:space="preserve">拉萨市</x:t>
        </x:is>
      </x:c>
      <x:c r="G4883" s="5" t="inlineStr">
        <x:is>
          <x:t xml:space="preserve">西藏自治区-拉萨市</x:t>
        </x:is>
      </x:c>
      <x:c r="H4883" s="4" t="inlineStr">
        <x:is>
          <x:t xml:space="preserve">医药制造</x:t>
        </x:is>
      </x:c>
      <x:c r="I4883" s="4" t="inlineStr">
        <x:is>
          <x:t xml:space="preserve">2017-07-21</x:t>
        </x:is>
      </x:c>
      <x:c r="J4883" s="5" t="inlineStr">
        <x:is>
          <x:t xml:space="preserve">拉萨经济技术开发区B区园区南路5号工业中心4号楼3层</x:t>
        </x:is>
      </x:c>
      <x:c r="K4883" s="12" t="str">
        <x:f>LEFT("91540091785815591P",18)</x:f>
        <x:v>91540091785815591P</x:v>
      </x:c>
    </x:row>
    <x:row r="4884">
      <x:c r="A4884" s="2" t="n">
        <x:v>4883</x:v>
      </x:c>
      <x:c r="B4884" s="2" t="inlineStr">
        <x:is>
          <x:t xml:space="preserve">000589</x:t>
        </x:is>
      </x:c>
      <x:c r="C4884" s="3" t="inlineStr">
        <x:is>
          <x:t xml:space="preserve">贵州轮胎</x:t>
        </x:is>
      </x:c>
      <x:c r="D4884" s="3" t="inlineStr">
        <x:is>
          <x:t xml:space="preserve">贵州轮胎股份有限公司</x:t>
        </x:is>
      </x:c>
      <x:c r="E4884" s="2" t="inlineStr">
        <x:is>
          <x:t xml:space="preserve">贵州省</x:t>
        </x:is>
      </x:c>
      <x:c r="F4884" s="2" t="inlineStr">
        <x:is>
          <x:t xml:space="preserve">贵阳市</x:t>
        </x:is>
      </x:c>
      <x:c r="G4884" s="3" t="inlineStr">
        <x:is>
          <x:t xml:space="preserve">贵州省-贵阳市</x:t>
        </x:is>
      </x:c>
      <x:c r="H4884" s="2" t="inlineStr">
        <x:is>
          <x:t xml:space="preserve">橡胶制品</x:t>
        </x:is>
      </x:c>
      <x:c r="I4884" s="2" t="inlineStr">
        <x:is>
          <x:t xml:space="preserve">1996-03-08</x:t>
        </x:is>
      </x:c>
      <x:c r="J4884" s="3" t="inlineStr">
        <x:is>
          <x:t xml:space="preserve">贵州省贵阳市云岩区百花大道41号</x:t>
        </x:is>
      </x:c>
      <x:c r="K4884" s="12" t="str">
        <x:f>LEFT("915200002144305326",18)</x:f>
        <x:v>915200002144305300</x:v>
      </x:c>
    </x:row>
    <x:row r="4885">
      <x:c r="A4885" s="4" t="n">
        <x:v>4884</x:v>
      </x:c>
      <x:c r="B4885" s="4" t="inlineStr">
        <x:is>
          <x:t xml:space="preserve">000733</x:t>
        </x:is>
      </x:c>
      <x:c r="C4885" s="5" t="inlineStr">
        <x:is>
          <x:t xml:space="preserve">振华科技</x:t>
        </x:is>
      </x:c>
      <x:c r="D4885" s="5" t="inlineStr">
        <x:is>
          <x:t xml:space="preserve">中国振华(集团)科技股份有限公司</x:t>
        </x:is>
      </x:c>
      <x:c r="E4885" s="4" t="inlineStr">
        <x:is>
          <x:t xml:space="preserve">贵州省</x:t>
        </x:is>
      </x:c>
      <x:c r="F4885" s="4" t="inlineStr">
        <x:is>
          <x:t xml:space="preserve">贵阳市</x:t>
        </x:is>
      </x:c>
      <x:c r="G4885" s="5" t="inlineStr">
        <x:is>
          <x:t xml:space="preserve">贵州省-贵阳市</x:t>
        </x:is>
      </x:c>
      <x:c r="H4885" s="4" t="inlineStr">
        <x:is>
          <x:t xml:space="preserve">电子元件</x:t>
        </x:is>
      </x:c>
      <x:c r="I4885" s="4" t="inlineStr">
        <x:is>
          <x:t xml:space="preserve">1997-07-03</x:t>
        </x:is>
      </x:c>
      <x:c r="J4885" s="5" t="inlineStr">
        <x:is>
          <x:t xml:space="preserve">贵州省贵阳市乌当区新添大道北段268号</x:t>
        </x:is>
      </x:c>
      <x:c r="K4885" s="12" t="str">
        <x:f>LEFT("915200002146000364",18)</x:f>
        <x:v>915200002146000400</x:v>
      </x:c>
    </x:row>
    <x:row r="4886">
      <x:c r="A4886" s="2" t="n">
        <x:v>4885</x:v>
      </x:c>
      <x:c r="B4886" s="2" t="inlineStr">
        <x:is>
          <x:t xml:space="preserve">000920</x:t>
        </x:is>
      </x:c>
      <x:c r="C4886" s="3" t="inlineStr">
        <x:is>
          <x:t xml:space="preserve">沃顿科技</x:t>
        </x:is>
      </x:c>
      <x:c r="D4886" s="3" t="inlineStr">
        <x:is>
          <x:t xml:space="preserve">沃顿科技股份有限公司</x:t>
        </x:is>
      </x:c>
      <x:c r="E4886" s="2" t="inlineStr">
        <x:is>
          <x:t xml:space="preserve">贵州省</x:t>
        </x:is>
      </x:c>
      <x:c r="F4886" s="2" t="inlineStr">
        <x:is>
          <x:t xml:space="preserve">贵阳市</x:t>
        </x:is>
      </x:c>
      <x:c r="G4886" s="3" t="inlineStr">
        <x:is>
          <x:t xml:space="preserve">贵州省-贵阳市</x:t>
        </x:is>
      </x:c>
      <x:c r="H4886" s="2" t="inlineStr">
        <x:is>
          <x:t xml:space="preserve">环保行业</x:t>
        </x:is>
      </x:c>
      <x:c r="I4886" s="2" t="inlineStr">
        <x:is>
          <x:t xml:space="preserve">1999-06-16</x:t>
        </x:is>
      </x:c>
      <x:c r="J4886" s="3" t="inlineStr">
        <x:is>
          <x:t xml:space="preserve">贵州省贵阳市贵阳国家高新技术产业开发区黎阳大道1518号</x:t>
        </x:is>
      </x:c>
      <x:c r="K4886" s="12" t="str">
        <x:f>LEFT("915200007096727366",18)</x:f>
        <x:v>915200007096727400</x:v>
      </x:c>
    </x:row>
    <x:row r="4887">
      <x:c r="A4887" s="4" t="n">
        <x:v>4886</x:v>
      </x:c>
      <x:c r="B4887" s="4" t="inlineStr">
        <x:is>
          <x:t xml:space="preserve">002025</x:t>
        </x:is>
      </x:c>
      <x:c r="C4887" s="5" t="inlineStr">
        <x:is>
          <x:t xml:space="preserve">航天电器</x:t>
        </x:is>
      </x:c>
      <x:c r="D4887" s="5" t="inlineStr">
        <x:is>
          <x:t xml:space="preserve">贵州航天电器股份有限公司</x:t>
        </x:is>
      </x:c>
      <x:c r="E4887" s="4" t="inlineStr">
        <x:is>
          <x:t xml:space="preserve">贵州省</x:t>
        </x:is>
      </x:c>
      <x:c r="F4887" s="4" t="inlineStr">
        <x:is>
          <x:t xml:space="preserve">贵阳市</x:t>
        </x:is>
      </x:c>
      <x:c r="G4887" s="5" t="inlineStr">
        <x:is>
          <x:t xml:space="preserve">贵州省-贵阳市</x:t>
        </x:is>
      </x:c>
      <x:c r="H4887" s="4" t="inlineStr">
        <x:is>
          <x:t xml:space="preserve">电子元件</x:t>
        </x:is>
      </x:c>
      <x:c r="I4887" s="4" t="inlineStr">
        <x:is>
          <x:t xml:space="preserve">2004-07-26</x:t>
        </x:is>
      </x:c>
      <x:c r="J4887" s="5" t="inlineStr">
        <x:is>
          <x:t xml:space="preserve">贵州省贵阳经济技术开发区红河路7号</x:t>
        </x:is>
      </x:c>
      <x:c r="K4887" s="12" t="str">
        <x:f>LEFT("91520000730980020A",18)</x:f>
        <x:v>91520000730980020A</x:v>
      </x:c>
    </x:row>
    <x:row r="4888">
      <x:c r="A4888" s="2" t="n">
        <x:v>4887</x:v>
      </x:c>
      <x:c r="B4888" s="2" t="inlineStr">
        <x:is>
          <x:t xml:space="preserve">002037</x:t>
        </x:is>
      </x:c>
      <x:c r="C4888" s="3" t="inlineStr">
        <x:is>
          <x:t xml:space="preserve">保利联合</x:t>
        </x:is>
      </x:c>
      <x:c r="D4888" s="3" t="inlineStr">
        <x:is>
          <x:t xml:space="preserve">保利联合化工控股集团股份有限公司</x:t>
        </x:is>
      </x:c>
      <x:c r="E4888" s="2" t="inlineStr">
        <x:is>
          <x:t xml:space="preserve">贵州省</x:t>
        </x:is>
      </x:c>
      <x:c r="F4888" s="2" t="inlineStr">
        <x:is>
          <x:t xml:space="preserve">贵阳市</x:t>
        </x:is>
      </x:c>
      <x:c r="G4888" s="3" t="inlineStr">
        <x:is>
          <x:t xml:space="preserve">贵州省-贵阳市</x:t>
        </x:is>
      </x:c>
      <x:c r="H4888" s="2" t="inlineStr">
        <x:is>
          <x:t xml:space="preserve">化工行业</x:t>
        </x:is>
      </x:c>
      <x:c r="I4888" s="2" t="inlineStr">
        <x:is>
          <x:t xml:space="preserve">2004-09-08</x:t>
        </x:is>
      </x:c>
      <x:c r="J4888" s="3" t="inlineStr">
        <x:is>
          <x:t xml:space="preserve">贵州省贵阳市高新技术产业开发区新天园区</x:t>
        </x:is>
      </x:c>
      <x:c r="K4888" s="12" t="str">
        <x:f>LEFT("915200007366464537",18)</x:f>
        <x:v>915200007366464500</x:v>
      </x:c>
    </x:row>
    <x:row r="4889">
      <x:c r="A4889" s="4" t="n">
        <x:v>4888</x:v>
      </x:c>
      <x:c r="B4889" s="4" t="inlineStr">
        <x:is>
          <x:t xml:space="preserve">002039</x:t>
        </x:is>
      </x:c>
      <x:c r="C4889" s="5" t="inlineStr">
        <x:is>
          <x:t xml:space="preserve">黔源电力</x:t>
        </x:is>
      </x:c>
      <x:c r="D4889" s="5" t="inlineStr">
        <x:is>
          <x:t xml:space="preserve">贵州黔源电力股份有限公司</x:t>
        </x:is>
      </x:c>
      <x:c r="E4889" s="4" t="inlineStr">
        <x:is>
          <x:t xml:space="preserve">贵州省</x:t>
        </x:is>
      </x:c>
      <x:c r="F4889" s="4" t="inlineStr">
        <x:is>
          <x:t xml:space="preserve">贵阳市</x:t>
        </x:is>
      </x:c>
      <x:c r="G4889" s="5" t="inlineStr">
        <x:is>
          <x:t xml:space="preserve">贵州省-贵阳市</x:t>
        </x:is>
      </x:c>
      <x:c r="H4889" s="4" t="inlineStr">
        <x:is>
          <x:t xml:space="preserve">电力行业</x:t>
        </x:is>
      </x:c>
      <x:c r="I4889" s="4" t="inlineStr">
        <x:is>
          <x:t xml:space="preserve">2005-03-03</x:t>
        </x:is>
      </x:c>
      <x:c r="J4889" s="5" t="inlineStr">
        <x:is>
          <x:t xml:space="preserve">贵州省贵阳市南明区都司高架桥路46号(黔源大厦)</x:t>
        </x:is>
      </x:c>
      <x:c r="K4889" s="12" t="str">
        <x:f>LEFT("91520000214433792D",18)</x:f>
        <x:v>91520000214433792D</x:v>
      </x:c>
    </x:row>
    <x:row r="4890">
      <x:c r="A4890" s="2" t="n">
        <x:v>4889</x:v>
      </x:c>
      <x:c r="B4890" s="2" t="inlineStr">
        <x:is>
          <x:t xml:space="preserve">002390</x:t>
        </x:is>
      </x:c>
      <x:c r="C4890" s="3" t="inlineStr">
        <x:is>
          <x:t xml:space="preserve">信邦制药</x:t>
        </x:is>
      </x:c>
      <x:c r="D4890" s="3" t="inlineStr">
        <x:is>
          <x:t xml:space="preserve">贵州信邦制药股份有限公司</x:t>
        </x:is>
      </x:c>
      <x:c r="E4890" s="2" t="inlineStr">
        <x:is>
          <x:t xml:space="preserve">贵州省</x:t>
        </x:is>
      </x:c>
      <x:c r="F4890" s="2" t="inlineStr">
        <x:is>
          <x:t xml:space="preserve">苗族自治州</x:t>
        </x:is>
      </x:c>
      <x:c r="G4890" s="3" t="inlineStr">
        <x:is>
          <x:t xml:space="preserve">贵州省-苗族自治州</x:t>
        </x:is>
      </x:c>
      <x:c r="H4890" s="2" t="inlineStr">
        <x:is>
          <x:t xml:space="preserve">中药</x:t>
        </x:is>
      </x:c>
      <x:c r="I4890" s="2" t="inlineStr">
        <x:is>
          <x:t xml:space="preserve">2010-04-16</x:t>
        </x:is>
      </x:c>
      <x:c r="J4890" s="3" t="inlineStr">
        <x:is>
          <x:t xml:space="preserve">贵州省黔南布依族苗族自治州罗甸县龙坪镇信邦大道48号</x:t>
        </x:is>
      </x:c>
      <x:c r="K4890" s="12" t="str">
        <x:f>LEFT("91520000709593915G",18)</x:f>
        <x:v>91520000709593915G</x:v>
      </x:c>
    </x:row>
    <x:row r="4891">
      <x:c r="A4891" s="4" t="n">
        <x:v>4890</x:v>
      </x:c>
      <x:c r="B4891" s="4" t="inlineStr">
        <x:is>
          <x:t xml:space="preserve">002424</x:t>
        </x:is>
      </x:c>
      <x:c r="C4891" s="5" t="inlineStr">
        <x:is>
          <x:t xml:space="preserve">ST百灵</x:t>
        </x:is>
      </x:c>
      <x:c r="D4891" s="5" t="inlineStr">
        <x:is>
          <x:t xml:space="preserve">贵州百灵企业集团制药股份有限公司</x:t>
        </x:is>
      </x:c>
      <x:c r="E4891" s="4" t="inlineStr">
        <x:is>
          <x:t xml:space="preserve">贵州省</x:t>
        </x:is>
      </x:c>
      <x:c r="F4891" s="4" t="inlineStr">
        <x:is>
          <x:t xml:space="preserve">安顺市</x:t>
        </x:is>
      </x:c>
      <x:c r="G4891" s="5" t="inlineStr">
        <x:is>
          <x:t xml:space="preserve">贵州省-安顺市</x:t>
        </x:is>
      </x:c>
      <x:c r="H4891" s="4" t="inlineStr">
        <x:is>
          <x:t xml:space="preserve">中药</x:t>
        </x:is>
      </x:c>
      <x:c r="I4891" s="4" t="inlineStr">
        <x:is>
          <x:t xml:space="preserve">2010-06-03</x:t>
        </x:is>
      </x:c>
      <x:c r="J4891" s="5" t="inlineStr">
        <x:is>
          <x:t xml:space="preserve">贵州省安顺市经济技术开发区西航路212号</x:t>
        </x:is>
      </x:c>
      <x:c r="K4891" s="12" t="str">
        <x:f>LEFT("91520400215650676U",18)</x:f>
        <x:v>91520400215650676U</x:v>
      </x:c>
    </x:row>
    <x:row r="4892">
      <x:c r="A4892" s="2" t="n">
        <x:v>4891</x:v>
      </x:c>
      <x:c r="B4892" s="2" t="inlineStr">
        <x:is>
          <x:t xml:space="preserve">002873</x:t>
        </x:is>
      </x:c>
      <x:c r="C4892" s="3" t="inlineStr">
        <x:is>
          <x:t xml:space="preserve">新天药业</x:t>
        </x:is>
      </x:c>
      <x:c r="D4892" s="3" t="inlineStr">
        <x:is>
          <x:t xml:space="preserve">贵阳新天药业股份有限公司</x:t>
        </x:is>
      </x:c>
      <x:c r="E4892" s="2" t="inlineStr">
        <x:is>
          <x:t xml:space="preserve">贵州省</x:t>
        </x:is>
      </x:c>
      <x:c r="F4892" s="2" t="inlineStr">
        <x:is>
          <x:t xml:space="preserve">贵阳市</x:t>
        </x:is>
      </x:c>
      <x:c r="G4892" s="3" t="inlineStr">
        <x:is>
          <x:t xml:space="preserve">贵州省-贵阳市</x:t>
        </x:is>
      </x:c>
      <x:c r="H4892" s="2" t="inlineStr">
        <x:is>
          <x:t xml:space="preserve">中药</x:t>
        </x:is>
      </x:c>
      <x:c r="I4892" s="2" t="inlineStr">
        <x:is>
          <x:t xml:space="preserve">2017-05-19</x:t>
        </x:is>
      </x:c>
      <x:c r="J4892" s="3" t="inlineStr">
        <x:is>
          <x:t xml:space="preserve">贵阳国家高新技术产业开发区新添大道114号</x:t>
        </x:is>
      </x:c>
      <x:c r="K4892" s="12" t="str">
        <x:f>LEFT("91520115214595556N",18)</x:f>
        <x:v>91520115214595556N</x:v>
      </x:c>
    </x:row>
    <x:row r="4893">
      <x:c r="A4893" s="4" t="n">
        <x:v>4892</x:v>
      </x:c>
      <x:c r="B4893" s="4" t="inlineStr">
        <x:is>
          <x:t xml:space="preserve">002895</x:t>
        </x:is>
      </x:c>
      <x:c r="C4893" s="5" t="inlineStr">
        <x:is>
          <x:t xml:space="preserve">川恒股份</x:t>
        </x:is>
      </x:c>
      <x:c r="D4893" s="5" t="inlineStr">
        <x:is>
          <x:t xml:space="preserve">贵州川恒化工股份有限公司</x:t>
        </x:is>
      </x:c>
      <x:c r="E4893" s="4" t="inlineStr">
        <x:is>
          <x:t xml:space="preserve">贵州省</x:t>
        </x:is>
      </x:c>
      <x:c r="F4893" s="4" t="inlineStr">
        <x:is>
          <x:t xml:space="preserve">治州福泉市</x:t>
        </x:is>
      </x:c>
      <x:c r="G4893" s="5" t="inlineStr">
        <x:is>
          <x:t xml:space="preserve">贵州省-治州福泉市</x:t>
        </x:is>
      </x:c>
      <x:c r="H4893" s="4" t="inlineStr">
        <x:is>
          <x:t xml:space="preserve">化学原料</x:t>
        </x:is>
      </x:c>
      <x:c r="I4893" s="4" t="inlineStr">
        <x:is>
          <x:t xml:space="preserve">2017-08-25</x:t>
        </x:is>
      </x:c>
      <x:c r="J4893" s="5" t="inlineStr">
        <x:is>
          <x:t xml:space="preserve">贵州省黔南布依族苗族自治州福泉市龙昌镇</x:t>
        </x:is>
      </x:c>
      <x:c r="K4893" s="12" t="str">
        <x:f>LEFT("91522702741140019K",18)</x:f>
        <x:v>91522702741140019K</x:v>
      </x:c>
    </x:row>
    <x:row r="4894">
      <x:c r="A4894" s="2" t="n">
        <x:v>4893</x:v>
      </x:c>
      <x:c r="B4894" s="2" t="inlineStr">
        <x:is>
          <x:t xml:space="preserve">002927</x:t>
        </x:is>
      </x:c>
      <x:c r="C4894" s="3" t="inlineStr">
        <x:is>
          <x:t xml:space="preserve">泰永长征</x:t>
        </x:is>
      </x:c>
      <x:c r="D4894" s="3" t="inlineStr">
        <x:is>
          <x:t xml:space="preserve">贵州泰永长征技术股份有限公司</x:t>
        </x:is>
      </x:c>
      <x:c r="E4894" s="2" t="inlineStr">
        <x:is>
          <x:t xml:space="preserve">贵州省</x:t>
        </x:is>
      </x:c>
      <x:c r="F4894" s="2" t="inlineStr">
        <x:is>
          <x:t xml:space="preserve">遵义市</x:t>
        </x:is>
      </x:c>
      <x:c r="G4894" s="3" t="inlineStr">
        <x:is>
          <x:t xml:space="preserve">贵州省-遵义市</x:t>
        </x:is>
      </x:c>
      <x:c r="H4894" s="2" t="inlineStr">
        <x:is>
          <x:t xml:space="preserve">输配电气</x:t>
        </x:is>
      </x:c>
      <x:c r="I4894" s="2" t="inlineStr">
        <x:is>
          <x:t xml:space="preserve">2018-02-23</x:t>
        </x:is>
      </x:c>
      <x:c r="J4894" s="3" t="inlineStr">
        <x:is>
          <x:t xml:space="preserve">贵州省遵义市汇川区外高桥工业园区武汉路中段</x:t>
        </x:is>
      </x:c>
      <x:c r="K4894" s="12" t="str">
        <x:f>LEFT("91520300680176121G",18)</x:f>
        <x:v>91520300680176121G</x:v>
      </x:c>
    </x:row>
    <x:row r="4895">
      <x:c r="A4895" s="4" t="n">
        <x:v>4894</x:v>
      </x:c>
      <x:c r="B4895" s="4" t="inlineStr">
        <x:is>
          <x:t xml:space="preserve">002928</x:t>
        </x:is>
      </x:c>
      <x:c r="C4895" s="5" t="inlineStr">
        <x:is>
          <x:t xml:space="preserve">华夏航空</x:t>
        </x:is>
      </x:c>
      <x:c r="D4895" s="5" t="inlineStr">
        <x:is>
          <x:t xml:space="preserve">华夏航空股份有限公司</x:t>
        </x:is>
      </x:c>
      <x:c r="E4895" s="4" t="inlineStr">
        <x:is>
          <x:t xml:space="preserve">贵州省</x:t>
        </x:is>
      </x:c>
      <x:c r="F4895" s="4" t="inlineStr">
        <x:is>
          <x:t xml:space="preserve">贵阳市</x:t>
        </x:is>
      </x:c>
      <x:c r="G4895" s="5" t="inlineStr">
        <x:is>
          <x:t xml:space="preserve">贵州省-贵阳市</x:t>
        </x:is>
      </x:c>
      <x:c r="H4895" s="4" t="inlineStr">
        <x:is>
          <x:t xml:space="preserve">民航机场</x:t>
        </x:is>
      </x:c>
      <x:c r="I4895" s="4" t="inlineStr">
        <x:is>
          <x:t xml:space="preserve">2018-03-02</x:t>
        </x:is>
      </x:c>
      <x:c r="J4895" s="5" t="inlineStr">
        <x:is>
          <x:t xml:space="preserve">贵州省贵阳市南明区龙洞堡机场内机场宾馆附楼2-3层</x:t>
        </x:is>
      </x:c>
      <x:c r="K4895" s="12" t="str">
        <x:f>LEFT("91520000785456947M",18)</x:f>
        <x:v>91520000785456947M</x:v>
      </x:c>
    </x:row>
    <x:row r="4896">
      <x:c r="A4896" s="2" t="n">
        <x:v>4895</x:v>
      </x:c>
      <x:c r="B4896" s="2" t="inlineStr">
        <x:is>
          <x:t xml:space="preserve">300288</x:t>
        </x:is>
      </x:c>
      <x:c r="C4896" s="3" t="inlineStr">
        <x:is>
          <x:t xml:space="preserve">朗玛信息</x:t>
        </x:is>
      </x:c>
      <x:c r="D4896" s="3" t="inlineStr">
        <x:is>
          <x:t xml:space="preserve">贵阳朗玛信息技术股份有限公司</x:t>
        </x:is>
      </x:c>
      <x:c r="E4896" s="2" t="inlineStr">
        <x:is>
          <x:t xml:space="preserve">贵州省</x:t>
        </x:is>
      </x:c>
      <x:c r="F4896" s="2" t="inlineStr">
        <x:is>
          <x:t xml:space="preserve">贵阳市</x:t>
        </x:is>
      </x:c>
      <x:c r="G4896" s="3" t="inlineStr">
        <x:is>
          <x:t xml:space="preserve">贵州省-贵阳市</x:t>
        </x:is>
      </x:c>
      <x:c r="H4896" s="2" t="inlineStr">
        <x:is>
          <x:t xml:space="preserve">电子信息</x:t>
        </x:is>
      </x:c>
      <x:c r="I4896" s="2" t="inlineStr">
        <x:is>
          <x:t xml:space="preserve">2012-02-16</x:t>
        </x:is>
      </x:c>
      <x:c r="J4896" s="3" t="inlineStr">
        <x:is>
          <x:t xml:space="preserve">贵阳市高新金阳科技产业园长岭南路31号(国家数字内容产业园二楼)</x:t>
        </x:is>
      </x:c>
      <x:c r="K4896" s="12" t="str">
        <x:f>LEFT("91520115709656381F",18)</x:f>
        <x:v>91520115709656381F</x:v>
      </x:c>
    </x:row>
    <x:row r="4897">
      <x:c r="A4897" s="4" t="n">
        <x:v>4896</x:v>
      </x:c>
      <x:c r="B4897" s="4" t="inlineStr">
        <x:is>
          <x:t xml:space="preserve">300919</x:t>
        </x:is>
      </x:c>
      <x:c r="C4897" s="5" t="inlineStr">
        <x:is>
          <x:t xml:space="preserve">中伟股份</x:t>
        </x:is>
      </x:c>
      <x:c r="D4897" s="5" t="inlineStr">
        <x:is>
          <x:t xml:space="preserve">中伟新材料股份有限公司</x:t>
        </x:is>
      </x:c>
      <x:c r="E4897" s="4" t="inlineStr">
        <x:is>
          <x:t xml:space="preserve">贵州省</x:t>
        </x:is>
      </x:c>
      <x:c r="F4897" s="4" t="inlineStr">
        <x:is>
          <x:t xml:space="preserve">铜仁市</x:t>
        </x:is>
      </x:c>
      <x:c r="G4897" s="5" t="inlineStr">
        <x:is>
          <x:t xml:space="preserve">贵州省-铜仁市</x:t>
        </x:is>
      </x:c>
      <x:c r="H4897" s="4" t="inlineStr">
        <x:is>
          <x:t xml:space="preserve">电池</x:t>
        </x:is>
      </x:c>
      <x:c r="I4897" s="4" t="inlineStr">
        <x:is>
          <x:t xml:space="preserve">2020-12-23</x:t>
        </x:is>
      </x:c>
      <x:c r="J4897" s="5" t="inlineStr">
        <x:is>
          <x:t xml:space="preserve">贵州省铜仁市大龙经济开发区2号干道与1号干道交汇处</x:t>
        </x:is>
      </x:c>
      <x:c r="K4897" s="12" t="str">
        <x:f>LEFT("91520690314383681D",18)</x:f>
        <x:v>91520690314383681D</x:v>
      </x:c>
    </x:row>
    <x:row r="4898">
      <x:c r="A4898" s="2" t="n">
        <x:v>4897</x:v>
      </x:c>
      <x:c r="B4898" s="2" t="inlineStr">
        <x:is>
          <x:t xml:space="preserve">301428</x:t>
        </x:is>
      </x:c>
      <x:c r="C4898" s="3" t="inlineStr">
        <x:is>
          <x:t xml:space="preserve">世纪恒通</x:t>
        </x:is>
      </x:c>
      <x:c r="D4898" s="3" t="inlineStr">
        <x:is>
          <x:t xml:space="preserve">世纪恒通科技股份有限公司</x:t>
        </x:is>
      </x:c>
      <x:c r="E4898" s="2" t="inlineStr">
        <x:is>
          <x:t xml:space="preserve">贵州省</x:t>
        </x:is>
      </x:c>
      <x:c r="F4898" s="2" t="inlineStr">
        <x:is>
          <x:t xml:space="preserve">贵阳市</x:t>
        </x:is>
      </x:c>
      <x:c r="G4898" s="3" t="inlineStr">
        <x:is>
          <x:t xml:space="preserve">贵州省-贵阳市</x:t>
        </x:is>
      </x:c>
      <x:c r="H4898" s="2" t="inlineStr">
        <x:is>
          <x:t xml:space="preserve">互联网服务</x:t>
        </x:is>
      </x:c>
      <x:c r="I4898" s="2" t="inlineStr">
        <x:is>
          <x:t xml:space="preserve">2023-05-19</x:t>
        </x:is>
      </x:c>
      <x:c r="J4898" s="3" t="inlineStr">
        <x:is>
          <x:t xml:space="preserve">贵州省贵阳市贵阳国家高新技术产业开发区中关村贵阳科技园核心区南园科教街188号</x:t>
        </x:is>
      </x:c>
      <x:c r="K4898" s="12" t="str">
        <x:f>LEFT("91520115789752508E",18)</x:f>
        <x:v>91520115789752508E</x:v>
      </x:c>
    </x:row>
    <x:row r="4899">
      <x:c r="A4899" s="4" t="n">
        <x:v>4898</x:v>
      </x:c>
      <x:c r="B4899" s="4" t="inlineStr">
        <x:is>
          <x:t xml:space="preserve">600227</x:t>
        </x:is>
      </x:c>
      <x:c r="C4899" s="5" t="inlineStr">
        <x:is>
          <x:t xml:space="preserve">赤天化</x:t>
        </x:is>
      </x:c>
      <x:c r="D4899" s="5" t="inlineStr">
        <x:is>
          <x:t xml:space="preserve">贵州赤天化股份有限公司</x:t>
        </x:is>
      </x:c>
      <x:c r="E4899" s="4" t="inlineStr">
        <x:is>
          <x:t xml:space="preserve">贵州省</x:t>
        </x:is>
      </x:c>
      <x:c r="F4899" s="4" t="inlineStr">
        <x:is>
          <x:t xml:space="preserve">贵阳市</x:t>
        </x:is>
      </x:c>
      <x:c r="G4899" s="5" t="inlineStr">
        <x:is>
          <x:t xml:space="preserve">贵州省-贵阳市</x:t>
        </x:is>
      </x:c>
      <x:c r="H4899" s="4" t="inlineStr">
        <x:is>
          <x:t xml:space="preserve">化肥行业</x:t>
        </x:is>
      </x:c>
      <x:c r="I4899" s="4" t="inlineStr">
        <x:is>
          <x:t xml:space="preserve">2000-02-21</x:t>
        </x:is>
      </x:c>
      <x:c r="J4899" s="5" t="inlineStr">
        <x:is>
          <x:t xml:space="preserve">贵州省贵阳市清镇市医药园区</x:t>
        </x:is>
      </x:c>
      <x:c r="K4899" s="12" t="str">
        <x:f>LEFT("9152000070960790XK",18)</x:f>
        <x:v>9152000070960790XK</x:v>
      </x:c>
    </x:row>
    <x:row r="4900">
      <x:c r="A4900" s="2" t="n">
        <x:v>4899</x:v>
      </x:c>
      <x:c r="B4900" s="2" t="inlineStr">
        <x:is>
          <x:t xml:space="preserve">600367</x:t>
        </x:is>
      </x:c>
      <x:c r="C4900" s="3" t="inlineStr">
        <x:is>
          <x:t xml:space="preserve">红星发展</x:t>
        </x:is>
      </x:c>
      <x:c r="D4900" s="3" t="inlineStr">
        <x:is>
          <x:t xml:space="preserve">贵州红星发展股份有限公司</x:t>
        </x:is>
      </x:c>
      <x:c r="E4900" s="2" t="inlineStr">
        <x:is>
          <x:t xml:space="preserve">贵州省</x:t>
        </x:is>
      </x:c>
      <x:c r="F4900" s="2" t="inlineStr">
        <x:is>
          <x:t xml:space="preserve">安顺市</x:t>
        </x:is>
      </x:c>
      <x:c r="G4900" s="3" t="inlineStr">
        <x:is>
          <x:t xml:space="preserve">贵州省-安顺市</x:t>
        </x:is>
      </x:c>
      <x:c r="H4900" s="2" t="inlineStr">
        <x:is>
          <x:t xml:space="preserve">化学原料</x:t>
        </x:is>
      </x:c>
      <x:c r="I4900" s="2" t="inlineStr">
        <x:is>
          <x:t xml:space="preserve">2001-03-20</x:t>
        </x:is>
      </x:c>
      <x:c r="J4900" s="3" t="inlineStr">
        <x:is>
          <x:t xml:space="preserve">贵州省安顺市镇宁布依族苗族自治县丁旗街道</x:t>
        </x:is>
      </x:c>
      <x:c r="K4900" s="12" t="str">
        <x:f>LEFT("91520000714303759X",18)</x:f>
        <x:v>91520000714303759X</x:v>
      </x:c>
    </x:row>
    <x:row r="4901">
      <x:c r="A4901" s="4" t="n">
        <x:v>4900</x:v>
      </x:c>
      <x:c r="B4901" s="4" t="inlineStr">
        <x:is>
          <x:t xml:space="preserve">600395</x:t>
        </x:is>
      </x:c>
      <x:c r="C4901" s="5" t="inlineStr">
        <x:is>
          <x:t xml:space="preserve">盘江股份</x:t>
        </x:is>
      </x:c>
      <x:c r="D4901" s="5" t="inlineStr">
        <x:is>
          <x:t xml:space="preserve">贵州盘江精煤股份有限公司</x:t>
        </x:is>
      </x:c>
      <x:c r="E4901" s="4" t="inlineStr">
        <x:is>
          <x:t xml:space="preserve">贵州省</x:t>
        </x:is>
      </x:c>
      <x:c r="F4901" s="4" t="inlineStr">
        <x:is>
          <x:t xml:space="preserve">六盘水市</x:t>
        </x:is>
      </x:c>
      <x:c r="G4901" s="5" t="inlineStr">
        <x:is>
          <x:t xml:space="preserve">贵州省-六盘水市</x:t>
        </x:is>
      </x:c>
      <x:c r="H4901" s="4" t="inlineStr">
        <x:is>
          <x:t xml:space="preserve">煤炭采选</x:t>
        </x:is>
      </x:c>
      <x:c r="I4901" s="4" t="inlineStr">
        <x:is>
          <x:t xml:space="preserve">2001-05-31</x:t>
        </x:is>
      </x:c>
      <x:c r="J4901" s="5" t="inlineStr">
        <x:is>
          <x:t xml:space="preserve">贵州省六盘水市红果经济开发区</x:t>
        </x:is>
      </x:c>
      <x:c r="K4901" s="12" t="str">
        <x:f>LEFT("915200007143027723",18)</x:f>
        <x:v>915200007143027700</x:v>
      </x:c>
    </x:row>
    <x:row r="4902">
      <x:c r="A4902" s="2" t="n">
        <x:v>4901</x:v>
      </x:c>
      <x:c r="B4902" s="2" t="inlineStr">
        <x:is>
          <x:t xml:space="preserve">600519</x:t>
        </x:is>
      </x:c>
      <x:c r="C4902" s="3" t="inlineStr">
        <x:is>
          <x:t xml:space="preserve">贵州茅台</x:t>
        </x:is>
      </x:c>
      <x:c r="D4902" s="3" t="inlineStr">
        <x:is>
          <x:t xml:space="preserve">贵州茅台酒股份有限公司</x:t>
        </x:is>
      </x:c>
      <x:c r="E4902" s="2" t="inlineStr">
        <x:is>
          <x:t xml:space="preserve">贵州省</x:t>
        </x:is>
      </x:c>
      <x:c r="F4902" s="2" t="inlineStr">
        <x:is>
          <x:t xml:space="preserve">仁怀市</x:t>
        </x:is>
      </x:c>
      <x:c r="G4902" s="3" t="inlineStr">
        <x:is>
          <x:t xml:space="preserve">贵州省-仁怀市</x:t>
        </x:is>
      </x:c>
      <x:c r="H4902" s="2" t="inlineStr">
        <x:is>
          <x:t xml:space="preserve">酿酒行业</x:t>
        </x:is>
      </x:c>
      <x:c r="I4902" s="2" t="inlineStr">
        <x:is>
          <x:t xml:space="preserve">2001-08-27</x:t>
        </x:is>
      </x:c>
      <x:c r="J4902" s="3" t="inlineStr">
        <x:is>
          <x:t xml:space="preserve">贵州省仁怀市茅台镇</x:t>
        </x:is>
      </x:c>
      <x:c r="K4902" s="12" t="str">
        <x:f>LEFT("9152000071430580XT",18)</x:f>
        <x:v>9152000071430580XT</x:v>
      </x:c>
    </x:row>
    <x:row r="4903">
      <x:c r="A4903" s="4" t="n">
        <x:v>4902</x:v>
      </x:c>
      <x:c r="B4903" s="4" t="inlineStr">
        <x:is>
          <x:t xml:space="preserve">600523</x:t>
        </x:is>
      </x:c>
      <x:c r="C4903" s="5" t="inlineStr">
        <x:is>
          <x:t xml:space="preserve">贵航股份</x:t>
        </x:is>
      </x:c>
      <x:c r="D4903" s="5" t="inlineStr">
        <x:is>
          <x:t xml:space="preserve">贵州贵航汽车零部件股份有限公司</x:t>
        </x:is>
      </x:c>
      <x:c r="E4903" s="4" t="inlineStr">
        <x:is>
          <x:t xml:space="preserve">贵州省</x:t>
        </x:is>
      </x:c>
      <x:c r="F4903" s="4" t="inlineStr">
        <x:is>
          <x:t xml:space="preserve">贵阳市</x:t>
        </x:is>
      </x:c>
      <x:c r="G4903" s="5" t="inlineStr">
        <x:is>
          <x:t xml:space="preserve">贵州省-贵阳市</x:t>
        </x:is>
      </x:c>
      <x:c r="H4903" s="4" t="inlineStr">
        <x:is>
          <x:t xml:space="preserve">汽车行业</x:t>
        </x:is>
      </x:c>
      <x:c r="I4903" s="4" t="inlineStr">
        <x:is>
          <x:t xml:space="preserve">2001-12-27</x:t>
        </x:is>
      </x:c>
      <x:c r="J4903" s="5" t="inlineStr">
        <x:is>
          <x:t xml:space="preserve">贵州省贵阳市小河经济技术开发区清水江路1号</x:t>
        </x:is>
      </x:c>
      <x:c r="K4903" s="12" t="str">
        <x:f>LEFT("9152000071430441XX",18)</x:f>
        <x:v>9152000071430441XX</x:v>
      </x:c>
    </x:row>
    <x:row r="4904">
      <x:c r="A4904" s="2" t="n">
        <x:v>4903</x:v>
      </x:c>
      <x:c r="B4904" s="2" t="inlineStr">
        <x:is>
          <x:t xml:space="preserve">600594</x:t>
        </x:is>
      </x:c>
      <x:c r="C4904" s="3" t="inlineStr">
        <x:is>
          <x:t xml:space="preserve">益佰制药</x:t>
        </x:is>
      </x:c>
      <x:c r="D4904" s="3" t="inlineStr">
        <x:is>
          <x:t xml:space="preserve">贵州益佰制药股份有限公司</x:t>
        </x:is>
      </x:c>
      <x:c r="E4904" s="2" t="inlineStr">
        <x:is>
          <x:t xml:space="preserve">贵州省</x:t>
        </x:is>
      </x:c>
      <x:c r="F4904" s="2" t="inlineStr">
        <x:is>
          <x:t xml:space="preserve">贵阳市</x:t>
        </x:is>
      </x:c>
      <x:c r="G4904" s="3" t="inlineStr">
        <x:is>
          <x:t xml:space="preserve">贵州省-贵阳市</x:t>
        </x:is>
      </x:c>
      <x:c r="H4904" s="2" t="inlineStr">
        <x:is>
          <x:t xml:space="preserve">中药</x:t>
        </x:is>
      </x:c>
      <x:c r="I4904" s="2" t="inlineStr">
        <x:is>
          <x:t xml:space="preserve">2004-03-23</x:t>
        </x:is>
      </x:c>
      <x:c r="J4904" s="3" t="inlineStr">
        <x:is>
          <x:t xml:space="preserve">贵州省贵阳市云岩区白云大道220-1号</x:t>
        </x:is>
      </x:c>
      <x:c r="K4904" s="12" t="str">
        <x:f>LEFT("91520000709667830M",18)</x:f>
        <x:v>91520000709667830M</x:v>
      </x:c>
    </x:row>
    <x:row r="4905">
      <x:c r="A4905" s="4" t="n">
        <x:v>4904</x:v>
      </x:c>
      <x:c r="B4905" s="4" t="inlineStr">
        <x:is>
          <x:t xml:space="preserve">600610</x:t>
        </x:is>
      </x:c>
      <x:c r="C4905" s="5" t="inlineStr">
        <x:is>
          <x:t xml:space="preserve">中毅达</x:t>
        </x:is>
      </x:c>
      <x:c r="D4905" s="5" t="inlineStr">
        <x:is>
          <x:t xml:space="preserve">贵州中毅达股份有限公司</x:t>
        </x:is>
      </x:c>
      <x:c r="E4905" s="4" t="inlineStr">
        <x:is>
          <x:t xml:space="preserve">贵州省</x:t>
        </x:is>
      </x:c>
      <x:c r="F4905" s="4" t="inlineStr">
        <x:is>
          <x:t xml:space="preserve">治州福泉市</x:t>
        </x:is>
      </x:c>
      <x:c r="G4905" s="5" t="inlineStr">
        <x:is>
          <x:t xml:space="preserve">贵州省-治州福泉市</x:t>
        </x:is>
      </x:c>
      <x:c r="H4905" s="4" t="inlineStr">
        <x:is>
          <x:t xml:space="preserve">化学原料</x:t>
        </x:is>
      </x:c>
      <x:c r="I4905" s="4" t="inlineStr">
        <x:is>
          <x:t xml:space="preserve">1992-08-05</x:t>
        </x:is>
      </x:c>
      <x:c r="J4905" s="5" t="inlineStr">
        <x:is>
          <x:t xml:space="preserve">贵州省黔南布依族苗族自治州福泉市马场坪瓮福工业园办公楼201室</x:t>
        </x:is>
      </x:c>
      <x:c r="K4905" s="12" t="str">
        <x:f>LEFT("91310000607200164Q",18)</x:f>
        <x:v>91310000607200164Q</x:v>
      </x:c>
    </x:row>
    <x:row r="4906">
      <x:c r="A4906" s="2" t="n">
        <x:v>4905</x:v>
      </x:c>
      <x:c r="B4906" s="2" t="inlineStr">
        <x:is>
          <x:t xml:space="preserve">600765</x:t>
        </x:is>
      </x:c>
      <x:c r="C4906" s="3" t="inlineStr">
        <x:is>
          <x:t xml:space="preserve">中航重机</x:t>
        </x:is>
      </x:c>
      <x:c r="D4906" s="3" t="inlineStr">
        <x:is>
          <x:t xml:space="preserve">中航重机股份有限公司</x:t>
        </x:is>
      </x:c>
      <x:c r="E4906" s="2" t="inlineStr">
        <x:is>
          <x:t xml:space="preserve">贵州省</x:t>
        </x:is>
      </x:c>
      <x:c r="F4906" s="2" t="inlineStr">
        <x:is>
          <x:t xml:space="preserve">贵阳市</x:t>
        </x:is>
      </x:c>
      <x:c r="G4906" s="3" t="inlineStr">
        <x:is>
          <x:t xml:space="preserve">贵州省-贵阳市</x:t>
        </x:is>
      </x:c>
      <x:c r="H4906" s="2" t="inlineStr">
        <x:is>
          <x:t xml:space="preserve">航天航空</x:t>
        </x:is>
      </x:c>
      <x:c r="I4906" s="2" t="inlineStr">
        <x:is>
          <x:t xml:space="preserve">1996-11-06</x:t>
        </x:is>
      </x:c>
      <x:c r="J4906" s="3" t="inlineStr">
        <x:is>
          <x:t xml:space="preserve">贵州省贵阳市双龙航空港经济区小碧布依族苗族乡木头村机场路16号</x:t>
        </x:is>
      </x:c>
      <x:c r="K4906" s="12" t="str">
        <x:f>LEFT("91520000214434146R",18)</x:f>
        <x:v>91520000214434146R</x:v>
      </x:c>
    </x:row>
    <x:row r="4907">
      <x:c r="A4907" s="4" t="n">
        <x:v>4906</x:v>
      </x:c>
      <x:c r="B4907" s="4" t="inlineStr">
        <x:is>
          <x:t xml:space="preserve">600903</x:t>
        </x:is>
      </x:c>
      <x:c r="C4907" s="5" t="inlineStr">
        <x:is>
          <x:t xml:space="preserve">贵州燃气</x:t>
        </x:is>
      </x:c>
      <x:c r="D4907" s="5" t="inlineStr">
        <x:is>
          <x:t xml:space="preserve">贵州燃气集团股份有限公司</x:t>
        </x:is>
      </x:c>
      <x:c r="E4907" s="4" t="inlineStr">
        <x:is>
          <x:t xml:space="preserve">贵州省</x:t>
        </x:is>
      </x:c>
      <x:c r="F4907" s="4" t="inlineStr">
        <x:is>
          <x:t xml:space="preserve">贵阳市</x:t>
        </x:is>
      </x:c>
      <x:c r="G4907" s="5" t="inlineStr">
        <x:is>
          <x:t xml:space="preserve">贵州省-贵阳市</x:t>
        </x:is>
      </x:c>
      <x:c r="H4907" s="4" t="inlineStr">
        <x:is>
          <x:t xml:space="preserve">燃气</x:t>
        </x:is>
      </x:c>
      <x:c r="I4907" s="4" t="inlineStr">
        <x:is>
          <x:t xml:space="preserve">2017-11-07</x:t>
        </x:is>
      </x:c>
      <x:c r="J4907" s="5" t="inlineStr">
        <x:is>
          <x:t xml:space="preserve">贵州省贵阳市云岩区中华中路166-1号</x:t>
        </x:is>
      </x:c>
      <x:c r="K4907" s="12" t="str">
        <x:f>LEFT("91520100755369404M",18)</x:f>
        <x:v>91520100755369404M</x:v>
      </x:c>
    </x:row>
    <x:row r="4908">
      <x:c r="A4908" s="2" t="n">
        <x:v>4907</x:v>
      </x:c>
      <x:c r="B4908" s="2" t="inlineStr">
        <x:is>
          <x:t xml:space="preserve">600992</x:t>
        </x:is>
      </x:c>
      <x:c r="C4908" s="3" t="inlineStr">
        <x:is>
          <x:t xml:space="preserve">贵绳股份</x:t>
        </x:is>
      </x:c>
      <x:c r="D4908" s="3" t="inlineStr">
        <x:is>
          <x:t xml:space="preserve">贵州钢绳股份有限公司</x:t>
        </x:is>
      </x:c>
      <x:c r="E4908" s="2" t="inlineStr">
        <x:is>
          <x:t xml:space="preserve">贵州省</x:t>
        </x:is>
      </x:c>
      <x:c r="F4908" s="2" t="inlineStr">
        <x:is>
          <x:t xml:space="preserve">遵义市</x:t>
        </x:is>
      </x:c>
      <x:c r="G4908" s="3" t="inlineStr">
        <x:is>
          <x:t xml:space="preserve">贵州省-遵义市</x:t>
        </x:is>
      </x:c>
      <x:c r="H4908" s="2" t="inlineStr">
        <x:is>
          <x:t xml:space="preserve">通用设备</x:t>
        </x:is>
      </x:c>
      <x:c r="I4908" s="2" t="inlineStr">
        <x:is>
          <x:t xml:space="preserve">2004-05-14</x:t>
        </x:is>
      </x:c>
      <x:c r="J4908" s="3" t="inlineStr">
        <x:is>
          <x:t xml:space="preserve">贵州省遵义市桃溪路47号</x:t>
        </x:is>
      </x:c>
      <x:c r="K4908" s="12" t="str">
        <x:f>LEFT("915203002147892034",18)</x:f>
        <x:v>915203002147892100</x:v>
      </x:c>
    </x:row>
    <x:row r="4909">
      <x:c r="A4909" s="4" t="n">
        <x:v>4908</x:v>
      </x:c>
      <x:c r="B4909" s="4" t="inlineStr">
        <x:is>
          <x:t xml:space="preserve">600996</x:t>
        </x:is>
      </x:c>
      <x:c r="C4909" s="5" t="inlineStr">
        <x:is>
          <x:t xml:space="preserve">贵广网络</x:t>
        </x:is>
      </x:c>
      <x:c r="D4909" s="5" t="inlineStr">
        <x:is>
          <x:t xml:space="preserve">贵州省广播电视信息网络股份有限公司</x:t>
        </x:is>
      </x:c>
      <x:c r="E4909" s="4" t="inlineStr">
        <x:is>
          <x:t xml:space="preserve">贵州省</x:t>
        </x:is>
      </x:c>
      <x:c r="F4909" s="4" t="inlineStr">
        <x:is>
          <x:t xml:space="preserve">贵阳市</x:t>
        </x:is>
      </x:c>
      <x:c r="G4909" s="5" t="inlineStr">
        <x:is>
          <x:t xml:space="preserve">贵州省-贵阳市</x:t>
        </x:is>
      </x:c>
      <x:c r="H4909" s="4" t="inlineStr">
        <x:is>
          <x:t xml:space="preserve">文化传媒</x:t>
        </x:is>
      </x:c>
      <x:c r="I4909" s="4" t="inlineStr">
        <x:is>
          <x:t xml:space="preserve">2016-12-26</x:t>
        </x:is>
      </x:c>
      <x:c r="J4909" s="5" t="inlineStr">
        <x:is>
          <x:t xml:space="preserve">贵阳市观山湖区金阳南路36号</x:t>
        </x:is>
      </x:c>
      <x:c r="K4909" s="12" t="str">
        <x:f>LEFT("915200006707225551",18)</x:f>
        <x:v>915200006707225600</x:v>
      </x:c>
    </x:row>
    <x:row r="4910">
      <x:c r="A4910" s="2" t="n">
        <x:v>4909</x:v>
      </x:c>
      <x:c r="B4910" s="2" t="inlineStr">
        <x:is>
          <x:t xml:space="preserve">601997</x:t>
        </x:is>
      </x:c>
      <x:c r="C4910" s="3" t="inlineStr">
        <x:is>
          <x:t xml:space="preserve">贵阳银行</x:t>
        </x:is>
      </x:c>
      <x:c r="D4910" s="3" t="inlineStr">
        <x:is>
          <x:t xml:space="preserve">贵阳银行股份有限公司</x:t>
        </x:is>
      </x:c>
      <x:c r="E4910" s="2" t="inlineStr">
        <x:is>
          <x:t xml:space="preserve">贵州省</x:t>
        </x:is>
      </x:c>
      <x:c r="F4910" s="2" t="inlineStr">
        <x:is>
          <x:t xml:space="preserve">贵阳市</x:t>
        </x:is>
      </x:c>
      <x:c r="G4910" s="3" t="inlineStr">
        <x:is>
          <x:t xml:space="preserve">贵州省-贵阳市</x:t>
        </x:is>
      </x:c>
      <x:c r="H4910" s="2" t="inlineStr">
        <x:is>
          <x:t xml:space="preserve">银行</x:t>
        </x:is>
      </x:c>
      <x:c r="I4910" s="2" t="inlineStr">
        <x:is>
          <x:t xml:space="preserve">2016-08-16</x:t>
        </x:is>
      </x:c>
      <x:c r="J4910" s="3" t="inlineStr">
        <x:is>
          <x:t xml:space="preserve">贵州省贵阳市观山湖区长岭北路中天·会展城B区金融商务区东区1-6栋</x:t>
        </x:is>
      </x:c>
      <x:c r="K4910" s="12" t="str">
        <x:f>LEFT("9152010021449398XY",18)</x:f>
        <x:v>9152010021449398XY</x:v>
      </x:c>
    </x:row>
    <x:row r="4911">
      <x:c r="A4911" s="4" t="n">
        <x:v>4910</x:v>
      </x:c>
      <x:c r="B4911" s="4" t="inlineStr">
        <x:is>
          <x:t xml:space="preserve">603058</x:t>
        </x:is>
      </x:c>
      <x:c r="C4911" s="5" t="inlineStr">
        <x:is>
          <x:t xml:space="preserve">永吉股份</x:t>
        </x:is>
      </x:c>
      <x:c r="D4911" s="5" t="inlineStr">
        <x:is>
          <x:t xml:space="preserve">贵州永吉印务股份有限公司</x:t>
        </x:is>
      </x:c>
      <x:c r="E4911" s="4" t="inlineStr">
        <x:is>
          <x:t xml:space="preserve">贵州省</x:t>
        </x:is>
      </x:c>
      <x:c r="F4911" s="4" t="inlineStr">
        <x:is>
          <x:t xml:space="preserve">贵阳市</x:t>
        </x:is>
      </x:c>
      <x:c r="G4911" s="5" t="inlineStr">
        <x:is>
          <x:t xml:space="preserve">贵州省-贵阳市</x:t>
        </x:is>
      </x:c>
      <x:c r="H4911" s="4" t="inlineStr">
        <x:is>
          <x:t xml:space="preserve">造纸印刷</x:t>
        </x:is>
      </x:c>
      <x:c r="I4911" s="4" t="inlineStr">
        <x:is>
          <x:t xml:space="preserve">2016-12-23</x:t>
        </x:is>
      </x:c>
      <x:c r="J4911" s="5" t="inlineStr">
        <x:is>
          <x:t xml:space="preserve">贵州省贵阳市云岩区观山东路198号</x:t>
        </x:is>
      </x:c>
      <x:c r="K4911" s="12" t="str">
        <x:f>LEFT("91520100214435085H",18)</x:f>
        <x:v>91520100214435085H</x:v>
      </x:c>
    </x:row>
    <x:row r="4912">
      <x:c r="A4912" s="2" t="n">
        <x:v>4911</x:v>
      </x:c>
      <x:c r="B4912" s="2" t="inlineStr">
        <x:is>
          <x:t xml:space="preserve">603439</x:t>
        </x:is>
      </x:c>
      <x:c r="C4912" s="3" t="inlineStr">
        <x:is>
          <x:t xml:space="preserve">三力制药</x:t>
        </x:is>
      </x:c>
      <x:c r="D4912" s="3" t="inlineStr">
        <x:is>
          <x:t xml:space="preserve">贵州三力制药股份有限公司</x:t>
        </x:is>
      </x:c>
      <x:c r="E4912" s="2" t="inlineStr">
        <x:is>
          <x:t xml:space="preserve">贵州省</x:t>
        </x:is>
      </x:c>
      <x:c r="F4912" s="2" t="inlineStr">
        <x:is>
          <x:t xml:space="preserve">安顺市</x:t>
        </x:is>
      </x:c>
      <x:c r="G4912" s="3" t="inlineStr">
        <x:is>
          <x:t xml:space="preserve">贵州省-安顺市</x:t>
        </x:is>
      </x:c>
      <x:c r="H4912" s="2" t="inlineStr">
        <x:is>
          <x:t xml:space="preserve">中药</x:t>
        </x:is>
      </x:c>
      <x:c r="I4912" s="2" t="inlineStr">
        <x:is>
          <x:t xml:space="preserve">2020-04-28</x:t>
        </x:is>
      </x:c>
      <x:c r="J4912" s="3" t="inlineStr">
        <x:is>
          <x:t xml:space="preserve">贵州省安顺市平坝区夏云工业园区</x:t>
        </x:is>
      </x:c>
      <x:c r="K4912" s="12" t="str">
        <x:f>LEFT("91520000622415091L",18)</x:f>
        <x:v>91520000622415091L</x:v>
      </x:c>
    </x:row>
    <x:row r="4913">
      <x:c r="A4913" s="4" t="n">
        <x:v>4912</x:v>
      </x:c>
      <x:c r="B4913" s="4" t="inlineStr">
        <x:is>
          <x:t xml:space="preserve">603458</x:t>
        </x:is>
      </x:c>
      <x:c r="C4913" s="5" t="inlineStr">
        <x:is>
          <x:t xml:space="preserve">勘设股份</x:t>
        </x:is>
      </x:c>
      <x:c r="D4913" s="5" t="inlineStr">
        <x:is>
          <x:t xml:space="preserve">贵州省交通规划勘察设计研究院股份有限公司</x:t>
        </x:is>
      </x:c>
      <x:c r="E4913" s="4" t="inlineStr">
        <x:is>
          <x:t xml:space="preserve">贵州省</x:t>
        </x:is>
      </x:c>
      <x:c r="F4913" s="4" t="inlineStr">
        <x:is>
          <x:t xml:space="preserve">贵阳市</x:t>
        </x:is>
      </x:c>
      <x:c r="G4913" s="5" t="inlineStr">
        <x:is>
          <x:t xml:space="preserve">贵州省-贵阳市</x:t>
        </x:is>
      </x:c>
      <x:c r="H4913" s="4" t="inlineStr">
        <x:is>
          <x:t xml:space="preserve">工程咨询服务</x:t>
        </x:is>
      </x:c>
      <x:c r="I4913" s="4" t="inlineStr">
        <x:is>
          <x:t xml:space="preserve">2017-08-09</x:t>
        </x:is>
      </x:c>
      <x:c r="J4913" s="5" t="inlineStr">
        <x:is>
          <x:t xml:space="preserve">贵州省贵阳市高新技术产业开发区阳关大道附100号</x:t>
        </x:is>
      </x:c>
      <x:c r="K4913" s="12" t="str">
        <x:f>LEFT("91520000067700001A",18)</x:f>
        <x:v>91520000067700001A</x:v>
      </x:c>
    </x:row>
    <x:row r="4914">
      <x:c r="A4914" s="2" t="n">
        <x:v>4913</x:v>
      </x:c>
      <x:c r="B4914" s="2" t="inlineStr">
        <x:is>
          <x:t xml:space="preserve">688239</x:t>
        </x:is>
      </x:c>
      <x:c r="C4914" s="3" t="inlineStr">
        <x:is>
          <x:t xml:space="preserve">航宇科技</x:t>
        </x:is>
      </x:c>
      <x:c r="D4914" s="3" t="inlineStr">
        <x:is>
          <x:t xml:space="preserve">贵州航宇科技发展股份有限公司</x:t>
        </x:is>
      </x:c>
      <x:c r="E4914" s="2" t="inlineStr">
        <x:is>
          <x:t xml:space="preserve">贵州省</x:t>
        </x:is>
      </x:c>
      <x:c r="F4914" s="2" t="inlineStr">
        <x:is>
          <x:t xml:space="preserve">贵阳市</x:t>
        </x:is>
      </x:c>
      <x:c r="G4914" s="3" t="inlineStr">
        <x:is>
          <x:t xml:space="preserve">贵州省-贵阳市</x:t>
        </x:is>
      </x:c>
      <x:c r="H4914" s="2" t="inlineStr">
        <x:is>
          <x:t xml:space="preserve">航天航空</x:t>
        </x:is>
      </x:c>
      <x:c r="I4914" s="2" t="inlineStr">
        <x:is>
          <x:t xml:space="preserve">2021-07-05</x:t>
        </x:is>
      </x:c>
      <x:c r="J4914" s="3" t="inlineStr">
        <x:is>
          <x:t xml:space="preserve">贵州省贵阳市贵阳国家高新技术产业开发区金阳科技产业园上坝山路</x:t>
        </x:is>
      </x:c>
      <x:c r="K4914" s="12" t="str">
        <x:f>LEFT("91520115789782002N",18)</x:f>
        <x:v>91520115789782002N</x:v>
      </x:c>
    </x:row>
    <x:row r="4915">
      <x:c r="A4915" s="4" t="n">
        <x:v>4914</x:v>
      </x:c>
      <x:c r="B4915" s="4" t="inlineStr">
        <x:is>
          <x:t xml:space="preserve">688439</x:t>
        </x:is>
      </x:c>
      <x:c r="C4915" s="5" t="inlineStr">
        <x:is>
          <x:t xml:space="preserve">振华风光</x:t>
        </x:is>
      </x:c>
      <x:c r="D4915" s="5" t="inlineStr">
        <x:is>
          <x:t xml:space="preserve">贵州振华风光半导体股份有限公司</x:t>
        </x:is>
      </x:c>
      <x:c r="E4915" s="4" t="inlineStr">
        <x:is>
          <x:t xml:space="preserve">贵州省</x:t>
        </x:is>
      </x:c>
      <x:c r="F4915" s="4" t="inlineStr">
        <x:is>
          <x:t xml:space="preserve">贵阳市</x:t>
        </x:is>
      </x:c>
      <x:c r="G4915" s="5" t="inlineStr">
        <x:is>
          <x:t xml:space="preserve">贵州省-贵阳市</x:t>
        </x:is>
      </x:c>
      <x:c r="H4915" s="4" t="inlineStr">
        <x:is>
          <x:t xml:space="preserve">半导体</x:t>
        </x:is>
      </x:c>
      <x:c r="I4915" s="4" t="inlineStr">
        <x:is>
          <x:t xml:space="preserve">2022-08-26</x:t>
        </x:is>
      </x:c>
      <x:c r="J4915" s="5" t="inlineStr">
        <x:is>
          <x:t xml:space="preserve">贵州省贵阳市高新区高纳路819号</x:t>
        </x:is>
      </x:c>
      <x:c r="K4915" s="12" t="str">
        <x:f>LEFT("915200007753445386",18)</x:f>
        <x:v>915200007753445400</x:v>
      </x:c>
    </x:row>
    <x:row r="4916">
      <x:c r="A4916" s="2" t="n">
        <x:v>4915</x:v>
      </x:c>
      <x:c r="B4916" s="2" t="inlineStr">
        <x:is>
          <x:t xml:space="preserve">688707</x:t>
        </x:is>
      </x:c>
      <x:c r="C4916" s="3" t="inlineStr">
        <x:is>
          <x:t xml:space="preserve">振华新材</x:t>
        </x:is>
      </x:c>
      <x:c r="D4916" s="3" t="inlineStr">
        <x:is>
          <x:t xml:space="preserve">贵州振华新材料股份有限公司</x:t>
        </x:is>
      </x:c>
      <x:c r="E4916" s="2" t="inlineStr">
        <x:is>
          <x:t xml:space="preserve">贵州省</x:t>
        </x:is>
      </x:c>
      <x:c r="F4916" s="2" t="inlineStr">
        <x:is>
          <x:t xml:space="preserve">贵阳市</x:t>
        </x:is>
      </x:c>
      <x:c r="G4916" s="3" t="inlineStr">
        <x:is>
          <x:t xml:space="preserve">贵州省-贵阳市</x:t>
        </x:is>
      </x:c>
      <x:c r="H4916" s="2" t="inlineStr">
        <x:is>
          <x:t xml:space="preserve">电池</x:t>
        </x:is>
      </x:c>
      <x:c r="I4916" s="2" t="inlineStr">
        <x:is>
          <x:t xml:space="preserve">2021-09-14</x:t>
        </x:is>
      </x:c>
      <x:c r="J4916" s="3" t="inlineStr">
        <x:is>
          <x:t xml:space="preserve">贵州省贵阳市白云区高跨路1号</x:t>
        </x:is>
      </x:c>
      <x:c r="K4916" s="12" t="str">
        <x:f>LEFT("91440300761965069C",18)</x:f>
        <x:v>91440300761965069C</x:v>
      </x:c>
    </x:row>
    <x:row r="4917">
      <x:c r="A4917" s="4" t="n">
        <x:v>4916</x:v>
      </x:c>
      <x:c r="B4917" s="4" t="inlineStr">
        <x:is>
          <x:t xml:space="preserve">000059</x:t>
        </x:is>
      </x:c>
      <x:c r="C4917" s="5" t="inlineStr">
        <x:is>
          <x:t xml:space="preserve">华锦股份</x:t>
        </x:is>
      </x:c>
      <x:c r="D4917" s="5" t="inlineStr">
        <x:is>
          <x:t xml:space="preserve">北方华锦化学工业股份有限公司</x:t>
        </x:is>
      </x:c>
      <x:c r="E4917" s="4" t="inlineStr">
        <x:is>
          <x:t xml:space="preserve">辽宁省</x:t>
        </x:is>
      </x:c>
      <x:c r="F4917" s="4" t="inlineStr">
        <x:is>
          <x:t xml:space="preserve">盘锦市</x:t>
        </x:is>
      </x:c>
      <x:c r="G4917" s="5" t="inlineStr">
        <x:is>
          <x:t xml:space="preserve">辽宁省-盘锦市</x:t>
        </x:is>
      </x:c>
      <x:c r="H4917" s="4" t="inlineStr">
        <x:is>
          <x:t xml:space="preserve">石油行业</x:t>
        </x:is>
      </x:c>
      <x:c r="I4917" s="4" t="inlineStr">
        <x:is>
          <x:t xml:space="preserve">1997-01-30</x:t>
        </x:is>
      </x:c>
      <x:c r="J4917" s="5" t="inlineStr">
        <x:is>
          <x:t xml:space="preserve">辽宁省盘锦市双台子区红旗大街</x:t>
        </x:is>
      </x:c>
      <x:c r="K4917" s="12" t="str">
        <x:f>LEFT("91211100279309506B",18)</x:f>
        <x:v>91211100279309506B</x:v>
      </x:c>
    </x:row>
    <x:row r="4918">
      <x:c r="A4918" s="2" t="n">
        <x:v>4917</x:v>
      </x:c>
      <x:c r="B4918" s="2" t="inlineStr">
        <x:is>
          <x:t xml:space="preserve">000410</x:t>
        </x:is>
      </x:c>
      <x:c r="C4918" s="3" t="inlineStr">
        <x:is>
          <x:t xml:space="preserve">沈阳机床</x:t>
        </x:is>
      </x:c>
      <x:c r="D4918" s="3" t="inlineStr">
        <x:is>
          <x:t xml:space="preserve">沈阳机床股份有限公司</x:t>
        </x:is>
      </x:c>
      <x:c r="E4918" s="2" t="inlineStr">
        <x:is>
          <x:t xml:space="preserve">辽宁省</x:t>
        </x:is>
      </x:c>
      <x:c r="F4918" s="2" t="inlineStr">
        <x:is>
          <x:t xml:space="preserve">沈阳市</x:t>
        </x:is>
      </x:c>
      <x:c r="G4918" s="3" t="inlineStr">
        <x:is>
          <x:t xml:space="preserve">辽宁省-沈阳市</x:t>
        </x:is>
      </x:c>
      <x:c r="H4918" s="2" t="inlineStr">
        <x:is>
          <x:t xml:space="preserve">机械行业</x:t>
        </x:is>
      </x:c>
      <x:c r="I4918" s="2" t="inlineStr">
        <x:is>
          <x:t xml:space="preserve">1996-07-18</x:t>
        </x:is>
      </x:c>
      <x:c r="J4918" s="3" t="inlineStr">
        <x:is>
          <x:t xml:space="preserve">沈阳经济技术开发区开发大路17甲1号</x:t>
        </x:is>
      </x:c>
      <x:c r="K4918" s="12" t="str">
        <x:f>LEFT("91210106243406830Q",18)</x:f>
        <x:v>91210106243406830Q</x:v>
      </x:c>
    </x:row>
    <x:row r="4919">
      <x:c r="A4919" s="4" t="n">
        <x:v>4918</x:v>
      </x:c>
      <x:c r="B4919" s="4" t="inlineStr">
        <x:is>
          <x:t xml:space="preserve">000530</x:t>
        </x:is>
      </x:c>
      <x:c r="C4919" s="5" t="inlineStr">
        <x:is>
          <x:t xml:space="preserve">冰山冷热</x:t>
        </x:is>
      </x:c>
      <x:c r="D4919" s="5" t="inlineStr">
        <x:is>
          <x:t xml:space="preserve">冰山冷热科技股份有限公司</x:t>
        </x:is>
      </x:c>
      <x:c r="E4919" s="4" t="inlineStr">
        <x:is>
          <x:t xml:space="preserve">辽宁省</x:t>
        </x:is>
      </x:c>
      <x:c r="F4919" s="4" t="inlineStr">
        <x:is>
          <x:t xml:space="preserve">大连市</x:t>
        </x:is>
      </x:c>
      <x:c r="G4919" s="5" t="inlineStr">
        <x:is>
          <x:t xml:space="preserve">辽宁省-大连市</x:t>
        </x:is>
      </x:c>
      <x:c r="H4919" s="4" t="inlineStr">
        <x:is>
          <x:t xml:space="preserve">机械行业</x:t>
        </x:is>
      </x:c>
      <x:c r="I4919" s="4" t="inlineStr">
        <x:is>
          <x:t xml:space="preserve">1993-12-08</x:t>
        </x:is>
      </x:c>
      <x:c r="J4919" s="5" t="inlineStr">
        <x:is>
          <x:t xml:space="preserve">大连经济技术开发区辽河东路106号</x:t>
        </x:is>
      </x:c>
      <x:c r="K4919" s="12" t="str">
        <x:f>LEFT("912102002423613009",18)</x:f>
        <x:v>912102002423613000</x:v>
      </x:c>
    </x:row>
    <x:row r="4920">
      <x:c r="A4920" s="2" t="n">
        <x:v>4919</x:v>
      </x:c>
      <x:c r="B4920" s="2" t="inlineStr">
        <x:is>
          <x:t xml:space="preserve">000597</x:t>
        </x:is>
      </x:c>
      <x:c r="C4920" s="3" t="inlineStr">
        <x:is>
          <x:t xml:space="preserve">东北制药</x:t>
        </x:is>
      </x:c>
      <x:c r="D4920" s="3" t="inlineStr">
        <x:is>
          <x:t xml:space="preserve">东北制药集团股份有限公司</x:t>
        </x:is>
      </x:c>
      <x:c r="E4920" s="2" t="inlineStr">
        <x:is>
          <x:t xml:space="preserve">辽宁省</x:t>
        </x:is>
      </x:c>
      <x:c r="F4920" s="2" t="inlineStr">
        <x:is>
          <x:t xml:space="preserve">沈阳市</x:t>
        </x:is>
      </x:c>
      <x:c r="G4920" s="3" t="inlineStr">
        <x:is>
          <x:t xml:space="preserve">辽宁省-沈阳市</x:t>
        </x:is>
      </x:c>
      <x:c r="H4920" s="2" t="inlineStr">
        <x:is>
          <x:t xml:space="preserve">医药制造</x:t>
        </x:is>
      </x:c>
      <x:c r="I4920" s="2" t="inlineStr">
        <x:is>
          <x:t xml:space="preserve">1996-05-23</x:t>
        </x:is>
      </x:c>
      <x:c r="J4920" s="3" t="inlineStr">
        <x:is>
          <x:t xml:space="preserve">沈阳经济技术开发区昆明湖街8号</x:t>
        </x:is>
      </x:c>
      <x:c r="K4920" s="12" t="str">
        <x:f>LEFT("91210100243490227Y",18)</x:f>
        <x:v>91210100243490227Y</x:v>
      </x:c>
    </x:row>
    <x:row r="4921">
      <x:c r="A4921" s="4" t="n">
        <x:v>4920</x:v>
      </x:c>
      <x:c r="B4921" s="4" t="inlineStr">
        <x:is>
          <x:t xml:space="preserve">000679</x:t>
        </x:is>
      </x:c>
      <x:c r="C4921" s="5" t="inlineStr">
        <x:is>
          <x:t xml:space="preserve">大连友谊</x:t>
        </x:is>
      </x:c>
      <x:c r="D4921" s="5" t="inlineStr">
        <x:is>
          <x:t xml:space="preserve">大连友谊(集团)股份有限公司</x:t>
        </x:is>
      </x:c>
      <x:c r="E4921" s="4" t="inlineStr">
        <x:is>
          <x:t xml:space="preserve">辽宁省</x:t>
        </x:is>
      </x:c>
      <x:c r="F4921" s="4" t="inlineStr">
        <x:is>
          <x:t xml:space="preserve">大连市</x:t>
        </x:is>
      </x:c>
      <x:c r="G4921" s="5" t="inlineStr">
        <x:is>
          <x:t xml:space="preserve">辽宁省-大连市</x:t>
        </x:is>
      </x:c>
      <x:c r="H4921" s="4" t="inlineStr">
        <x:is>
          <x:t xml:space="preserve">商业百货</x:t>
        </x:is>
      </x:c>
      <x:c r="I4921" s="4" t="inlineStr">
        <x:is>
          <x:t xml:space="preserve">1997-01-24</x:t>
        </x:is>
      </x:c>
      <x:c r="J4921" s="5" t="inlineStr">
        <x:is>
          <x:t xml:space="preserve">大连市中山区七一街5号</x:t>
        </x:is>
      </x:c>
      <x:c r="K4921" s="12" t="str">
        <x:f>LEFT("9121020011831278X6",18)</x:f>
        <x:v>9121020011831278X6</x:v>
      </x:c>
    </x:row>
    <x:row r="4922">
      <x:c r="A4922" s="2" t="n">
        <x:v>4921</x:v>
      </x:c>
      <x:c r="B4922" s="2" t="inlineStr">
        <x:is>
          <x:t xml:space="preserve">000692</x:t>
        </x:is>
      </x:c>
      <x:c r="C4922" s="3" t="inlineStr">
        <x:is>
          <x:t xml:space="preserve">惠天热电</x:t>
        </x:is>
      </x:c>
      <x:c r="D4922" s="3" t="inlineStr">
        <x:is>
          <x:t xml:space="preserve">沈阳惠天热电股份有限公司</x:t>
        </x:is>
      </x:c>
      <x:c r="E4922" s="2" t="inlineStr">
        <x:is>
          <x:t xml:space="preserve">辽宁省</x:t>
        </x:is>
      </x:c>
      <x:c r="F4922" s="2" t="inlineStr">
        <x:is>
          <x:t xml:space="preserve">沈阳市</x:t>
        </x:is>
      </x:c>
      <x:c r="G4922" s="3" t="inlineStr">
        <x:is>
          <x:t xml:space="preserve">辽宁省-沈阳市</x:t>
        </x:is>
      </x:c>
      <x:c r="H4922" s="2" t="inlineStr">
        <x:is>
          <x:t xml:space="preserve">公用事业</x:t>
        </x:is>
      </x:c>
      <x:c r="I4922" s="2" t="inlineStr">
        <x:is>
          <x:t xml:space="preserve">1997-02-27</x:t>
        </x:is>
      </x:c>
      <x:c r="J4922" s="3" t="inlineStr">
        <x:is>
          <x:t xml:space="preserve">沈阳市沈河区热闹路47号</x:t>
        </x:is>
      </x:c>
      <x:c r="K4922" s="12" t="str">
        <x:f>LEFT("912101002434901556",18)</x:f>
        <x:v>912101002434901500</x:v>
      </x:c>
    </x:row>
    <x:row r="4923">
      <x:c r="A4923" s="4" t="n">
        <x:v>4922</x:v>
      </x:c>
      <x:c r="B4923" s="4" t="inlineStr">
        <x:is>
          <x:t xml:space="preserve">000698</x:t>
        </x:is>
      </x:c>
      <x:c r="C4923" s="5" t="inlineStr">
        <x:is>
          <x:t xml:space="preserve">ST沈化</x:t>
        </x:is>
      </x:c>
      <x:c r="D4923" s="5" t="inlineStr">
        <x:is>
          <x:t xml:space="preserve">沈阳化工股份有限公司</x:t>
        </x:is>
      </x:c>
      <x:c r="E4923" s="4" t="inlineStr">
        <x:is>
          <x:t xml:space="preserve">辽宁省</x:t>
        </x:is>
      </x:c>
      <x:c r="F4923" s="4" t="inlineStr">
        <x:is>
          <x:t xml:space="preserve">沈阳市</x:t>
        </x:is>
      </x:c>
      <x:c r="G4923" s="5" t="inlineStr">
        <x:is>
          <x:t xml:space="preserve">辽宁省-沈阳市</x:t>
        </x:is>
      </x:c>
      <x:c r="H4923" s="4" t="inlineStr">
        <x:is>
          <x:t xml:space="preserve">石油行业</x:t>
        </x:is>
      </x:c>
      <x:c r="I4923" s="4" t="inlineStr">
        <x:is>
          <x:t xml:space="preserve">1997-02-20</x:t>
        </x:is>
      </x:c>
      <x:c r="J4923" s="5" t="inlineStr">
        <x:is>
          <x:t xml:space="preserve">沈阳经济技术开发区沈西三东路55号</x:t>
        </x:is>
      </x:c>
      <x:c r="K4923" s="12" t="str">
        <x:f>LEFT("912101062434900759",18)</x:f>
        <x:v>912101062434900700</x:v>
      </x:c>
    </x:row>
    <x:row r="4924">
      <x:c r="A4924" s="2" t="n">
        <x:v>4923</x:v>
      </x:c>
      <x:c r="B4924" s="2" t="inlineStr">
        <x:is>
          <x:t xml:space="preserve">000715</x:t>
        </x:is>
      </x:c>
      <x:c r="C4924" s="3" t="inlineStr">
        <x:is>
          <x:t xml:space="preserve">中兴商业</x:t>
        </x:is>
      </x:c>
      <x:c r="D4924" s="3" t="inlineStr">
        <x:is>
          <x:t xml:space="preserve">中兴-沈阳商业大厦(集团)股份有限公司</x:t>
        </x:is>
      </x:c>
      <x:c r="E4924" s="2" t="inlineStr">
        <x:is>
          <x:t xml:space="preserve">辽宁省</x:t>
        </x:is>
      </x:c>
      <x:c r="F4924" s="2" t="inlineStr">
        <x:is>
          <x:t xml:space="preserve">沈阳市</x:t>
        </x:is>
      </x:c>
      <x:c r="G4924" s="3" t="inlineStr">
        <x:is>
          <x:t xml:space="preserve">辽宁省-沈阳市</x:t>
        </x:is>
      </x:c>
      <x:c r="H4924" s="2" t="inlineStr">
        <x:is>
          <x:t xml:space="preserve">商业百货</x:t>
        </x:is>
      </x:c>
      <x:c r="I4924" s="2" t="inlineStr">
        <x:is>
          <x:t xml:space="preserve">1997-05-08</x:t>
        </x:is>
      </x:c>
      <x:c r="J4924" s="3" t="inlineStr">
        <x:is>
          <x:t xml:space="preserve">辽宁省沈阳市和平区太原北街86号</x:t>
        </x:is>
      </x:c>
      <x:c r="K4924" s="12" t="str">
        <x:f>LEFT("91210000243490294P",18)</x:f>
        <x:v>91210000243490294P</x:v>
      </x:c>
    </x:row>
    <x:row r="4925">
      <x:c r="A4925" s="4" t="n">
        <x:v>4924</x:v>
      </x:c>
      <x:c r="B4925" s="4" t="inlineStr">
        <x:is>
          <x:t xml:space="preserve">000751</x:t>
        </x:is>
      </x:c>
      <x:c r="C4925" s="5" t="inlineStr">
        <x:is>
          <x:t xml:space="preserve">锌业股份</x:t>
        </x:is>
      </x:c>
      <x:c r="D4925" s="5" t="inlineStr">
        <x:is>
          <x:t xml:space="preserve">葫芦岛锌业股份有限公司</x:t>
        </x:is>
      </x:c>
      <x:c r="E4925" s="4" t="inlineStr">
        <x:is>
          <x:t xml:space="preserve">辽宁省</x:t>
        </x:is>
      </x:c>
      <x:c r="F4925" s="4" t="inlineStr">
        <x:is>
          <x:t xml:space="preserve">葫芦岛市</x:t>
        </x:is>
      </x:c>
      <x:c r="G4925" s="5" t="inlineStr">
        <x:is>
          <x:t xml:space="preserve">辽宁省-葫芦岛市</x:t>
        </x:is>
      </x:c>
      <x:c r="H4925" s="4" t="inlineStr">
        <x:is>
          <x:t xml:space="preserve">有色金属</x:t>
        </x:is>
      </x:c>
      <x:c r="I4925" s="4" t="inlineStr">
        <x:is>
          <x:t xml:space="preserve">1997-06-26</x:t>
        </x:is>
      </x:c>
      <x:c r="J4925" s="5" t="inlineStr">
        <x:is>
          <x:t xml:space="preserve">辽宁省葫芦岛市龙港区锌厂路24号</x:t>
        </x:is>
      </x:c>
      <x:c r="K4925" s="12" t="str">
        <x:f>LEFT("9121140012076702XL",18)</x:f>
        <x:v>9121140012076702XL</x:v>
      </x:c>
    </x:row>
    <x:row r="4926">
      <x:c r="A4926" s="2" t="n">
        <x:v>4925</x:v>
      </x:c>
      <x:c r="B4926" s="2" t="inlineStr">
        <x:is>
          <x:t xml:space="preserve">000761</x:t>
        </x:is>
      </x:c>
      <x:c r="C4926" s="3" t="inlineStr">
        <x:is>
          <x:t xml:space="preserve">本钢板材</x:t>
        </x:is>
      </x:c>
      <x:c r="D4926" s="3" t="inlineStr">
        <x:is>
          <x:t xml:space="preserve">本钢板材股份有限公司</x:t>
        </x:is>
      </x:c>
      <x:c r="E4926" s="2" t="inlineStr">
        <x:is>
          <x:t xml:space="preserve">辽宁省</x:t>
        </x:is>
      </x:c>
      <x:c r="F4926" s="2" t="inlineStr">
        <x:is>
          <x:t xml:space="preserve">本溪市</x:t>
        </x:is>
      </x:c>
      <x:c r="G4926" s="3" t="inlineStr">
        <x:is>
          <x:t xml:space="preserve">辽宁省-本溪市</x:t>
        </x:is>
      </x:c>
      <x:c r="H4926" s="2" t="inlineStr">
        <x:is>
          <x:t xml:space="preserve">钢铁行业</x:t>
        </x:is>
      </x:c>
      <x:c r="I4926" s="2" t="inlineStr">
        <x:is>
          <x:t xml:space="preserve">1998-01-15</x:t>
        </x:is>
      </x:c>
      <x:c r="J4926" s="3" t="inlineStr">
        <x:is>
          <x:t xml:space="preserve">辽宁省本溪市平山区人民路16号</x:t>
        </x:is>
      </x:c>
      <x:c r="K4926" s="12" t="str">
        <x:f>LEFT("91210000242690243E",18)</x:f>
        <x:v>91210000242690243E</x:v>
      </x:c>
    </x:row>
    <x:row r="4927">
      <x:c r="A4927" s="4" t="n">
        <x:v>4926</x:v>
      </x:c>
      <x:c r="B4927" s="4" t="inlineStr">
        <x:is>
          <x:t xml:space="preserve">000809</x:t>
        </x:is>
      </x:c>
      <x:c r="C4927" s="5" t="inlineStr">
        <x:is>
          <x:t xml:space="preserve">和展能源</x:t>
        </x:is>
      </x:c>
      <x:c r="D4927" s="5" t="inlineStr">
        <x:is>
          <x:t xml:space="preserve">辽宁和展能源集团股份有限公司</x:t>
        </x:is>
      </x:c>
      <x:c r="E4927" s="4" t="inlineStr">
        <x:is>
          <x:t xml:space="preserve">辽宁省</x:t>
        </x:is>
      </x:c>
      <x:c r="F4927" s="4" t="inlineStr">
        <x:is>
          <x:t xml:space="preserve">铁岭市</x:t>
        </x:is>
      </x:c>
      <x:c r="G4927" s="5" t="inlineStr">
        <x:is>
          <x:t xml:space="preserve">辽宁省-铁岭市</x:t>
        </x:is>
      </x:c>
      <x:c r="H4927" s="4" t="inlineStr">
        <x:is>
          <x:t xml:space="preserve">风电设备</x:t>
        </x:is>
      </x:c>
      <x:c r="I4927" s="4" t="inlineStr">
        <x:is>
          <x:t xml:space="preserve">1998-06-16</x:t>
        </x:is>
      </x:c>
      <x:c r="J4927" s="5" t="inlineStr">
        <x:is>
          <x:t xml:space="preserve">辽宁省铁岭市铁岭县昆仑山路42号9号楼</x:t>
        </x:is>
      </x:c>
      <x:c r="K4927" s="12" t="str">
        <x:f>LEFT("91211200201909093K",18)</x:f>
        <x:v>91211200201909093K</x:v>
      </x:c>
    </x:row>
    <x:row r="4928">
      <x:c r="A4928" s="2" t="n">
        <x:v>4927</x:v>
      </x:c>
      <x:c r="B4928" s="2" t="inlineStr">
        <x:is>
          <x:t xml:space="preserve">000818</x:t>
        </x:is>
      </x:c>
      <x:c r="C4928" s="3" t="inlineStr">
        <x:is>
          <x:t xml:space="preserve">航锦科技</x:t>
        </x:is>
      </x:c>
      <x:c r="D4928" s="3" t="inlineStr">
        <x:is>
          <x:t xml:space="preserve">航锦科技股份有限公司</x:t>
        </x:is>
      </x:c>
      <x:c r="E4928" s="2" t="inlineStr">
        <x:is>
          <x:t xml:space="preserve">辽宁省</x:t>
        </x:is>
      </x:c>
      <x:c r="F4928" s="2" t="inlineStr">
        <x:is>
          <x:t xml:space="preserve">葫芦岛市</x:t>
        </x:is>
      </x:c>
      <x:c r="G4928" s="3" t="inlineStr">
        <x:is>
          <x:t xml:space="preserve">辽宁省-葫芦岛市</x:t>
        </x:is>
      </x:c>
      <x:c r="H4928" s="2" t="inlineStr">
        <x:is>
          <x:t xml:space="preserve">化学原料</x:t>
        </x:is>
      </x:c>
      <x:c r="I4928" s="2" t="inlineStr">
        <x:is>
          <x:t xml:space="preserve">1997-10-17</x:t>
        </x:is>
      </x:c>
      <x:c r="J4928" s="3" t="inlineStr">
        <x:is>
          <x:t xml:space="preserve">辽宁省葫芦岛市连山区化工街1号</x:t>
        </x:is>
      </x:c>
      <x:c r="K4928" s="12" t="str">
        <x:f>LEFT("91211400123728536M",18)</x:f>
        <x:v>91211400123728536M</x:v>
      </x:c>
    </x:row>
    <x:row r="4929">
      <x:c r="A4929" s="4" t="n">
        <x:v>4928</x:v>
      </x:c>
      <x:c r="B4929" s="4" t="inlineStr">
        <x:is>
          <x:t xml:space="preserve">000881</x:t>
        </x:is>
      </x:c>
      <x:c r="C4929" s="5" t="inlineStr">
        <x:is>
          <x:t xml:space="preserve">中广核技</x:t>
        </x:is>
      </x:c>
      <x:c r="D4929" s="5" t="inlineStr">
        <x:is>
          <x:t xml:space="preserve">中广核核技术发展股份有限公司</x:t>
        </x:is>
      </x:c>
      <x:c r="E4929" s="4" t="inlineStr">
        <x:is>
          <x:t xml:space="preserve">辽宁省</x:t>
        </x:is>
      </x:c>
      <x:c r="F4929" s="4" t="inlineStr">
        <x:is>
          <x:t xml:space="preserve">大连市</x:t>
        </x:is>
      </x:c>
      <x:c r="G4929" s="5" t="inlineStr">
        <x:is>
          <x:t xml:space="preserve">辽宁省-大连市</x:t>
        </x:is>
      </x:c>
      <x:c r="H4929" s="4" t="inlineStr">
        <x:is>
          <x:t xml:space="preserve">化学制品</x:t>
        </x:is>
      </x:c>
      <x:c r="I4929" s="4" t="inlineStr">
        <x:is>
          <x:t xml:space="preserve">1998-09-02</x:t>
        </x:is>
      </x:c>
      <x:c r="J4929" s="5" t="inlineStr">
        <x:is>
          <x:t xml:space="preserve">大连市西岗区黄河路219号外经贸大厦</x:t>
        </x:is>
      </x:c>
      <x:c r="K4929" s="12" t="str">
        <x:f>LEFT("91210200241281202G",18)</x:f>
        <x:v>91210200241281202G</x:v>
      </x:c>
    </x:row>
    <x:row r="4930">
      <x:c r="A4930" s="2" t="n">
        <x:v>4929</x:v>
      </x:c>
      <x:c r="B4930" s="2" t="inlineStr">
        <x:is>
          <x:t xml:space="preserve">000898</x:t>
        </x:is>
      </x:c>
      <x:c r="C4930" s="3" t="inlineStr">
        <x:is>
          <x:t xml:space="preserve">鞍钢股份</x:t>
        </x:is>
      </x:c>
      <x:c r="D4930" s="3" t="inlineStr">
        <x:is>
          <x:t xml:space="preserve">鞍钢股份有限公司</x:t>
        </x:is>
      </x:c>
      <x:c r="E4930" s="2" t="inlineStr">
        <x:is>
          <x:t xml:space="preserve">辽宁省</x:t>
        </x:is>
      </x:c>
      <x:c r="F4930" s="2" t="inlineStr">
        <x:is>
          <x:t xml:space="preserve">鞍山市</x:t>
        </x:is>
      </x:c>
      <x:c r="G4930" s="3" t="inlineStr">
        <x:is>
          <x:t xml:space="preserve">辽宁省-鞍山市</x:t>
        </x:is>
      </x:c>
      <x:c r="H4930" s="2" t="inlineStr">
        <x:is>
          <x:t xml:space="preserve">钢铁行业</x:t>
        </x:is>
      </x:c>
      <x:c r="I4930" s="2" t="inlineStr">
        <x:is>
          <x:t xml:space="preserve">1997-12-25</x:t>
        </x:is>
      </x:c>
      <x:c r="J4930" s="3" t="inlineStr">
        <x:is>
          <x:t xml:space="preserve">中国辽宁省鞍山市铁西区鞍钢厂区</x:t>
        </x:is>
      </x:c>
      <x:c r="K4930" s="12" t="str">
        <x:f>LEFT("912100002426694799",18)</x:f>
        <x:v>912100002426694800</x:v>
      </x:c>
    </x:row>
    <x:row r="4931">
      <x:c r="A4931" s="4" t="n">
        <x:v>4930</x:v>
      </x:c>
      <x:c r="B4931" s="4" t="inlineStr">
        <x:is>
          <x:t xml:space="preserve">002069</x:t>
        </x:is>
      </x:c>
      <x:c r="C4931" s="5" t="inlineStr">
        <x:is>
          <x:t xml:space="preserve">獐子岛</x:t>
        </x:is>
      </x:c>
      <x:c r="D4931" s="5" t="inlineStr">
        <x:is>
          <x:t xml:space="preserve">獐子岛集团股份有限公司</x:t>
        </x:is>
      </x:c>
      <x:c r="E4931" s="4" t="inlineStr">
        <x:is>
          <x:t xml:space="preserve">辽宁省</x:t>
        </x:is>
      </x:c>
      <x:c r="F4931" s="4" t="inlineStr">
        <x:is>
          <x:t xml:space="preserve">大连市</x:t>
        </x:is>
      </x:c>
      <x:c r="G4931" s="5" t="inlineStr">
        <x:is>
          <x:t xml:space="preserve">辽宁省-大连市</x:t>
        </x:is>
      </x:c>
      <x:c r="H4931" s="4" t="inlineStr">
        <x:is>
          <x:t xml:space="preserve">农牧饲渔</x:t>
        </x:is>
      </x:c>
      <x:c r="I4931" s="4" t="inlineStr">
        <x:is>
          <x:t xml:space="preserve">2006-09-28</x:t>
        </x:is>
      </x:c>
      <x:c r="J4931" s="5" t="inlineStr">
        <x:is>
          <x:t xml:space="preserve">大连市长海县獐子岛镇沙包村</x:t>
        </x:is>
      </x:c>
      <x:c r="K4931" s="12" t="str">
        <x:f>LEFT("91210200241261121A",18)</x:f>
        <x:v>91210200241261121A</x:v>
      </x:c>
    </x:row>
    <x:row r="4932">
      <x:c r="A4932" s="2" t="n">
        <x:v>4931</x:v>
      </x:c>
      <x:c r="B4932" s="2" t="inlineStr">
        <x:is>
          <x:t xml:space="preserve">002123</x:t>
        </x:is>
      </x:c>
      <x:c r="C4932" s="3" t="inlineStr">
        <x:is>
          <x:t xml:space="preserve">梦网科技</x:t>
        </x:is>
      </x:c>
      <x:c r="D4932" s="3" t="inlineStr">
        <x:is>
          <x:t xml:space="preserve">梦网云科技集团股份有限公司</x:t>
        </x:is>
      </x:c>
      <x:c r="E4932" s="2" t="inlineStr">
        <x:is>
          <x:t xml:space="preserve">辽宁省</x:t>
        </x:is>
      </x:c>
      <x:c r="F4932" s="2" t="inlineStr">
        <x:is>
          <x:t xml:space="preserve">鞍山市</x:t>
        </x:is>
      </x:c>
      <x:c r="G4932" s="3" t="inlineStr">
        <x:is>
          <x:t xml:space="preserve">辽宁省-鞍山市</x:t>
        </x:is>
      </x:c>
      <x:c r="H4932" s="2" t="inlineStr">
        <x:is>
          <x:t xml:space="preserve">通信服务</x:t>
        </x:is>
      </x:c>
      <x:c r="I4932" s="2" t="inlineStr">
        <x:is>
          <x:t xml:space="preserve">2007-03-28</x:t>
        </x:is>
      </x:c>
      <x:c r="J4932" s="3" t="inlineStr">
        <x:is>
          <x:t xml:space="preserve">辽宁省鞍山市立山区光仪路2号3号楼A栋(辽宁激光产业园光通讯工业园)</x:t>
        </x:is>
      </x:c>
      <x:c r="K4932" s="12" t="str">
        <x:f>LEFT("91210000118887313L",18)</x:f>
        <x:v>91210000118887313L</x:v>
      </x:c>
    </x:row>
    <x:row r="4933">
      <x:c r="A4933" s="4" t="n">
        <x:v>4932</x:v>
      </x:c>
      <x:c r="B4933" s="4" t="inlineStr">
        <x:is>
          <x:t xml:space="preserve">002204</x:t>
        </x:is>
      </x:c>
      <x:c r="C4933" s="5" t="inlineStr">
        <x:is>
          <x:t xml:space="preserve">大连重工</x:t>
        </x:is>
      </x:c>
      <x:c r="D4933" s="5" t="inlineStr">
        <x:is>
          <x:t xml:space="preserve">大连华锐重工集团股份有限公司</x:t>
        </x:is>
      </x:c>
      <x:c r="E4933" s="4" t="inlineStr">
        <x:is>
          <x:t xml:space="preserve">辽宁省</x:t>
        </x:is>
      </x:c>
      <x:c r="F4933" s="4" t="inlineStr">
        <x:is>
          <x:t xml:space="preserve">大连市</x:t>
        </x:is>
      </x:c>
      <x:c r="G4933" s="5" t="inlineStr">
        <x:is>
          <x:t xml:space="preserve">辽宁省-大连市</x:t>
        </x:is>
      </x:c>
      <x:c r="H4933" s="4" t="inlineStr">
        <x:is>
          <x:t xml:space="preserve">工程机械</x:t>
        </x:is>
      </x:c>
      <x:c r="I4933" s="4" t="inlineStr">
        <x:is>
          <x:t xml:space="preserve">2008-01-16</x:t>
        </x:is>
      </x:c>
      <x:c r="J4933" s="5" t="inlineStr">
        <x:is>
          <x:t xml:space="preserve">辽宁省大连市西岗区八一路169号</x:t>
        </x:is>
      </x:c>
      <x:c r="K4933" s="12" t="str">
        <x:f>LEFT("91210200716904902K",18)</x:f>
        <x:v>91210200716904902K</x:v>
      </x:c>
    </x:row>
    <x:row r="4934">
      <x:c r="A4934" s="2" t="n">
        <x:v>4933</x:v>
      </x:c>
      <x:c r="B4934" s="2" t="inlineStr">
        <x:is>
          <x:t xml:space="preserve">002231</x:t>
        </x:is>
      </x:c>
      <x:c r="C4934" s="3" t="inlineStr">
        <x:is>
          <x:t xml:space="preserve">*ST奥维</x:t>
        </x:is>
      </x:c>
      <x:c r="D4934" s="3" t="inlineStr">
        <x:is>
          <x:t xml:space="preserve">奥维通信股份有限公司</x:t>
        </x:is>
      </x:c>
      <x:c r="E4934" s="2" t="inlineStr">
        <x:is>
          <x:t xml:space="preserve">辽宁省</x:t>
        </x:is>
      </x:c>
      <x:c r="F4934" s="2" t="inlineStr">
        <x:is>
          <x:t xml:space="preserve">沈阳市</x:t>
        </x:is>
      </x:c>
      <x:c r="G4934" s="3" t="inlineStr">
        <x:is>
          <x:t xml:space="preserve">辽宁省-沈阳市</x:t>
        </x:is>
      </x:c>
      <x:c r="H4934" s="2" t="inlineStr">
        <x:is>
          <x:t xml:space="preserve">通信服务</x:t>
        </x:is>
      </x:c>
      <x:c r="I4934" s="2" t="inlineStr">
        <x:is>
          <x:t xml:space="preserve">2008-05-12</x:t>
        </x:is>
      </x:c>
      <x:c r="J4934" s="3" t="inlineStr">
        <x:is>
          <x:t xml:space="preserve">辽宁省沈阳市浑南新区高歌路6号</x:t>
        </x:is>
      </x:c>
      <x:c r="K4934" s="12" t="str">
        <x:f>LEFT("912101000016232858",18)</x:f>
        <x:v>912101000016232800</x:v>
      </x:c>
    </x:row>
    <x:row r="4935">
      <x:c r="A4935" s="4" t="n">
        <x:v>4934</x:v>
      </x:c>
      <x:c r="B4935" s="4" t="inlineStr">
        <x:is>
          <x:t xml:space="preserve">002354</x:t>
        </x:is>
      </x:c>
      <x:c r="C4935" s="5" t="inlineStr">
        <x:is>
          <x:t xml:space="preserve">天娱数科</x:t>
        </x:is>
      </x:c>
      <x:c r="D4935" s="5" t="inlineStr">
        <x:is>
          <x:t xml:space="preserve">天娱数字科技(大连)集团股份有限公司</x:t>
        </x:is>
      </x:c>
      <x:c r="E4935" s="4" t="inlineStr">
        <x:is>
          <x:t xml:space="preserve">辽宁省</x:t>
        </x:is>
      </x:c>
      <x:c r="F4935" s="4" t="inlineStr">
        <x:is>
          <x:t xml:space="preserve">大连市</x:t>
        </x:is>
      </x:c>
      <x:c r="G4935" s="5" t="inlineStr">
        <x:is>
          <x:t xml:space="preserve">辽宁省-大连市</x:t>
        </x:is>
      </x:c>
      <x:c r="H4935" s="4" t="inlineStr">
        <x:is>
          <x:t xml:space="preserve">互联网服务</x:t>
        </x:is>
      </x:c>
      <x:c r="I4935" s="4" t="inlineStr">
        <x:is>
          <x:t xml:space="preserve">2010-02-09</x:t>
        </x:is>
      </x:c>
      <x:c r="J4935" s="5" t="inlineStr">
        <x:is>
          <x:t xml:space="preserve">辽宁省大连市中山区致富街31号905单元</x:t>
        </x:is>
      </x:c>
      <x:c r="K4935" s="12" t="str">
        <x:f>LEFT("91210200751573467T",18)</x:f>
        <x:v>91210200751573467T</x:v>
      </x:c>
    </x:row>
    <x:row r="4936">
      <x:c r="A4936" s="2" t="n">
        <x:v>4935</x:v>
      </x:c>
      <x:c r="B4936" s="2" t="inlineStr">
        <x:is>
          <x:t xml:space="preserve">002487</x:t>
        </x:is>
      </x:c>
      <x:c r="C4936" s="3" t="inlineStr">
        <x:is>
          <x:t xml:space="preserve">大金重工</x:t>
        </x:is>
      </x:c>
      <x:c r="D4936" s="3" t="inlineStr">
        <x:is>
          <x:t xml:space="preserve">大金重工股份有限公司</x:t>
        </x:is>
      </x:c>
      <x:c r="E4936" s="2" t="inlineStr">
        <x:is>
          <x:t xml:space="preserve">辽宁省</x:t>
        </x:is>
      </x:c>
      <x:c r="F4936" s="2" t="inlineStr">
        <x:is>
          <x:t xml:space="preserve">阜新市</x:t>
        </x:is>
      </x:c>
      <x:c r="G4936" s="3" t="inlineStr">
        <x:is>
          <x:t xml:space="preserve">辽宁省-阜新市</x:t>
        </x:is>
      </x:c>
      <x:c r="H4936" s="2" t="inlineStr">
        <x:is>
          <x:t xml:space="preserve">风电设备</x:t>
        </x:is>
      </x:c>
      <x:c r="I4936" s="2" t="inlineStr">
        <x:is>
          <x:t xml:space="preserve">2010-10-15</x:t>
        </x:is>
      </x:c>
      <x:c r="J4936" s="3" t="inlineStr">
        <x:is>
          <x:t xml:space="preserve">阜新市新邱区新邱大街155号</x:t>
        </x:is>
      </x:c>
      <x:c r="K4936" s="12" t="str">
        <x:f>LEFT("91210900730802320F",18)</x:f>
        <x:v>91210900730802320F</x:v>
      </x:c>
    </x:row>
    <x:row r="4937">
      <x:c r="A4937" s="4" t="n">
        <x:v>4936</x:v>
      </x:c>
      <x:c r="B4937" s="4" t="inlineStr">
        <x:is>
          <x:t xml:space="preserve">002606</x:t>
        </x:is>
      </x:c>
      <x:c r="C4937" s="5" t="inlineStr">
        <x:is>
          <x:t xml:space="preserve">大连电瓷</x:t>
        </x:is>
      </x:c>
      <x:c r="D4937" s="5" t="inlineStr">
        <x:is>
          <x:t xml:space="preserve">大连电瓷集团股份有限公司</x:t>
        </x:is>
      </x:c>
      <x:c r="E4937" s="4" t="inlineStr">
        <x:is>
          <x:t xml:space="preserve">辽宁省</x:t>
        </x:is>
      </x:c>
      <x:c r="F4937" s="4" t="inlineStr">
        <x:is>
          <x:t xml:space="preserve">大连市</x:t>
        </x:is>
      </x:c>
      <x:c r="G4937" s="5" t="inlineStr">
        <x:is>
          <x:t xml:space="preserve">辽宁省-大连市</x:t>
        </x:is>
      </x:c>
      <x:c r="H4937" s="4" t="inlineStr">
        <x:is>
          <x:t xml:space="preserve">输配电气</x:t>
        </x:is>
      </x:c>
      <x:c r="I4937" s="4" t="inlineStr">
        <x:is>
          <x:t xml:space="preserve">2011-08-05</x:t>
        </x:is>
      </x:c>
      <x:c r="J4937" s="5" t="inlineStr">
        <x:is>
          <x:t xml:space="preserve">大连经济技术开发区双D港辽河东路88号</x:t>
        </x:is>
      </x:c>
      <x:c r="K4937" s="12" t="str">
        <x:f>LEFT("91210200118469736M",18)</x:f>
        <x:v>91210200118469736M</x:v>
      </x:c>
    </x:row>
    <x:row r="4938">
      <x:c r="A4938" s="2" t="n">
        <x:v>4937</x:v>
      </x:c>
      <x:c r="B4938" s="2" t="inlineStr">
        <x:is>
          <x:t xml:space="preserve">002689</x:t>
        </x:is>
      </x:c>
      <x:c r="C4938" s="3" t="inlineStr">
        <x:is>
          <x:t xml:space="preserve">ST远智</x:t>
        </x:is>
      </x:c>
      <x:c r="D4938" s="3" t="inlineStr">
        <x:is>
          <x:t xml:space="preserve">沈阳远大智能工业集团股份有限公司</x:t>
        </x:is>
      </x:c>
      <x:c r="E4938" s="2" t="inlineStr">
        <x:is>
          <x:t xml:space="preserve">辽宁省</x:t>
        </x:is>
      </x:c>
      <x:c r="F4938" s="2" t="inlineStr">
        <x:is>
          <x:t xml:space="preserve">沈阳市</x:t>
        </x:is>
      </x:c>
      <x:c r="G4938" s="3" t="inlineStr">
        <x:is>
          <x:t xml:space="preserve">辽宁省-沈阳市</x:t>
        </x:is>
      </x:c>
      <x:c r="H4938" s="2" t="inlineStr">
        <x:is>
          <x:t xml:space="preserve">专用设备</x:t>
        </x:is>
      </x:c>
      <x:c r="I4938" s="2" t="inlineStr">
        <x:is>
          <x:t xml:space="preserve">2012-07-17</x:t>
        </x:is>
      </x:c>
      <x:c r="J4938" s="3" t="inlineStr">
        <x:is>
          <x:t xml:space="preserve">沈阳经济技术开发区开发大路27号</x:t>
        </x:is>
      </x:c>
      <x:c r="K4938" s="12" t="str">
        <x:f>LEFT("912101007310057103",18)</x:f>
        <x:v>912101007310057100</x:v>
      </x:c>
    </x:row>
    <x:row r="4939">
      <x:c r="A4939" s="4" t="n">
        <x:v>4938</x:v>
      </x:c>
      <x:c r="B4939" s="4" t="inlineStr">
        <x:is>
          <x:t xml:space="preserve">002731</x:t>
        </x:is>
      </x:c>
      <x:c r="C4939" s="5" t="inlineStr">
        <x:is>
          <x:t xml:space="preserve">ST萃华</x:t>
        </x:is>
      </x:c>
      <x:c r="D4939" s="5" t="inlineStr">
        <x:is>
          <x:t xml:space="preserve">沈阳萃华金银珠宝股份有限公司</x:t>
        </x:is>
      </x:c>
      <x:c r="E4939" s="4" t="inlineStr">
        <x:is>
          <x:t xml:space="preserve">辽宁省</x:t>
        </x:is>
      </x:c>
      <x:c r="F4939" s="4" t="inlineStr">
        <x:is>
          <x:t xml:space="preserve">沈阳市</x:t>
        </x:is>
      </x:c>
      <x:c r="G4939" s="5" t="inlineStr">
        <x:is>
          <x:t xml:space="preserve">辽宁省-沈阳市</x:t>
        </x:is>
      </x:c>
      <x:c r="H4939" s="4" t="inlineStr">
        <x:is>
          <x:t xml:space="preserve">珠宝首饰</x:t>
        </x:is>
      </x:c>
      <x:c r="I4939" s="4" t="inlineStr">
        <x:is>
          <x:t xml:space="preserve">2014-11-04</x:t>
        </x:is>
      </x:c>
      <x:c r="J4939" s="5" t="inlineStr">
        <x:is>
          <x:t xml:space="preserve">沈阳市大东区北顺城路翠华巷72号</x:t>
        </x:is>
      </x:c>
      <x:c r="K4939" s="12" t="str">
        <x:f>LEFT("91210100117879506X",18)</x:f>
        <x:v>91210100117879506X</x:v>
      </x:c>
    </x:row>
    <x:row r="4940">
      <x:c r="A4940" s="2" t="n">
        <x:v>4939</x:v>
      </x:c>
      <x:c r="B4940" s="2" t="inlineStr">
        <x:is>
          <x:t xml:space="preserve">002952</x:t>
        </x:is>
      </x:c>
      <x:c r="C4940" s="3" t="inlineStr">
        <x:is>
          <x:t xml:space="preserve">亚世光电</x:t>
        </x:is>
      </x:c>
      <x:c r="D4940" s="3" t="inlineStr">
        <x:is>
          <x:t xml:space="preserve">亚世光电(集团)股份有限公司</x:t>
        </x:is>
      </x:c>
      <x:c r="E4940" s="2" t="inlineStr">
        <x:is>
          <x:t xml:space="preserve">辽宁省</x:t>
        </x:is>
      </x:c>
      <x:c r="F4940" s="2" t="inlineStr">
        <x:is>
          <x:t xml:space="preserve">鞍山市</x:t>
        </x:is>
      </x:c>
      <x:c r="G4940" s="3" t="inlineStr">
        <x:is>
          <x:t xml:space="preserve">辽宁省-鞍山市</x:t>
        </x:is>
      </x:c>
      <x:c r="H4940" s="2" t="inlineStr">
        <x:is>
          <x:t xml:space="preserve">光学光电子</x:t>
        </x:is>
      </x:c>
      <x:c r="I4940" s="2" t="inlineStr">
        <x:is>
          <x:t xml:space="preserve">2019-03-28</x:t>
        </x:is>
      </x:c>
      <x:c r="J4940" s="3" t="inlineStr">
        <x:is>
          <x:t xml:space="preserve">辽宁省鞍山市立山区越岭路288号</x:t>
        </x:is>
      </x:c>
      <x:c r="K4940" s="12" t="str">
        <x:f>LEFT("91210000594843987K",18)</x:f>
        <x:v>91210000594843987K</x:v>
      </x:c>
    </x:row>
    <x:row r="4941">
      <x:c r="A4941" s="4" t="n">
        <x:v>4940</x:v>
      </x:c>
      <x:c r="B4941" s="4" t="inlineStr">
        <x:is>
          <x:t xml:space="preserve">300024</x:t>
        </x:is>
      </x:c>
      <x:c r="C4941" s="5" t="inlineStr">
        <x:is>
          <x:t xml:space="preserve">机器人</x:t>
        </x:is>
      </x:c>
      <x:c r="D4941" s="5" t="inlineStr">
        <x:is>
          <x:t xml:space="preserve">沈阳新松机器人自动化股份有限公司</x:t>
        </x:is>
      </x:c>
      <x:c r="E4941" s="4" t="inlineStr">
        <x:is>
          <x:t xml:space="preserve">辽宁省</x:t>
        </x:is>
      </x:c>
      <x:c r="F4941" s="4" t="inlineStr">
        <x:is>
          <x:t xml:space="preserve">沈阳市</x:t>
        </x:is>
      </x:c>
      <x:c r="G4941" s="5" t="inlineStr">
        <x:is>
          <x:t xml:space="preserve">辽宁省-沈阳市</x:t>
        </x:is>
      </x:c>
      <x:c r="H4941" s="4" t="inlineStr">
        <x:is>
          <x:t xml:space="preserve">机械行业</x:t>
        </x:is>
      </x:c>
      <x:c r="I4941" s="4" t="inlineStr">
        <x:is>
          <x:t xml:space="preserve">2009-10-30</x:t>
        </x:is>
      </x:c>
      <x:c r="J4941" s="5" t="inlineStr">
        <x:is>
          <x:t xml:space="preserve">沈阳市浑南新区金辉街16号</x:t>
        </x:is>
      </x:c>
      <x:c r="K4941" s="12" t="str">
        <x:f>LEFT("91210000719642231W",18)</x:f>
        <x:v>91210000719642231W</x:v>
      </x:c>
    </x:row>
    <x:row r="4942">
      <x:c r="A4942" s="2" t="n">
        <x:v>4941</x:v>
      </x:c>
      <x:c r="B4942" s="2" t="inlineStr">
        <x:is>
          <x:t xml:space="preserve">300082</x:t>
        </x:is>
      </x:c>
      <x:c r="C4942" s="3" t="inlineStr">
        <x:is>
          <x:t xml:space="preserve">奥克股份</x:t>
        </x:is>
      </x:c>
      <x:c r="D4942" s="3" t="inlineStr">
        <x:is>
          <x:t xml:space="preserve">辽宁奥克化学股份有限公司</x:t>
        </x:is>
      </x:c>
      <x:c r="E4942" s="2" t="inlineStr">
        <x:is>
          <x:t xml:space="preserve">辽宁省</x:t>
        </x:is>
      </x:c>
      <x:c r="F4942" s="2" t="inlineStr">
        <x:is>
          <x:t xml:space="preserve">辽阳市</x:t>
        </x:is>
      </x:c>
      <x:c r="G4942" s="3" t="inlineStr">
        <x:is>
          <x:t xml:space="preserve">辽宁省-辽阳市</x:t>
        </x:is>
      </x:c>
      <x:c r="H4942" s="2" t="inlineStr">
        <x:is>
          <x:t xml:space="preserve">化学原料</x:t>
        </x:is>
      </x:c>
      <x:c r="I4942" s="2" t="inlineStr">
        <x:is>
          <x:t xml:space="preserve">2010-05-20</x:t>
        </x:is>
      </x:c>
      <x:c r="J4942" s="3" t="inlineStr">
        <x:is>
          <x:t xml:space="preserve">辽宁省辽阳市宏伟区万和七路38号</x:t>
        </x:is>
      </x:c>
      <x:c r="K4942" s="12" t="str">
        <x:f>LEFT("91211000701698923L",18)</x:f>
        <x:v>91211000701698923L</x:v>
      </x:c>
    </x:row>
    <x:row r="4943">
      <x:c r="A4943" s="4" t="n">
        <x:v>4942</x:v>
      </x:c>
      <x:c r="B4943" s="4" t="inlineStr">
        <x:is>
          <x:t xml:space="preserve">300097</x:t>
        </x:is>
      </x:c>
      <x:c r="C4943" s="5" t="inlineStr">
        <x:is>
          <x:t xml:space="preserve">ST智云</x:t>
        </x:is>
      </x:c>
      <x:c r="D4943" s="5" t="inlineStr">
        <x:is>
          <x:t xml:space="preserve">大连智云自动化装备股份有限公司</x:t>
        </x:is>
      </x:c>
      <x:c r="E4943" s="4" t="inlineStr">
        <x:is>
          <x:t xml:space="preserve">辽宁省</x:t>
        </x:is>
      </x:c>
      <x:c r="F4943" s="4" t="inlineStr">
        <x:is>
          <x:t xml:space="preserve">大连市</x:t>
        </x:is>
      </x:c>
      <x:c r="G4943" s="5" t="inlineStr">
        <x:is>
          <x:t xml:space="preserve">辽宁省-大连市</x:t>
        </x:is>
      </x:c>
      <x:c r="H4943" s="4" t="inlineStr">
        <x:is>
          <x:t xml:space="preserve">专用设备</x:t>
        </x:is>
      </x:c>
      <x:c r="I4943" s="4" t="inlineStr">
        <x:is>
          <x:t xml:space="preserve">2010-07-28</x:t>
        </x:is>
      </x:c>
      <x:c r="J4943" s="5" t="inlineStr">
        <x:is>
          <x:t xml:space="preserve">辽宁省大连市甘井子区营日路32号-1</x:t>
        </x:is>
      </x:c>
      <x:c r="K4943" s="12" t="str">
        <x:f>LEFT("91210200241267363B",18)</x:f>
        <x:v>91210200241267363B</x:v>
      </x:c>
    </x:row>
    <x:row r="4944">
      <x:c r="A4944" s="2" t="n">
        <x:v>4943</x:v>
      </x:c>
      <x:c r="B4944" s="2" t="inlineStr">
        <x:is>
          <x:t xml:space="preserve">300125</x:t>
        </x:is>
      </x:c>
      <x:c r="C4944" s="3" t="inlineStr">
        <x:is>
          <x:t xml:space="preserve">*ST聆达</x:t>
        </x:is>
      </x:c>
      <x:c r="D4944" s="3" t="inlineStr">
        <x:is>
          <x:t xml:space="preserve">聆达集团股份有限公司</x:t>
        </x:is>
      </x:c>
      <x:c r="E4944" s="2" t="inlineStr">
        <x:is>
          <x:t xml:space="preserve">辽宁省</x:t>
        </x:is>
      </x:c>
      <x:c r="F4944" s="2" t="inlineStr">
        <x:is>
          <x:t xml:space="preserve">大连市</x:t>
        </x:is>
      </x:c>
      <x:c r="G4944" s="3" t="inlineStr">
        <x:is>
          <x:t xml:space="preserve">辽宁省-大连市</x:t>
        </x:is>
      </x:c>
      <x:c r="H4944" s="2" t="inlineStr">
        <x:is>
          <x:t xml:space="preserve">光伏设备</x:t>
        </x:is>
      </x:c>
      <x:c r="I4944" s="2" t="inlineStr">
        <x:is>
          <x:t xml:space="preserve">2010-10-13</x:t>
        </x:is>
      </x:c>
      <x:c r="J4944" s="3" t="inlineStr">
        <x:is>
          <x:t xml:space="preserve">辽宁省大连高新技术产业园区火炬路32B号第9层902、903间</x:t>
        </x:is>
      </x:c>
      <x:c r="K4944" s="12" t="str">
        <x:f>LEFT("91210200782461759L",18)</x:f>
        <x:v>91210200782461759L</x:v>
      </x:c>
    </x:row>
    <x:row r="4945">
      <x:c r="A4945" s="4" t="n">
        <x:v>4944</x:v>
      </x:c>
      <x:c r="B4945" s="4" t="inlineStr">
        <x:is>
          <x:t xml:space="preserve">300210</x:t>
        </x:is>
      </x:c>
      <x:c r="C4945" s="5" t="inlineStr">
        <x:is>
          <x:t xml:space="preserve">森远股份</x:t>
        </x:is>
      </x:c>
      <x:c r="D4945" s="5" t="inlineStr">
        <x:is>
          <x:t xml:space="preserve">鞍山森远路桥股份有限公司</x:t>
        </x:is>
      </x:c>
      <x:c r="E4945" s="4" t="inlineStr">
        <x:is>
          <x:t xml:space="preserve">辽宁省</x:t>
        </x:is>
      </x:c>
      <x:c r="F4945" s="4" t="inlineStr">
        <x:is>
          <x:t xml:space="preserve">鞍山市</x:t>
        </x:is>
      </x:c>
      <x:c r="G4945" s="5" t="inlineStr">
        <x:is>
          <x:t xml:space="preserve">辽宁省-鞍山市</x:t>
        </x:is>
      </x:c>
      <x:c r="H4945" s="4" t="inlineStr">
        <x:is>
          <x:t xml:space="preserve">环保行业</x:t>
        </x:is>
      </x:c>
      <x:c r="I4945" s="4" t="inlineStr">
        <x:is>
          <x:t xml:space="preserve">2011-04-26</x:t>
        </x:is>
      </x:c>
      <x:c r="J4945" s="5" t="inlineStr">
        <x:is>
          <x:t xml:space="preserve">鞍山市鞍千路281号</x:t>
        </x:is>
      </x:c>
      <x:c r="K4945" s="12" t="str">
        <x:f>LEFT("91210300765449336G",18)</x:f>
        <x:v>91210300765449336G</x:v>
      </x:c>
    </x:row>
    <x:row r="4946">
      <x:c r="A4946" s="2" t="n">
        <x:v>4945</x:v>
      </x:c>
      <x:c r="B4946" s="2" t="inlineStr">
        <x:is>
          <x:t xml:space="preserve">300290</x:t>
        </x:is>
      </x:c>
      <x:c r="C4946" s="3" t="inlineStr">
        <x:is>
          <x:t xml:space="preserve">荣科科技</x:t>
        </x:is>
      </x:c>
      <x:c r="D4946" s="3" t="inlineStr">
        <x:is>
          <x:t xml:space="preserve">荣科科技股份有限公司</x:t>
        </x:is>
      </x:c>
      <x:c r="E4946" s="2" t="inlineStr">
        <x:is>
          <x:t xml:space="preserve">辽宁省</x:t>
        </x:is>
      </x:c>
      <x:c r="F4946" s="2" t="inlineStr">
        <x:is>
          <x:t xml:space="preserve">沈阳市</x:t>
        </x:is>
      </x:c>
      <x:c r="G4946" s="3" t="inlineStr">
        <x:is>
          <x:t xml:space="preserve">辽宁省-沈阳市</x:t>
        </x:is>
      </x:c>
      <x:c r="H4946" s="2" t="inlineStr">
        <x:is>
          <x:t xml:space="preserve">互联网服务</x:t>
        </x:is>
      </x:c>
      <x:c r="I4946" s="2" t="inlineStr">
        <x:is>
          <x:t xml:space="preserve">2012-02-16</x:t>
        </x:is>
      </x:c>
      <x:c r="J4946" s="3" t="inlineStr">
        <x:is>
          <x:t xml:space="preserve">辽宁省沈阳市沈阳经济技术开发区开发大路7甲3号</x:t>
        </x:is>
      </x:c>
      <x:c r="K4946" s="12" t="str">
        <x:f>LEFT("9121010078008104XD",18)</x:f>
        <x:v>9121010078008104XD</x:v>
      </x:c>
    </x:row>
    <x:row r="4947">
      <x:c r="A4947" s="4" t="n">
        <x:v>4946</x:v>
      </x:c>
      <x:c r="B4947" s="4" t="inlineStr">
        <x:is>
          <x:t xml:space="preserve">300293</x:t>
        </x:is>
      </x:c>
      <x:c r="C4947" s="5" t="inlineStr">
        <x:is>
          <x:t xml:space="preserve">蓝英装备</x:t>
        </x:is>
      </x:c>
      <x:c r="D4947" s="5" t="inlineStr">
        <x:is>
          <x:t xml:space="preserve">沈阳蓝英工业自动化装备股份有限公司</x:t>
        </x:is>
      </x:c>
      <x:c r="E4947" s="4" t="inlineStr">
        <x:is>
          <x:t xml:space="preserve">辽宁省</x:t>
        </x:is>
      </x:c>
      <x:c r="F4947" s="4" t="inlineStr">
        <x:is>
          <x:t xml:space="preserve">沈阳市</x:t>
        </x:is>
      </x:c>
      <x:c r="G4947" s="5" t="inlineStr">
        <x:is>
          <x:t xml:space="preserve">辽宁省-沈阳市</x:t>
        </x:is>
      </x:c>
      <x:c r="H4947" s="4" t="inlineStr">
        <x:is>
          <x:t xml:space="preserve">专用设备</x:t>
        </x:is>
      </x:c>
      <x:c r="I4947" s="4" t="inlineStr">
        <x:is>
          <x:t xml:space="preserve">2012-03-08</x:t>
        </x:is>
      </x:c>
      <x:c r="J4947" s="5" t="inlineStr">
        <x:is>
          <x:t xml:space="preserve">沈阳市浑南产业区东区飞云路3号</x:t>
        </x:is>
      </x:c>
      <x:c r="K4947" s="12" t="str">
        <x:f>LEFT("912100007643721890",18)</x:f>
        <x:v>912100007643721900</x:v>
      </x:c>
    </x:row>
    <x:row r="4948">
      <x:c r="A4948" s="2" t="n">
        <x:v>4947</x:v>
      </x:c>
      <x:c r="B4948" s="2" t="inlineStr">
        <x:is>
          <x:t xml:space="preserve">300405</x:t>
        </x:is>
      </x:c>
      <x:c r="C4948" s="3" t="inlineStr">
        <x:is>
          <x:t xml:space="preserve">科隆股份</x:t>
        </x:is>
      </x:c>
      <x:c r="D4948" s="3" t="inlineStr">
        <x:is>
          <x:t xml:space="preserve">辽宁科隆精细化工股份有限公司</x:t>
        </x:is>
      </x:c>
      <x:c r="E4948" s="2" t="inlineStr">
        <x:is>
          <x:t xml:space="preserve">辽宁省</x:t>
        </x:is>
      </x:c>
      <x:c r="F4948" s="2" t="inlineStr">
        <x:is>
          <x:t xml:space="preserve">辽阳市</x:t>
        </x:is>
      </x:c>
      <x:c r="G4948" s="3" t="inlineStr">
        <x:is>
          <x:t xml:space="preserve">辽宁省-辽阳市</x:t>
        </x:is>
      </x:c>
      <x:c r="H4948" s="2" t="inlineStr">
        <x:is>
          <x:t xml:space="preserve">化工行业</x:t>
        </x:is>
      </x:c>
      <x:c r="I4948" s="2" t="inlineStr">
        <x:is>
          <x:t xml:space="preserve">2014-10-30</x:t>
        </x:is>
      </x:c>
      <x:c r="J4948" s="3" t="inlineStr">
        <x:is>
          <x:t xml:space="preserve">辽宁省辽阳市宏伟区万和七路36号</x:t>
        </x:is>
      </x:c>
      <x:c r="K4948" s="12" t="str">
        <x:f>LEFT("91211000736720908R",18)</x:f>
        <x:v>91211000736720908R</x:v>
      </x:c>
    </x:row>
    <x:row r="4949">
      <x:c r="A4949" s="4" t="n">
        <x:v>4948</x:v>
      </x:c>
      <x:c r="B4949" s="4" t="inlineStr">
        <x:is>
          <x:t xml:space="preserve">300473</x:t>
        </x:is>
      </x:c>
      <x:c r="C4949" s="5" t="inlineStr">
        <x:is>
          <x:t xml:space="preserve">德尔股份</x:t>
        </x:is>
      </x:c>
      <x:c r="D4949" s="5" t="inlineStr">
        <x:is>
          <x:t xml:space="preserve">阜新德尔汽车部件股份有限公司</x:t>
        </x:is>
      </x:c>
      <x:c r="E4949" s="4" t="inlineStr">
        <x:is>
          <x:t xml:space="preserve">辽宁省</x:t>
        </x:is>
      </x:c>
      <x:c r="F4949" s="4" t="inlineStr">
        <x:is>
          <x:t xml:space="preserve">阜新市</x:t>
        </x:is>
      </x:c>
      <x:c r="G4949" s="5" t="inlineStr">
        <x:is>
          <x:t xml:space="preserve">辽宁省-阜新市</x:t>
        </x:is>
      </x:c>
      <x:c r="H4949" s="4" t="inlineStr">
        <x:is>
          <x:t xml:space="preserve">汽车行业</x:t>
        </x:is>
      </x:c>
      <x:c r="I4949" s="4" t="inlineStr">
        <x:is>
          <x:t xml:space="preserve">2015-06-12</x:t>
        </x:is>
      </x:c>
      <x:c r="J4949" s="5" t="inlineStr">
        <x:is>
          <x:t xml:space="preserve">辽宁省阜新市经济开发区E路55号</x:t>
        </x:is>
      </x:c>
      <x:c r="K4949" s="12" t="str">
        <x:f>LEFT("912109007683076679",18)</x:f>
        <x:v>912109007683076700</x:v>
      </x:c>
    </x:row>
    <x:row r="4950">
      <x:c r="A4950" s="2" t="n">
        <x:v>4949</x:v>
      </x:c>
      <x:c r="B4950" s="2" t="inlineStr">
        <x:is>
          <x:t xml:space="preserve">300573</x:t>
        </x:is>
      </x:c>
      <x:c r="C4950" s="3" t="inlineStr">
        <x:is>
          <x:t xml:space="preserve">兴齐眼药</x:t>
        </x:is>
      </x:c>
      <x:c r="D4950" s="3" t="inlineStr">
        <x:is>
          <x:t xml:space="preserve">沈阳兴齐眼药股份有限公司</x:t>
        </x:is>
      </x:c>
      <x:c r="E4950" s="2" t="inlineStr">
        <x:is>
          <x:t xml:space="preserve">辽宁省</x:t>
        </x:is>
      </x:c>
      <x:c r="F4950" s="2" t="inlineStr">
        <x:is>
          <x:t xml:space="preserve">沈阳市</x:t>
        </x:is>
      </x:c>
      <x:c r="G4950" s="3" t="inlineStr">
        <x:is>
          <x:t xml:space="preserve">辽宁省-沈阳市</x:t>
        </x:is>
      </x:c>
      <x:c r="H4950" s="2" t="inlineStr">
        <x:is>
          <x:t xml:space="preserve">医药制造</x:t>
        </x:is>
      </x:c>
      <x:c r="I4950" s="2" t="inlineStr">
        <x:is>
          <x:t xml:space="preserve">2016-12-08</x:t>
        </x:is>
      </x:c>
      <x:c r="J4950" s="3" t="inlineStr">
        <x:is>
          <x:t xml:space="preserve">辽宁省沈阳市浑南区新运河路25号</x:t>
        </x:is>
      </x:c>
      <x:c r="K4950" s="12" t="str">
        <x:f>LEFT("912101001179988209",18)</x:f>
        <x:v>912101001179988200</x:v>
      </x:c>
    </x:row>
    <x:row r="4951">
      <x:c r="A4951" s="4" t="n">
        <x:v>4950</x:v>
      </x:c>
      <x:c r="B4951" s="4" t="inlineStr">
        <x:is>
          <x:t xml:space="preserve">300758</x:t>
        </x:is>
      </x:c>
      <x:c r="C4951" s="5" t="inlineStr">
        <x:is>
          <x:t xml:space="preserve">七彩化学</x:t>
        </x:is>
      </x:c>
      <x:c r="D4951" s="5" t="inlineStr">
        <x:is>
          <x:t xml:space="preserve">鞍山七彩化学股份有限公司</x:t>
        </x:is>
      </x:c>
      <x:c r="E4951" s="4" t="inlineStr">
        <x:is>
          <x:t xml:space="preserve">辽宁省</x:t>
        </x:is>
      </x:c>
      <x:c r="F4951" s="4" t="inlineStr">
        <x:is>
          <x:t xml:space="preserve">鞍山市</x:t>
        </x:is>
      </x:c>
      <x:c r="G4951" s="5" t="inlineStr">
        <x:is>
          <x:t xml:space="preserve">辽宁省-鞍山市</x:t>
        </x:is>
      </x:c>
      <x:c r="H4951" s="4" t="inlineStr">
        <x:is>
          <x:t xml:space="preserve">化工行业</x:t>
        </x:is>
      </x:c>
      <x:c r="I4951" s="4" t="inlineStr">
        <x:is>
          <x:t xml:space="preserve">2019-02-22</x:t>
        </x:is>
      </x:c>
      <x:c r="J4951" s="5" t="inlineStr">
        <x:is>
          <x:t xml:space="preserve">辽宁省鞍山市海城市腾鳌镇经济开发区一号路八号</x:t>
        </x:is>
      </x:c>
      <x:c r="K4951" s="12" t="str">
        <x:f>LEFT("91210300788777922C",18)</x:f>
        <x:v>91210300788777922C</x:v>
      </x:c>
    </x:row>
    <x:row r="4952">
      <x:c r="A4952" s="2" t="n">
        <x:v>4951</x:v>
      </x:c>
      <x:c r="B4952" s="2" t="inlineStr">
        <x:is>
          <x:t xml:space="preserve">301007</x:t>
        </x:is>
      </x:c>
      <x:c r="C4952" s="3" t="inlineStr">
        <x:is>
          <x:t xml:space="preserve">德迈仕</x:t>
        </x:is>
      </x:c>
      <x:c r="D4952" s="3" t="inlineStr">
        <x:is>
          <x:t xml:space="preserve">大连德迈仕精密科技股份有限公司</x:t>
        </x:is>
      </x:c>
      <x:c r="E4952" s="2" t="inlineStr">
        <x:is>
          <x:t xml:space="preserve">辽宁省</x:t>
        </x:is>
      </x:c>
      <x:c r="F4952" s="2" t="inlineStr">
        <x:is>
          <x:t xml:space="preserve">大连市</x:t>
        </x:is>
      </x:c>
      <x:c r="G4952" s="3" t="inlineStr">
        <x:is>
          <x:t xml:space="preserve">辽宁省-大连市</x:t>
        </x:is>
      </x:c>
      <x:c r="H4952" s="2" t="inlineStr">
        <x:is>
          <x:t xml:space="preserve">汽车行业</x:t>
        </x:is>
      </x:c>
      <x:c r="I4952" s="2" t="inlineStr">
        <x:is>
          <x:t xml:space="preserve">2021-06-16</x:t>
        </x:is>
      </x:c>
      <x:c r="J4952" s="3" t="inlineStr">
        <x:is>
          <x:t xml:space="preserve">辽宁省大连旅顺经济开发区兴发路88号</x:t>
        </x:is>
      </x:c>
      <x:c r="K4952" s="12" t="str">
        <x:f>LEFT("91210200732764356P",18)</x:f>
        <x:v>91210200732764356P</x:v>
      </x:c>
    </x:row>
    <x:row r="4953">
      <x:c r="A4953" s="4" t="n">
        <x:v>4952</x:v>
      </x:c>
      <x:c r="B4953" s="4" t="inlineStr">
        <x:is>
          <x:t xml:space="preserve">301100</x:t>
        </x:is>
      </x:c>
      <x:c r="C4953" s="5" t="inlineStr">
        <x:is>
          <x:t xml:space="preserve">风光股份</x:t>
        </x:is>
      </x:c>
      <x:c r="D4953" s="5" t="inlineStr">
        <x:is>
          <x:t xml:space="preserve">营口风光新材料股份有限公司</x:t>
        </x:is>
      </x:c>
      <x:c r="E4953" s="4" t="inlineStr">
        <x:is>
          <x:t xml:space="preserve">辽宁省</x:t>
        </x:is>
      </x:c>
      <x:c r="F4953" s="4" t="inlineStr">
        <x:is>
          <x:t xml:space="preserve">营口市</x:t>
        </x:is>
      </x:c>
      <x:c r="G4953" s="5" t="inlineStr">
        <x:is>
          <x:t xml:space="preserve">辽宁省-营口市</x:t>
        </x:is>
      </x:c>
      <x:c r="H4953" s="4" t="inlineStr">
        <x:is>
          <x:t xml:space="preserve">化学制品</x:t>
        </x:is>
      </x:c>
      <x:c r="I4953" s="4" t="inlineStr">
        <x:is>
          <x:t xml:space="preserve">2021-12-17</x:t>
        </x:is>
      </x:c>
      <x:c r="J4953" s="5" t="inlineStr">
        <x:is>
          <x:t xml:space="preserve">老边区路南镇江家村</x:t>
        </x:is>
      </x:c>
      <x:c r="K4953" s="12" t="str">
        <x:f>LEFT("91210811716479918H",18)</x:f>
        <x:v>91210811716479918H</x:v>
      </x:c>
    </x:row>
    <x:row r="4954">
      <x:c r="A4954" s="2" t="n">
        <x:v>4953</x:v>
      </x:c>
      <x:c r="B4954" s="2" t="inlineStr">
        <x:is>
          <x:t xml:space="preserve">301103</x:t>
        </x:is>
      </x:c>
      <x:c r="C4954" s="3" t="inlineStr">
        <x:is>
          <x:t xml:space="preserve">何氏眼科</x:t>
        </x:is>
      </x:c>
      <x:c r="D4954" s="3" t="inlineStr">
        <x:is>
          <x:t xml:space="preserve">辽宁何氏眼科医院集团股份有限公司</x:t>
        </x:is>
      </x:c>
      <x:c r="E4954" s="2" t="inlineStr">
        <x:is>
          <x:t xml:space="preserve">辽宁省</x:t>
        </x:is>
      </x:c>
      <x:c r="F4954" s="2" t="inlineStr">
        <x:is>
          <x:t xml:space="preserve">沈阳市</x:t>
        </x:is>
      </x:c>
      <x:c r="G4954" s="3" t="inlineStr">
        <x:is>
          <x:t xml:space="preserve">辽宁省-沈阳市</x:t>
        </x:is>
      </x:c>
      <x:c r="H4954" s="2" t="inlineStr">
        <x:is>
          <x:t xml:space="preserve">医疗服务</x:t>
        </x:is>
      </x:c>
      <x:c r="I4954" s="2" t="inlineStr">
        <x:is>
          <x:t xml:space="preserve">2022-03-22</x:t>
        </x:is>
      </x:c>
      <x:c r="J4954" s="3" t="inlineStr">
        <x:is>
          <x:t xml:space="preserve">辽宁省沈阳市浑南区天赐街5-1号(607)</x:t>
        </x:is>
      </x:c>
      <x:c r="K4954" s="12" t="str">
        <x:f>LEFT("91210112MA0P432U8R",18)</x:f>
        <x:v>91210112MA0P432U8R</x:v>
      </x:c>
    </x:row>
    <x:row r="4955">
      <x:c r="A4955" s="4" t="n">
        <x:v>4954</x:v>
      </x:c>
      <x:c r="B4955" s="4" t="inlineStr">
        <x:is>
          <x:t xml:space="preserve">301349</x:t>
        </x:is>
      </x:c>
      <x:c r="C4955" s="5" t="inlineStr">
        <x:is>
          <x:t xml:space="preserve">信德新材</x:t>
        </x:is>
      </x:c>
      <x:c r="D4955" s="5" t="inlineStr">
        <x:is>
          <x:t xml:space="preserve">辽宁信德新材料科技(集团)股份有限公司</x:t>
        </x:is>
      </x:c>
      <x:c r="E4955" s="4" t="inlineStr">
        <x:is>
          <x:t xml:space="preserve">辽宁省</x:t>
        </x:is>
      </x:c>
      <x:c r="F4955" s="4" t="inlineStr">
        <x:is>
          <x:t xml:space="preserve">辽阳市</x:t>
        </x:is>
      </x:c>
      <x:c r="G4955" s="5" t="inlineStr">
        <x:is>
          <x:t xml:space="preserve">辽宁省-辽阳市</x:t>
        </x:is>
      </x:c>
      <x:c r="H4955" s="4" t="inlineStr">
        <x:is>
          <x:t xml:space="preserve">化学制品</x:t>
        </x:is>
      </x:c>
      <x:c r="I4955" s="4" t="inlineStr">
        <x:is>
          <x:t xml:space="preserve">2022-09-09</x:t>
        </x:is>
      </x:c>
      <x:c r="J4955" s="5" t="inlineStr">
        <x:is>
          <x:t xml:space="preserve">辽宁省辽阳市宏伟区文圣路295号四层</x:t>
        </x:is>
      </x:c>
      <x:c r="K4955" s="12" t="str">
        <x:f>LEFT("9121100472565639XK",18)</x:f>
        <x:v>9121100472565639XK</x:v>
      </x:c>
    </x:row>
    <x:row r="4956">
      <x:c r="A4956" s="2" t="n">
        <x:v>4955</x:v>
      </x:c>
      <x:c r="B4956" s="2" t="inlineStr">
        <x:is>
          <x:t xml:space="preserve">301509</x:t>
        </x:is>
      </x:c>
      <x:c r="C4956" s="3" t="inlineStr">
        <x:is>
          <x:t xml:space="preserve">金凯生科</x:t>
        </x:is>
      </x:c>
      <x:c r="D4956" s="3" t="inlineStr">
        <x:is>
          <x:t xml:space="preserve">金凯(辽宁)生命科技股份有限公司</x:t>
        </x:is>
      </x:c>
      <x:c r="E4956" s="2" t="inlineStr">
        <x:is>
          <x:t xml:space="preserve">辽宁省</x:t>
        </x:is>
      </x:c>
      <x:c r="F4956" s="2" t="inlineStr">
        <x:is>
          <x:t xml:space="preserve">阜新市</x:t>
        </x:is>
      </x:c>
      <x:c r="G4956" s="3" t="inlineStr">
        <x:is>
          <x:t xml:space="preserve">辽宁省-阜新市</x:t>
        </x:is>
      </x:c>
      <x:c r="H4956" s="2" t="inlineStr">
        <x:is>
          <x:t xml:space="preserve">生物制品</x:t>
        </x:is>
      </x:c>
      <x:c r="I4956" s="2" t="inlineStr">
        <x:is>
          <x:t xml:space="preserve">2023-08-03</x:t>
        </x:is>
      </x:c>
      <x:c r="J4956" s="3" t="inlineStr">
        <x:is>
          <x:t xml:space="preserve">辽宁省阜新市阜蒙县伊吗图镇氟化工园区安仁路6号</x:t>
        </x:is>
      </x:c>
      <x:c r="K4956" s="12" t="str">
        <x:f>LEFT("91210900689654572W",18)</x:f>
        <x:v>91210900689654572W</x:v>
      </x:c>
    </x:row>
    <x:row r="4957">
      <x:c r="A4957" s="4" t="n">
        <x:v>4956</x:v>
      </x:c>
      <x:c r="B4957" s="4" t="inlineStr">
        <x:is>
          <x:t xml:space="preserve">301566</x:t>
        </x:is>
      </x:c>
      <x:c r="C4957" s="5" t="inlineStr">
        <x:is>
          <x:t xml:space="preserve">达利凯普</x:t>
        </x:is>
      </x:c>
      <x:c r="D4957" s="5" t="inlineStr">
        <x:is>
          <x:t xml:space="preserve">大连达利凯普科技股份公司</x:t>
        </x:is>
      </x:c>
      <x:c r="E4957" s="4" t="inlineStr">
        <x:is>
          <x:t xml:space="preserve">辽宁省</x:t>
        </x:is>
      </x:c>
      <x:c r="F4957" s="4" t="inlineStr">
        <x:is>
          <x:t xml:space="preserve">大连市</x:t>
        </x:is>
      </x:c>
      <x:c r="G4957" s="5" t="inlineStr">
        <x:is>
          <x:t xml:space="preserve">辽宁省-大连市</x:t>
        </x:is>
      </x:c>
      <x:c r="H4957" s="4" t="inlineStr">
        <x:is>
          <x:t xml:space="preserve">电子元件</x:t>
        </x:is>
      </x:c>
      <x:c r="I4957" s="4" t="inlineStr">
        <x:is>
          <x:t xml:space="preserve">2023-12-29</x:t>
        </x:is>
      </x:c>
      <x:c r="J4957" s="5" t="inlineStr">
        <x:is>
          <x:t xml:space="preserve">辽宁省大连市金州区董家沟街道金悦街21号</x:t>
        </x:is>
      </x:c>
      <x:c r="K4957" s="12" t="str">
        <x:f>LEFT("91210213570857276L",18)</x:f>
        <x:v>91210213570857276L</x:v>
      </x:c>
    </x:row>
    <x:row r="4958">
      <x:c r="A4958" s="2" t="n">
        <x:v>4957</x:v>
      </x:c>
      <x:c r="B4958" s="2" t="inlineStr">
        <x:is>
          <x:t xml:space="preserve">600125</x:t>
        </x:is>
      </x:c>
      <x:c r="C4958" s="3" t="inlineStr">
        <x:is>
          <x:t xml:space="preserve">铁龙物流</x:t>
        </x:is>
      </x:c>
      <x:c r="D4958" s="3" t="inlineStr">
        <x:is>
          <x:t xml:space="preserve">中铁铁龙集装箱物流股份有限公司</x:t>
        </x:is>
      </x:c>
      <x:c r="E4958" s="2" t="inlineStr">
        <x:is>
          <x:t xml:space="preserve">辽宁省</x:t>
        </x:is>
      </x:c>
      <x:c r="F4958" s="2" t="inlineStr">
        <x:is>
          <x:t xml:space="preserve">大连市</x:t>
        </x:is>
      </x:c>
      <x:c r="G4958" s="3" t="inlineStr">
        <x:is>
          <x:t xml:space="preserve">辽宁省-大连市</x:t>
        </x:is>
      </x:c>
      <x:c r="H4958" s="2" t="inlineStr">
        <x:is>
          <x:t xml:space="preserve">交运物流</x:t>
        </x:is>
      </x:c>
      <x:c r="I4958" s="2" t="inlineStr">
        <x:is>
          <x:t xml:space="preserve">1998-05-11</x:t>
        </x:is>
      </x:c>
      <x:c r="J4958" s="3" t="inlineStr">
        <x:is>
          <x:t xml:space="preserve">辽宁省大连高新技术产业园区黄浦路533号海创国际产业大厦1403室</x:t>
        </x:is>
      </x:c>
      <x:c r="K4958" s="12" t="str">
        <x:f>LEFT("91210200241272744N",18)</x:f>
        <x:v>91210200241272744N</x:v>
      </x:c>
    </x:row>
    <x:row r="4959">
      <x:c r="A4959" s="4" t="n">
        <x:v>4958</x:v>
      </x:c>
      <x:c r="B4959" s="4" t="inlineStr">
        <x:is>
          <x:t xml:space="preserve">600167</x:t>
        </x:is>
      </x:c>
      <x:c r="C4959" s="5" t="inlineStr">
        <x:is>
          <x:t xml:space="preserve">联美控股</x:t>
        </x:is>
      </x:c>
      <x:c r="D4959" s="5" t="inlineStr">
        <x:is>
          <x:t xml:space="preserve">联美量子股份有限公司</x:t>
        </x:is>
      </x:c>
      <x:c r="E4959" s="4" t="inlineStr">
        <x:is>
          <x:t xml:space="preserve">辽宁省</x:t>
        </x:is>
      </x:c>
      <x:c r="F4959" s="4" t="inlineStr">
        <x:is>
          <x:t xml:space="preserve">沈阳市</x:t>
        </x:is>
      </x:c>
      <x:c r="G4959" s="5" t="inlineStr">
        <x:is>
          <x:t xml:space="preserve">辽宁省-沈阳市</x:t>
        </x:is>
      </x:c>
      <x:c r="H4959" s="4" t="inlineStr">
        <x:is>
          <x:t xml:space="preserve">公用事业</x:t>
        </x:is>
      </x:c>
      <x:c r="I4959" s="4" t="inlineStr">
        <x:is>
          <x:t xml:space="preserve">1999-01-28</x:t>
        </x:is>
      </x:c>
      <x:c r="J4959" s="5" t="inlineStr">
        <x:is>
          <x:t xml:space="preserve">沈阳市浑南新区新明街8号</x:t>
        </x:is>
      </x:c>
      <x:c r="K4959" s="12" t="str">
        <x:f>LEFT("91210100701795336J",18)</x:f>
        <x:v>91210100701795336J</x:v>
      </x:c>
    </x:row>
    <x:row r="4960">
      <x:c r="A4960" s="2" t="n">
        <x:v>4959</x:v>
      </x:c>
      <x:c r="B4960" s="2" t="inlineStr">
        <x:is>
          <x:t xml:space="preserve">600231</x:t>
        </x:is>
      </x:c>
      <x:c r="C4960" s="3" t="inlineStr">
        <x:is>
          <x:t xml:space="preserve">凌钢股份</x:t>
        </x:is>
      </x:c>
      <x:c r="D4960" s="3" t="inlineStr">
        <x:is>
          <x:t xml:space="preserve">凌源钢铁股份有限公司</x:t>
        </x:is>
      </x:c>
      <x:c r="E4960" s="2" t="inlineStr">
        <x:is>
          <x:t xml:space="preserve">辽宁省</x:t>
        </x:is>
      </x:c>
      <x:c r="F4960" s="2" t="inlineStr">
        <x:is>
          <x:t xml:space="preserve">宁省凌源市</x:t>
        </x:is>
      </x:c>
      <x:c r="G4960" s="3" t="inlineStr">
        <x:is>
          <x:t xml:space="preserve">辽宁省-宁省凌源市</x:t>
        </x:is>
      </x:c>
      <x:c r="H4960" s="2" t="inlineStr">
        <x:is>
          <x:t xml:space="preserve">钢铁行业</x:t>
        </x:is>
      </x:c>
      <x:c r="I4960" s="2" t="inlineStr">
        <x:is>
          <x:t xml:space="preserve">2000-05-11</x:t>
        </x:is>
      </x:c>
      <x:c r="J4960" s="3" t="inlineStr">
        <x:is>
          <x:t xml:space="preserve">辽宁省凌源市钢铁路3号</x:t>
        </x:is>
      </x:c>
      <x:c r="K4960" s="12" t="str">
        <x:f>LEFT("9121130012320998XE",18)</x:f>
        <x:v>9121130012320998XE</x:v>
      </x:c>
    </x:row>
    <x:row r="4961">
      <x:c r="A4961" s="4" t="n">
        <x:v>4960</x:v>
      </x:c>
      <x:c r="B4961" s="4" t="inlineStr">
        <x:is>
          <x:t xml:space="preserve">600233</x:t>
        </x:is>
      </x:c>
      <x:c r="C4961" s="5" t="inlineStr">
        <x:is>
          <x:t xml:space="preserve">圆通速递</x:t>
        </x:is>
      </x:c>
      <x:c r="D4961" s="5" t="inlineStr">
        <x:is>
          <x:t xml:space="preserve">圆通速递股份有限公司</x:t>
        </x:is>
      </x:c>
      <x:c r="E4961" s="4" t="inlineStr">
        <x:is>
          <x:t xml:space="preserve">辽宁省</x:t>
        </x:is>
      </x:c>
      <x:c r="F4961" s="4" t="inlineStr">
        <x:is>
          <x:t xml:space="preserve">大连市</x:t>
        </x:is>
      </x:c>
      <x:c r="G4961" s="5" t="inlineStr">
        <x:is>
          <x:t xml:space="preserve">辽宁省-大连市</x:t>
        </x:is>
      </x:c>
      <x:c r="H4961" s="4" t="inlineStr">
        <x:is>
          <x:t xml:space="preserve">交运物流</x:t>
        </x:is>
      </x:c>
      <x:c r="I4961" s="4" t="inlineStr">
        <x:is>
          <x:t xml:space="preserve">2000-06-08</x:t>
        </x:is>
      </x:c>
      <x:c r="J4961" s="5" t="inlineStr">
        <x:is>
          <x:t xml:space="preserve">大连市杨树房经济开发小区</x:t>
        </x:is>
      </x:c>
      <x:c r="K4961" s="12" t="str">
        <x:f>LEFT("912102002412697996",18)</x:f>
        <x:v>912102002412698000</x:v>
      </x:c>
    </x:row>
    <x:row r="4962">
      <x:c r="A4962" s="2" t="n">
        <x:v>4961</x:v>
      </x:c>
      <x:c r="B4962" s="2" t="inlineStr">
        <x:is>
          <x:t xml:space="preserve">600241</x:t>
        </x:is>
      </x:c>
      <x:c r="C4962" s="3" t="inlineStr">
        <x:is>
          <x:t xml:space="preserve">时代万恒</x:t>
        </x:is>
      </x:c>
      <x:c r="D4962" s="3" t="inlineStr">
        <x:is>
          <x:t xml:space="preserve">辽宁时代万恒股份有限公司</x:t>
        </x:is>
      </x:c>
      <x:c r="E4962" s="2" t="inlineStr">
        <x:is>
          <x:t xml:space="preserve">辽宁省</x:t>
        </x:is>
      </x:c>
      <x:c r="F4962" s="2" t="inlineStr">
        <x:is>
          <x:t xml:space="preserve">大连市</x:t>
        </x:is>
      </x:c>
      <x:c r="G4962" s="3" t="inlineStr">
        <x:is>
          <x:t xml:space="preserve">辽宁省-大连市</x:t>
        </x:is>
      </x:c>
      <x:c r="H4962" s="2" t="inlineStr">
        <x:is>
          <x:t xml:space="preserve">电池</x:t>
        </x:is>
      </x:c>
      <x:c r="I4962" s="2" t="inlineStr">
        <x:is>
          <x:t xml:space="preserve">2000-11-28</x:t>
        </x:is>
      </x:c>
      <x:c r="J4962" s="3" t="inlineStr">
        <x:is>
          <x:t xml:space="preserve">大连市中山区港湾街7号</x:t>
        </x:is>
      </x:c>
      <x:c r="K4962" s="12" t="str">
        <x:f>LEFT("912100007017971122",18)</x:f>
        <x:v>912100007017971100</x:v>
      </x:c>
    </x:row>
    <x:row r="4963">
      <x:c r="A4963" s="4" t="n">
        <x:v>4962</x:v>
      </x:c>
      <x:c r="B4963" s="4" t="inlineStr">
        <x:is>
          <x:t xml:space="preserve">600303</x:t>
        </x:is>
      </x:c>
      <x:c r="C4963" s="5" t="inlineStr">
        <x:is>
          <x:t xml:space="preserve">曙光股份</x:t>
        </x:is>
      </x:c>
      <x:c r="D4963" s="5" t="inlineStr">
        <x:is>
          <x:t xml:space="preserve">辽宁曙光汽车集团股份有限公司</x:t>
        </x:is>
      </x:c>
      <x:c r="E4963" s="4" t="inlineStr">
        <x:is>
          <x:t xml:space="preserve">辽宁省</x:t>
        </x:is>
      </x:c>
      <x:c r="F4963" s="4" t="inlineStr">
        <x:is>
          <x:t xml:space="preserve">丹东市</x:t>
        </x:is>
      </x:c>
      <x:c r="G4963" s="5" t="inlineStr">
        <x:is>
          <x:t xml:space="preserve">辽宁省-丹东市</x:t>
        </x:is>
      </x:c>
      <x:c r="H4963" s="4" t="inlineStr">
        <x:is>
          <x:t xml:space="preserve">汽车整车</x:t>
        </x:is>
      </x:c>
      <x:c r="I4963" s="4" t="inlineStr">
        <x:is>
          <x:t xml:space="preserve">2000-12-26</x:t>
        </x:is>
      </x:c>
      <x:c r="J4963" s="5" t="inlineStr">
        <x:is>
          <x:t xml:space="preserve">辽宁省丹东市振安区曙光路50号</x:t>
        </x:is>
      </x:c>
      <x:c r="K4963" s="12" t="str">
        <x:f>LEFT("91210600120109772C",18)</x:f>
        <x:v>91210600120109772C</x:v>
      </x:c>
    </x:row>
    <x:row r="4964">
      <x:c r="A4964" s="2" t="n">
        <x:v>4963</x:v>
      </x:c>
      <x:c r="B4964" s="2" t="inlineStr">
        <x:is>
          <x:t xml:space="preserve">600346</x:t>
        </x:is>
      </x:c>
      <x:c r="C4964" s="3" t="inlineStr">
        <x:is>
          <x:t xml:space="preserve">恒力石化</x:t>
        </x:is>
      </x:c>
      <x:c r="D4964" s="3" t="inlineStr">
        <x:is>
          <x:t xml:space="preserve">恒力石化股份有限公司</x:t>
        </x:is>
      </x:c>
      <x:c r="E4964" s="2" t="inlineStr">
        <x:is>
          <x:t xml:space="preserve">辽宁省</x:t>
        </x:is>
      </x:c>
      <x:c r="F4964" s="2" t="inlineStr">
        <x:is>
          <x:t xml:space="preserve">大连市</x:t>
        </x:is>
      </x:c>
      <x:c r="G4964" s="3" t="inlineStr">
        <x:is>
          <x:t xml:space="preserve">辽宁省-大连市</x:t>
        </x:is>
      </x:c>
      <x:c r="H4964" s="2" t="inlineStr">
        <x:is>
          <x:t xml:space="preserve">化纤行业</x:t>
        </x:is>
      </x:c>
      <x:c r="I4964" s="2" t="inlineStr">
        <x:is>
          <x:t xml:space="preserve">2001-08-20</x:t>
        </x:is>
      </x:c>
      <x:c r="J4964" s="3" t="inlineStr">
        <x:is>
          <x:t xml:space="preserve">辽宁省大连市长兴岛临港工业区长松路298号OSBL项目-工务办公楼</x:t>
        </x:is>
      </x:c>
      <x:c r="K4964" s="12" t="str">
        <x:f>LEFT("912102001185762674",18)</x:f>
        <x:v>912102001185762700</x:v>
      </x:c>
    </x:row>
    <x:row r="4965">
      <x:c r="A4965" s="4" t="n">
        <x:v>4964</x:v>
      </x:c>
      <x:c r="B4965" s="4" t="inlineStr">
        <x:is>
          <x:t xml:space="preserve">600396</x:t>
        </x:is>
      </x:c>
      <x:c r="C4965" s="5" t="inlineStr">
        <x:is>
          <x:t xml:space="preserve">华电辽能</x:t>
        </x:is>
      </x:c>
      <x:c r="D4965" s="5" t="inlineStr">
        <x:is>
          <x:t xml:space="preserve">华电辽宁能源发展股份有限公司</x:t>
        </x:is>
      </x:c>
      <x:c r="E4965" s="4" t="inlineStr">
        <x:is>
          <x:t xml:space="preserve">辽宁省</x:t>
        </x:is>
      </x:c>
      <x:c r="F4965" s="4" t="inlineStr">
        <x:is>
          <x:t xml:space="preserve">沈阳市</x:t>
        </x:is>
      </x:c>
      <x:c r="G4965" s="5" t="inlineStr">
        <x:is>
          <x:t xml:space="preserve">辽宁省-沈阳市</x:t>
        </x:is>
      </x:c>
      <x:c r="H4965" s="4" t="inlineStr">
        <x:is>
          <x:t xml:space="preserve">电力行业</x:t>
        </x:is>
      </x:c>
      <x:c r="I4965" s="4" t="inlineStr">
        <x:is>
          <x:t xml:space="preserve">2001-03-28</x:t>
        </x:is>
      </x:c>
      <x:c r="J4965" s="5" t="inlineStr">
        <x:is>
          <x:t xml:space="preserve">沈阳市苏家屯区迎春街2号</x:t>
        </x:is>
      </x:c>
      <x:c r="K4965" s="12" t="str">
        <x:f>LEFT("91210100711107373Q",18)</x:f>
        <x:v>91210100711107373Q</x:v>
      </x:c>
    </x:row>
    <x:row r="4966">
      <x:c r="A4966" s="2" t="n">
        <x:v>4965</x:v>
      </x:c>
      <x:c r="B4966" s="2" t="inlineStr">
        <x:is>
          <x:t xml:space="preserve">600399</x:t>
        </x:is>
      </x:c>
      <x:c r="C4966" s="3" t="inlineStr">
        <x:is>
          <x:t xml:space="preserve">抚顺特钢</x:t>
        </x:is>
      </x:c>
      <x:c r="D4966" s="3" t="inlineStr">
        <x:is>
          <x:t xml:space="preserve">抚顺特殊钢股份有限公司</x:t>
        </x:is>
      </x:c>
      <x:c r="E4966" s="2" t="inlineStr">
        <x:is>
          <x:t xml:space="preserve">辽宁省</x:t>
        </x:is>
      </x:c>
      <x:c r="F4966" s="2" t="inlineStr">
        <x:is>
          <x:t xml:space="preserve">鞍山市</x:t>
        </x:is>
      </x:c>
      <x:c r="G4966" s="3" t="inlineStr">
        <x:is>
          <x:t xml:space="preserve">辽宁省-鞍山市</x:t>
        </x:is>
      </x:c>
      <x:c r="H4966" s="2" t="inlineStr">
        <x:is>
          <x:t xml:space="preserve">钢铁行业</x:t>
        </x:is>
      </x:c>
      <x:c r="I4966" s="2" t="inlineStr">
        <x:is>
          <x:t xml:space="preserve">2000-12-29</x:t>
        </x:is>
      </x:c>
      <x:c r="J4966" s="3" t="inlineStr">
        <x:is>
          <x:t xml:space="preserve">辽宁省抚顺市望花区鞍山路东段8号</x:t>
        </x:is>
      </x:c>
      <x:c r="K4966" s="12" t="str">
        <x:f>LEFT("9121000070181332XR",18)</x:f>
        <x:v>9121000070181332XR</x:v>
      </x:c>
    </x:row>
    <x:row r="4967">
      <x:c r="A4967" s="4" t="n">
        <x:v>4966</x:v>
      </x:c>
      <x:c r="B4967" s="4" t="inlineStr">
        <x:is>
          <x:t xml:space="preserve">600593</x:t>
        </x:is>
      </x:c>
      <x:c r="C4967" s="5" t="inlineStr">
        <x:is>
          <x:t xml:space="preserve">大连圣亚</x:t>
        </x:is>
      </x:c>
      <x:c r="D4967" s="5" t="inlineStr">
        <x:is>
          <x:t xml:space="preserve">大连圣亚旅游控股股份有限公司</x:t>
        </x:is>
      </x:c>
      <x:c r="E4967" s="4" t="inlineStr">
        <x:is>
          <x:t xml:space="preserve">辽宁省</x:t>
        </x:is>
      </x:c>
      <x:c r="F4967" s="4" t="inlineStr">
        <x:is>
          <x:t xml:space="preserve">大连市</x:t>
        </x:is>
      </x:c>
      <x:c r="G4967" s="5" t="inlineStr">
        <x:is>
          <x:t xml:space="preserve">辽宁省-大连市</x:t>
        </x:is>
      </x:c>
      <x:c r="H4967" s="4" t="inlineStr">
        <x:is>
          <x:t xml:space="preserve">旅游酒店</x:t>
        </x:is>
      </x:c>
      <x:c r="I4967" s="4" t="inlineStr">
        <x:is>
          <x:t xml:space="preserve">2002-07-11</x:t>
        </x:is>
      </x:c>
      <x:c r="J4967" s="5" t="inlineStr">
        <x:is>
          <x:t xml:space="preserve">中国辽宁省大连市沙河口区中山路608-6-8</x:t>
        </x:is>
      </x:c>
      <x:c r="K4967" s="12" t="str">
        <x:f>LEFT("91210200604862592R",18)</x:f>
        <x:v>91210200604862592R</x:v>
      </x:c>
    </x:row>
    <x:row r="4968">
      <x:c r="A4968" s="2" t="n">
        <x:v>4967</x:v>
      </x:c>
      <x:c r="B4968" s="2" t="inlineStr">
        <x:is>
          <x:t xml:space="preserve">600609</x:t>
        </x:is>
      </x:c>
      <x:c r="C4968" s="3" t="inlineStr">
        <x:is>
          <x:t xml:space="preserve">金杯汽车</x:t>
        </x:is>
      </x:c>
      <x:c r="D4968" s="3" t="inlineStr">
        <x:is>
          <x:t xml:space="preserve">金杯汽车股份有限公司</x:t>
        </x:is>
      </x:c>
      <x:c r="E4968" s="2" t="inlineStr">
        <x:is>
          <x:t xml:space="preserve">辽宁省</x:t>
        </x:is>
      </x:c>
      <x:c r="F4968" s="2" t="inlineStr">
        <x:is>
          <x:t xml:space="preserve">沈阳市</x:t>
        </x:is>
      </x:c>
      <x:c r="G4968" s="3" t="inlineStr">
        <x:is>
          <x:t xml:space="preserve">辽宁省-沈阳市</x:t>
        </x:is>
      </x:c>
      <x:c r="H4968" s="2" t="inlineStr">
        <x:is>
          <x:t xml:space="preserve">汽车行业</x:t>
        </x:is>
      </x:c>
      <x:c r="I4968" s="2" t="inlineStr">
        <x:is>
          <x:t xml:space="preserve">1992-07-24</x:t>
        </x:is>
      </x:c>
      <x:c r="J4968" s="3" t="inlineStr">
        <x:is>
          <x:t xml:space="preserve">沈阳市沈河区万柳塘路38号</x:t>
        </x:is>
      </x:c>
      <x:c r="K4968" s="12" t="str">
        <x:f>LEFT("91210100243490067P",18)</x:f>
        <x:v>91210100243490067P</x:v>
      </x:c>
    </x:row>
    <x:row r="4969">
      <x:c r="A4969" s="4" t="n">
        <x:v>4968</x:v>
      </x:c>
      <x:c r="B4969" s="4" t="inlineStr">
        <x:is>
          <x:t xml:space="preserve">600653</x:t>
        </x:is>
      </x:c>
      <x:c r="C4969" s="5" t="inlineStr">
        <x:is>
          <x:t xml:space="preserve">申华控股</x:t>
        </x:is>
      </x:c>
      <x:c r="D4969" s="5" t="inlineStr">
        <x:is>
          <x:t xml:space="preserve">辽宁申华控股股份有限公司</x:t>
        </x:is>
      </x:c>
      <x:c r="E4969" s="4" t="inlineStr">
        <x:is>
          <x:t xml:space="preserve">辽宁省</x:t>
        </x:is>
      </x:c>
      <x:c r="F4969" s="4" t="inlineStr">
        <x:is>
          <x:t xml:space="preserve">沈阳市</x:t>
        </x:is>
      </x:c>
      <x:c r="G4969" s="5" t="inlineStr">
        <x:is>
          <x:t xml:space="preserve">辽宁省-沈阳市</x:t>
        </x:is>
      </x:c>
      <x:c r="H4969" s="4" t="inlineStr">
        <x:is>
          <x:t xml:space="preserve">汽车服务</x:t>
        </x:is>
      </x:c>
      <x:c r="I4969" s="4" t="inlineStr">
        <x:is>
          <x:t xml:space="preserve">1990-12-19</x:t>
        </x:is>
      </x:c>
      <x:c r="J4969" s="5" t="inlineStr">
        <x:is>
          <x:t xml:space="preserve">中国(辽宁)自由贸易试验区沈阳片区全运路109-1号2层235室</x:t>
        </x:is>
      </x:c>
      <x:c r="K4969" s="12" t="str">
        <x:f>LEFT("91310000132214676F",18)</x:f>
        <x:v>91310000132214676F</x:v>
      </x:c>
    </x:row>
    <x:row r="4970">
      <x:c r="A4970" s="2" t="n">
        <x:v>4969</x:v>
      </x:c>
      <x:c r="B4970" s="2" t="inlineStr">
        <x:is>
          <x:t xml:space="preserve">600694</x:t>
        </x:is>
      </x:c>
      <x:c r="C4970" s="3" t="inlineStr">
        <x:is>
          <x:t xml:space="preserve">大商股份</x:t>
        </x:is>
      </x:c>
      <x:c r="D4970" s="3" t="inlineStr">
        <x:is>
          <x:t xml:space="preserve">大商股份有限公司</x:t>
        </x:is>
      </x:c>
      <x:c r="E4970" s="2" t="inlineStr">
        <x:is>
          <x:t xml:space="preserve">辽宁省</x:t>
        </x:is>
      </x:c>
      <x:c r="F4970" s="2" t="inlineStr">
        <x:is>
          <x:t xml:space="preserve">大连市</x:t>
        </x:is>
      </x:c>
      <x:c r="G4970" s="3" t="inlineStr">
        <x:is>
          <x:t xml:space="preserve">辽宁省-大连市</x:t>
        </x:is>
      </x:c>
      <x:c r="H4970" s="2" t="inlineStr">
        <x:is>
          <x:t xml:space="preserve">商业百货</x:t>
        </x:is>
      </x:c>
      <x:c r="I4970" s="2" t="inlineStr">
        <x:is>
          <x:t xml:space="preserve">1993-11-22</x:t>
        </x:is>
      </x:c>
      <x:c r="J4970" s="3" t="inlineStr">
        <x:is>
          <x:t xml:space="preserve">辽宁省大连市中山区青三街1号</x:t>
        </x:is>
      </x:c>
      <x:c r="K4970" s="12" t="str">
        <x:f>LEFT("91210200241268278D",18)</x:f>
        <x:v>91210200241268278D</x:v>
      </x:c>
    </x:row>
    <x:row r="4971">
      <x:c r="A4971" s="4" t="n">
        <x:v>4970</x:v>
      </x:c>
      <x:c r="B4971" s="4" t="inlineStr">
        <x:is>
          <x:t xml:space="preserve">600718</x:t>
        </x:is>
      </x:c>
      <x:c r="C4971" s="5" t="inlineStr">
        <x:is>
          <x:t xml:space="preserve">东软集团</x:t>
        </x:is>
      </x:c>
      <x:c r="D4971" s="5" t="inlineStr">
        <x:is>
          <x:t xml:space="preserve">东软集团股份有限公司</x:t>
        </x:is>
      </x:c>
      <x:c r="E4971" s="4" t="inlineStr">
        <x:is>
          <x:t xml:space="preserve">辽宁省</x:t>
        </x:is>
      </x:c>
      <x:c r="F4971" s="4" t="inlineStr">
        <x:is>
          <x:t xml:space="preserve">沈阳市</x:t>
        </x:is>
      </x:c>
      <x:c r="G4971" s="5" t="inlineStr">
        <x:is>
          <x:t xml:space="preserve">辽宁省-沈阳市</x:t>
        </x:is>
      </x:c>
      <x:c r="H4971" s="4" t="inlineStr">
        <x:is>
          <x:t xml:space="preserve">互联网服务</x:t>
        </x:is>
      </x:c>
      <x:c r="I4971" s="4" t="inlineStr">
        <x:is>
          <x:t xml:space="preserve">1996-06-18</x:t>
        </x:is>
      </x:c>
      <x:c r="J4971" s="5" t="inlineStr">
        <x:is>
          <x:t xml:space="preserve">沈阳市浑南新区新秀街2号</x:t>
        </x:is>
      </x:c>
      <x:c r="K4971" s="12" t="str">
        <x:f>LEFT("91210100604608172K",18)</x:f>
        <x:v>91210100604608172K</x:v>
      </x:c>
    </x:row>
    <x:row r="4972">
      <x:c r="A4972" s="2" t="n">
        <x:v>4971</x:v>
      </x:c>
      <x:c r="B4972" s="2" t="inlineStr">
        <x:is>
          <x:t xml:space="preserve">600719</x:t>
        </x:is>
      </x:c>
      <x:c r="C4972" s="3" t="inlineStr">
        <x:is>
          <x:t xml:space="preserve">大连热电</x:t>
        </x:is>
      </x:c>
      <x:c r="D4972" s="3" t="inlineStr">
        <x:is>
          <x:t xml:space="preserve">大连热电股份有限公司</x:t>
        </x:is>
      </x:c>
      <x:c r="E4972" s="2" t="inlineStr">
        <x:is>
          <x:t xml:space="preserve">辽宁省</x:t>
        </x:is>
      </x:c>
      <x:c r="F4972" s="2" t="inlineStr">
        <x:is>
          <x:t xml:space="preserve">大连市</x:t>
        </x:is>
      </x:c>
      <x:c r="G4972" s="3" t="inlineStr">
        <x:is>
          <x:t xml:space="preserve">辽宁省-大连市</x:t>
        </x:is>
      </x:c>
      <x:c r="H4972" s="2" t="inlineStr">
        <x:is>
          <x:t xml:space="preserve">电力行业</x:t>
        </x:is>
      </x:c>
      <x:c r="I4972" s="2" t="inlineStr">
        <x:is>
          <x:t xml:space="preserve">1996-07-16</x:t>
        </x:is>
      </x:c>
      <x:c r="J4972" s="3" t="inlineStr">
        <x:is>
          <x:t xml:space="preserve">辽宁省大连市沙河口区香周路210号</x:t>
        </x:is>
      </x:c>
      <x:c r="K4972" s="12" t="str">
        <x:f>LEFT("91210200241297917U",18)</x:f>
        <x:v>91210200241297917U</x:v>
      </x:c>
    </x:row>
    <x:row r="4973">
      <x:c r="A4973" s="4" t="n">
        <x:v>4972</x:v>
      </x:c>
      <x:c r="B4973" s="4" t="inlineStr">
        <x:is>
          <x:t xml:space="preserve">600739</x:t>
        </x:is>
      </x:c>
      <x:c r="C4973" s="5" t="inlineStr">
        <x:is>
          <x:t xml:space="preserve">辽宁成大</x:t>
        </x:is>
      </x:c>
      <x:c r="D4973" s="5" t="inlineStr">
        <x:is>
          <x:t xml:space="preserve">辽宁成大股份有限公司</x:t>
        </x:is>
      </x:c>
      <x:c r="E4973" s="4" t="inlineStr">
        <x:is>
          <x:t xml:space="preserve">辽宁省</x:t>
        </x:is>
      </x:c>
      <x:c r="F4973" s="4" t="inlineStr">
        <x:is>
          <x:t xml:space="preserve">大连市</x:t>
        </x:is>
      </x:c>
      <x:c r="G4973" s="5" t="inlineStr">
        <x:is>
          <x:t xml:space="preserve">辽宁省-大连市</x:t>
        </x:is>
      </x:c>
      <x:c r="H4973" s="4" t="inlineStr">
        <x:is>
          <x:t xml:space="preserve">国际贸易</x:t>
        </x:is>
      </x:c>
      <x:c r="I4973" s="4" t="inlineStr">
        <x:is>
          <x:t xml:space="preserve">1996-08-19</x:t>
        </x:is>
      </x:c>
      <x:c r="J4973" s="5" t="inlineStr">
        <x:is>
          <x:t xml:space="preserve">大连市中山区人民路71号</x:t>
        </x:is>
      </x:c>
      <x:c r="K4973" s="12" t="str">
        <x:f>LEFT("91210000117590366A",18)</x:f>
        <x:v>91210000117590366A</x:v>
      </x:c>
    </x:row>
    <x:row r="4974">
      <x:c r="A4974" s="2" t="n">
        <x:v>4973</x:v>
      </x:c>
      <x:c r="B4974" s="2" t="inlineStr">
        <x:is>
          <x:t xml:space="preserve">600758</x:t>
        </x:is>
      </x:c>
      <x:c r="C4974" s="3" t="inlineStr">
        <x:is>
          <x:t xml:space="preserve">辽宁能源</x:t>
        </x:is>
      </x:c>
      <x:c r="D4974" s="3" t="inlineStr">
        <x:is>
          <x:t xml:space="preserve">辽宁能源煤电产业股份有限公司</x:t>
        </x:is>
      </x:c>
      <x:c r="E4974" s="2" t="inlineStr">
        <x:is>
          <x:t xml:space="preserve">辽宁省</x:t>
        </x:is>
      </x:c>
      <x:c r="F4974" s="2" t="inlineStr">
        <x:is>
          <x:t xml:space="preserve">沈阳市</x:t>
        </x:is>
      </x:c>
      <x:c r="G4974" s="3" t="inlineStr">
        <x:is>
          <x:t xml:space="preserve">辽宁省-沈阳市</x:t>
        </x:is>
      </x:c>
      <x:c r="H4974" s="2" t="inlineStr">
        <x:is>
          <x:t xml:space="preserve">煤炭采选</x:t>
        </x:is>
      </x:c>
      <x:c r="I4974" s="2" t="inlineStr">
        <x:is>
          <x:t xml:space="preserve">1996-10-29</x:t>
        </x:is>
      </x:c>
      <x:c r="J4974" s="3" t="inlineStr">
        <x:is>
          <x:t xml:space="preserve">辽宁省沈阳市沈河区青年大街110号2号楼5楼</x:t>
        </x:is>
      </x:c>
      <x:c r="K4974" s="12" t="str">
        <x:f>LEFT("9121000011759560XG",18)</x:f>
        <x:v>9121000011759560XG</x:v>
      </x:c>
    </x:row>
    <x:row r="4975">
      <x:c r="A4975" s="4" t="n">
        <x:v>4974</x:v>
      </x:c>
      <x:c r="B4975" s="4" t="inlineStr">
        <x:is>
          <x:t xml:space="preserve">600795</x:t>
        </x:is>
      </x:c>
      <x:c r="C4975" s="5" t="inlineStr">
        <x:is>
          <x:t xml:space="preserve">国电电力</x:t>
        </x:is>
      </x:c>
      <x:c r="D4975" s="5" t="inlineStr">
        <x:is>
          <x:t xml:space="preserve">国电电力发展股份有限公司</x:t>
        </x:is>
      </x:c>
      <x:c r="E4975" s="4" t="inlineStr">
        <x:is>
          <x:t xml:space="preserve">辽宁省</x:t>
        </x:is>
      </x:c>
      <x:c r="F4975" s="4" t="inlineStr">
        <x:is>
          <x:t xml:space="preserve">大连市</x:t>
        </x:is>
      </x:c>
      <x:c r="G4975" s="5" t="inlineStr">
        <x:is>
          <x:t xml:space="preserve">辽宁省-大连市</x:t>
        </x:is>
      </x:c>
      <x:c r="H4975" s="4" t="inlineStr">
        <x:is>
          <x:t xml:space="preserve">电力行业</x:t>
        </x:is>
      </x:c>
      <x:c r="I4975" s="4" t="inlineStr">
        <x:is>
          <x:t xml:space="preserve">1997-03-18</x:t>
        </x:is>
      </x:c>
      <x:c r="J4975" s="5" t="inlineStr">
        <x:is>
          <x:t xml:space="preserve">大连经济技术开发区钢铁路90号</x:t>
        </x:is>
      </x:c>
      <x:c r="K4975" s="12" t="str">
        <x:f>LEFT("912102001183735667",18)</x:f>
        <x:v>912102001183735700</x:v>
      </x:c>
    </x:row>
    <x:row r="4976">
      <x:c r="A4976" s="2" t="n">
        <x:v>4975</x:v>
      </x:c>
      <x:c r="B4976" s="2" t="inlineStr">
        <x:is>
          <x:t xml:space="preserve">601880</x:t>
        </x:is>
      </x:c>
      <x:c r="C4976" s="3" t="inlineStr">
        <x:is>
          <x:t xml:space="preserve">辽港股份</x:t>
        </x:is>
      </x:c>
      <x:c r="D4976" s="3" t="inlineStr">
        <x:is>
          <x:t xml:space="preserve">辽宁港口股份有限公司</x:t>
        </x:is>
      </x:c>
      <x:c r="E4976" s="2" t="inlineStr">
        <x:is>
          <x:t xml:space="preserve">辽宁省</x:t>
        </x:is>
      </x:c>
      <x:c r="F4976" s="2" t="inlineStr">
        <x:is>
          <x:t xml:space="preserve">大连市</x:t>
        </x:is>
      </x:c>
      <x:c r="G4976" s="3" t="inlineStr">
        <x:is>
          <x:t xml:space="preserve">辽宁省-大连市</x:t>
        </x:is>
      </x:c>
      <x:c r="H4976" s="2" t="inlineStr">
        <x:is>
          <x:t xml:space="preserve">港口水运</x:t>
        </x:is>
      </x:c>
      <x:c r="I4976" s="2" t="inlineStr">
        <x:is>
          <x:t xml:space="preserve">2010-12-06</x:t>
        </x:is>
      </x:c>
      <x:c r="J4976" s="3" t="inlineStr">
        <x:is>
          <x:t xml:space="preserve">中国大连保税区大窑湾新港商务大厦</x:t>
        </x:is>
      </x:c>
      <x:c r="K4976" s="12" t="str">
        <x:f>LEFT("91210200782451606Q",18)</x:f>
        <x:v>91210200782451606Q</x:v>
      </x:c>
    </x:row>
    <x:row r="4977">
      <x:c r="A4977" s="4" t="n">
        <x:v>4976</x:v>
      </x:c>
      <x:c r="B4977" s="4" t="inlineStr">
        <x:is>
          <x:t xml:space="preserve">601999</x:t>
        </x:is>
      </x:c>
      <x:c r="C4977" s="5" t="inlineStr">
        <x:is>
          <x:t xml:space="preserve">出版传媒</x:t>
        </x:is>
      </x:c>
      <x:c r="D4977" s="5" t="inlineStr">
        <x:is>
          <x:t xml:space="preserve">北方联合出版传媒(集团)股份有限公司</x:t>
        </x:is>
      </x:c>
      <x:c r="E4977" s="4" t="inlineStr">
        <x:is>
          <x:t xml:space="preserve">辽宁省</x:t>
        </x:is>
      </x:c>
      <x:c r="F4977" s="4" t="inlineStr">
        <x:is>
          <x:t xml:space="preserve">沈阳市</x:t>
        </x:is>
      </x:c>
      <x:c r="G4977" s="5" t="inlineStr">
        <x:is>
          <x:t xml:space="preserve">辽宁省-沈阳市</x:t>
        </x:is>
      </x:c>
      <x:c r="H4977" s="4" t="inlineStr">
        <x:is>
          <x:t xml:space="preserve">文化传媒</x:t>
        </x:is>
      </x:c>
      <x:c r="I4977" s="4" t="inlineStr">
        <x:is>
          <x:t xml:space="preserve">2007-12-21</x:t>
        </x:is>
      </x:c>
      <x:c r="J4977" s="5" t="inlineStr">
        <x:is>
          <x:t xml:space="preserve">辽宁省沈阳市和平区十一纬路29号</x:t>
        </x:is>
      </x:c>
      <x:c r="K4977" s="12" t="str">
        <x:f>LEFT("91210000791577374P",18)</x:f>
        <x:v>91210000791577374P</x:v>
      </x:c>
    </x:row>
    <x:row r="4978">
      <x:c r="A4978" s="2" t="n">
        <x:v>4977</x:v>
      </x:c>
      <x:c r="B4978" s="2" t="inlineStr">
        <x:is>
          <x:t xml:space="preserve">603255</x:t>
        </x:is>
      </x:c>
      <x:c r="C4978" s="3" t="inlineStr">
        <x:is>
          <x:t xml:space="preserve">鼎际得</x:t>
        </x:is>
      </x:c>
      <x:c r="D4978" s="3" t="inlineStr">
        <x:is>
          <x:t xml:space="preserve">辽宁鼎际得石化股份有限公司</x:t>
        </x:is>
      </x:c>
      <x:c r="E4978" s="2" t="inlineStr">
        <x:is>
          <x:t xml:space="preserve">辽宁省</x:t>
        </x:is>
      </x:c>
      <x:c r="F4978" s="2" t="inlineStr">
        <x:is>
          <x:t xml:space="preserve">营口市</x:t>
        </x:is>
      </x:c>
      <x:c r="G4978" s="3" t="inlineStr">
        <x:is>
          <x:t xml:space="preserve">辽宁省-营口市</x:t>
        </x:is>
      </x:c>
      <x:c r="H4978" s="2" t="inlineStr">
        <x:is>
          <x:t xml:space="preserve">化学制品</x:t>
        </x:is>
      </x:c>
      <x:c r="I4978" s="2" t="inlineStr">
        <x:is>
          <x:t xml:space="preserve">2022-08-18</x:t>
        </x:is>
      </x:c>
      <x:c r="J4978" s="3" t="inlineStr">
        <x:is>
          <x:t xml:space="preserve">辽宁省营口市老边区柳树镇石灰村</x:t>
        </x:is>
      </x:c>
      <x:c r="K4978" s="12" t="str">
        <x:f>LEFT("91210800761804396Y",18)</x:f>
        <x:v>91210800761804396Y</x:v>
      </x:c>
    </x:row>
    <x:row r="4979">
      <x:c r="A4979" s="4" t="n">
        <x:v>4978</x:v>
      </x:c>
      <x:c r="B4979" s="4" t="inlineStr">
        <x:is>
          <x:t xml:space="preserve">603315</x:t>
        </x:is>
      </x:c>
      <x:c r="C4979" s="5" t="inlineStr">
        <x:is>
          <x:t xml:space="preserve">福鞍股份</x:t>
        </x:is>
      </x:c>
      <x:c r="D4979" s="5" t="inlineStr">
        <x:is>
          <x:t xml:space="preserve">辽宁福鞍重工股份有限公司</x:t>
        </x:is>
      </x:c>
      <x:c r="E4979" s="4" t="inlineStr">
        <x:is>
          <x:t xml:space="preserve">辽宁省</x:t>
        </x:is>
      </x:c>
      <x:c r="F4979" s="4" t="inlineStr">
        <x:is>
          <x:t xml:space="preserve">鞍山市</x:t>
        </x:is>
      </x:c>
      <x:c r="G4979" s="5" t="inlineStr">
        <x:is>
          <x:t xml:space="preserve">辽宁省-鞍山市</x:t>
        </x:is>
      </x:c>
      <x:c r="H4979" s="4" t="inlineStr">
        <x:is>
          <x:t xml:space="preserve">机械行业</x:t>
        </x:is>
      </x:c>
      <x:c r="I4979" s="4" t="inlineStr">
        <x:is>
          <x:t xml:space="preserve">2015-04-24</x:t>
        </x:is>
      </x:c>
      <x:c r="J4979" s="5" t="inlineStr">
        <x:is>
          <x:t xml:space="preserve">辽宁省鞍山市千山区鞍郑路8号</x:t>
        </x:is>
      </x:c>
      <x:c r="K4979" s="12" t="str">
        <x:f>LEFT("91210300761843408F",18)</x:f>
        <x:v>91210300761843408F</x:v>
      </x:c>
    </x:row>
    <x:row r="4980">
      <x:c r="A4980" s="2" t="n">
        <x:v>4979</x:v>
      </x:c>
      <x:c r="B4980" s="2" t="inlineStr">
        <x:is>
          <x:t xml:space="preserve">603318</x:t>
        </x:is>
      </x:c>
      <x:c r="C4980" s="3" t="inlineStr">
        <x:is>
          <x:t xml:space="preserve">水发燃气</x:t>
        </x:is>
      </x:c>
      <x:c r="D4980" s="3" t="inlineStr">
        <x:is>
          <x:t xml:space="preserve">水发派思燃气股份有限公司</x:t>
        </x:is>
      </x:c>
      <x:c r="E4980" s="2" t="inlineStr">
        <x:is>
          <x:t xml:space="preserve">辽宁省</x:t>
        </x:is>
      </x:c>
      <x:c r="F4980" s="2" t="inlineStr">
        <x:is>
          <x:t xml:space="preserve">大连市</x:t>
        </x:is>
      </x:c>
      <x:c r="G4980" s="3" t="inlineStr">
        <x:is>
          <x:t xml:space="preserve">辽宁省-大连市</x:t>
        </x:is>
      </x:c>
      <x:c r="H4980" s="2" t="inlineStr">
        <x:is>
          <x:t xml:space="preserve">燃气</x:t>
        </x:is>
      </x:c>
      <x:c r="I4980" s="2" t="inlineStr">
        <x:is>
          <x:t xml:space="preserve">2015-04-24</x:t>
        </x:is>
      </x:c>
      <x:c r="J4980" s="3" t="inlineStr">
        <x:is>
          <x:t xml:space="preserve">大连经济技术开发区振鹏工业城73#</x:t>
        </x:is>
      </x:c>
      <x:c r="K4980" s="12" t="str">
        <x:f>LEFT("912102007443645440",18)</x:f>
        <x:v>912102007443645400</x:v>
      </x:c>
    </x:row>
    <x:row r="4981">
      <x:c r="A4981" s="4" t="n">
        <x:v>4980</x:v>
      </x:c>
      <x:c r="B4981" s="4" t="inlineStr">
        <x:is>
          <x:t xml:space="preserve">603360</x:t>
        </x:is>
      </x:c>
      <x:c r="C4981" s="5" t="inlineStr">
        <x:is>
          <x:t xml:space="preserve">百傲化学</x:t>
        </x:is>
      </x:c>
      <x:c r="D4981" s="5" t="inlineStr">
        <x:is>
          <x:t xml:space="preserve">大连百傲化学股份有限公司</x:t>
        </x:is>
      </x:c>
      <x:c r="E4981" s="4" t="inlineStr">
        <x:is>
          <x:t xml:space="preserve">辽宁省</x:t>
        </x:is>
      </x:c>
      <x:c r="F4981" s="4" t="inlineStr">
        <x:is>
          <x:t xml:space="preserve">大连市</x:t>
        </x:is>
      </x:c>
      <x:c r="G4981" s="5" t="inlineStr">
        <x:is>
          <x:t xml:space="preserve">辽宁省-大连市</x:t>
        </x:is>
      </x:c>
      <x:c r="H4981" s="4" t="inlineStr">
        <x:is>
          <x:t xml:space="preserve">农药兽药</x:t>
        </x:is>
      </x:c>
      <x:c r="I4981" s="4" t="inlineStr">
        <x:is>
          <x:t xml:space="preserve">2017-02-06</x:t>
        </x:is>
      </x:c>
      <x:c r="J4981" s="5" t="inlineStr">
        <x:is>
          <x:t xml:space="preserve">大连市普湾新区松木岛化工园区沐百路18号</x:t>
        </x:is>
      </x:c>
      <x:c r="K4981" s="12" t="str">
        <x:f>LEFT("9121020075157569XU",18)</x:f>
        <x:v>9121020075157569XU</x:v>
      </x:c>
    </x:row>
    <x:row r="4982">
      <x:c r="A4982" s="2" t="n">
        <x:v>4981</x:v>
      </x:c>
      <x:c r="B4982" s="2" t="inlineStr">
        <x:is>
          <x:t xml:space="preserve">603396</x:t>
        </x:is>
      </x:c>
      <x:c r="C4982" s="3" t="inlineStr">
        <x:is>
          <x:t xml:space="preserve">金辰股份</x:t>
        </x:is>
      </x:c>
      <x:c r="D4982" s="3" t="inlineStr">
        <x:is>
          <x:t xml:space="preserve">营口金辰机械股份有限公司</x:t>
        </x:is>
      </x:c>
      <x:c r="E4982" s="2" t="inlineStr">
        <x:is>
          <x:t xml:space="preserve">辽宁省</x:t>
        </x:is>
      </x:c>
      <x:c r="F4982" s="2" t="inlineStr">
        <x:is>
          <x:t xml:space="preserve">营口市</x:t>
        </x:is>
      </x:c>
      <x:c r="G4982" s="3" t="inlineStr">
        <x:is>
          <x:t xml:space="preserve">辽宁省-营口市</x:t>
        </x:is>
      </x:c>
      <x:c r="H4982" s="2" t="inlineStr">
        <x:is>
          <x:t xml:space="preserve">光伏设备</x:t>
        </x:is>
      </x:c>
      <x:c r="I4982" s="2" t="inlineStr">
        <x:is>
          <x:t xml:space="preserve">2017-10-18</x:t>
        </x:is>
      </x:c>
      <x:c r="J4982" s="3" t="inlineStr">
        <x:is>
          <x:t xml:space="preserve">辽宁省营口市西市区新港大街95号</x:t>
        </x:is>
      </x:c>
      <x:c r="K4982" s="12" t="str">
        <x:f>LEFT("91210800765420138L",18)</x:f>
        <x:v>91210800765420138L</x:v>
      </x:c>
    </x:row>
    <x:row r="4983">
      <x:c r="A4983" s="4" t="n">
        <x:v>4982</x:v>
      </x:c>
      <x:c r="B4983" s="4" t="inlineStr">
        <x:is>
          <x:t xml:space="preserve">603399</x:t>
        </x:is>
      </x:c>
      <x:c r="C4983" s="5" t="inlineStr">
        <x:is>
          <x:t xml:space="preserve">永杉锂业</x:t>
        </x:is>
      </x:c>
      <x:c r="D4983" s="5" t="inlineStr">
        <x:is>
          <x:t xml:space="preserve">锦州永杉锂业股份有限公司</x:t>
        </x:is>
      </x:c>
      <x:c r="E4983" s="4" t="inlineStr">
        <x:is>
          <x:t xml:space="preserve">辽宁省</x:t>
        </x:is>
      </x:c>
      <x:c r="F4983" s="4" t="inlineStr">
        <x:is>
          <x:t xml:space="preserve">宁省凌海市</x:t>
        </x:is>
      </x:c>
      <x:c r="G4983" s="5" t="inlineStr">
        <x:is>
          <x:t xml:space="preserve">辽宁省-宁省凌海市</x:t>
        </x:is>
      </x:c>
      <x:c r="H4983" s="4" t="inlineStr">
        <x:is>
          <x:t xml:space="preserve">小金属</x:t>
        </x:is>
      </x:c>
      <x:c r="I4983" s="4" t="inlineStr">
        <x:is>
          <x:t xml:space="preserve">2012-08-24</x:t>
        </x:is>
      </x:c>
      <x:c r="J4983" s="5" t="inlineStr">
        <x:is>
          <x:t xml:space="preserve">辽宁省凌海市大有乡双庙农场</x:t>
        </x:is>
      </x:c>
      <x:c r="K4983" s="12" t="str">
        <x:f>LEFT("91210700749779175E",18)</x:f>
        <x:v>91210700749779175E</x:v>
      </x:c>
    </x:row>
    <x:row r="4984">
      <x:c r="A4984" s="2" t="n">
        <x:v>4983</x:v>
      </x:c>
      <x:c r="B4984" s="2" t="inlineStr">
        <x:is>
          <x:t xml:space="preserve">603609</x:t>
        </x:is>
      </x:c>
      <x:c r="C4984" s="3" t="inlineStr">
        <x:is>
          <x:t xml:space="preserve">禾丰股份</x:t>
        </x:is>
      </x:c>
      <x:c r="D4984" s="3" t="inlineStr">
        <x:is>
          <x:t xml:space="preserve">禾丰食品股份有限公司</x:t>
        </x:is>
      </x:c>
      <x:c r="E4984" s="2" t="inlineStr">
        <x:is>
          <x:t xml:space="preserve">辽宁省</x:t>
        </x:is>
      </x:c>
      <x:c r="F4984" s="2" t="inlineStr">
        <x:is>
          <x:t xml:space="preserve">沈阳市</x:t>
        </x:is>
      </x:c>
      <x:c r="G4984" s="3" t="inlineStr">
        <x:is>
          <x:t xml:space="preserve">辽宁省-沈阳市</x:t>
        </x:is>
      </x:c>
      <x:c r="H4984" s="2" t="inlineStr">
        <x:is>
          <x:t xml:space="preserve">农牧饲渔</x:t>
        </x:is>
      </x:c>
      <x:c r="I4984" s="2" t="inlineStr">
        <x:is>
          <x:t xml:space="preserve">2014-08-08</x:t>
        </x:is>
      </x:c>
      <x:c r="J4984" s="3" t="inlineStr">
        <x:is>
          <x:t xml:space="preserve">辽宁省沈阳市沈北新区辉山大街169号</x:t>
        </x:is>
      </x:c>
      <x:c r="K4984" s="12" t="str">
        <x:f>LEFT("9121000074712989XU",18)</x:f>
        <x:v>9121000074712989XU</x:v>
      </x:c>
    </x:row>
    <x:row r="4985">
      <x:c r="A4985" s="4" t="n">
        <x:v>4984</x:v>
      </x:c>
      <x:c r="B4985" s="4" t="inlineStr">
        <x:is>
          <x:t xml:space="preserve">603866</x:t>
        </x:is>
      </x:c>
      <x:c r="C4985" s="5" t="inlineStr">
        <x:is>
          <x:t xml:space="preserve">桃李面包</x:t>
        </x:is>
      </x:c>
      <x:c r="D4985" s="5" t="inlineStr">
        <x:is>
          <x:t xml:space="preserve">桃李面包股份有限公司</x:t>
        </x:is>
      </x:c>
      <x:c r="E4985" s="4" t="inlineStr">
        <x:is>
          <x:t xml:space="preserve">辽宁省</x:t>
        </x:is>
      </x:c>
      <x:c r="F4985" s="4" t="inlineStr">
        <x:is>
          <x:t xml:space="preserve">沈阳市</x:t>
        </x:is>
      </x:c>
      <x:c r="G4985" s="5" t="inlineStr">
        <x:is>
          <x:t xml:space="preserve">辽宁省-沈阳市</x:t>
        </x:is>
      </x:c>
      <x:c r="H4985" s="4" t="inlineStr">
        <x:is>
          <x:t xml:space="preserve">食品饮料</x:t>
        </x:is>
      </x:c>
      <x:c r="I4985" s="4" t="inlineStr">
        <x:is>
          <x:t xml:space="preserve">2015-12-22</x:t>
        </x:is>
      </x:c>
      <x:c r="J4985" s="5" t="inlineStr">
        <x:is>
          <x:t xml:space="preserve">辽宁省沈阳市苏家屯区机场路1066号</x:t>
        </x:is>
      </x:c>
      <x:c r="K4985" s="12" t="str">
        <x:f>LEFT("91210100242588126L",18)</x:f>
        <x:v>91210100242588126L</x:v>
      </x:c>
    </x:row>
    <x:row r="4986">
      <x:c r="A4986" s="2" t="n">
        <x:v>4985</x:v>
      </x:c>
      <x:c r="B4986" s="2" t="inlineStr">
        <x:is>
          <x:t xml:space="preserve">688037</x:t>
        </x:is>
      </x:c>
      <x:c r="C4986" s="3" t="inlineStr">
        <x:is>
          <x:t xml:space="preserve">芯源微</x:t>
        </x:is>
      </x:c>
      <x:c r="D4986" s="3" t="inlineStr">
        <x:is>
          <x:t xml:space="preserve">沈阳芯源微电子设备股份有限公司</x:t>
        </x:is>
      </x:c>
      <x:c r="E4986" s="2" t="inlineStr">
        <x:is>
          <x:t xml:space="preserve">辽宁省</x:t>
        </x:is>
      </x:c>
      <x:c r="F4986" s="2" t="inlineStr">
        <x:is>
          <x:t xml:space="preserve">沈阳市</x:t>
        </x:is>
      </x:c>
      <x:c r="G4986" s="3" t="inlineStr">
        <x:is>
          <x:t xml:space="preserve">辽宁省-沈阳市</x:t>
        </x:is>
      </x:c>
      <x:c r="H4986" s="2" t="inlineStr">
        <x:is>
          <x:t xml:space="preserve">半导体</x:t>
        </x:is>
      </x:c>
      <x:c r="I4986" s="2" t="inlineStr">
        <x:is>
          <x:t xml:space="preserve">2019-12-16</x:t>
        </x:is>
      </x:c>
      <x:c r="J4986" s="3" t="inlineStr">
        <x:is>
          <x:t xml:space="preserve">辽宁省沈阳市浑南区飞云路16号</x:t>
        </x:is>
      </x:c>
      <x:c r="K4986" s="12" t="str">
        <x:f>LEFT("9121011274273568XC",18)</x:f>
        <x:v>9121011274273568XC</x:v>
      </x:c>
    </x:row>
    <x:row r="4987">
      <x:c r="A4987" s="4" t="n">
        <x:v>4986</x:v>
      </x:c>
      <x:c r="B4987" s="4" t="inlineStr">
        <x:is>
          <x:t xml:space="preserve">688072</x:t>
        </x:is>
      </x:c>
      <x:c r="C4987" s="5" t="inlineStr">
        <x:is>
          <x:t xml:space="preserve">拓荆科技</x:t>
        </x:is>
      </x:c>
      <x:c r="D4987" s="5" t="inlineStr">
        <x:is>
          <x:t xml:space="preserve">拓荆科技股份有限公司</x:t>
        </x:is>
      </x:c>
      <x:c r="E4987" s="4" t="inlineStr">
        <x:is>
          <x:t xml:space="preserve">辽宁省</x:t>
        </x:is>
      </x:c>
      <x:c r="F4987" s="4" t="inlineStr">
        <x:is>
          <x:t xml:space="preserve">沈阳市</x:t>
        </x:is>
      </x:c>
      <x:c r="G4987" s="5" t="inlineStr">
        <x:is>
          <x:t xml:space="preserve">辽宁省-沈阳市</x:t>
        </x:is>
      </x:c>
      <x:c r="H4987" s="4" t="inlineStr">
        <x:is>
          <x:t xml:space="preserve">半导体</x:t>
        </x:is>
      </x:c>
      <x:c r="I4987" s="4" t="inlineStr">
        <x:is>
          <x:t xml:space="preserve">2022-04-20</x:t>
        </x:is>
      </x:c>
      <x:c r="J4987" s="5" t="inlineStr">
        <x:is>
          <x:t xml:space="preserve">辽宁省沈阳市浑南区全运路109-3号(109-3号)14层</x:t>
        </x:is>
      </x:c>
      <x:c r="K4987" s="12" t="str">
        <x:f>LEFT("912101005507946696",18)</x:f>
        <x:v>912101005507946800</x:v>
      </x:c>
    </x:row>
    <x:row r="4988">
      <x:c r="A4988" s="2" t="n">
        <x:v>4987</x:v>
      </x:c>
      <x:c r="B4988" s="2" t="inlineStr">
        <x:is>
          <x:t xml:space="preserve">688233</x:t>
        </x:is>
      </x:c>
      <x:c r="C4988" s="3" t="inlineStr">
        <x:is>
          <x:t xml:space="preserve">神工股份</x:t>
        </x:is>
      </x:c>
      <x:c r="D4988" s="3" t="inlineStr">
        <x:is>
          <x:t xml:space="preserve">锦州神工半导体股份有限公司</x:t>
        </x:is>
      </x:c>
      <x:c r="E4988" s="2" t="inlineStr">
        <x:is>
          <x:t xml:space="preserve">辽宁省</x:t>
        </x:is>
      </x:c>
      <x:c r="F4988" s="2" t="inlineStr">
        <x:is>
          <x:t xml:space="preserve">锦州市</x:t>
        </x:is>
      </x:c>
      <x:c r="G4988" s="3" t="inlineStr">
        <x:is>
          <x:t xml:space="preserve">辽宁省-锦州市</x:t>
        </x:is>
      </x:c>
      <x:c r="H4988" s="2" t="inlineStr">
        <x:is>
          <x:t xml:space="preserve">半导体</x:t>
        </x:is>
      </x:c>
      <x:c r="I4988" s="2" t="inlineStr">
        <x:is>
          <x:t xml:space="preserve">2020-02-21</x:t>
        </x:is>
      </x:c>
      <x:c r="J4988" s="3" t="inlineStr">
        <x:is>
          <x:t xml:space="preserve">辽宁省锦州市太和区中信路46号甲</x:t>
        </x:is>
      </x:c>
      <x:c r="K4988" s="12" t="str">
        <x:f>LEFT("912107000721599341",18)</x:f>
        <x:v>912107000721599400</x:v>
      </x:c>
    </x:row>
    <x:row r="4989">
      <x:c r="A4989" s="4" t="n">
        <x:v>4988</x:v>
      </x:c>
      <x:c r="B4989" s="4" t="inlineStr">
        <x:is>
          <x:t xml:space="preserve">688267</x:t>
        </x:is>
      </x:c>
      <x:c r="C4989" s="5" t="inlineStr">
        <x:is>
          <x:t xml:space="preserve">中触媒</x:t>
        </x:is>
      </x:c>
      <x:c r="D4989" s="5" t="inlineStr">
        <x:is>
          <x:t xml:space="preserve">中触媒新材料股份有限公司</x:t>
        </x:is>
      </x:c>
      <x:c r="E4989" s="4" t="inlineStr">
        <x:is>
          <x:t xml:space="preserve">辽宁省</x:t>
        </x:is>
      </x:c>
      <x:c r="F4989" s="4" t="inlineStr">
        <x:is>
          <x:t xml:space="preserve">大连市</x:t>
        </x:is>
      </x:c>
      <x:c r="G4989" s="5" t="inlineStr">
        <x:is>
          <x:t xml:space="preserve">辽宁省-大连市</x:t>
        </x:is>
      </x:c>
      <x:c r="H4989" s="4" t="inlineStr">
        <x:is>
          <x:t xml:space="preserve">化学原料</x:t>
        </x:is>
      </x:c>
      <x:c r="I4989" s="4" t="inlineStr">
        <x:is>
          <x:t xml:space="preserve">2022-02-16</x:t>
        </x:is>
      </x:c>
      <x:c r="J4989" s="5" t="inlineStr">
        <x:is>
          <x:t xml:space="preserve">辽宁省大连普湾新区松木岛化工园区</x:t>
        </x:is>
      </x:c>
      <x:c r="K4989" s="12" t="str">
        <x:f>LEFT("91210200677529168F",18)</x:f>
        <x:v>91210200677529168F</x:v>
      </x:c>
    </x:row>
    <x:row r="4990">
      <x:c r="A4990" s="2" t="n">
        <x:v>4989</x:v>
      </x:c>
      <x:c r="B4990" s="2" t="inlineStr">
        <x:is>
          <x:t xml:space="preserve">688305</x:t>
        </x:is>
      </x:c>
      <x:c r="C4990" s="3" t="inlineStr">
        <x:is>
          <x:t xml:space="preserve">科德数控</x:t>
        </x:is>
      </x:c>
      <x:c r="D4990" s="3" t="inlineStr">
        <x:is>
          <x:t xml:space="preserve">科德数控股份有限公司</x:t>
        </x:is>
      </x:c>
      <x:c r="E4990" s="2" t="inlineStr">
        <x:is>
          <x:t xml:space="preserve">辽宁省</x:t>
        </x:is>
      </x:c>
      <x:c r="F4990" s="2" t="inlineStr">
        <x:is>
          <x:t xml:space="preserve">大连市</x:t>
        </x:is>
      </x:c>
      <x:c r="G4990" s="3" t="inlineStr">
        <x:is>
          <x:t xml:space="preserve">辽宁省-大连市</x:t>
        </x:is>
      </x:c>
      <x:c r="H4990" s="2" t="inlineStr">
        <x:is>
          <x:t xml:space="preserve">机械行业</x:t>
        </x:is>
      </x:c>
      <x:c r="I4990" s="2" t="inlineStr">
        <x:is>
          <x:t xml:space="preserve">2021-07-09</x:t>
        </x:is>
      </x:c>
      <x:c r="J4990" s="3" t="inlineStr">
        <x:is>
          <x:t xml:space="preserve">辽宁省大连经济技术开发区天府街1-2-1号1层</x:t>
        </x:is>
      </x:c>
      <x:c r="K4990" s="12" t="str">
        <x:f>LEFT("91210200669220902M",18)</x:f>
        <x:v>91210200669220902M</x:v>
      </x:c>
    </x:row>
    <x:row r="4991">
      <x:c r="A4991" s="4" t="n">
        <x:v>4990</x:v>
      </x:c>
      <x:c r="B4991" s="4" t="inlineStr">
        <x:is>
          <x:t xml:space="preserve">688409</x:t>
        </x:is>
      </x:c>
      <x:c r="C4991" s="5" t="inlineStr">
        <x:is>
          <x:t xml:space="preserve">富创精密</x:t>
        </x:is>
      </x:c>
      <x:c r="D4991" s="5" t="inlineStr">
        <x:is>
          <x:t xml:space="preserve">沈阳富创精密设备股份有限公司</x:t>
        </x:is>
      </x:c>
      <x:c r="E4991" s="4" t="inlineStr">
        <x:is>
          <x:t xml:space="preserve">辽宁省</x:t>
        </x:is>
      </x:c>
      <x:c r="F4991" s="4" t="inlineStr">
        <x:is>
          <x:t xml:space="preserve">沈阳市</x:t>
        </x:is>
      </x:c>
      <x:c r="G4991" s="5" t="inlineStr">
        <x:is>
          <x:t xml:space="preserve">辽宁省-沈阳市</x:t>
        </x:is>
      </x:c>
      <x:c r="H4991" s="4" t="inlineStr">
        <x:is>
          <x:t xml:space="preserve">半导体</x:t>
        </x:is>
      </x:c>
      <x:c r="I4991" s="4" t="inlineStr">
        <x:is>
          <x:t xml:space="preserve">2022-10-10</x:t>
        </x:is>
      </x:c>
      <x:c r="J4991" s="5" t="inlineStr">
        <x:is>
          <x:t xml:space="preserve">辽宁省沈阳市浑南区飞云路18甲-1号</x:t>
        </x:is>
      </x:c>
      <x:c r="K4991" s="12" t="str">
        <x:f>LEFT("91210112675314948L",18)</x:f>
        <x:v>91210112675314948L</x:v>
      </x:c>
    </x:row>
    <x:row r="4992">
      <x:c r="A4992" s="2" t="n">
        <x:v>4991</x:v>
      </x:c>
      <x:c r="B4992" s="2" t="inlineStr">
        <x:is>
          <x:t xml:space="preserve">688529</x:t>
        </x:is>
      </x:c>
      <x:c r="C4992" s="3" t="inlineStr">
        <x:is>
          <x:t xml:space="preserve">豪森智能</x:t>
        </x:is>
      </x:c>
      <x:c r="D4992" s="3" t="inlineStr">
        <x:is>
          <x:t xml:space="preserve">大连豪森智能制造股份有限公司</x:t>
        </x:is>
      </x:c>
      <x:c r="E4992" s="2" t="inlineStr">
        <x:is>
          <x:t xml:space="preserve">辽宁省</x:t>
        </x:is>
      </x:c>
      <x:c r="F4992" s="2" t="inlineStr">
        <x:is>
          <x:t xml:space="preserve">大连市</x:t>
        </x:is>
      </x:c>
      <x:c r="G4992" s="3" t="inlineStr">
        <x:is>
          <x:t xml:space="preserve">辽宁省-大连市</x:t>
        </x:is>
      </x:c>
      <x:c r="H4992" s="2" t="inlineStr">
        <x:is>
          <x:t xml:space="preserve">专用设备</x:t>
        </x:is>
      </x:c>
      <x:c r="I4992" s="2" t="inlineStr">
        <x:is>
          <x:t xml:space="preserve">2020-11-09</x:t>
        </x:is>
      </x:c>
      <x:c r="J4992" s="3" t="inlineStr">
        <x:is>
          <x:t xml:space="preserve">辽宁省大连市甘井子区营城子工业园区</x:t>
        </x:is>
      </x:c>
      <x:c r="K4992" s="12" t="str">
        <x:f>LEFT("9121020074093049XF",18)</x:f>
        <x:v>9121020074093049XF</x:v>
      </x:c>
    </x:row>
    <x:row r="4993">
      <x:c r="A4993" s="4" t="n">
        <x:v>4992</x:v>
      </x:c>
      <x:c r="B4993" s="4" t="inlineStr">
        <x:is>
          <x:t xml:space="preserve">688739</x:t>
        </x:is>
      </x:c>
      <x:c r="C4993" s="5" t="inlineStr">
        <x:is>
          <x:t xml:space="preserve">成大生物</x:t>
        </x:is>
      </x:c>
      <x:c r="D4993" s="5" t="inlineStr">
        <x:is>
          <x:t xml:space="preserve">辽宁成大生物股份有限公司</x:t>
        </x:is>
      </x:c>
      <x:c r="E4993" s="4" t="inlineStr">
        <x:is>
          <x:t xml:space="preserve">辽宁省</x:t>
        </x:is>
      </x:c>
      <x:c r="F4993" s="4" t="inlineStr">
        <x:is>
          <x:t xml:space="preserve">沈阳市</x:t>
        </x:is>
      </x:c>
      <x:c r="G4993" s="5" t="inlineStr">
        <x:is>
          <x:t xml:space="preserve">辽宁省-沈阳市</x:t>
        </x:is>
      </x:c>
      <x:c r="H4993" s="4" t="inlineStr">
        <x:is>
          <x:t xml:space="preserve">生物制品</x:t>
        </x:is>
      </x:c>
      <x:c r="I4993" s="4" t="inlineStr">
        <x:is>
          <x:t xml:space="preserve">2021-10-28</x:t>
        </x:is>
      </x:c>
      <x:c r="J4993" s="5" t="inlineStr">
        <x:is>
          <x:t xml:space="preserve">沈阳市浑南新区新放街1号</x:t>
        </x:is>
      </x:c>
      <x:c r="K4993" s="12" t="str">
        <x:f>LEFT("91210000738792171J",18)</x:f>
        <x:v>91210000738792171J</x:v>
      </x:c>
    </x:row>
    <x:row r="4994">
      <x:c r="A4994" s="2" t="n">
        <x:v>4993</x:v>
      </x:c>
      <x:c r="B4994" s="2" t="inlineStr">
        <x:is>
          <x:t xml:space="preserve">000514</x:t>
        </x:is>
      </x:c>
      <x:c r="C4994" s="3" t="inlineStr">
        <x:is>
          <x:t xml:space="preserve">渝开发</x:t>
        </x:is>
      </x:c>
      <x:c r="D4994" s="3" t="inlineStr">
        <x:is>
          <x:t xml:space="preserve">重庆渝开发股份有限公司</x:t>
        </x:is>
      </x:c>
      <x:c r="E4994" s="2" t="inlineStr">
        <x:is>
          <x:t xml:space="preserve">重庆市</x:t>
        </x:is>
      </x:c>
      <x:c r="F4994" s="2" t="inlineStr">
        <x:is>
          <x:t xml:space="preserve">重庆市</x:t>
        </x:is>
      </x:c>
      <x:c r="G4994" s="3" t="inlineStr">
        <x:is>
          <x:t xml:space="preserve">重庆市-重庆市</x:t>
        </x:is>
      </x:c>
      <x:c r="H4994" s="2" t="inlineStr">
        <x:is>
          <x:t xml:space="preserve">房地产</x:t>
        </x:is>
      </x:c>
      <x:c r="I4994" s="2" t="inlineStr">
        <x:is>
          <x:t xml:space="preserve">1993-07-12</x:t>
        </x:is>
      </x:c>
      <x:c r="J4994" s="3" t="inlineStr">
        <x:is>
          <x:t xml:space="preserve">重庆市南岸区江南大道2号1栋2单元52-1</x:t>
        </x:is>
      </x:c>
      <x:c r="K4994" s="12" t="str">
        <x:f>LEFT("91500000202809457F",18)</x:f>
        <x:v>91500000202809457F</x:v>
      </x:c>
    </x:row>
    <x:row r="4995">
      <x:c r="A4995" s="4" t="n">
        <x:v>4994</x:v>
      </x:c>
      <x:c r="B4995" s="4" t="inlineStr">
        <x:is>
          <x:t xml:space="preserve">000565</x:t>
        </x:is>
      </x:c>
      <x:c r="C4995" s="5" t="inlineStr">
        <x:is>
          <x:t xml:space="preserve">渝三峡A</x:t>
        </x:is>
      </x:c>
      <x:c r="D4995" s="5" t="inlineStr">
        <x:is>
          <x:t xml:space="preserve">重庆三峡油漆股份有限公司</x:t>
        </x:is>
      </x:c>
      <x:c r="E4995" s="4" t="inlineStr">
        <x:is>
          <x:t xml:space="preserve">重庆市</x:t>
        </x:is>
      </x:c>
      <x:c r="F4995" s="4" t="inlineStr">
        <x:is>
          <x:t xml:space="preserve">重庆市</x:t>
        </x:is>
      </x:c>
      <x:c r="G4995" s="5" t="inlineStr">
        <x:is>
          <x:t xml:space="preserve">重庆市-重庆市</x:t>
        </x:is>
      </x:c>
      <x:c r="H4995" s="4" t="inlineStr">
        <x:is>
          <x:t xml:space="preserve">化工行业</x:t>
        </x:is>
      </x:c>
      <x:c r="I4995" s="4" t="inlineStr">
        <x:is>
          <x:t xml:space="preserve">1994-04-08</x:t>
        </x:is>
      </x:c>
      <x:c r="J4995" s="5" t="inlineStr">
        <x:is>
          <x:t xml:space="preserve">重庆江津区德感工业园区</x:t>
        </x:is>
      </x:c>
      <x:c r="K4995" s="12" t="str">
        <x:f>LEFT("9150000020313093X8",18)</x:f>
        <x:v>9150000020313093X8</x:v>
      </x:c>
    </x:row>
    <x:row r="4996">
      <x:c r="A4996" s="2" t="n">
        <x:v>4995</x:v>
      </x:c>
      <x:c r="B4996" s="2" t="inlineStr">
        <x:is>
          <x:t xml:space="preserve">000591</x:t>
        </x:is>
      </x:c>
      <x:c r="C4996" s="3" t="inlineStr">
        <x:is>
          <x:t xml:space="preserve">太阳能</x:t>
        </x:is>
      </x:c>
      <x:c r="D4996" s="3" t="inlineStr">
        <x:is>
          <x:t xml:space="preserve">中节能太阳能股份有限公司</x:t>
        </x:is>
      </x:c>
      <x:c r="E4996" s="2" t="inlineStr">
        <x:is>
          <x:t xml:space="preserve">重庆市</x:t>
        </x:is>
      </x:c>
      <x:c r="F4996" s="2" t="inlineStr">
        <x:is>
          <x:t xml:space="preserve">重庆市</x:t>
        </x:is>
      </x:c>
      <x:c r="G4996" s="3" t="inlineStr">
        <x:is>
          <x:t xml:space="preserve">重庆市-重庆市</x:t>
        </x:is>
      </x:c>
      <x:c r="H4996" s="2" t="inlineStr">
        <x:is>
          <x:t xml:space="preserve">电力行业</x:t>
        </x:is>
      </x:c>
      <x:c r="I4996" s="2" t="inlineStr">
        <x:is>
          <x:t xml:space="preserve">1996-02-08</x:t>
        </x:is>
      </x:c>
      <x:c r="J4996" s="3" t="inlineStr">
        <x:is>
          <x:t xml:space="preserve">重庆市渝中区中山三路131号希尔顿商务中心19楼G</x:t>
        </x:is>
      </x:c>
      <x:c r="K4996" s="12" t="str">
        <x:f>LEFT("91500000202819532B",18)</x:f>
        <x:v>91500000202819532B</x:v>
      </x:c>
    </x:row>
    <x:row r="4997">
      <x:c r="A4997" s="4" t="n">
        <x:v>4996</x:v>
      </x:c>
      <x:c r="B4997" s="4" t="inlineStr">
        <x:is>
          <x:t xml:space="preserve">000625</x:t>
        </x:is>
      </x:c>
      <x:c r="C4997" s="5" t="inlineStr">
        <x:is>
          <x:t xml:space="preserve">长安汽车</x:t>
        </x:is>
      </x:c>
      <x:c r="D4997" s="5" t="inlineStr">
        <x:is>
          <x:t xml:space="preserve">重庆长安汽车股份有限公司</x:t>
        </x:is>
      </x:c>
      <x:c r="E4997" s="4" t="inlineStr">
        <x:is>
          <x:t xml:space="preserve">重庆市</x:t>
        </x:is>
      </x:c>
      <x:c r="F4997" s="4" t="inlineStr">
        <x:is>
          <x:t xml:space="preserve">重庆市</x:t>
        </x:is>
      </x:c>
      <x:c r="G4997" s="5" t="inlineStr">
        <x:is>
          <x:t xml:space="preserve">重庆市-重庆市</x:t>
        </x:is>
      </x:c>
      <x:c r="H4997" s="4" t="inlineStr">
        <x:is>
          <x:t xml:space="preserve">汽车整车</x:t>
        </x:is>
      </x:c>
      <x:c r="I4997" s="4" t="inlineStr">
        <x:is>
          <x:t xml:space="preserve">1997-06-10</x:t>
        </x:is>
      </x:c>
      <x:c r="J4997" s="5" t="inlineStr">
        <x:is>
          <x:t xml:space="preserve">重庆市江北区建新东路260号</x:t>
        </x:is>
      </x:c>
      <x:c r="K4997" s="12" t="str">
        <x:f>LEFT("9150000020286320X6",18)</x:f>
        <x:v>9150000020286320X6</x:v>
      </x:c>
    </x:row>
    <x:row r="4998">
      <x:c r="A4998" s="2" t="n">
        <x:v>4997</x:v>
      </x:c>
      <x:c r="B4998" s="2" t="inlineStr">
        <x:is>
          <x:t xml:space="preserve">000656</x:t>
        </x:is>
      </x:c>
      <x:c r="C4998" s="3" t="inlineStr">
        <x:is>
          <x:t xml:space="preserve">*ST金科</x:t>
        </x:is>
      </x:c>
      <x:c r="D4998" s="3" t="inlineStr">
        <x:is>
          <x:t xml:space="preserve">金科地产集团股份有限公司</x:t>
        </x:is>
      </x:c>
      <x:c r="E4998" s="2" t="inlineStr">
        <x:is>
          <x:t xml:space="preserve">重庆市</x:t>
        </x:is>
      </x:c>
      <x:c r="F4998" s="2" t="inlineStr">
        <x:is>
          <x:t xml:space="preserve">重庆市</x:t>
        </x:is>
      </x:c>
      <x:c r="G4998" s="3" t="inlineStr">
        <x:is>
          <x:t xml:space="preserve">重庆市-重庆市</x:t>
        </x:is>
      </x:c>
      <x:c r="H4998" s="2" t="inlineStr">
        <x:is>
          <x:t xml:space="preserve">房地产</x:t>
        </x:is>
      </x:c>
      <x:c r="I4998" s="2" t="inlineStr">
        <x:is>
          <x:t xml:space="preserve">1996-11-28</x:t>
        </x:is>
      </x:c>
      <x:c r="J4998" s="3" t="inlineStr">
        <x:is>
          <x:t xml:space="preserve">重庆市江北区复盛镇正街(政府大楼)</x:t>
        </x:is>
      </x:c>
      <x:c r="K4998" s="12" t="str">
        <x:f>LEFT("91500000202893468X",18)</x:f>
        <x:v>91500000202893468X</x:v>
      </x:c>
    </x:row>
    <x:row r="4999">
      <x:c r="A4999" s="4" t="n">
        <x:v>4998</x:v>
      </x:c>
      <x:c r="B4999" s="4" t="inlineStr">
        <x:is>
          <x:t xml:space="preserve">000736</x:t>
        </x:is>
      </x:c>
      <x:c r="C4999" s="5" t="inlineStr">
        <x:is>
          <x:t xml:space="preserve">*ST中地</x:t>
        </x:is>
      </x:c>
      <x:c r="D4999" s="5" t="inlineStr">
        <x:is>
          <x:t xml:space="preserve">中交地产股份有限公司</x:t>
        </x:is>
      </x:c>
      <x:c r="E4999" s="4" t="inlineStr">
        <x:is>
          <x:t xml:space="preserve">重庆市</x:t>
        </x:is>
      </x:c>
      <x:c r="F4999" s="4" t="inlineStr">
        <x:is>
          <x:t xml:space="preserve">重庆市</x:t>
        </x:is>
      </x:c>
      <x:c r="G4999" s="5" t="inlineStr">
        <x:is>
          <x:t xml:space="preserve">重庆市-重庆市</x:t>
        </x:is>
      </x:c>
      <x:c r="H4999" s="4" t="inlineStr">
        <x:is>
          <x:t xml:space="preserve">房地产</x:t>
        </x:is>
      </x:c>
      <x:c r="I4999" s="4" t="inlineStr">
        <x:is>
          <x:t xml:space="preserve">1997-04-25</x:t>
        </x:is>
      </x:c>
      <x:c r="J4999" s="5" t="inlineStr">
        <x:is>
          <x:t xml:space="preserve">重庆市江北区观音桥建新北路86号</x:t>
        </x:is>
      </x:c>
      <x:c r="K4999" s="12" t="str">
        <x:f>LEFT("915000002028133840",18)</x:f>
        <x:v>915000002028133900</x:v>
      </x:c>
    </x:row>
    <x:row r="5000">
      <x:c r="A5000" s="2" t="n">
        <x:v>4999</x:v>
      </x:c>
      <x:c r="B5000" s="2" t="inlineStr">
        <x:is>
          <x:t xml:space="preserve">000788</x:t>
        </x:is>
      </x:c>
      <x:c r="C5000" s="3" t="inlineStr">
        <x:is>
          <x:t xml:space="preserve">北大医药</x:t>
        </x:is>
      </x:c>
      <x:c r="D5000" s="3" t="inlineStr">
        <x:is>
          <x:t xml:space="preserve">北大医药股份有限公司</x:t>
        </x:is>
      </x:c>
      <x:c r="E5000" s="2" t="inlineStr">
        <x:is>
          <x:t xml:space="preserve">重庆市</x:t>
        </x:is>
      </x:c>
      <x:c r="F5000" s="2" t="inlineStr">
        <x:is>
          <x:t xml:space="preserve">重庆市</x:t>
        </x:is>
      </x:c>
      <x:c r="G5000" s="3" t="inlineStr">
        <x:is>
          <x:t xml:space="preserve">重庆市-重庆市</x:t>
        </x:is>
      </x:c>
      <x:c r="H5000" s="2" t="inlineStr">
        <x:is>
          <x:t xml:space="preserve">医药制造</x:t>
        </x:is>
      </x:c>
      <x:c r="I5000" s="2" t="inlineStr">
        <x:is>
          <x:t xml:space="preserve">1997-06-16</x:t>
        </x:is>
      </x:c>
      <x:c r="J5000" s="3" t="inlineStr">
        <x:is>
          <x:t xml:space="preserve">重庆市北碚区水土镇方正大道21号</x:t>
        </x:is>
      </x:c>
      <x:c r="K5000" s="12" t="str">
        <x:f>LEFT("91500000450533779H",18)</x:f>
        <x:v>91500000450533779H</x:v>
      </x:c>
    </x:row>
    <x:row r="5001">
      <x:c r="A5001" s="4" t="n">
        <x:v>5000</x:v>
      </x:c>
      <x:c r="B5001" s="4" t="inlineStr">
        <x:is>
          <x:t xml:space="preserve">000838</x:t>
        </x:is>
      </x:c>
      <x:c r="C5001" s="5" t="inlineStr">
        <x:is>
          <x:t xml:space="preserve">财信发展</x:t>
        </x:is>
      </x:c>
      <x:c r="D5001" s="5" t="inlineStr">
        <x:is>
          <x:t xml:space="preserve">财信地产发展集团股份有限公司</x:t>
        </x:is>
      </x:c>
      <x:c r="E5001" s="4" t="inlineStr">
        <x:is>
          <x:t xml:space="preserve">重庆市</x:t>
        </x:is>
      </x:c>
      <x:c r="F5001" s="4" t="inlineStr">
        <x:is>
          <x:t xml:space="preserve">重庆市</x:t>
        </x:is>
      </x:c>
      <x:c r="G5001" s="5" t="inlineStr">
        <x:is>
          <x:t xml:space="preserve">重庆市-重庆市</x:t>
        </x:is>
      </x:c>
      <x:c r="H5001" s="4" t="inlineStr">
        <x:is>
          <x:t xml:space="preserve">房地产</x:t>
        </x:is>
      </x:c>
      <x:c r="I5001" s="4" t="inlineStr">
        <x:is>
          <x:t xml:space="preserve">1997-06-26</x:t>
        </x:is>
      </x:c>
      <x:c r="J5001" s="5" t="inlineStr">
        <x:is>
          <x:t xml:space="preserve">重庆市江北区红黄路1号1幢24楼</x:t>
        </x:is>
      </x:c>
      <x:c r="K5001" s="12" t="str">
        <x:f>LEFT("911100002051092291",18)</x:f>
        <x:v>911100002051092400</x:v>
      </x:c>
    </x:row>
    <x:row r="5002">
      <x:c r="A5002" s="2" t="n">
        <x:v>5001</x:v>
      </x:c>
      <x:c r="B5002" s="2" t="inlineStr">
        <x:is>
          <x:t xml:space="preserve">000892</x:t>
        </x:is>
      </x:c>
      <x:c r="C5002" s="3" t="inlineStr">
        <x:is>
          <x:t xml:space="preserve">欢瑞世纪</x:t>
        </x:is>
      </x:c>
      <x:c r="D5002" s="3" t="inlineStr">
        <x:is>
          <x:t xml:space="preserve">欢瑞世纪联合股份有限公司</x:t>
        </x:is>
      </x:c>
      <x:c r="E5002" s="2" t="inlineStr">
        <x:is>
          <x:t xml:space="preserve">重庆市</x:t>
        </x:is>
      </x:c>
      <x:c r="F5002" s="2" t="inlineStr">
        <x:is>
          <x:t xml:space="preserve">重庆市</x:t>
        </x:is>
      </x:c>
      <x:c r="G5002" s="3" t="inlineStr">
        <x:is>
          <x:t xml:space="preserve">重庆市-重庆市</x:t>
        </x:is>
      </x:c>
      <x:c r="H5002" s="2" t="inlineStr">
        <x:is>
          <x:t xml:space="preserve">文化传媒</x:t>
        </x:is>
      </x:c>
      <x:c r="I5002" s="2" t="inlineStr">
        <x:is>
          <x:t xml:space="preserve">1999-01-15</x:t>
        </x:is>
      </x:c>
      <x:c r="J5002" s="3" t="inlineStr">
        <x:is>
          <x:t xml:space="preserve">重庆市涪陵区人民东路50号</x:t>
        </x:is>
      </x:c>
      <x:c r="K5002" s="12" t="str">
        <x:f>LEFT("91500102208507636N",18)</x:f>
        <x:v>91500102208507636N</x:v>
      </x:c>
    </x:row>
    <x:row r="5003">
      <x:c r="A5003" s="4" t="n">
        <x:v>5002</x:v>
      </x:c>
      <x:c r="B5003" s="4" t="inlineStr">
        <x:is>
          <x:t xml:space="preserve">000950</x:t>
        </x:is>
      </x:c>
      <x:c r="C5003" s="5" t="inlineStr">
        <x:is>
          <x:t xml:space="preserve">重药控股</x:t>
        </x:is>
      </x:c>
      <x:c r="D5003" s="5" t="inlineStr">
        <x:is>
          <x:t xml:space="preserve">重药控股股份有限公司</x:t>
        </x:is>
      </x:c>
      <x:c r="E5003" s="4" t="inlineStr">
        <x:is>
          <x:t xml:space="preserve">重庆市</x:t>
        </x:is>
      </x:c>
      <x:c r="F5003" s="4" t="inlineStr">
        <x:is>
          <x:t xml:space="preserve">重庆市</x:t>
        </x:is>
      </x:c>
      <x:c r="G5003" s="5" t="inlineStr">
        <x:is>
          <x:t xml:space="preserve">重庆市-重庆市</x:t>
        </x:is>
      </x:c>
      <x:c r="H5003" s="4" t="inlineStr">
        <x:is>
          <x:t xml:space="preserve">医药商业</x:t>
        </x:is>
      </x:c>
      <x:c r="I5003" s="4" t="inlineStr">
        <x:is>
          <x:t xml:space="preserve">1999-09-16</x:t>
        </x:is>
      </x:c>
      <x:c r="J5003" s="5" t="inlineStr">
        <x:is>
          <x:t xml:space="preserve">重庆市渝北区金石大道303号</x:t>
        </x:is>
      </x:c>
      <x:c r="K5003" s="12" t="str">
        <x:f>LEFT("91500000203296235J",18)</x:f>
        <x:v>91500000203296235J</x:v>
      </x:c>
    </x:row>
    <x:row r="5004">
      <x:c r="A5004" s="2" t="n">
        <x:v>5003</x:v>
      </x:c>
      <x:c r="B5004" s="2" t="inlineStr">
        <x:is>
          <x:t xml:space="preserve">001296</x:t>
        </x:is>
      </x:c>
      <x:c r="C5004" s="3" t="inlineStr">
        <x:is>
          <x:t xml:space="preserve">长江材料</x:t>
        </x:is>
      </x:c>
      <x:c r="D5004" s="3" t="inlineStr">
        <x:is>
          <x:t xml:space="preserve">重庆长江造型材料(集团)股份有限公司</x:t>
        </x:is>
      </x:c>
      <x:c r="E5004" s="2" t="inlineStr">
        <x:is>
          <x:t xml:space="preserve">重庆市</x:t>
        </x:is>
      </x:c>
      <x:c r="F5004" s="2" t="inlineStr">
        <x:is>
          <x:t xml:space="preserve">重庆市</x:t>
        </x:is>
      </x:c>
      <x:c r="G5004" s="3" t="inlineStr">
        <x:is>
          <x:t xml:space="preserve">重庆市-重庆市</x:t>
        </x:is>
      </x:c>
      <x:c r="H5004" s="2" t="inlineStr">
        <x:is>
          <x:t xml:space="preserve">非金属材料</x:t>
        </x:is>
      </x:c>
      <x:c r="I5004" s="2" t="inlineStr">
        <x:is>
          <x:t xml:space="preserve">2021-12-24</x:t>
        </x:is>
      </x:c>
      <x:c r="J5004" s="3" t="inlineStr">
        <x:is>
          <x:t xml:space="preserve">重庆市北碚区童家溪镇五星中路6号</x:t>
        </x:is>
      </x:c>
      <x:c r="K5004" s="12" t="str">
        <x:f>LEFT("91500109203237470J",18)</x:f>
        <x:v>91500109203237470J</x:v>
      </x:c>
    </x:row>
    <x:row r="5005">
      <x:c r="A5005" s="4" t="n">
        <x:v>5004</x:v>
      </x:c>
      <x:c r="B5005" s="4" t="inlineStr">
        <x:is>
          <x:t xml:space="preserve">001317</x:t>
        </x:is>
      </x:c>
      <x:c r="C5005" s="5" t="inlineStr">
        <x:is>
          <x:t xml:space="preserve">三羊马</x:t>
        </x:is>
      </x:c>
      <x:c r="D5005" s="5" t="inlineStr">
        <x:is>
          <x:t xml:space="preserve">三羊马(重庆)物流股份有限公司</x:t>
        </x:is>
      </x:c>
      <x:c r="E5005" s="4" t="inlineStr">
        <x:is>
          <x:t xml:space="preserve">重庆市</x:t>
        </x:is>
      </x:c>
      <x:c r="F5005" s="4" t="inlineStr">
        <x:is>
          <x:t xml:space="preserve">重庆市</x:t>
        </x:is>
      </x:c>
      <x:c r="G5005" s="5" t="inlineStr">
        <x:is>
          <x:t xml:space="preserve">重庆市-重庆市</x:t>
        </x:is>
      </x:c>
      <x:c r="H5005" s="4" t="inlineStr">
        <x:is>
          <x:t xml:space="preserve">交运物流</x:t>
        </x:is>
      </x:c>
      <x:c r="I5005" s="4" t="inlineStr">
        <x:is>
          <x:t xml:space="preserve">2021-11-30</x:t>
        </x:is>
      </x:c>
      <x:c r="J5005" s="5" t="inlineStr">
        <x:is>
          <x:t xml:space="preserve">重庆市沙坪坝区土主镇土主中路199号附1-80号</x:t>
        </x:is>
      </x:c>
      <x:c r="K5005" s="12" t="str">
        <x:f>LEFT("915001067784797538",18)</x:f>
        <x:v>915001067784797600</x:v>
      </x:c>
    </x:row>
    <x:row r="5006">
      <x:c r="A5006" s="2" t="n">
        <x:v>5005</x:v>
      </x:c>
      <x:c r="B5006" s="2" t="inlineStr">
        <x:is>
          <x:t xml:space="preserve">001328</x:t>
        </x:is>
      </x:c>
      <x:c r="C5006" s="3" t="inlineStr">
        <x:is>
          <x:t xml:space="preserve">登康口腔</x:t>
        </x:is>
      </x:c>
      <x:c r="D5006" s="3" t="inlineStr">
        <x:is>
          <x:t xml:space="preserve">重庆登康口腔护理用品股份有限公司</x:t>
        </x:is>
      </x:c>
      <x:c r="E5006" s="2" t="inlineStr">
        <x:is>
          <x:t xml:space="preserve">重庆市</x:t>
        </x:is>
      </x:c>
      <x:c r="F5006" s="2" t="inlineStr">
        <x:is>
          <x:t xml:space="preserve">重庆市</x:t>
        </x:is>
      </x:c>
      <x:c r="G5006" s="3" t="inlineStr">
        <x:is>
          <x:t xml:space="preserve">重庆市-重庆市</x:t>
        </x:is>
      </x:c>
      <x:c r="H5006" s="2" t="inlineStr">
        <x:is>
          <x:t xml:space="preserve">美容护理</x:t>
        </x:is>
      </x:c>
      <x:c r="I5006" s="2" t="inlineStr">
        <x:is>
          <x:t xml:space="preserve">2023-04-10</x:t>
        </x:is>
      </x:c>
      <x:c r="J5006" s="3" t="inlineStr">
        <x:is>
          <x:t xml:space="preserve">重庆市江北区海尔路389号</x:t>
        </x:is>
      </x:c>
      <x:c r="K5006" s="12" t="str">
        <x:f>LEFT("91500000203000772K",18)</x:f>
        <x:v>91500000203000772K</x:v>
      </x:c>
    </x:row>
    <x:row r="5007">
      <x:c r="A5007" s="4" t="n">
        <x:v>5006</x:v>
      </x:c>
      <x:c r="B5007" s="4" t="inlineStr">
        <x:is>
          <x:t xml:space="preserve">001696</x:t>
        </x:is>
      </x:c>
      <x:c r="C5007" s="5" t="inlineStr">
        <x:is>
          <x:t xml:space="preserve">宗申动力</x:t>
        </x:is>
      </x:c>
      <x:c r="D5007" s="5" t="inlineStr">
        <x:is>
          <x:t xml:space="preserve">重庆宗申动力机械股份有限公司</x:t>
        </x:is>
      </x:c>
      <x:c r="E5007" s="4" t="inlineStr">
        <x:is>
          <x:t xml:space="preserve">重庆市</x:t>
        </x:is>
      </x:c>
      <x:c r="F5007" s="4" t="inlineStr">
        <x:is>
          <x:t xml:space="preserve">重庆市</x:t>
        </x:is>
      </x:c>
      <x:c r="G5007" s="5" t="inlineStr">
        <x:is>
          <x:t xml:space="preserve">重庆市-重庆市</x:t>
        </x:is>
      </x:c>
      <x:c r="H5007" s="4" t="inlineStr">
        <x:is>
          <x:t xml:space="preserve">交运设备</x:t>
        </x:is>
      </x:c>
      <x:c r="I5007" s="4" t="inlineStr">
        <x:is>
          <x:t xml:space="preserve">1997-03-06</x:t>
        </x:is>
      </x:c>
      <x:c r="J5007" s="5" t="inlineStr">
        <x:is>
          <x:t xml:space="preserve">重庆市巴南区炒油场</x:t>
        </x:is>
      </x:c>
      <x:c r="K5007" s="12" t="str">
        <x:f>LEFT("915000002023878993",18)</x:f>
        <x:v>915000002023879000</x:v>
      </x:c>
    </x:row>
    <x:row r="5008">
      <x:c r="A5008" s="2" t="n">
        <x:v>5007</x:v>
      </x:c>
      <x:c r="B5008" s="2" t="inlineStr">
        <x:is>
          <x:t xml:space="preserve">002004</x:t>
        </x:is>
      </x:c>
      <x:c r="C5008" s="3" t="inlineStr">
        <x:is>
          <x:t xml:space="preserve">华邦健康</x:t>
        </x:is>
      </x:c>
      <x:c r="D5008" s="3" t="inlineStr">
        <x:is>
          <x:t xml:space="preserve">华邦生命健康股份有限公司</x:t>
        </x:is>
      </x:c>
      <x:c r="E5008" s="2" t="inlineStr">
        <x:is>
          <x:t xml:space="preserve">重庆市</x:t>
        </x:is>
      </x:c>
      <x:c r="F5008" s="2" t="inlineStr">
        <x:is>
          <x:t xml:space="preserve">重庆市</x:t>
        </x:is>
      </x:c>
      <x:c r="G5008" s="3" t="inlineStr">
        <x:is>
          <x:t xml:space="preserve">重庆市-重庆市</x:t>
        </x:is>
      </x:c>
      <x:c r="H5008" s="2" t="inlineStr">
        <x:is>
          <x:t xml:space="preserve">化学制药</x:t>
        </x:is>
      </x:c>
      <x:c r="I5008" s="2" t="inlineStr">
        <x:is>
          <x:t xml:space="preserve">2004-06-25</x:t>
        </x:is>
      </x:c>
      <x:c r="J5008" s="3" t="inlineStr">
        <x:is>
          <x:t xml:space="preserve">重庆市渝北区人和星光大道69号</x:t>
        </x:is>
      </x:c>
      <x:c r="K5008" s="12" t="str">
        <x:f>LEFT("91500000202884326D",18)</x:f>
        <x:v>91500000202884326D</x:v>
      </x:c>
    </x:row>
    <x:row r="5009">
      <x:c r="A5009" s="4" t="n">
        <x:v>5008</x:v>
      </x:c>
      <x:c r="B5009" s="4" t="inlineStr">
        <x:is>
          <x:t xml:space="preserve">002168</x:t>
        </x:is>
      </x:c>
      <x:c r="C5009" s="5" t="inlineStr">
        <x:is>
          <x:t xml:space="preserve">*ST惠程</x:t>
        </x:is>
      </x:c>
      <x:c r="D5009" s="5" t="inlineStr">
        <x:is>
          <x:t xml:space="preserve">重庆惠程信息科技股份有限公司</x:t>
        </x:is>
      </x:c>
      <x:c r="E5009" s="4" t="inlineStr">
        <x:is>
          <x:t xml:space="preserve">重庆市</x:t>
        </x:is>
      </x:c>
      <x:c r="F5009" s="4" t="inlineStr">
        <x:is>
          <x:t xml:space="preserve">重庆市</x:t>
        </x:is>
      </x:c>
      <x:c r="G5009" s="5" t="inlineStr">
        <x:is>
          <x:t xml:space="preserve">重庆市-重庆市</x:t>
        </x:is>
      </x:c>
      <x:c r="H5009" s="4" t="inlineStr">
        <x:is>
          <x:t xml:space="preserve">电网设备</x:t>
        </x:is>
      </x:c>
      <x:c r="I5009" s="4" t="inlineStr">
        <x:is>
          <x:t xml:space="preserve">2007-09-19</x:t>
        </x:is>
      </x:c>
      <x:c r="J5009" s="5" t="inlineStr">
        <x:is>
          <x:t xml:space="preserve">重庆市璧山区璧泉街道双星大道50号1幢8-1</x:t>
        </x:is>
      </x:c>
      <x:c r="K5009" s="12" t="str">
        <x:f>LEFT("914403007152119019",18)</x:f>
        <x:v>914403007152119000</x:v>
      </x:c>
    </x:row>
    <x:row r="5010">
      <x:c r="A5010" s="2" t="n">
        <x:v>5009</x:v>
      </x:c>
      <x:c r="B5010" s="2" t="inlineStr">
        <x:is>
          <x:t xml:space="preserve">002507</x:t>
        </x:is>
      </x:c>
      <x:c r="C5010" s="3" t="inlineStr">
        <x:is>
          <x:t xml:space="preserve">涪陵榨菜</x:t>
        </x:is>
      </x:c>
      <x:c r="D5010" s="3" t="inlineStr">
        <x:is>
          <x:t xml:space="preserve">重庆市涪陵榨菜集团股份有限公司</x:t>
        </x:is>
      </x:c>
      <x:c r="E5010" s="2" t="inlineStr">
        <x:is>
          <x:t xml:space="preserve">重庆市</x:t>
        </x:is>
      </x:c>
      <x:c r="F5010" s="2" t="inlineStr">
        <x:is>
          <x:t xml:space="preserve">重庆市</x:t>
        </x:is>
      </x:c>
      <x:c r="G5010" s="3" t="inlineStr">
        <x:is>
          <x:t xml:space="preserve">重庆市-重庆市</x:t>
        </x:is>
      </x:c>
      <x:c r="H5010" s="2" t="inlineStr">
        <x:is>
          <x:t xml:space="preserve">食品饮料</x:t>
        </x:is>
      </x:c>
      <x:c r="I5010" s="2" t="inlineStr">
        <x:is>
          <x:t xml:space="preserve">2010-11-23</x:t>
        </x:is>
      </x:c>
      <x:c r="J5010" s="3" t="inlineStr">
        <x:is>
          <x:t xml:space="preserve">重庆市涪陵区江北街道办事处二渡村一组</x:t>
        </x:is>
      </x:c>
      <x:c r="K5010" s="12" t="str">
        <x:f>LEFT("91500102208552322T",18)</x:f>
        <x:v>91500102208552322T</x:v>
      </x:c>
    </x:row>
    <x:row r="5011">
      <x:c r="A5011" s="4" t="n">
        <x:v>5010</x:v>
      </x:c>
      <x:c r="B5011" s="4" t="inlineStr">
        <x:is>
          <x:t xml:space="preserve">002558</x:t>
        </x:is>
      </x:c>
      <x:c r="C5011" s="5" t="inlineStr">
        <x:is>
          <x:t xml:space="preserve">巨人网络</x:t>
        </x:is>
      </x:c>
      <x:c r="D5011" s="5" t="inlineStr">
        <x:is>
          <x:t xml:space="preserve">巨人网络集团股份有限公司</x:t>
        </x:is>
      </x:c>
      <x:c r="E5011" s="4" t="inlineStr">
        <x:is>
          <x:t xml:space="preserve">重庆市</x:t>
        </x:is>
      </x:c>
      <x:c r="F5011" s="4" t="inlineStr">
        <x:is>
          <x:t xml:space="preserve">重庆市</x:t>
        </x:is>
      </x:c>
      <x:c r="G5011" s="5" t="inlineStr">
        <x:is>
          <x:t xml:space="preserve">重庆市-重庆市</x:t>
        </x:is>
      </x:c>
      <x:c r="H5011" s="4" t="inlineStr">
        <x:is>
          <x:t xml:space="preserve">游戏</x:t>
        </x:is>
      </x:c>
      <x:c r="I5011" s="4" t="inlineStr">
        <x:is>
          <x:t xml:space="preserve">2011-03-02</x:t>
        </x:is>
      </x:c>
      <x:c r="J5011" s="5" t="inlineStr">
        <x:is>
          <x:t xml:space="preserve">重庆市南岸区龙门浩老街98号</x:t>
        </x:is>
      </x:c>
      <x:c r="K5011" s="12" t="str">
        <x:f>LEFT("915000002031583935",18)</x:f>
        <x:v>915000002031583900</x:v>
      </x:c>
    </x:row>
    <x:row r="5012">
      <x:c r="A5012" s="2" t="n">
        <x:v>5011</x:v>
      </x:c>
      <x:c r="B5012" s="2" t="inlineStr">
        <x:is>
          <x:t xml:space="preserve">002742</x:t>
        </x:is>
      </x:c>
      <x:c r="C5012" s="3" t="inlineStr">
        <x:is>
          <x:t xml:space="preserve">*ST三圣</x:t>
        </x:is>
      </x:c>
      <x:c r="D5012" s="3" t="inlineStr">
        <x:is>
          <x:t xml:space="preserve">重庆三圣实业股份有限公司</x:t>
        </x:is>
      </x:c>
      <x:c r="E5012" s="2" t="inlineStr">
        <x:is>
          <x:t xml:space="preserve">重庆市</x:t>
        </x:is>
      </x:c>
      <x:c r="F5012" s="2" t="inlineStr">
        <x:is>
          <x:t xml:space="preserve">重庆市</x:t>
        </x:is>
      </x:c>
      <x:c r="G5012" s="3" t="inlineStr">
        <x:is>
          <x:t xml:space="preserve">重庆市-重庆市</x:t>
        </x:is>
      </x:c>
      <x:c r="H5012" s="2" t="inlineStr">
        <x:is>
          <x:t xml:space="preserve">水泥建材</x:t>
        </x:is>
      </x:c>
      <x:c r="I5012" s="2" t="inlineStr">
        <x:is>
          <x:t xml:space="preserve">2015-02-17</x:t>
        </x:is>
      </x:c>
      <x:c r="J5012" s="3" t="inlineStr">
        <x:is>
          <x:t xml:space="preserve">重庆市北碚区三圣镇街道</x:t>
        </x:is>
      </x:c>
      <x:c r="K5012" s="12" t="str">
        <x:f>LEFT("9150010973659020XY",18)</x:f>
        <x:v>9150010973659020XY</x:v>
      </x:c>
    </x:row>
    <x:row r="5013">
      <x:c r="A5013" s="4" t="n">
        <x:v>5012</x:v>
      </x:c>
      <x:c r="B5013" s="4" t="inlineStr">
        <x:is>
          <x:t xml:space="preserve">002765</x:t>
        </x:is>
      </x:c>
      <x:c r="C5013" s="5" t="inlineStr">
        <x:is>
          <x:t xml:space="preserve">蓝黛科技</x:t>
        </x:is>
      </x:c>
      <x:c r="D5013" s="5" t="inlineStr">
        <x:is>
          <x:t xml:space="preserve">蓝黛科技集团股份有限公司</x:t>
        </x:is>
      </x:c>
      <x:c r="E5013" s="4" t="inlineStr">
        <x:is>
          <x:t xml:space="preserve">重庆市</x:t>
        </x:is>
      </x:c>
      <x:c r="F5013" s="4" t="inlineStr">
        <x:is>
          <x:t xml:space="preserve">重庆市</x:t>
        </x:is>
      </x:c>
      <x:c r="G5013" s="5" t="inlineStr">
        <x:is>
          <x:t xml:space="preserve">重庆市-重庆市</x:t>
        </x:is>
      </x:c>
      <x:c r="H5013" s="4" t="inlineStr">
        <x:is>
          <x:t xml:space="preserve">光学光电子</x:t>
        </x:is>
      </x:c>
      <x:c r="I5013" s="4" t="inlineStr">
        <x:is>
          <x:t xml:space="preserve">2015-06-12</x:t>
        </x:is>
      </x:c>
      <x:c r="J5013" s="5" t="inlineStr">
        <x:is>
          <x:t xml:space="preserve">重庆市璧山区璧泉街道剑山路100号</x:t>
        </x:is>
      </x:c>
      <x:c r="K5013" s="12" t="str">
        <x:f>LEFT("91500227203940748P",18)</x:f>
        <x:v>91500227203940748P</x:v>
      </x:c>
    </x:row>
    <x:row r="5014">
      <x:c r="A5014" s="2" t="n">
        <x:v>5013</x:v>
      </x:c>
      <x:c r="B5014" s="2" t="inlineStr">
        <x:is>
          <x:t xml:space="preserve">002872</x:t>
        </x:is>
      </x:c>
      <x:c r="C5014" s="3" t="inlineStr">
        <x:is>
          <x:t xml:space="preserve">ST天圣</x:t>
        </x:is>
      </x:c>
      <x:c r="D5014" s="3" t="inlineStr">
        <x:is>
          <x:t xml:space="preserve">天圣制药集团股份有限公司</x:t>
        </x:is>
      </x:c>
      <x:c r="E5014" s="2" t="inlineStr">
        <x:is>
          <x:t xml:space="preserve">重庆市</x:t>
        </x:is>
      </x:c>
      <x:c r="F5014" s="2" t="inlineStr">
        <x:is>
          <x:t xml:space="preserve">重庆市</x:t>
        </x:is>
      </x:c>
      <x:c r="G5014" s="3" t="inlineStr">
        <x:is>
          <x:t xml:space="preserve">重庆市-重庆市</x:t>
        </x:is>
      </x:c>
      <x:c r="H5014" s="2" t="inlineStr">
        <x:is>
          <x:t xml:space="preserve">化学制药</x:t>
        </x:is>
      </x:c>
      <x:c r="I5014" s="2" t="inlineStr">
        <x:is>
          <x:t xml:space="preserve">2017-05-19</x:t>
        </x:is>
      </x:c>
      <x:c r="J5014" s="3" t="inlineStr">
        <x:is>
          <x:t xml:space="preserve">重庆市朝阳工业园区(垫江桂溪)</x:t>
        </x:is>
      </x:c>
      <x:c r="K5014" s="12" t="str">
        <x:f>LEFT("9150000073397948XL",18)</x:f>
        <x:v>9150000073397948XL</x:v>
      </x:c>
    </x:row>
    <x:row r="5015">
      <x:c r="A5015" s="4" t="n">
        <x:v>5014</x:v>
      </x:c>
      <x:c r="B5015" s="4" t="inlineStr">
        <x:is>
          <x:t xml:space="preserve">002907</x:t>
        </x:is>
      </x:c>
      <x:c r="C5015" s="5" t="inlineStr">
        <x:is>
          <x:t xml:space="preserve">华森制药</x:t>
        </x:is>
      </x:c>
      <x:c r="D5015" s="5" t="inlineStr">
        <x:is>
          <x:t xml:space="preserve">重庆华森制药股份有限公司</x:t>
        </x:is>
      </x:c>
      <x:c r="E5015" s="4" t="inlineStr">
        <x:is>
          <x:t xml:space="preserve">重庆市</x:t>
        </x:is>
      </x:c>
      <x:c r="F5015" s="4" t="inlineStr">
        <x:is>
          <x:t xml:space="preserve">重庆市</x:t>
        </x:is>
      </x:c>
      <x:c r="G5015" s="5" t="inlineStr">
        <x:is>
          <x:t xml:space="preserve">重庆市-重庆市</x:t>
        </x:is>
      </x:c>
      <x:c r="H5015" s="4" t="inlineStr">
        <x:is>
          <x:t xml:space="preserve">中药</x:t>
        </x:is>
      </x:c>
      <x:c r="I5015" s="4" t="inlineStr">
        <x:is>
          <x:t xml:space="preserve">2017-10-20</x:t>
        </x:is>
      </x:c>
      <x:c r="J5015" s="5" t="inlineStr">
        <x:is>
          <x:t xml:space="preserve">重庆市荣昌区工业园区</x:t>
        </x:is>
      </x:c>
      <x:c r="K5015" s="12" t="str">
        <x:f>LEFT("915002262038944463",18)</x:f>
        <x:v>915002262038944500</x:v>
      </x:c>
    </x:row>
    <x:row r="5016">
      <x:c r="A5016" s="2" t="n">
        <x:v>5015</x:v>
      </x:c>
      <x:c r="B5016" s="2" t="inlineStr">
        <x:is>
          <x:t xml:space="preserve">002968</x:t>
        </x:is>
      </x:c>
      <x:c r="C5016" s="3" t="inlineStr">
        <x:is>
          <x:t xml:space="preserve">新大正</x:t>
        </x:is>
      </x:c>
      <x:c r="D5016" s="3" t="inlineStr">
        <x:is>
          <x:t xml:space="preserve">新大正物业集团股份有限公司</x:t>
        </x:is>
      </x:c>
      <x:c r="E5016" s="2" t="inlineStr">
        <x:is>
          <x:t xml:space="preserve">重庆市</x:t>
        </x:is>
      </x:c>
      <x:c r="F5016" s="2" t="inlineStr">
        <x:is>
          <x:t xml:space="preserve">重庆市</x:t>
        </x:is>
      </x:c>
      <x:c r="G5016" s="3" t="inlineStr">
        <x:is>
          <x:t xml:space="preserve">重庆市-重庆市</x:t>
        </x:is>
      </x:c>
      <x:c r="H5016" s="2" t="inlineStr">
        <x:is>
          <x:t xml:space="preserve">房地产服务</x:t>
        </x:is>
      </x:c>
      <x:c r="I5016" s="2" t="inlineStr">
        <x:is>
          <x:t xml:space="preserve">2019-12-03</x:t>
        </x:is>
      </x:c>
      <x:c r="J5016" s="3" t="inlineStr">
        <x:is>
          <x:t xml:space="preserve">重庆市渝中区虎踞路78号1-1#</x:t>
        </x:is>
      </x:c>
      <x:c r="K5016" s="12" t="str">
        <x:f>LEFT("915001032030285054",18)</x:f>
        <x:v>915001032030285000</x:v>
      </x:c>
    </x:row>
    <x:row r="5017">
      <x:c r="A5017" s="4" t="n">
        <x:v>5016</x:v>
      </x:c>
      <x:c r="B5017" s="4" t="inlineStr">
        <x:is>
          <x:t xml:space="preserve">002996</x:t>
        </x:is>
      </x:c>
      <x:c r="C5017" s="5" t="inlineStr">
        <x:is>
          <x:t xml:space="preserve">顺博合金</x:t>
        </x:is>
      </x:c>
      <x:c r="D5017" s="5" t="inlineStr">
        <x:is>
          <x:t xml:space="preserve">重庆顺博铝合金股份有限公司</x:t>
        </x:is>
      </x:c>
      <x:c r="E5017" s="4" t="inlineStr">
        <x:is>
          <x:t xml:space="preserve">重庆市</x:t>
        </x:is>
      </x:c>
      <x:c r="F5017" s="4" t="inlineStr">
        <x:is>
          <x:t xml:space="preserve">重庆市</x:t>
        </x:is>
      </x:c>
      <x:c r="G5017" s="5" t="inlineStr">
        <x:is>
          <x:t xml:space="preserve">重庆市-重庆市</x:t>
        </x:is>
      </x:c>
      <x:c r="H5017" s="4" t="inlineStr">
        <x:is>
          <x:t xml:space="preserve">有色金属</x:t>
        </x:is>
      </x:c>
      <x:c r="I5017" s="4" t="inlineStr">
        <x:is>
          <x:t xml:space="preserve">2020-08-28</x:t>
        </x:is>
      </x:c>
      <x:c r="J5017" s="5" t="inlineStr">
        <x:is>
          <x:t xml:space="preserve">重庆市合川区草街拓展园区</x:t>
        </x:is>
      </x:c>
      <x:c r="K5017" s="12" t="str">
        <x:f>LEFT("915001177474835577",18)</x:f>
        <x:v>915001177474835600</x:v>
      </x:c>
    </x:row>
    <x:row r="5018">
      <x:c r="A5018" s="2" t="n">
        <x:v>5017</x:v>
      </x:c>
      <x:c r="B5018" s="2" t="inlineStr">
        <x:is>
          <x:t xml:space="preserve">003006</x:t>
        </x:is>
      </x:c>
      <x:c r="C5018" s="3" t="inlineStr">
        <x:is>
          <x:t xml:space="preserve">百亚股份</x:t>
        </x:is>
      </x:c>
      <x:c r="D5018" s="3" t="inlineStr">
        <x:is>
          <x:t xml:space="preserve">重庆百亚卫生用品股份有限公司</x:t>
        </x:is>
      </x:c>
      <x:c r="E5018" s="2" t="inlineStr">
        <x:is>
          <x:t xml:space="preserve">重庆市</x:t>
        </x:is>
      </x:c>
      <x:c r="F5018" s="2" t="inlineStr">
        <x:is>
          <x:t xml:space="preserve">重庆市</x:t>
        </x:is>
      </x:c>
      <x:c r="G5018" s="3" t="inlineStr">
        <x:is>
          <x:t xml:space="preserve">重庆市-重庆市</x:t>
        </x:is>
      </x:c>
      <x:c r="H5018" s="2" t="inlineStr">
        <x:is>
          <x:t xml:space="preserve">美容护理</x:t>
        </x:is>
      </x:c>
      <x:c r="I5018" s="2" t="inlineStr">
        <x:is>
          <x:t xml:space="preserve">2020-09-21</x:t>
        </x:is>
      </x:c>
      <x:c r="J5018" s="3" t="inlineStr">
        <x:is>
          <x:t xml:space="preserve">重庆市巴南区麻柳沿江开发区百亚国际产业园</x:t>
        </x:is>
      </x:c>
      <x:c r="K5018" s="12" t="str">
        <x:f>LEFT("9150011356560918XH",18)</x:f>
        <x:v>9150011356560918XH</x:v>
      </x:c>
    </x:row>
    <x:row r="5019">
      <x:c r="A5019" s="4" t="n">
        <x:v>5018</x:v>
      </x:c>
      <x:c r="B5019" s="4" t="inlineStr">
        <x:is>
          <x:t xml:space="preserve">300006</x:t>
        </x:is>
      </x:c>
      <x:c r="C5019" s="5" t="inlineStr">
        <x:is>
          <x:t xml:space="preserve">莱美药业</x:t>
        </x:is>
      </x:c>
      <x:c r="D5019" s="5" t="inlineStr">
        <x:is>
          <x:t xml:space="preserve">重庆莱美药业股份有限公司</x:t>
        </x:is>
      </x:c>
      <x:c r="E5019" s="4" t="inlineStr">
        <x:is>
          <x:t xml:space="preserve">重庆市</x:t>
        </x:is>
      </x:c>
      <x:c r="F5019" s="4" t="inlineStr">
        <x:is>
          <x:t xml:space="preserve">重庆市</x:t>
        </x:is>
      </x:c>
      <x:c r="G5019" s="5" t="inlineStr">
        <x:is>
          <x:t xml:space="preserve">重庆市-重庆市</x:t>
        </x:is>
      </x:c>
      <x:c r="H5019" s="4" t="inlineStr">
        <x:is>
          <x:t xml:space="preserve">医药制造</x:t>
        </x:is>
      </x:c>
      <x:c r="I5019" s="4" t="inlineStr">
        <x:is>
          <x:t xml:space="preserve">2009-10-30</x:t>
        </x:is>
      </x:c>
      <x:c r="J5019" s="5" t="inlineStr">
        <x:is>
          <x:t xml:space="preserve">重庆市南岸区玉马路99号</x:t>
        </x:is>
      </x:c>
      <x:c r="K5019" s="12" t="str">
        <x:f>LEFT("915000006219193432",18)</x:f>
        <x:v>915000006219193500</x:v>
      </x:c>
    </x:row>
    <x:row r="5020">
      <x:c r="A5020" s="2" t="n">
        <x:v>5019</x:v>
      </x:c>
      <x:c r="B5020" s="2" t="inlineStr">
        <x:is>
          <x:t xml:space="preserve">300122</x:t>
        </x:is>
      </x:c>
      <x:c r="C5020" s="3" t="inlineStr">
        <x:is>
          <x:t xml:space="preserve">智飞生物</x:t>
        </x:is>
      </x:c>
      <x:c r="D5020" s="3" t="inlineStr">
        <x:is>
          <x:t xml:space="preserve">重庆智飞生物制品股份有限公司</x:t>
        </x:is>
      </x:c>
      <x:c r="E5020" s="2" t="inlineStr">
        <x:is>
          <x:t xml:space="preserve">重庆市</x:t>
        </x:is>
      </x:c>
      <x:c r="F5020" s="2" t="inlineStr">
        <x:is>
          <x:t xml:space="preserve">重庆市</x:t>
        </x:is>
      </x:c>
      <x:c r="G5020" s="3" t="inlineStr">
        <x:is>
          <x:t xml:space="preserve">重庆市-重庆市</x:t>
        </x:is>
      </x:c>
      <x:c r="H5020" s="2" t="inlineStr">
        <x:is>
          <x:t xml:space="preserve">生物制品</x:t>
        </x:is>
      </x:c>
      <x:c r="I5020" s="2" t="inlineStr">
        <x:is>
          <x:t xml:space="preserve">2010-09-28</x:t>
        </x:is>
      </x:c>
      <x:c r="J5020" s="3" t="inlineStr">
        <x:is>
          <x:t xml:space="preserve">重庆市江北区庆云路1号50层</x:t>
        </x:is>
      </x:c>
      <x:c r="K5020" s="12" t="str">
        <x:f>LEFT("91500000203049808L",18)</x:f>
        <x:v>91500000203049808L</x:v>
      </x:c>
    </x:row>
    <x:row r="5021">
      <x:c r="A5021" s="4" t="n">
        <x:v>5020</x:v>
      </x:c>
      <x:c r="B5021" s="4" t="inlineStr">
        <x:is>
          <x:t xml:space="preserve">300194</x:t>
        </x:is>
      </x:c>
      <x:c r="C5021" s="5" t="inlineStr">
        <x:is>
          <x:t xml:space="preserve">福安药业</x:t>
        </x:is>
      </x:c>
      <x:c r="D5021" s="5" t="inlineStr">
        <x:is>
          <x:t xml:space="preserve">福安药业(集团)股份有限公司</x:t>
        </x:is>
      </x:c>
      <x:c r="E5021" s="4" t="inlineStr">
        <x:is>
          <x:t xml:space="preserve">重庆市</x:t>
        </x:is>
      </x:c>
      <x:c r="F5021" s="4" t="inlineStr">
        <x:is>
          <x:t xml:space="preserve">重庆市</x:t>
        </x:is>
      </x:c>
      <x:c r="G5021" s="5" t="inlineStr">
        <x:is>
          <x:t xml:space="preserve">重庆市-重庆市</x:t>
        </x:is>
      </x:c>
      <x:c r="H5021" s="4" t="inlineStr">
        <x:is>
          <x:t xml:space="preserve">医药制造</x:t>
        </x:is>
      </x:c>
      <x:c r="I5021" s="4" t="inlineStr">
        <x:is>
          <x:t xml:space="preserve">2011-03-22</x:t>
        </x:is>
      </x:c>
      <x:c r="J5021" s="5" t="inlineStr">
        <x:is>
          <x:t xml:space="preserve">重庆市长寿区化南一路1号</x:t>
        </x:is>
      </x:c>
      <x:c r="K5021" s="12" t="str">
        <x:f>LEFT("91500000759253791C",18)</x:f>
        <x:v>91500000759253791C</x:v>
      </x:c>
    </x:row>
    <x:row r="5022">
      <x:c r="A5022" s="2" t="n">
        <x:v>5021</x:v>
      </x:c>
      <x:c r="B5022" s="2" t="inlineStr">
        <x:is>
          <x:t xml:space="preserve">300275</x:t>
        </x:is>
      </x:c>
      <x:c r="C5022" s="3" t="inlineStr">
        <x:is>
          <x:t xml:space="preserve">梅安森</x:t>
        </x:is>
      </x:c>
      <x:c r="D5022" s="3" t="inlineStr">
        <x:is>
          <x:t xml:space="preserve">重庆梅安森科技股份有限公司</x:t>
        </x:is>
      </x:c>
      <x:c r="E5022" s="2" t="inlineStr">
        <x:is>
          <x:t xml:space="preserve">重庆市</x:t>
        </x:is>
      </x:c>
      <x:c r="F5022" s="2" t="inlineStr">
        <x:is>
          <x:t xml:space="preserve">重庆市</x:t>
        </x:is>
      </x:c>
      <x:c r="G5022" s="3" t="inlineStr">
        <x:is>
          <x:t xml:space="preserve">重庆市-重庆市</x:t>
        </x:is>
      </x:c>
      <x:c r="H5022" s="2" t="inlineStr">
        <x:is>
          <x:t xml:space="preserve">仪器仪表</x:t>
        </x:is>
      </x:c>
      <x:c r="I5022" s="2" t="inlineStr">
        <x:is>
          <x:t xml:space="preserve">2011-11-02</x:t>
        </x:is>
      </x:c>
      <x:c r="J5022" s="3" t="inlineStr">
        <x:is>
          <x:t xml:space="preserve">重庆市九龙坡区福园路28号</x:t>
        </x:is>
      </x:c>
      <x:c r="K5022" s="12" t="str">
        <x:f>LEFT("915001077500638601",18)</x:f>
        <x:v>915001077500638600</x:v>
      </x:c>
    </x:row>
    <x:row r="5023">
      <x:c r="A5023" s="4" t="n">
        <x:v>5022</x:v>
      </x:c>
      <x:c r="B5023" s="4" t="inlineStr">
        <x:is>
          <x:t xml:space="preserve">300363</x:t>
        </x:is>
      </x:c>
      <x:c r="C5023" s="5" t="inlineStr">
        <x:is>
          <x:t xml:space="preserve">博腾股份</x:t>
        </x:is>
      </x:c>
      <x:c r="D5023" s="5" t="inlineStr">
        <x:is>
          <x:t xml:space="preserve">重庆博腾制药科技股份有限公司</x:t>
        </x:is>
      </x:c>
      <x:c r="E5023" s="4" t="inlineStr">
        <x:is>
          <x:t xml:space="preserve">重庆市</x:t>
        </x:is>
      </x:c>
      <x:c r="F5023" s="4" t="inlineStr">
        <x:is>
          <x:t xml:space="preserve">重庆市</x:t>
        </x:is>
      </x:c>
      <x:c r="G5023" s="5" t="inlineStr">
        <x:is>
          <x:t xml:space="preserve">重庆市-重庆市</x:t>
        </x:is>
      </x:c>
      <x:c r="H5023" s="4" t="inlineStr">
        <x:is>
          <x:t xml:space="preserve">医药制造</x:t>
        </x:is>
      </x:c>
      <x:c r="I5023" s="4" t="inlineStr">
        <x:is>
          <x:t xml:space="preserve">2014-01-29</x:t>
        </x:is>
      </x:c>
      <x:c r="J5023" s="5" t="inlineStr">
        <x:is>
          <x:t xml:space="preserve">重庆市(长寿)化工园区精细化工一区</x:t>
        </x:is>
      </x:c>
      <x:c r="K5023" s="12" t="str">
        <x:f>LEFT("915000007748965415",18)</x:f>
        <x:v>915000007748965400</x:v>
      </x:c>
    </x:row>
    <x:row r="5024">
      <x:c r="A5024" s="2" t="n">
        <x:v>5023</x:v>
      </x:c>
      <x:c r="B5024" s="2" t="inlineStr">
        <x:is>
          <x:t xml:space="preserve">301107</x:t>
        </x:is>
      </x:c>
      <x:c r="C5024" s="3" t="inlineStr">
        <x:is>
          <x:t xml:space="preserve">瑜欣电子</x:t>
        </x:is>
      </x:c>
      <x:c r="D5024" s="3" t="inlineStr">
        <x:is>
          <x:t xml:space="preserve">重庆瑜欣平瑞电子股份有限公司</x:t>
        </x:is>
      </x:c>
      <x:c r="E5024" s="2" t="inlineStr">
        <x:is>
          <x:t xml:space="preserve">重庆市</x:t>
        </x:is>
      </x:c>
      <x:c r="F5024" s="2" t="inlineStr">
        <x:is>
          <x:t xml:space="preserve">重庆市</x:t>
        </x:is>
      </x:c>
      <x:c r="G5024" s="3" t="inlineStr">
        <x:is>
          <x:t xml:space="preserve">重庆市-重庆市</x:t>
        </x:is>
      </x:c>
      <x:c r="H5024" s="2" t="inlineStr">
        <x:is>
          <x:t xml:space="preserve">通用设备</x:t>
        </x:is>
      </x:c>
      <x:c r="I5024" s="2" t="inlineStr">
        <x:is>
          <x:t xml:space="preserve">2022-05-24</x:t>
        </x:is>
      </x:c>
      <x:c r="J5024" s="3" t="inlineStr">
        <x:is>
          <x:t xml:space="preserve">重庆市高新区含谷镇高腾大道992号</x:t>
        </x:is>
      </x:c>
      <x:c r="K5024" s="12" t="str">
        <x:f>LEFT("915001077500679842",18)</x:f>
        <x:v>915001077500679800</x:v>
      </x:c>
    </x:row>
    <x:row r="5025">
      <x:c r="A5025" s="4" t="n">
        <x:v>5024</x:v>
      </x:c>
      <x:c r="B5025" s="4" t="inlineStr">
        <x:is>
          <x:t xml:space="preserve">301121</x:t>
        </x:is>
      </x:c>
      <x:c r="C5025" s="5" t="inlineStr">
        <x:is>
          <x:t xml:space="preserve">紫建电子</x:t>
        </x:is>
      </x:c>
      <x:c r="D5025" s="5" t="inlineStr">
        <x:is>
          <x:t xml:space="preserve">重庆市紫建电子股份有限公司</x:t>
        </x:is>
      </x:c>
      <x:c r="E5025" s="4" t="inlineStr">
        <x:is>
          <x:t xml:space="preserve">重庆市</x:t>
        </x:is>
      </x:c>
      <x:c r="F5025" s="4" t="inlineStr">
        <x:is>
          <x:t xml:space="preserve">重庆市</x:t>
        </x:is>
      </x:c>
      <x:c r="G5025" s="5" t="inlineStr">
        <x:is>
          <x:t xml:space="preserve">重庆市-重庆市</x:t>
        </x:is>
      </x:c>
      <x:c r="H5025" s="4" t="inlineStr">
        <x:is>
          <x:t xml:space="preserve">电池</x:t>
        </x:is>
      </x:c>
      <x:c r="I5025" s="4" t="inlineStr">
        <x:is>
          <x:t xml:space="preserve">2022-08-08</x:t>
        </x:is>
      </x:c>
      <x:c r="J5025" s="5" t="inlineStr">
        <x:is>
          <x:t xml:space="preserve">重庆市开州区赵家街道浦里工业新区1-4号楼</x:t>
        </x:is>
      </x:c>
      <x:c r="K5025" s="12" t="str">
        <x:f>LEFT("91500234578958944U",18)</x:f>
        <x:v>91500234578958944U</x:v>
      </x:c>
    </x:row>
    <x:row r="5026">
      <x:c r="A5026" s="2" t="n">
        <x:v>5025</x:v>
      </x:c>
      <x:c r="B5026" s="2" t="inlineStr">
        <x:is>
          <x:t xml:space="preserve">301307</x:t>
        </x:is>
      </x:c>
      <x:c r="C5026" s="3" t="inlineStr">
        <x:is>
          <x:t xml:space="preserve">美利信</x:t>
        </x:is>
      </x:c>
      <x:c r="D5026" s="3" t="inlineStr">
        <x:is>
          <x:t xml:space="preserve">重庆美利信科技股份有限公司</x:t>
        </x:is>
      </x:c>
      <x:c r="E5026" s="2" t="inlineStr">
        <x:is>
          <x:t xml:space="preserve">重庆市</x:t>
        </x:is>
      </x:c>
      <x:c r="F5026" s="2" t="inlineStr">
        <x:is>
          <x:t xml:space="preserve">重庆市</x:t>
        </x:is>
      </x:c>
      <x:c r="G5026" s="3" t="inlineStr">
        <x:is>
          <x:t xml:space="preserve">重庆市-重庆市</x:t>
        </x:is>
      </x:c>
      <x:c r="H5026" s="2" t="inlineStr">
        <x:is>
          <x:t xml:space="preserve">通信设备</x:t>
        </x:is>
      </x:c>
      <x:c r="I5026" s="2" t="inlineStr">
        <x:is>
          <x:t xml:space="preserve">2023-04-24</x:t>
        </x:is>
      </x:c>
      <x:c r="J5026" s="3" t="inlineStr">
        <x:is>
          <x:t xml:space="preserve">重庆市巴南区天安路1号附1号、附2号</x:t>
        </x:is>
      </x:c>
      <x:c r="K5026" s="12" t="str">
        <x:f>LEFT("91500113709375029C",18)</x:f>
        <x:v>91500113709375029C</x:v>
      </x:c>
    </x:row>
    <x:row r="5027">
      <x:c r="A5027" s="4" t="n">
        <x:v>5026</x:v>
      </x:c>
      <x:c r="B5027" s="4" t="inlineStr">
        <x:is>
          <x:t xml:space="preserve">301397</x:t>
        </x:is>
      </x:c>
      <x:c r="C5027" s="5" t="inlineStr">
        <x:is>
          <x:t xml:space="preserve">溯联股份</x:t>
        </x:is>
      </x:c>
      <x:c r="D5027" s="5" t="inlineStr">
        <x:is>
          <x:t xml:space="preserve">重庆溯联塑胶股份有限公司</x:t>
        </x:is>
      </x:c>
      <x:c r="E5027" s="4" t="inlineStr">
        <x:is>
          <x:t xml:space="preserve">重庆市</x:t>
        </x:is>
      </x:c>
      <x:c r="F5027" s="4" t="inlineStr">
        <x:is>
          <x:t xml:space="preserve">重庆市</x:t>
        </x:is>
      </x:c>
      <x:c r="G5027" s="5" t="inlineStr">
        <x:is>
          <x:t xml:space="preserve">重庆市-重庆市</x:t>
        </x:is>
      </x:c>
      <x:c r="H5027" s="4" t="inlineStr">
        <x:is>
          <x:t xml:space="preserve">汽车零部件</x:t>
        </x:is>
      </x:c>
      <x:c r="I5027" s="4" t="inlineStr">
        <x:is>
          <x:t xml:space="preserve">2023-06-28</x:t>
        </x:is>
      </x:c>
      <x:c r="J5027" s="5" t="inlineStr">
        <x:is>
          <x:t xml:space="preserve">重庆市江北区港宁路18号</x:t>
        </x:is>
      </x:c>
      <x:c r="K5027" s="12" t="str">
        <x:f>LEFT("91500105622052681R",18)</x:f>
        <x:v>91500105622052681R</x:v>
      </x:c>
    </x:row>
    <x:row r="5028">
      <x:c r="A5028" s="2" t="n">
        <x:v>5027</x:v>
      </x:c>
      <x:c r="B5028" s="2" t="inlineStr">
        <x:is>
          <x:t xml:space="preserve">301526</x:t>
        </x:is>
      </x:c>
      <x:c r="C5028" s="3" t="inlineStr">
        <x:is>
          <x:t xml:space="preserve">国际复材</x:t>
        </x:is>
      </x:c>
      <x:c r="D5028" s="3" t="inlineStr">
        <x:is>
          <x:t xml:space="preserve">重庆国际复合材料股份有限公司</x:t>
        </x:is>
      </x:c>
      <x:c r="E5028" s="2" t="inlineStr">
        <x:is>
          <x:t xml:space="preserve">重庆市</x:t>
        </x:is>
      </x:c>
      <x:c r="F5028" s="2" t="inlineStr">
        <x:is>
          <x:t xml:space="preserve">重庆市</x:t>
        </x:is>
      </x:c>
      <x:c r="G5028" s="3" t="inlineStr">
        <x:is>
          <x:t xml:space="preserve">重庆市-重庆市</x:t>
        </x:is>
      </x:c>
      <x:c r="H5028" s="2" t="inlineStr">
        <x:is>
          <x:t xml:space="preserve">玻璃玻纤</x:t>
        </x:is>
      </x:c>
      <x:c r="I5028" s="2" t="inlineStr">
        <x:is>
          <x:t xml:space="preserve">2023-12-26</x:t>
        </x:is>
      </x:c>
      <x:c r="J5028" s="3" t="inlineStr">
        <x:is>
          <x:t xml:space="preserve">重庆市大渡口区建桥工业园B区</x:t>
        </x:is>
      </x:c>
      <x:c r="K5028" s="12" t="str">
        <x:f>LEFT("915001046219007657",18)</x:f>
        <x:v>915001046219007600</x:v>
      </x:c>
    </x:row>
    <x:row r="5029">
      <x:c r="A5029" s="4" t="n">
        <x:v>5028</x:v>
      </x:c>
      <x:c r="B5029" s="4" t="inlineStr">
        <x:is>
          <x:t xml:space="preserve">301533</x:t>
        </x:is>
      </x:c>
      <x:c r="C5029" s="5" t="inlineStr">
        <x:is>
          <x:t xml:space="preserve">威马农机</x:t>
        </x:is>
      </x:c>
      <x:c r="D5029" s="5" t="inlineStr">
        <x:is>
          <x:t xml:space="preserve">威马农机股份有限公司</x:t>
        </x:is>
      </x:c>
      <x:c r="E5029" s="4" t="inlineStr">
        <x:is>
          <x:t xml:space="preserve">重庆市</x:t>
        </x:is>
      </x:c>
      <x:c r="F5029" s="4" t="inlineStr">
        <x:is>
          <x:t xml:space="preserve">重庆市</x:t>
        </x:is>
      </x:c>
      <x:c r="G5029" s="5" t="inlineStr">
        <x:is>
          <x:t xml:space="preserve">重庆市-重庆市</x:t>
        </x:is>
      </x:c>
      <x:c r="H5029" s="4" t="inlineStr">
        <x:is>
          <x:t xml:space="preserve">专用设备</x:t>
        </x:is>
      </x:c>
      <x:c r="I5029" s="4" t="inlineStr">
        <x:is>
          <x:t xml:space="preserve">2023-08-18</x:t>
        </x:is>
      </x:c>
      <x:c r="J5029" s="5" t="inlineStr">
        <x:is>
          <x:t xml:space="preserve">重庆市江津区珞璜工业园B区</x:t>
        </x:is>
      </x:c>
      <x:c r="K5029" s="12" t="str">
        <x:f>LEFT("91500116688915021Y",18)</x:f>
        <x:v>91500116688915021Y</x:v>
      </x:c>
    </x:row>
    <x:row r="5030">
      <x:c r="A5030" s="2" t="n">
        <x:v>5029</x:v>
      </x:c>
      <x:c r="B5030" s="2" t="inlineStr">
        <x:is>
          <x:t xml:space="preserve">301613</x:t>
        </x:is>
      </x:c>
      <x:c r="C5030" s="3" t="inlineStr">
        <x:is>
          <x:t xml:space="preserve">新铝时代</x:t>
        </x:is>
      </x:c>
      <x:c r="D5030" s="3" t="inlineStr">
        <x:is>
          <x:t xml:space="preserve">重庆新铝时代科技股份有限公司</x:t>
        </x:is>
      </x:c>
      <x:c r="E5030" s="2" t="inlineStr">
        <x:is>
          <x:t xml:space="preserve">重庆市</x:t>
        </x:is>
      </x:c>
      <x:c r="F5030" s="2" t="inlineStr">
        <x:is>
          <x:t xml:space="preserve">重庆市</x:t>
        </x:is>
      </x:c>
      <x:c r="G5030" s="3" t="inlineStr">
        <x:is>
          <x:t xml:space="preserve">重庆市-重庆市</x:t>
        </x:is>
      </x:c>
      <x:c r="H5030" s="2" t="inlineStr">
        <x:is>
          <x:t xml:space="preserve">汽车零部件</x:t>
        </x:is>
      </x:c>
      <x:c r="I5030" s="2" t="inlineStr">
        <x:is>
          <x:t xml:space="preserve">2024-10-25</x:t>
        </x:is>
      </x:c>
      <x:c r="J5030" s="3" t="inlineStr">
        <x:is>
          <x:t xml:space="preserve">重庆市涪陵区鹤凤大道43号工作园区标准化厂房A区2号厂房</x:t>
        </x:is>
      </x:c>
      <x:c r="K5030" s="12" t="str">
        <x:f>LEFT("91500102MA5U449F60",18)</x:f>
        <x:v>91500102MA5U449F60</x:v>
      </x:c>
    </x:row>
    <x:row r="5031">
      <x:c r="A5031" s="4" t="n">
        <x:v>5030</x:v>
      </x:c>
      <x:c r="B5031" s="4" t="inlineStr">
        <x:is>
          <x:t xml:space="preserve">600106</x:t>
        </x:is>
      </x:c>
      <x:c r="C5031" s="5" t="inlineStr">
        <x:is>
          <x:t xml:space="preserve">重庆路桥</x:t>
        </x:is>
      </x:c>
      <x:c r="D5031" s="5" t="inlineStr">
        <x:is>
          <x:t xml:space="preserve">重庆路桥股份有限公司</x:t>
        </x:is>
      </x:c>
      <x:c r="E5031" s="4" t="inlineStr">
        <x:is>
          <x:t xml:space="preserve">重庆市</x:t>
        </x:is>
      </x:c>
      <x:c r="F5031" s="4" t="inlineStr">
        <x:is>
          <x:t xml:space="preserve">重庆市</x:t>
        </x:is>
      </x:c>
      <x:c r="G5031" s="5" t="inlineStr">
        <x:is>
          <x:t xml:space="preserve">重庆市-重庆市</x:t>
        </x:is>
      </x:c>
      <x:c r="H5031" s="4" t="inlineStr">
        <x:is>
          <x:t xml:space="preserve">高速公路</x:t>
        </x:is>
      </x:c>
      <x:c r="I5031" s="4" t="inlineStr">
        <x:is>
          <x:t xml:space="preserve">1997-06-18</x:t>
        </x:is>
      </x:c>
      <x:c r="J5031" s="5" t="inlineStr">
        <x:is>
          <x:t xml:space="preserve">重庆市渝中区和平路9号10-1</x:t>
        </x:is>
      </x:c>
      <x:c r="K5031" s="12" t="str">
        <x:f>LEFT("9150000020285694X0",18)</x:f>
        <x:v>9150000020285694X0</x:v>
      </x:c>
    </x:row>
    <x:row r="5032">
      <x:c r="A5032" s="2" t="n">
        <x:v>5031</x:v>
      </x:c>
      <x:c r="B5032" s="2" t="inlineStr">
        <x:is>
          <x:t xml:space="preserve">600116</x:t>
        </x:is>
      </x:c>
      <x:c r="C5032" s="3" t="inlineStr">
        <x:is>
          <x:t xml:space="preserve">三峡水利</x:t>
        </x:is>
      </x:c>
      <x:c r="D5032" s="3" t="inlineStr">
        <x:is>
          <x:t xml:space="preserve">重庆三峡水利电力(集团)股份有限公司</x:t>
        </x:is>
      </x:c>
      <x:c r="E5032" s="2" t="inlineStr">
        <x:is>
          <x:t xml:space="preserve">重庆市</x:t>
        </x:is>
      </x:c>
      <x:c r="F5032" s="2" t="inlineStr">
        <x:is>
          <x:t xml:space="preserve">重庆市</x:t>
        </x:is>
      </x:c>
      <x:c r="G5032" s="3" t="inlineStr">
        <x:is>
          <x:t xml:space="preserve">重庆市-重庆市</x:t>
        </x:is>
      </x:c>
      <x:c r="H5032" s="2" t="inlineStr">
        <x:is>
          <x:t xml:space="preserve">电力行业</x:t>
        </x:is>
      </x:c>
      <x:c r="I5032" s="2" t="inlineStr">
        <x:is>
          <x:t xml:space="preserve">1997-08-04</x:t>
        </x:is>
      </x:c>
      <x:c r="J5032" s="3" t="inlineStr">
        <x:is>
          <x:t xml:space="preserve">重庆市万州区高笋塘85号</x:t>
        </x:is>
      </x:c>
      <x:c r="K5032" s="12" t="str">
        <x:f>LEFT("91500101711607773T",18)</x:f>
        <x:v>91500101711607773T</x:v>
      </x:c>
    </x:row>
    <x:row r="5033">
      <x:c r="A5033" s="4" t="n">
        <x:v>5032</x:v>
      </x:c>
      <x:c r="B5033" s="4" t="inlineStr">
        <x:is>
          <x:t xml:space="preserve">600129</x:t>
        </x:is>
      </x:c>
      <x:c r="C5033" s="5" t="inlineStr">
        <x:is>
          <x:t xml:space="preserve">太极集团</x:t>
        </x:is>
      </x:c>
      <x:c r="D5033" s="5" t="inlineStr">
        <x:is>
          <x:t xml:space="preserve">重庆太极实业(集团)股份有限公司</x:t>
        </x:is>
      </x:c>
      <x:c r="E5033" s="4" t="inlineStr">
        <x:is>
          <x:t xml:space="preserve">重庆市</x:t>
        </x:is>
      </x:c>
      <x:c r="F5033" s="4" t="inlineStr">
        <x:is>
          <x:t xml:space="preserve">重庆市</x:t>
        </x:is>
      </x:c>
      <x:c r="G5033" s="5" t="inlineStr">
        <x:is>
          <x:t xml:space="preserve">重庆市-重庆市</x:t>
        </x:is>
      </x:c>
      <x:c r="H5033" s="4" t="inlineStr">
        <x:is>
          <x:t xml:space="preserve">中药</x:t>
        </x:is>
      </x:c>
      <x:c r="I5033" s="4" t="inlineStr">
        <x:is>
          <x:t xml:space="preserve">1997-11-18</x:t>
        </x:is>
      </x:c>
      <x:c r="J5033" s="5" t="inlineStr">
        <x:is>
          <x:t xml:space="preserve">重庆市涪陵区太极大道1号</x:t>
        </x:is>
      </x:c>
      <x:c r="K5033" s="12" t="str">
        <x:f>LEFT("91500102208507353E",18)</x:f>
        <x:v>91500102208507353E</x:v>
      </x:c>
    </x:row>
    <x:row r="5034">
      <x:c r="A5034" s="2" t="n">
        <x:v>5033</x:v>
      </x:c>
      <x:c r="B5034" s="2" t="inlineStr">
        <x:is>
          <x:t xml:space="preserve">600132</x:t>
        </x:is>
      </x:c>
      <x:c r="C5034" s="3" t="inlineStr">
        <x:is>
          <x:t xml:space="preserve">重庆啤酒</x:t>
        </x:is>
      </x:c>
      <x:c r="D5034" s="3" t="inlineStr">
        <x:is>
          <x:t xml:space="preserve">重庆啤酒股份有限公司</x:t>
        </x:is>
      </x:c>
      <x:c r="E5034" s="2" t="inlineStr">
        <x:is>
          <x:t xml:space="preserve">重庆市</x:t>
        </x:is>
      </x:c>
      <x:c r="F5034" s="2" t="inlineStr">
        <x:is>
          <x:t xml:space="preserve">重庆市</x:t>
        </x:is>
      </x:c>
      <x:c r="G5034" s="3" t="inlineStr">
        <x:is>
          <x:t xml:space="preserve">重庆市-重庆市</x:t>
        </x:is>
      </x:c>
      <x:c r="H5034" s="2" t="inlineStr">
        <x:is>
          <x:t xml:space="preserve">酿酒行业</x:t>
        </x:is>
      </x:c>
      <x:c r="I5034" s="2" t="inlineStr">
        <x:is>
          <x:t xml:space="preserve">1997-10-30</x:t>
        </x:is>
      </x:c>
      <x:c r="J5034" s="3" t="inlineStr">
        <x:is>
          <x:t xml:space="preserve">重庆市北部新区高新园大竹林街道恒山东路9号</x:t>
        </x:is>
      </x:c>
      <x:c r="K5034" s="12" t="str">
        <x:f>LEFT("915000002028235667",18)</x:f>
        <x:v>915000002028235600</x:v>
      </x:c>
    </x:row>
    <x:row r="5035">
      <x:c r="A5035" s="4" t="n">
        <x:v>5034</x:v>
      </x:c>
      <x:c r="B5035" s="4" t="inlineStr">
        <x:is>
          <x:t xml:space="preserve">600279</x:t>
        </x:is>
      </x:c>
      <x:c r="C5035" s="5" t="inlineStr">
        <x:is>
          <x:t xml:space="preserve">重庆港</x:t>
        </x:is>
      </x:c>
      <x:c r="D5035" s="5" t="inlineStr">
        <x:is>
          <x:t xml:space="preserve">重庆港股份有限公司</x:t>
        </x:is>
      </x:c>
      <x:c r="E5035" s="4" t="inlineStr">
        <x:is>
          <x:t xml:space="preserve">重庆市</x:t>
        </x:is>
      </x:c>
      <x:c r="F5035" s="4" t="inlineStr">
        <x:is>
          <x:t xml:space="preserve">重庆市</x:t>
        </x:is>
      </x:c>
      <x:c r="G5035" s="5" t="inlineStr">
        <x:is>
          <x:t xml:space="preserve">重庆市-重庆市</x:t>
        </x:is>
      </x:c>
      <x:c r="H5035" s="4" t="inlineStr">
        <x:is>
          <x:t xml:space="preserve">港口水运</x:t>
        </x:is>
      </x:c>
      <x:c r="I5035" s="4" t="inlineStr">
        <x:is>
          <x:t xml:space="preserve">2000-07-31</x:t>
        </x:is>
      </x:c>
      <x:c r="J5035" s="5" t="inlineStr">
        <x:is>
          <x:t xml:space="preserve">重庆市江北区鱼嘴镇福港大道1号附1号</x:t>
        </x:is>
      </x:c>
      <x:c r="K5035" s="12" t="str">
        <x:f>LEFT("91500000202803688M",18)</x:f>
        <x:v>91500000202803688M</x:v>
      </x:c>
    </x:row>
    <x:row r="5036">
      <x:c r="A5036" s="2" t="n">
        <x:v>5035</x:v>
      </x:c>
      <x:c r="B5036" s="2" t="inlineStr">
        <x:is>
          <x:t xml:space="preserve">600292</x:t>
        </x:is>
      </x:c>
      <x:c r="C5036" s="3" t="inlineStr">
        <x:is>
          <x:t xml:space="preserve">远达环保</x:t>
        </x:is>
      </x:c>
      <x:c r="D5036" s="3" t="inlineStr">
        <x:is>
          <x:t xml:space="preserve">国家电投集团水电股份有限公司</x:t>
        </x:is>
      </x:c>
      <x:c r="E5036" s="2" t="inlineStr">
        <x:is>
          <x:t xml:space="preserve">重庆市</x:t>
        </x:is>
      </x:c>
      <x:c r="F5036" s="2" t="inlineStr">
        <x:is>
          <x:t xml:space="preserve">重庆市</x:t>
        </x:is>
      </x:c>
      <x:c r="G5036" s="3" t="inlineStr">
        <x:is>
          <x:t xml:space="preserve">重庆市-重庆市</x:t>
        </x:is>
      </x:c>
      <x:c r="H5036" s="2" t="inlineStr">
        <x:is>
          <x:t xml:space="preserve">环保工程</x:t>
        </x:is>
      </x:c>
      <x:c r="I5036" s="2" t="inlineStr">
        <x:is>
          <x:t xml:space="preserve">2000-11-01</x:t>
        </x:is>
      </x:c>
      <x:c r="J5036" s="3" t="inlineStr">
        <x:is>
          <x:t xml:space="preserve">重庆市两江新区黄环北路10号1栋</x:t>
        </x:is>
      </x:c>
      <x:c r="K5036" s="12" t="str">
        <x:f>LEFT("91500000203108740N",18)</x:f>
        <x:v>91500000203108740N</x:v>
      </x:c>
    </x:row>
    <x:row r="5037">
      <x:c r="A5037" s="4" t="n">
        <x:v>5036</x:v>
      </x:c>
      <x:c r="B5037" s="4" t="inlineStr">
        <x:is>
          <x:t xml:space="preserve">600369</x:t>
        </x:is>
      </x:c>
      <x:c r="C5037" s="5" t="inlineStr">
        <x:is>
          <x:t xml:space="preserve">西南证券</x:t>
        </x:is>
      </x:c>
      <x:c r="D5037" s="5" t="inlineStr">
        <x:is>
          <x:t xml:space="preserve">西南证券股份有限公司</x:t>
        </x:is>
      </x:c>
      <x:c r="E5037" s="4" t="inlineStr">
        <x:is>
          <x:t xml:space="preserve">重庆市</x:t>
        </x:is>
      </x:c>
      <x:c r="F5037" s="4" t="inlineStr">
        <x:is>
          <x:t xml:space="preserve">重庆市</x:t>
        </x:is>
      </x:c>
      <x:c r="G5037" s="5" t="inlineStr">
        <x:is>
          <x:t xml:space="preserve">重庆市-重庆市</x:t>
        </x:is>
      </x:c>
      <x:c r="H5037" s="4" t="inlineStr">
        <x:is>
          <x:t xml:space="preserve">券商信托</x:t>
        </x:is>
      </x:c>
      <x:c r="I5037" s="4" t="inlineStr">
        <x:is>
          <x:t xml:space="preserve">2001-01-09</x:t>
        </x:is>
      </x:c>
      <x:c r="J5037" s="5" t="inlineStr">
        <x:is>
          <x:t xml:space="preserve">重庆市江北区金沙门路32号西南证券总部大楼</x:t>
        </x:is>
      </x:c>
      <x:c r="K5037" s="12" t="str">
        <x:f>LEFT("91500000203291872B",18)</x:f>
        <x:v>91500000203291872B</x:v>
      </x:c>
    </x:row>
    <x:row r="5038">
      <x:c r="A5038" s="2" t="n">
        <x:v>5037</x:v>
      </x:c>
      <x:c r="B5038" s="2" t="inlineStr">
        <x:is>
          <x:t xml:space="preserve">600452</x:t>
        </x:is>
      </x:c>
      <x:c r="C5038" s="3" t="inlineStr">
        <x:is>
          <x:t xml:space="preserve">涪陵电力</x:t>
        </x:is>
      </x:c>
      <x:c r="D5038" s="3" t="inlineStr">
        <x:is>
          <x:t xml:space="preserve">重庆涪陵电力实业股份有限公司</x:t>
        </x:is>
      </x:c>
      <x:c r="E5038" s="2" t="inlineStr">
        <x:is>
          <x:t xml:space="preserve">重庆市</x:t>
        </x:is>
      </x:c>
      <x:c r="F5038" s="2" t="inlineStr">
        <x:is>
          <x:t xml:space="preserve">重庆市</x:t>
        </x:is>
      </x:c>
      <x:c r="G5038" s="3" t="inlineStr">
        <x:is>
          <x:t xml:space="preserve">重庆市-重庆市</x:t>
        </x:is>
      </x:c>
      <x:c r="H5038" s="2" t="inlineStr">
        <x:is>
          <x:t xml:space="preserve">电力行业</x:t>
        </x:is>
      </x:c>
      <x:c r="I5038" s="2" t="inlineStr">
        <x:is>
          <x:t xml:space="preserve">2004-03-03</x:t>
        </x:is>
      </x:c>
      <x:c r="J5038" s="3" t="inlineStr">
        <x:is>
          <x:t xml:space="preserve">重庆市涪陵区人民东路17号</x:t>
        </x:is>
      </x:c>
      <x:c r="K5038" s="12" t="str">
        <x:f>LEFT("91500102709318251B",18)</x:f>
        <x:v>91500102709318251B</x:v>
      </x:c>
    </x:row>
    <x:row r="5039">
      <x:c r="A5039" s="4" t="n">
        <x:v>5038</x:v>
      </x:c>
      <x:c r="B5039" s="4" t="inlineStr">
        <x:is>
          <x:t xml:space="preserve">600615</x:t>
        </x:is>
      </x:c>
      <x:c r="C5039" s="5" t="inlineStr">
        <x:is>
          <x:t xml:space="preserve">鑫源智造</x:t>
        </x:is>
      </x:c>
      <x:c r="D5039" s="5" t="inlineStr">
        <x:is>
          <x:t xml:space="preserve">重庆鑫源智造科技股份有限公司</x:t>
        </x:is>
      </x:c>
      <x:c r="E5039" s="4" t="inlineStr">
        <x:is>
          <x:t xml:space="preserve">重庆市</x:t>
        </x:is>
      </x:c>
      <x:c r="F5039" s="4" t="inlineStr">
        <x:is>
          <x:t xml:space="preserve">重庆市</x:t>
        </x:is>
      </x:c>
      <x:c r="G5039" s="5" t="inlineStr">
        <x:is>
          <x:t xml:space="preserve">重庆市-重庆市</x:t>
        </x:is>
      </x:c>
      <x:c r="H5039" s="4" t="inlineStr">
        <x:is>
          <x:t xml:space="preserve">小金属</x:t>
        </x:is>
      </x:c>
      <x:c r="I5039" s="4" t="inlineStr">
        <x:is>
          <x:t xml:space="preserve">1992-09-10</x:t>
        </x:is>
      </x:c>
      <x:c r="J5039" s="5" t="inlineStr">
        <x:is>
          <x:t xml:space="preserve">重庆市九龙坡区西彭镇森迪大道8号1幢</x:t>
        </x:is>
      </x:c>
      <x:c r="K5039" s="12" t="str">
        <x:f>LEFT("91310000132209367W",18)</x:f>
        <x:v>91310000132209367W</x:v>
      </x:c>
    </x:row>
    <x:row r="5040">
      <x:c r="A5040" s="2" t="n">
        <x:v>5039</x:v>
      </x:c>
      <x:c r="B5040" s="2" t="inlineStr">
        <x:is>
          <x:t xml:space="preserve">600729</x:t>
        </x:is>
      </x:c>
      <x:c r="C5040" s="3" t="inlineStr">
        <x:is>
          <x:t xml:space="preserve">重庆百货</x:t>
        </x:is>
      </x:c>
      <x:c r="D5040" s="3" t="inlineStr">
        <x:is>
          <x:t xml:space="preserve">重庆百货大楼股份有限公司</x:t>
        </x:is>
      </x:c>
      <x:c r="E5040" s="2" t="inlineStr">
        <x:is>
          <x:t xml:space="preserve">重庆市</x:t>
        </x:is>
      </x:c>
      <x:c r="F5040" s="2" t="inlineStr">
        <x:is>
          <x:t xml:space="preserve">重庆市</x:t>
        </x:is>
      </x:c>
      <x:c r="G5040" s="3" t="inlineStr">
        <x:is>
          <x:t xml:space="preserve">重庆市-重庆市</x:t>
        </x:is>
      </x:c>
      <x:c r="H5040" s="2" t="inlineStr">
        <x:is>
          <x:t xml:space="preserve">商业百货</x:t>
        </x:is>
      </x:c>
      <x:c r="I5040" s="2" t="inlineStr">
        <x:is>
          <x:t xml:space="preserve">1996-07-02</x:t>
        </x:is>
      </x:c>
      <x:c r="J5040" s="3" t="inlineStr">
        <x:is>
          <x:t xml:space="preserve">重庆市渝中区青年路18号10、11、14楼</x:t>
        </x:is>
      </x:c>
      <x:c r="K5040" s="12" t="str">
        <x:f>LEFT("91500000202824753F",18)</x:f>
        <x:v>91500000202824753F</x:v>
      </x:c>
    </x:row>
    <x:row r="5041">
      <x:c r="A5041" s="4" t="n">
        <x:v>5040</x:v>
      </x:c>
      <x:c r="B5041" s="4" t="inlineStr">
        <x:is>
          <x:t xml:space="preserve">600847</x:t>
        </x:is>
      </x:c>
      <x:c r="C5041" s="5" t="inlineStr">
        <x:is>
          <x:t xml:space="preserve">万里股份</x:t>
        </x:is>
      </x:c>
      <x:c r="D5041" s="5" t="inlineStr">
        <x:is>
          <x:t xml:space="preserve">重庆万里新能源股份有限公司</x:t>
        </x:is>
      </x:c>
      <x:c r="E5041" s="4" t="inlineStr">
        <x:is>
          <x:t xml:space="preserve">重庆市</x:t>
        </x:is>
      </x:c>
      <x:c r="F5041" s="4" t="inlineStr">
        <x:is>
          <x:t xml:space="preserve">重庆市</x:t>
        </x:is>
      </x:c>
      <x:c r="G5041" s="5" t="inlineStr">
        <x:is>
          <x:t xml:space="preserve">重庆市-重庆市</x:t>
        </x:is>
      </x:c>
      <x:c r="H5041" s="4" t="inlineStr">
        <x:is>
          <x:t xml:space="preserve">电池</x:t>
        </x:is>
      </x:c>
      <x:c r="I5041" s="4" t="inlineStr">
        <x:is>
          <x:t xml:space="preserve">1994-03-24</x:t>
        </x:is>
      </x:c>
      <x:c r="J5041" s="5" t="inlineStr">
        <x:is>
          <x:t xml:space="preserve">重庆市江津区双福街道创业路26号综合楼幢1-1</x:t>
        </x:is>
      </x:c>
      <x:c r="K5041" s="12" t="str">
        <x:f>LEFT("915000002028144081",18)</x:f>
        <x:v>915000002028144100</x:v>
      </x:c>
    </x:row>
    <x:row r="5042">
      <x:c r="A5042" s="2" t="n">
        <x:v>5041</x:v>
      </x:c>
      <x:c r="B5042" s="2" t="inlineStr">
        <x:is>
          <x:t xml:space="preserve">600877</x:t>
        </x:is>
      </x:c>
      <x:c r="C5042" s="3" t="inlineStr">
        <x:is>
          <x:t xml:space="preserve">电科芯片</x:t>
        </x:is>
      </x:c>
      <x:c r="D5042" s="3" t="inlineStr">
        <x:is>
          <x:t xml:space="preserve">中电科芯片技术股份有限公司</x:t>
        </x:is>
      </x:c>
      <x:c r="E5042" s="2" t="inlineStr">
        <x:is>
          <x:t xml:space="preserve">重庆市</x:t>
        </x:is>
      </x:c>
      <x:c r="F5042" s="2" t="inlineStr">
        <x:is>
          <x:t xml:space="preserve">重庆市</x:t>
        </x:is>
      </x:c>
      <x:c r="G5042" s="3" t="inlineStr">
        <x:is>
          <x:t xml:space="preserve">重庆市-重庆市</x:t>
        </x:is>
      </x:c>
      <x:c r="H5042" s="2" t="inlineStr">
        <x:is>
          <x:t xml:space="preserve">半导体</x:t>
        </x:is>
      </x:c>
      <x:c r="I5042" s="2" t="inlineStr">
        <x:is>
          <x:t xml:space="preserve">1995-10-13</x:t>
        </x:is>
      </x:c>
      <x:c r="J5042" s="3" t="inlineStr">
        <x:is>
          <x:t xml:space="preserve">中华人民共和国重庆市璧山区璧泉街道永嘉大道111号</x:t>
        </x:is>
      </x:c>
      <x:c r="K5042" s="12" t="str">
        <x:f>LEFT("91500000202802570Y",18)</x:f>
        <x:v>91500000202802570Y</x:v>
      </x:c>
    </x:row>
    <x:row r="5043">
      <x:c r="A5043" s="4" t="n">
        <x:v>5042</x:v>
      </x:c>
      <x:c r="B5043" s="4" t="inlineStr">
        <x:is>
          <x:t xml:space="preserve">600917</x:t>
        </x:is>
      </x:c>
      <x:c r="C5043" s="5" t="inlineStr">
        <x:is>
          <x:t xml:space="preserve">重庆燃气</x:t>
        </x:is>
      </x:c>
      <x:c r="D5043" s="5" t="inlineStr">
        <x:is>
          <x:t xml:space="preserve">重庆燃气集团股份有限公司</x:t>
        </x:is>
      </x:c>
      <x:c r="E5043" s="4" t="inlineStr">
        <x:is>
          <x:t xml:space="preserve">重庆市</x:t>
        </x:is>
      </x:c>
      <x:c r="F5043" s="4" t="inlineStr">
        <x:is>
          <x:t xml:space="preserve">重庆市</x:t>
        </x:is>
      </x:c>
      <x:c r="G5043" s="5" t="inlineStr">
        <x:is>
          <x:t xml:space="preserve">重庆市-重庆市</x:t>
        </x:is>
      </x:c>
      <x:c r="H5043" s="4" t="inlineStr">
        <x:is>
          <x:t xml:space="preserve">燃气</x:t>
        </x:is>
      </x:c>
      <x:c r="I5043" s="4" t="inlineStr">
        <x:is>
          <x:t xml:space="preserve">2014-09-30</x:t>
        </x:is>
      </x:c>
      <x:c r="J5043" s="5" t="inlineStr">
        <x:is>
          <x:t xml:space="preserve">重庆市江北区鸿恩路7号</x:t>
        </x:is>
      </x:c>
      <x:c r="K5043" s="12" t="str">
        <x:f>LEFT("91500000202833000R",18)</x:f>
        <x:v>91500000202833000R</x:v>
      </x:c>
    </x:row>
    <x:row r="5044">
      <x:c r="A5044" s="2" t="n">
        <x:v>5043</x:v>
      </x:c>
      <x:c r="B5044" s="2" t="inlineStr">
        <x:is>
          <x:t xml:space="preserve">600939</x:t>
        </x:is>
      </x:c>
      <x:c r="C5044" s="3" t="inlineStr">
        <x:is>
          <x:t xml:space="preserve">重庆建工</x:t>
        </x:is>
      </x:c>
      <x:c r="D5044" s="3" t="inlineStr">
        <x:is>
          <x:t xml:space="preserve">重庆建工集团股份有限公司</x:t>
        </x:is>
      </x:c>
      <x:c r="E5044" s="2" t="inlineStr">
        <x:is>
          <x:t xml:space="preserve">重庆市</x:t>
        </x:is>
      </x:c>
      <x:c r="F5044" s="2" t="inlineStr">
        <x:is>
          <x:t xml:space="preserve">重庆市</x:t>
        </x:is>
      </x:c>
      <x:c r="G5044" s="3" t="inlineStr">
        <x:is>
          <x:t xml:space="preserve">重庆市-重庆市</x:t>
        </x:is>
      </x:c>
      <x:c r="H5044" s="2" t="inlineStr">
        <x:is>
          <x:t xml:space="preserve">工程建设</x:t>
        </x:is>
      </x:c>
      <x:c r="I5044" s="2" t="inlineStr">
        <x:is>
          <x:t xml:space="preserve">2017-02-21</x:t>
        </x:is>
      </x:c>
      <x:c r="J5044" s="3" t="inlineStr">
        <x:is>
          <x:t xml:space="preserve">重庆市两江新区金开大道1596号</x:t>
        </x:is>
      </x:c>
      <x:c r="K5044" s="12" t="str">
        <x:f>LEFT("915000002028257485",18)</x:f>
        <x:v>915000002028257500</x:v>
      </x:c>
    </x:row>
    <x:row r="5045">
      <x:c r="A5045" s="4" t="n">
        <x:v>5044</x:v>
      </x:c>
      <x:c r="B5045" s="4" t="inlineStr">
        <x:is>
          <x:t xml:space="preserve">601005</x:t>
        </x:is>
      </x:c>
      <x:c r="C5045" s="5" t="inlineStr">
        <x:is>
          <x:t xml:space="preserve">重庆钢铁</x:t>
        </x:is>
      </x:c>
      <x:c r="D5045" s="5" t="inlineStr">
        <x:is>
          <x:t xml:space="preserve">重庆钢铁股份有限公司</x:t>
        </x:is>
      </x:c>
      <x:c r="E5045" s="4" t="inlineStr">
        <x:is>
          <x:t xml:space="preserve">重庆市</x:t>
        </x:is>
      </x:c>
      <x:c r="F5045" s="4" t="inlineStr">
        <x:is>
          <x:t xml:space="preserve">重庆市</x:t>
        </x:is>
      </x:c>
      <x:c r="G5045" s="5" t="inlineStr">
        <x:is>
          <x:t xml:space="preserve">重庆市-重庆市</x:t>
        </x:is>
      </x:c>
      <x:c r="H5045" s="4" t="inlineStr">
        <x:is>
          <x:t xml:space="preserve">钢铁行业</x:t>
        </x:is>
      </x:c>
      <x:c r="I5045" s="4" t="inlineStr">
        <x:is>
          <x:t xml:space="preserve">2007-02-28</x:t>
        </x:is>
      </x:c>
      <x:c r="J5045" s="5" t="inlineStr">
        <x:is>
          <x:t xml:space="preserve">重庆市长寿区江南街道江南大道2号</x:t>
        </x:is>
      </x:c>
      <x:c r="K5045" s="12" t="str">
        <x:f>LEFT("91500000202852965T",18)</x:f>
        <x:v>91500000202852965T</x:v>
      </x:c>
    </x:row>
    <x:row r="5046">
      <x:c r="A5046" s="2" t="n">
        <x:v>5045</x:v>
      </x:c>
      <x:c r="B5046" s="2" t="inlineStr">
        <x:is>
          <x:t xml:space="preserve">601077</x:t>
        </x:is>
      </x:c>
      <x:c r="C5046" s="3" t="inlineStr">
        <x:is>
          <x:t xml:space="preserve">渝农商行</x:t>
        </x:is>
      </x:c>
      <x:c r="D5046" s="3" t="inlineStr">
        <x:is>
          <x:t xml:space="preserve">重庆农村商业银行股份有限公司</x:t>
        </x:is>
      </x:c>
      <x:c r="E5046" s="2" t="inlineStr">
        <x:is>
          <x:t xml:space="preserve">重庆市</x:t>
        </x:is>
      </x:c>
      <x:c r="F5046" s="2" t="inlineStr">
        <x:is>
          <x:t xml:space="preserve">重庆市</x:t>
        </x:is>
      </x:c>
      <x:c r="G5046" s="3" t="inlineStr">
        <x:is>
          <x:t xml:space="preserve">重庆市-重庆市</x:t>
        </x:is>
      </x:c>
      <x:c r="H5046" s="2" t="inlineStr">
        <x:is>
          <x:t xml:space="preserve">银行</x:t>
        </x:is>
      </x:c>
      <x:c r="I5046" s="2" t="inlineStr">
        <x:is>
          <x:t xml:space="preserve">2019-10-29</x:t>
        </x:is>
      </x:c>
      <x:c r="J5046" s="3" t="inlineStr">
        <x:is>
          <x:t xml:space="preserve">中国重庆市江北区金沙门路36号</x:t>
        </x:is>
      </x:c>
      <x:c r="K5046" s="12" t="str">
        <x:f>LEFT("91500000676129728J",18)</x:f>
        <x:v>91500000676129728J</x:v>
      </x:c>
    </x:row>
    <x:row r="5047">
      <x:c r="A5047" s="4" t="n">
        <x:v>5046</x:v>
      </x:c>
      <x:c r="B5047" s="4" t="inlineStr">
        <x:is>
          <x:t xml:space="preserve">601127</x:t>
        </x:is>
      </x:c>
      <x:c r="C5047" s="5" t="inlineStr">
        <x:is>
          <x:t xml:space="preserve">赛力斯</x:t>
        </x:is>
      </x:c>
      <x:c r="D5047" s="5" t="inlineStr">
        <x:is>
          <x:t xml:space="preserve">赛力斯集团股份有限公司</x:t>
        </x:is>
      </x:c>
      <x:c r="E5047" s="4" t="inlineStr">
        <x:is>
          <x:t xml:space="preserve">重庆市</x:t>
        </x:is>
      </x:c>
      <x:c r="F5047" s="4" t="inlineStr">
        <x:is>
          <x:t xml:space="preserve">重庆市</x:t>
        </x:is>
      </x:c>
      <x:c r="G5047" s="5" t="inlineStr">
        <x:is>
          <x:t xml:space="preserve">重庆市-重庆市</x:t>
        </x:is>
      </x:c>
      <x:c r="H5047" s="4" t="inlineStr">
        <x:is>
          <x:t xml:space="preserve">汽车整车</x:t>
        </x:is>
      </x:c>
      <x:c r="I5047" s="4" t="inlineStr">
        <x:is>
          <x:t xml:space="preserve">2016-06-15</x:t>
        </x:is>
      </x:c>
      <x:c r="J5047" s="5" t="inlineStr">
        <x:is>
          <x:t xml:space="preserve">重庆市沙坪坝区五云湖路7号</x:t>
        </x:is>
      </x:c>
      <x:c r="K5047" s="12" t="str">
        <x:f>LEFT("915001066608898456",18)</x:f>
        <x:v>915001066608898400</x:v>
      </x:c>
    </x:row>
    <x:row r="5048">
      <x:c r="A5048" s="2" t="n">
        <x:v>5047</x:v>
      </x:c>
      <x:c r="B5048" s="2" t="inlineStr">
        <x:is>
          <x:t xml:space="preserve">601158</x:t>
        </x:is>
      </x:c>
      <x:c r="C5048" s="3" t="inlineStr">
        <x:is>
          <x:t xml:space="preserve">重庆水务</x:t>
        </x:is>
      </x:c>
      <x:c r="D5048" s="3" t="inlineStr">
        <x:is>
          <x:t xml:space="preserve">重庆水务集团股份有限公司</x:t>
        </x:is>
      </x:c>
      <x:c r="E5048" s="2" t="inlineStr">
        <x:is>
          <x:t xml:space="preserve">重庆市</x:t>
        </x:is>
      </x:c>
      <x:c r="F5048" s="2" t="inlineStr">
        <x:is>
          <x:t xml:space="preserve">重庆市</x:t>
        </x:is>
      </x:c>
      <x:c r="G5048" s="3" t="inlineStr">
        <x:is>
          <x:t xml:space="preserve">重庆市-重庆市</x:t>
        </x:is>
      </x:c>
      <x:c r="H5048" s="2" t="inlineStr">
        <x:is>
          <x:t xml:space="preserve">公用事业</x:t>
        </x:is>
      </x:c>
      <x:c r="I5048" s="2" t="inlineStr">
        <x:is>
          <x:t xml:space="preserve">2010-03-29</x:t>
        </x:is>
      </x:c>
      <x:c r="J5048" s="3" t="inlineStr">
        <x:is>
          <x:t xml:space="preserve">重庆市渝中区龙家湾1号</x:t>
        </x:is>
      </x:c>
      <x:c r="K5048" s="12" t="str">
        <x:f>LEFT("915000007093295592",18)</x:f>
        <x:v>915000007093295600</x:v>
      </x:c>
    </x:row>
    <x:row r="5049">
      <x:c r="A5049" s="4" t="n">
        <x:v>5048</x:v>
      </x:c>
      <x:c r="B5049" s="4" t="inlineStr">
        <x:is>
          <x:t xml:space="preserve">601777</x:t>
        </x:is>
      </x:c>
      <x:c r="C5049" s="5" t="inlineStr">
        <x:is>
          <x:t xml:space="preserve">千里科技</x:t>
        </x:is>
      </x:c>
      <x:c r="D5049" s="5" t="inlineStr">
        <x:is>
          <x:t xml:space="preserve">重庆千里科技股份有限公司</x:t>
        </x:is>
      </x:c>
      <x:c r="E5049" s="4" t="inlineStr">
        <x:is>
          <x:t xml:space="preserve">重庆市</x:t>
        </x:is>
      </x:c>
      <x:c r="F5049" s="4" t="inlineStr">
        <x:is>
          <x:t xml:space="preserve">重庆市</x:t>
        </x:is>
      </x:c>
      <x:c r="G5049" s="5" t="inlineStr">
        <x:is>
          <x:t xml:space="preserve">重庆市-重庆市</x:t>
        </x:is>
      </x:c>
      <x:c r="H5049" s="4" t="inlineStr">
        <x:is>
          <x:t xml:space="preserve">汽车整车</x:t>
        </x:is>
      </x:c>
      <x:c r="I5049" s="4" t="inlineStr">
        <x:is>
          <x:t xml:space="preserve">2010-11-25</x:t>
        </x:is>
      </x:c>
      <x:c r="J5049" s="5" t="inlineStr">
        <x:is>
          <x:t xml:space="preserve">重庆市两江新区金山大道黄环北路2号</x:t>
        </x:is>
      </x:c>
      <x:c r="K5049" s="12" t="str">
        <x:f>LEFT("915000006220209463",18)</x:f>
        <x:v>915000006220209400</x:v>
      </x:c>
    </x:row>
    <x:row r="5050">
      <x:c r="A5050" s="2" t="n">
        <x:v>5049</x:v>
      </x:c>
      <x:c r="B5050" s="2" t="inlineStr">
        <x:is>
          <x:t xml:space="preserve">601827</x:t>
        </x:is>
      </x:c>
      <x:c r="C5050" s="3" t="inlineStr">
        <x:is>
          <x:t xml:space="preserve">三峰环境</x:t>
        </x:is>
      </x:c>
      <x:c r="D5050" s="3" t="inlineStr">
        <x:is>
          <x:t xml:space="preserve">重庆三峰环境集团股份有限公司</x:t>
        </x:is>
      </x:c>
      <x:c r="E5050" s="2" t="inlineStr">
        <x:is>
          <x:t xml:space="preserve">重庆市</x:t>
        </x:is>
      </x:c>
      <x:c r="F5050" s="2" t="inlineStr">
        <x:is>
          <x:t xml:space="preserve">重庆市</x:t>
        </x:is>
      </x:c>
      <x:c r="G5050" s="3" t="inlineStr">
        <x:is>
          <x:t xml:space="preserve">重庆市-重庆市</x:t>
        </x:is>
      </x:c>
      <x:c r="H5050" s="2" t="inlineStr">
        <x:is>
          <x:t xml:space="preserve">环保工程</x:t>
        </x:is>
      </x:c>
      <x:c r="I5050" s="2" t="inlineStr">
        <x:is>
          <x:t xml:space="preserve">2020-06-05</x:t>
        </x:is>
      </x:c>
      <x:c r="J5050" s="3" t="inlineStr">
        <x:is>
          <x:t xml:space="preserve">重庆市大渡口区建桥工业园建桥大道3号</x:t>
        </x:is>
      </x:c>
      <x:c r="K5050" s="12" t="str">
        <x:f>LEFT("91500000699250053X",18)</x:f>
        <x:v>91500000699250053X</x:v>
      </x:c>
    </x:row>
    <x:row r="5051">
      <x:c r="A5051" s="4" t="n">
        <x:v>5050</x:v>
      </x:c>
      <x:c r="B5051" s="4" t="inlineStr">
        <x:is>
          <x:t xml:space="preserve">601963</x:t>
        </x:is>
      </x:c>
      <x:c r="C5051" s="5" t="inlineStr">
        <x:is>
          <x:t xml:space="preserve">重庆银行</x:t>
        </x:is>
      </x:c>
      <x:c r="D5051" s="5" t="inlineStr">
        <x:is>
          <x:t xml:space="preserve">重庆银行股份有限公司</x:t>
        </x:is>
      </x:c>
      <x:c r="E5051" s="4" t="inlineStr">
        <x:is>
          <x:t xml:space="preserve">重庆市</x:t>
        </x:is>
      </x:c>
      <x:c r="F5051" s="4" t="inlineStr">
        <x:is>
          <x:t xml:space="preserve">重庆市</x:t>
        </x:is>
      </x:c>
      <x:c r="G5051" s="5" t="inlineStr">
        <x:is>
          <x:t xml:space="preserve">重庆市-重庆市</x:t>
        </x:is>
      </x:c>
      <x:c r="H5051" s="4" t="inlineStr">
        <x:is>
          <x:t xml:space="preserve">银行</x:t>
        </x:is>
      </x:c>
      <x:c r="I5051" s="4" t="inlineStr">
        <x:is>
          <x:t xml:space="preserve">2021-02-05</x:t>
        </x:is>
      </x:c>
      <x:c r="J5051" s="5" t="inlineStr">
        <x:is>
          <x:t xml:space="preserve">中国重庆市江北区永平门街6号</x:t>
        </x:is>
      </x:c>
      <x:c r="K5051" s="12" t="str">
        <x:f>LEFT("91500000202869177Y",18)</x:f>
        <x:v>91500000202869177Y</x:v>
      </x:c>
    </x:row>
    <x:row r="5052">
      <x:c r="A5052" s="2" t="n">
        <x:v>5051</x:v>
      </x:c>
      <x:c r="B5052" s="2" t="inlineStr">
        <x:is>
          <x:t xml:space="preserve">601965</x:t>
        </x:is>
      </x:c>
      <x:c r="C5052" s="3" t="inlineStr">
        <x:is>
          <x:t xml:space="preserve">中国汽研</x:t>
        </x:is>
      </x:c>
      <x:c r="D5052" s="3" t="inlineStr">
        <x:is>
          <x:t xml:space="preserve">中国汽车工程研究院股份有限公司</x:t>
        </x:is>
      </x:c>
      <x:c r="E5052" s="2" t="inlineStr">
        <x:is>
          <x:t xml:space="preserve">重庆市</x:t>
        </x:is>
      </x:c>
      <x:c r="F5052" s="2" t="inlineStr">
        <x:is>
          <x:t xml:space="preserve">重庆市</x:t>
        </x:is>
      </x:c>
      <x:c r="G5052" s="3" t="inlineStr">
        <x:is>
          <x:t xml:space="preserve">重庆市-重庆市</x:t>
        </x:is>
      </x:c>
      <x:c r="H5052" s="2" t="inlineStr">
        <x:is>
          <x:t xml:space="preserve">汽车服务</x:t>
        </x:is>
      </x:c>
      <x:c r="I5052" s="2" t="inlineStr">
        <x:is>
          <x:t xml:space="preserve">2012-06-11</x:t>
        </x:is>
      </x:c>
      <x:c r="J5052" s="3" t="inlineStr">
        <x:is>
          <x:t xml:space="preserve">重庆市北部新区金渝大道9号</x:t>
        </x:is>
      </x:c>
      <x:c r="K5052" s="12" t="str">
        <x:f>LEFT("91500000450402824H",18)</x:f>
        <x:v>91500000450402824H</x:v>
      </x:c>
    </x:row>
    <x:row r="5053">
      <x:c r="A5053" s="4" t="n">
        <x:v>5052</x:v>
      </x:c>
      <x:c r="B5053" s="4" t="inlineStr">
        <x:is>
          <x:t xml:space="preserve">603100</x:t>
        </x:is>
      </x:c>
      <x:c r="C5053" s="5" t="inlineStr">
        <x:is>
          <x:t xml:space="preserve">川仪股份</x:t>
        </x:is>
      </x:c>
      <x:c r="D5053" s="5" t="inlineStr">
        <x:is>
          <x:t xml:space="preserve">重庆川仪自动化股份有限公司</x:t>
        </x:is>
      </x:c>
      <x:c r="E5053" s="4" t="inlineStr">
        <x:is>
          <x:t xml:space="preserve">重庆市</x:t>
        </x:is>
      </x:c>
      <x:c r="F5053" s="4" t="inlineStr">
        <x:is>
          <x:t xml:space="preserve">重庆市</x:t>
        </x:is>
      </x:c>
      <x:c r="G5053" s="5" t="inlineStr">
        <x:is>
          <x:t xml:space="preserve">重庆市-重庆市</x:t>
        </x:is>
      </x:c>
      <x:c r="H5053" s="4" t="inlineStr">
        <x:is>
          <x:t xml:space="preserve">仪器仪表</x:t>
        </x:is>
      </x:c>
      <x:c r="I5053" s="4" t="inlineStr">
        <x:is>
          <x:t xml:space="preserve">2014-08-05</x:t>
        </x:is>
      </x:c>
      <x:c r="J5053" s="5" t="inlineStr">
        <x:is>
          <x:t xml:space="preserve">重庆市北碚区人民村1号</x:t>
        </x:is>
      </x:c>
      <x:c r="K5053" s="12" t="str">
        <x:f>LEFT("91500109203226384B",18)</x:f>
        <x:v>91500109203226384B</x:v>
      </x:c>
    </x:row>
    <x:row r="5054">
      <x:c r="A5054" s="2" t="n">
        <x:v>5053</x:v>
      </x:c>
      <x:c r="B5054" s="2" t="inlineStr">
        <x:is>
          <x:t xml:space="preserve">603109</x:t>
        </x:is>
      </x:c>
      <x:c r="C5054" s="3" t="inlineStr">
        <x:is>
          <x:t xml:space="preserve">神驰机电</x:t>
        </x:is>
      </x:c>
      <x:c r="D5054" s="3" t="inlineStr">
        <x:is>
          <x:t xml:space="preserve">神驰机电股份有限公司</x:t>
        </x:is>
      </x:c>
      <x:c r="E5054" s="2" t="inlineStr">
        <x:is>
          <x:t xml:space="preserve">重庆市</x:t>
        </x:is>
      </x:c>
      <x:c r="F5054" s="2" t="inlineStr">
        <x:is>
          <x:t xml:space="preserve">重庆市</x:t>
        </x:is>
      </x:c>
      <x:c r="G5054" s="3" t="inlineStr">
        <x:is>
          <x:t xml:space="preserve">重庆市-重庆市</x:t>
        </x:is>
      </x:c>
      <x:c r="H5054" s="2" t="inlineStr">
        <x:is>
          <x:t xml:space="preserve">通用设备</x:t>
        </x:is>
      </x:c>
      <x:c r="I5054" s="2" t="inlineStr">
        <x:is>
          <x:t xml:space="preserve">2019-12-31</x:t>
        </x:is>
      </x:c>
      <x:c r="J5054" s="3" t="inlineStr">
        <x:is>
          <x:t xml:space="preserve">重庆市北碚区童家溪镇同兴北路200号</x:t>
        </x:is>
      </x:c>
      <x:c r="K5054" s="12" t="str">
        <x:f>LEFT("91500109762661737A",18)</x:f>
        <x:v>91500109762661737A</x:v>
      </x:c>
    </x:row>
    <x:row r="5055">
      <x:c r="A5055" s="4" t="n">
        <x:v>5054</x:v>
      </x:c>
      <x:c r="B5055" s="4" t="inlineStr">
        <x:is>
          <x:t xml:space="preserve">603191</x:t>
        </x:is>
      </x:c>
      <x:c r="C5055" s="5" t="inlineStr">
        <x:is>
          <x:t xml:space="preserve">望变电气</x:t>
        </x:is>
      </x:c>
      <x:c r="D5055" s="5" t="inlineStr">
        <x:is>
          <x:t xml:space="preserve">重庆望变电气(集团)股份有限公司</x:t>
        </x:is>
      </x:c>
      <x:c r="E5055" s="4" t="inlineStr">
        <x:is>
          <x:t xml:space="preserve">重庆市</x:t>
        </x:is>
      </x:c>
      <x:c r="F5055" s="4" t="inlineStr">
        <x:is>
          <x:t xml:space="preserve">重庆市</x:t>
        </x:is>
      </x:c>
      <x:c r="G5055" s="5" t="inlineStr">
        <x:is>
          <x:t xml:space="preserve">重庆市-重庆市</x:t>
        </x:is>
      </x:c>
      <x:c r="H5055" s="4" t="inlineStr">
        <x:is>
          <x:t xml:space="preserve">电网设备</x:t>
        </x:is>
      </x:c>
      <x:c r="I5055" s="4" t="inlineStr">
        <x:is>
          <x:t xml:space="preserve">2022-04-28</x:t>
        </x:is>
      </x:c>
      <x:c r="J5055" s="5" t="inlineStr">
        <x:is>
          <x:t xml:space="preserve">重庆市长寿区晏家街道齐心东路10号</x:t>
        </x:is>
      </x:c>
      <x:c r="K5055" s="12" t="str">
        <x:f>LEFT("91500115203395479N",18)</x:f>
        <x:v>91500115203395479N</x:v>
      </x:c>
    </x:row>
    <x:row r="5056">
      <x:c r="A5056" s="2" t="n">
        <x:v>5055</x:v>
      </x:c>
      <x:c r="B5056" s="2" t="inlineStr">
        <x:is>
          <x:t xml:space="preserve">603352</x:t>
        </x:is>
      </x:c>
      <x:c r="C5056" s="3" t="inlineStr">
        <x:is>
          <x:t xml:space="preserve">至信股份</x:t>
        </x:is>
      </x:c>
      <x:c r="D5056" s="3" t="inlineStr">
        <x:is>
          <x:t xml:space="preserve">重庆至信实业股份有限公司</x:t>
        </x:is>
      </x:c>
      <x:c r="E5056" s="2" t="inlineStr">
        <x:is>
          <x:t xml:space="preserve">重庆市</x:t>
        </x:is>
      </x:c>
      <x:c r="F5056" s="2" t="inlineStr">
        <x:is>
          <x:t xml:space="preserve">重庆市</x:t>
        </x:is>
      </x:c>
      <x:c r="G5056" s="3" t="inlineStr">
        <x:is>
          <x:t xml:space="preserve">重庆市-重庆市</x:t>
        </x:is>
      </x:c>
      <x:c r="H5056" s="2" t="inlineStr">
        <x:is>
          <x:t xml:space="preserve">汽车零部件</x:t>
        </x:is>
      </x:c>
      <x:c r="I5056" s="2" t="inlineStr">
        <x:is>
          <x:t xml:space="preserve">2026-01-15</x:t>
        </x:is>
      </x:c>
      <x:c r="J5056" s="3" t="inlineStr">
        <x:is>
          <x:t xml:space="preserve">重庆市江北区鱼嘴镇长惠路29号</x:t>
        </x:is>
      </x:c>
      <x:c r="K5056" s="12" t="str">
        <x:f>LEFT("9150000050430952XP",18)</x:f>
        <x:v>9150000050430952XP</x:v>
      </x:c>
    </x:row>
    <x:row r="5057">
      <x:c r="A5057" s="4" t="n">
        <x:v>5056</x:v>
      </x:c>
      <x:c r="B5057" s="4" t="inlineStr">
        <x:is>
          <x:t xml:space="preserve">603601</x:t>
        </x:is>
      </x:c>
      <x:c r="C5057" s="5" t="inlineStr">
        <x:is>
          <x:t xml:space="preserve">再升科技</x:t>
        </x:is>
      </x:c>
      <x:c r="D5057" s="5" t="inlineStr">
        <x:is>
          <x:t xml:space="preserve">重庆再升科技股份有限公司</x:t>
        </x:is>
      </x:c>
      <x:c r="E5057" s="4" t="inlineStr">
        <x:is>
          <x:t xml:space="preserve">重庆市</x:t>
        </x:is>
      </x:c>
      <x:c r="F5057" s="4" t="inlineStr">
        <x:is>
          <x:t xml:space="preserve">重庆市</x:t>
        </x:is>
      </x:c>
      <x:c r="G5057" s="5" t="inlineStr">
        <x:is>
          <x:t xml:space="preserve">重庆市-重庆市</x:t>
        </x:is>
      </x:c>
      <x:c r="H5057" s="4" t="inlineStr">
        <x:is>
          <x:t xml:space="preserve">玻璃玻纤</x:t>
        </x:is>
      </x:c>
      <x:c r="I5057" s="4" t="inlineStr">
        <x:is>
          <x:t xml:space="preserve">2015-01-22</x:t>
        </x:is>
      </x:c>
      <x:c r="J5057" s="5" t="inlineStr">
        <x:is>
          <x:t xml:space="preserve">重庆市渝北区回兴街道婵衣路1号</x:t>
        </x:is>
      </x:c>
      <x:c r="K5057" s="12" t="str">
        <x:f>LEFT("915001126635648352",18)</x:f>
        <x:v>915001126635648400</x:v>
      </x:c>
    </x:row>
    <x:row r="5058">
      <x:c r="A5058" s="2" t="n">
        <x:v>5057</x:v>
      </x:c>
      <x:c r="B5058" s="2" t="inlineStr">
        <x:is>
          <x:t xml:space="preserve">603697</x:t>
        </x:is>
      </x:c>
      <x:c r="C5058" s="3" t="inlineStr">
        <x:is>
          <x:t xml:space="preserve">有友食品</x:t>
        </x:is>
      </x:c>
      <x:c r="D5058" s="3" t="inlineStr">
        <x:is>
          <x:t xml:space="preserve">有友食品股份有限公司</x:t>
        </x:is>
      </x:c>
      <x:c r="E5058" s="2" t="inlineStr">
        <x:is>
          <x:t xml:space="preserve">重庆市</x:t>
        </x:is>
      </x:c>
      <x:c r="F5058" s="2" t="inlineStr">
        <x:is>
          <x:t xml:space="preserve">重庆市</x:t>
        </x:is>
      </x:c>
      <x:c r="G5058" s="3" t="inlineStr">
        <x:is>
          <x:t xml:space="preserve">重庆市-重庆市</x:t>
        </x:is>
      </x:c>
      <x:c r="H5058" s="2" t="inlineStr">
        <x:is>
          <x:t xml:space="preserve">食品饮料</x:t>
        </x:is>
      </x:c>
      <x:c r="I5058" s="2" t="inlineStr">
        <x:is>
          <x:t xml:space="preserve">2019-05-08</x:t>
        </x:is>
      </x:c>
      <x:c r="J5058" s="3" t="inlineStr">
        <x:is>
          <x:t xml:space="preserve">重庆市渝北区国家农业科技园区国际食品工业城宝环一路13号</x:t>
        </x:is>
      </x:c>
      <x:c r="K5058" s="12" t="str">
        <x:f>LEFT("91500112660889685L",18)</x:f>
        <x:v>91500112660889685L</x:v>
      </x:c>
    </x:row>
    <x:row r="5059">
      <x:c r="A5059" s="4" t="n">
        <x:v>5058</x:v>
      </x:c>
      <x:c r="B5059" s="4" t="inlineStr">
        <x:is>
          <x:t xml:space="preserve">603717</x:t>
        </x:is>
      </x:c>
      <x:c r="C5059" s="5" t="inlineStr">
        <x:is>
          <x:t xml:space="preserve">天域生物</x:t>
        </x:is>
      </x:c>
      <x:c r="D5059" s="5" t="inlineStr">
        <x:is>
          <x:t xml:space="preserve">天域生物科技股份有限公司</x:t>
        </x:is>
      </x:c>
      <x:c r="E5059" s="4" t="inlineStr">
        <x:is>
          <x:t xml:space="preserve">重庆市</x:t>
        </x:is>
      </x:c>
      <x:c r="F5059" s="4" t="inlineStr">
        <x:is>
          <x:t xml:space="preserve">重庆市</x:t>
        </x:is>
      </x:c>
      <x:c r="G5059" s="5" t="inlineStr">
        <x:is>
          <x:t xml:space="preserve">重庆市-重庆市</x:t>
        </x:is>
      </x:c>
      <x:c r="H5059" s="4" t="inlineStr">
        <x:is>
          <x:t xml:space="preserve">农牧饲渔</x:t>
        </x:is>
      </x:c>
      <x:c r="I5059" s="4" t="inlineStr">
        <x:is>
          <x:t xml:space="preserve">2017-03-27</x:t>
        </x:is>
      </x:c>
      <x:c r="J5059" s="5" t="inlineStr">
        <x:is>
          <x:t xml:space="preserve">重庆市江北区聚贤街25号3幢1206号</x:t>
        </x:is>
      </x:c>
      <x:c r="K5059" s="12" t="str">
        <x:f>LEFT("91500105450401338Q",18)</x:f>
        <x:v>91500105450401338Q</x:v>
      </x:c>
    </x:row>
    <x:row r="5060">
      <x:c r="A5060" s="2" t="n">
        <x:v>5059</x:v>
      </x:c>
      <x:c r="B5060" s="2" t="inlineStr">
        <x:is>
          <x:t xml:space="preserve">603758</x:t>
        </x:is>
      </x:c>
      <x:c r="C5060" s="3" t="inlineStr">
        <x:is>
          <x:t xml:space="preserve">秦安股份</x:t>
        </x:is>
      </x:c>
      <x:c r="D5060" s="3" t="inlineStr">
        <x:is>
          <x:t xml:space="preserve">重庆秦安机电股份有限公司</x:t>
        </x:is>
      </x:c>
      <x:c r="E5060" s="2" t="inlineStr">
        <x:is>
          <x:t xml:space="preserve">重庆市</x:t>
        </x:is>
      </x:c>
      <x:c r="F5060" s="2" t="inlineStr">
        <x:is>
          <x:t xml:space="preserve">重庆市</x:t>
        </x:is>
      </x:c>
      <x:c r="G5060" s="3" t="inlineStr">
        <x:is>
          <x:t xml:space="preserve">重庆市-重庆市</x:t>
        </x:is>
      </x:c>
      <x:c r="H5060" s="2" t="inlineStr">
        <x:is>
          <x:t xml:space="preserve">汽车行业</x:t>
        </x:is>
      </x:c>
      <x:c r="I5060" s="2" t="inlineStr">
        <x:is>
          <x:t xml:space="preserve">2017-05-17</x:t>
        </x:is>
      </x:c>
      <x:c r="J5060" s="3" t="inlineStr">
        <x:is>
          <x:t xml:space="preserve">重庆市九龙坡区西彭镇森迪大道8号1栋西彭园区党群服务中心211室</x:t>
        </x:is>
      </x:c>
      <x:c r="K5060" s="12" t="str">
        <x:f>LEFT("915000006219143151",18)</x:f>
        <x:v>915000006219143200</x:v>
      </x:c>
    </x:row>
    <x:row r="5061">
      <x:c r="A5061" s="4" t="n">
        <x:v>5060</x:v>
      </x:c>
      <x:c r="B5061" s="4" t="inlineStr">
        <x:is>
          <x:t xml:space="preserve">603766</x:t>
        </x:is>
      </x:c>
      <x:c r="C5061" s="5" t="inlineStr">
        <x:is>
          <x:t xml:space="preserve">隆鑫通用</x:t>
        </x:is>
      </x:c>
      <x:c r="D5061" s="5" t="inlineStr">
        <x:is>
          <x:t xml:space="preserve">隆鑫通用动力股份有限公司</x:t>
        </x:is>
      </x:c>
      <x:c r="E5061" s="4" t="inlineStr">
        <x:is>
          <x:t xml:space="preserve">重庆市</x:t>
        </x:is>
      </x:c>
      <x:c r="F5061" s="4" t="inlineStr">
        <x:is>
          <x:t xml:space="preserve">重庆市</x:t>
        </x:is>
      </x:c>
      <x:c r="G5061" s="5" t="inlineStr">
        <x:is>
          <x:t xml:space="preserve">重庆市-重庆市</x:t>
        </x:is>
      </x:c>
      <x:c r="H5061" s="4" t="inlineStr">
        <x:is>
          <x:t xml:space="preserve">交运设备</x:t>
        </x:is>
      </x:c>
      <x:c r="I5061" s="4" t="inlineStr">
        <x:is>
          <x:t xml:space="preserve">2012-08-10</x:t>
        </x:is>
      </x:c>
      <x:c r="J5061" s="5" t="inlineStr">
        <x:is>
          <x:t xml:space="preserve">重庆市九龙坡区九龙园区华龙大道99号</x:t>
        </x:is>
      </x:c>
      <x:c r="K5061" s="12" t="str">
        <x:f>LEFT("915001076608997871",18)</x:f>
        <x:v>915001076608997900</x:v>
      </x:c>
    </x:row>
    <x:row r="5062">
      <x:c r="A5062" s="2" t="n">
        <x:v>5061</x:v>
      </x:c>
      <x:c r="B5062" s="2" t="inlineStr">
        <x:is>
          <x:t xml:space="preserve">603976</x:t>
        </x:is>
      </x:c>
      <x:c r="C5062" s="3" t="inlineStr">
        <x:is>
          <x:t xml:space="preserve">正川股份</x:t>
        </x:is>
      </x:c>
      <x:c r="D5062" s="3" t="inlineStr">
        <x:is>
          <x:t xml:space="preserve">重庆正川医药包装材料股份有限公司</x:t>
        </x:is>
      </x:c>
      <x:c r="E5062" s="2" t="inlineStr">
        <x:is>
          <x:t xml:space="preserve">重庆市</x:t>
        </x:is>
      </x:c>
      <x:c r="F5062" s="2" t="inlineStr">
        <x:is>
          <x:t xml:space="preserve">重庆市</x:t>
        </x:is>
      </x:c>
      <x:c r="G5062" s="3" t="inlineStr">
        <x:is>
          <x:t xml:space="preserve">重庆市-重庆市</x:t>
        </x:is>
      </x:c>
      <x:c r="H5062" s="2" t="inlineStr">
        <x:is>
          <x:t xml:space="preserve">医疗器械</x:t>
        </x:is>
      </x:c>
      <x:c r="I5062" s="2" t="inlineStr">
        <x:is>
          <x:t xml:space="preserve">2017-08-22</x:t>
        </x:is>
      </x:c>
      <x:c r="J5062" s="3" t="inlineStr">
        <x:is>
          <x:t xml:space="preserve">重庆市北碚区龙凤桥街道正川玻璃工业园</x:t>
        </x:is>
      </x:c>
      <x:c r="K5062" s="12" t="str">
        <x:f>LEFT("91500109203249834P",18)</x:f>
        <x:v>91500109203249834P</x:v>
      </x:c>
    </x:row>
    <x:row r="5063">
      <x:c r="A5063" s="4" t="n">
        <x:v>5062</x:v>
      </x:c>
      <x:c r="B5063" s="4" t="inlineStr">
        <x:is>
          <x:t xml:space="preserve">605122</x:t>
        </x:is>
      </x:c>
      <x:c r="C5063" s="5" t="inlineStr">
        <x:is>
          <x:t xml:space="preserve">四方新材</x:t>
        </x:is>
      </x:c>
      <x:c r="D5063" s="5" t="inlineStr">
        <x:is>
          <x:t xml:space="preserve">重庆四方新材股份有限公司</x:t>
        </x:is>
      </x:c>
      <x:c r="E5063" s="4" t="inlineStr">
        <x:is>
          <x:t xml:space="preserve">重庆市</x:t>
        </x:is>
      </x:c>
      <x:c r="F5063" s="4" t="inlineStr">
        <x:is>
          <x:t xml:space="preserve">重庆市</x:t>
        </x:is>
      </x:c>
      <x:c r="G5063" s="5" t="inlineStr">
        <x:is>
          <x:t xml:space="preserve">重庆市-重庆市</x:t>
        </x:is>
      </x:c>
      <x:c r="H5063" s="4" t="inlineStr">
        <x:is>
          <x:t xml:space="preserve">水泥建材</x:t>
        </x:is>
      </x:c>
      <x:c r="I5063" s="4" t="inlineStr">
        <x:is>
          <x:t xml:space="preserve">2021-03-10</x:t>
        </x:is>
      </x:c>
      <x:c r="J5063" s="5" t="inlineStr">
        <x:is>
          <x:t xml:space="preserve">重庆市巴南区南彭街道南湖路306号</x:t>
        </x:is>
      </x:c>
      <x:c r="K5063" s="12" t="str">
        <x:f>LEFT("91500113753062388G",18)</x:f>
        <x:v>91500113753062388G</x:v>
      </x:c>
    </x:row>
    <x:row r="5064">
      <x:c r="A5064" s="2" t="n">
        <x:v>5063</x:v>
      </x:c>
      <x:c r="B5064" s="2" t="inlineStr">
        <x:is>
          <x:t xml:space="preserve">688410</x:t>
        </x:is>
      </x:c>
      <x:c r="C5064" s="3" t="inlineStr">
        <x:is>
          <x:t xml:space="preserve">山外山</x:t>
        </x:is>
      </x:c>
      <x:c r="D5064" s="3" t="inlineStr">
        <x:is>
          <x:t xml:space="preserve">重庆山外山血液净化技术股份有限公司</x:t>
        </x:is>
      </x:c>
      <x:c r="E5064" s="2" t="inlineStr">
        <x:is>
          <x:t xml:space="preserve">重庆市</x:t>
        </x:is>
      </x:c>
      <x:c r="F5064" s="2" t="inlineStr">
        <x:is>
          <x:t xml:space="preserve">重庆市</x:t>
        </x:is>
      </x:c>
      <x:c r="G5064" s="3" t="inlineStr">
        <x:is>
          <x:t xml:space="preserve">重庆市-重庆市</x:t>
        </x:is>
      </x:c>
      <x:c r="H5064" s="2" t="inlineStr">
        <x:is>
          <x:t xml:space="preserve">医疗器械</x:t>
        </x:is>
      </x:c>
      <x:c r="I5064" s="2" t="inlineStr">
        <x:is>
          <x:t xml:space="preserve">2022-12-26</x:t>
        </x:is>
      </x:c>
      <x:c r="J5064" s="3" t="inlineStr">
        <x:is>
          <x:t xml:space="preserve">重庆市两江新区慈济路1号</x:t>
        </x:is>
      </x:c>
      <x:c r="K5064" s="12" t="str">
        <x:f>LEFT("91500000709352644U",18)</x:f>
        <x:v>91500000709352644U</x:v>
      </x:c>
    </x:row>
    <x:row r="5065">
      <x:c r="A5065" s="4" t="n">
        <x:v>5064</x:v>
      </x:c>
      <x:c r="B5065" s="4" t="inlineStr">
        <x:is>
          <x:t xml:space="preserve">688443</x:t>
        </x:is>
      </x:c>
      <x:c r="C5065" s="5" t="inlineStr">
        <x:is>
          <x:t xml:space="preserve">智翔金泰</x:t>
        </x:is>
      </x:c>
      <x:c r="D5065" s="5" t="inlineStr">
        <x:is>
          <x:t xml:space="preserve">重庆智翔金泰生物制药股份有限公司</x:t>
        </x:is>
      </x:c>
      <x:c r="E5065" s="4" t="inlineStr">
        <x:is>
          <x:t xml:space="preserve">重庆市</x:t>
        </x:is>
      </x:c>
      <x:c r="F5065" s="4" t="inlineStr">
        <x:is>
          <x:t xml:space="preserve">重庆市</x:t>
        </x:is>
      </x:c>
      <x:c r="G5065" s="5" t="inlineStr">
        <x:is>
          <x:t xml:space="preserve">重庆市-重庆市</x:t>
        </x:is>
      </x:c>
      <x:c r="H5065" s="4" t="inlineStr">
        <x:is>
          <x:t xml:space="preserve">生物制品</x:t>
        </x:is>
      </x:c>
      <x:c r="I5065" s="4" t="inlineStr">
        <x:is>
          <x:t xml:space="preserve">2023-06-20</x:t>
        </x:is>
      </x:c>
      <x:c r="J5065" s="5" t="inlineStr">
        <x:is>
          <x:t xml:space="preserve">重庆市巴南区麻柳大道699号2号楼A区</x:t>
        </x:is>
      </x:c>
      <x:c r="K5065" s="12" t="str">
        <x:f>LEFT("91500113MA5U36LJ53",18)</x:f>
        <x:v>91500113MA5U36LJ53</x:v>
      </x:c>
    </x:row>
    <x:row r="5066">
      <x:c r="A5066" s="2" t="n">
        <x:v>5065</x:v>
      </x:c>
      <x:c r="B5066" s="2" t="inlineStr">
        <x:is>
          <x:t xml:space="preserve">688576</x:t>
        </x:is>
      </x:c>
      <x:c r="C5066" s="3" t="inlineStr">
        <x:is>
          <x:t xml:space="preserve">西山科技</x:t>
        </x:is>
      </x:c>
      <x:c r="D5066" s="3" t="inlineStr">
        <x:is>
          <x:t xml:space="preserve">重庆西山科技股份有限公司</x:t>
        </x:is>
      </x:c>
      <x:c r="E5066" s="2" t="inlineStr">
        <x:is>
          <x:t xml:space="preserve">重庆市</x:t>
        </x:is>
      </x:c>
      <x:c r="F5066" s="2" t="inlineStr">
        <x:is>
          <x:t xml:space="preserve">重庆市</x:t>
        </x:is>
      </x:c>
      <x:c r="G5066" s="3" t="inlineStr">
        <x:is>
          <x:t xml:space="preserve">重庆市-重庆市</x:t>
        </x:is>
      </x:c>
      <x:c r="H5066" s="2" t="inlineStr">
        <x:is>
          <x:t xml:space="preserve">医疗器械</x:t>
        </x:is>
      </x:c>
      <x:c r="I5066" s="2" t="inlineStr">
        <x:is>
          <x:t xml:space="preserve">2023-06-06</x:t>
        </x:is>
      </x:c>
      <x:c r="J5066" s="3" t="inlineStr">
        <x:is>
          <x:t xml:space="preserve">重庆市两江新区康美街道康竹路2号</x:t>
        </x:is>
      </x:c>
      <x:c r="K5066" s="12" t="str">
        <x:f>LEFT("91500000203291805D",18)</x:f>
        <x:v>91500000203291805D</x:v>
      </x:c>
    </x:row>
    <x:row r="5067">
      <x:c r="A5067" s="4" t="n">
        <x:v>5066</x:v>
      </x:c>
      <x:c r="B5067" s="4" t="inlineStr">
        <x:is>
          <x:t xml:space="preserve">000516</x:t>
        </x:is>
      </x:c>
      <x:c r="C5067" s="5" t="inlineStr">
        <x:is>
          <x:t xml:space="preserve">国际医学</x:t>
        </x:is>
      </x:c>
      <x:c r="D5067" s="5" t="inlineStr">
        <x:is>
          <x:t xml:space="preserve">西安国际医学投资股份有限公司</x:t>
        </x:is>
      </x:c>
      <x:c r="E5067" s="4" t="inlineStr">
        <x:is>
          <x:t xml:space="preserve">陕西省</x:t>
        </x:is>
      </x:c>
      <x:c r="F5067" s="4" t="inlineStr">
        <x:is>
          <x:t xml:space="preserve">西安市</x:t>
        </x:is>
      </x:c>
      <x:c r="G5067" s="5" t="inlineStr">
        <x:is>
          <x:t xml:space="preserve">陕西省-西安市</x:t>
        </x:is>
      </x:c>
      <x:c r="H5067" s="4" t="inlineStr">
        <x:is>
          <x:t xml:space="preserve">医疗行业</x:t>
        </x:is>
      </x:c>
      <x:c r="I5067" s="4" t="inlineStr">
        <x:is>
          <x:t xml:space="preserve">1993-08-09</x:t>
        </x:is>
      </x:c>
      <x:c r="J5067" s="5" t="inlineStr">
        <x:is>
          <x:t xml:space="preserve">陕西省西安市高新区团结南路16号保障楼5层</x:t>
        </x:is>
      </x:c>
      <x:c r="K5067" s="12" t="str">
        <x:f>LEFT("9161010322061133XP",18)</x:f>
        <x:v>9161010322061133XP</x:v>
      </x:c>
    </x:row>
    <x:row r="5068">
      <x:c r="A5068" s="2" t="n">
        <x:v>5067</x:v>
      </x:c>
      <x:c r="B5068" s="2" t="inlineStr">
        <x:is>
          <x:t xml:space="preserve">000561</x:t>
        </x:is>
      </x:c>
      <x:c r="C5068" s="3" t="inlineStr">
        <x:is>
          <x:t xml:space="preserve">烽火电子</x:t>
        </x:is>
      </x:c>
      <x:c r="D5068" s="3" t="inlineStr">
        <x:is>
          <x:t xml:space="preserve">陕西烽火电子股份有限公司</x:t>
        </x:is>
      </x:c>
      <x:c r="E5068" s="2" t="inlineStr">
        <x:is>
          <x:t xml:space="preserve">陕西省</x:t>
        </x:is>
      </x:c>
      <x:c r="F5068" s="2" t="inlineStr">
        <x:is>
          <x:t xml:space="preserve">宝鸡市</x:t>
        </x:is>
      </x:c>
      <x:c r="G5068" s="3" t="inlineStr">
        <x:is>
          <x:t xml:space="preserve">陕西省-宝鸡市</x:t>
        </x:is>
      </x:c>
      <x:c r="H5068" s="2" t="inlineStr">
        <x:is>
          <x:t xml:space="preserve">通讯行业</x:t>
        </x:is>
      </x:c>
      <x:c r="I5068" s="2" t="inlineStr">
        <x:is>
          <x:t xml:space="preserve">1994-05-09</x:t>
        </x:is>
      </x:c>
      <x:c r="J5068" s="3" t="inlineStr">
        <x:is>
          <x:t xml:space="preserve">陕西省宝鸡市清姜路72号</x:t>
        </x:is>
      </x:c>
      <x:c r="K5068" s="12" t="str">
        <x:f>LEFT("91610300220533749U",18)</x:f>
        <x:v>91610300220533749U</x:v>
      </x:c>
    </x:row>
    <x:row r="5069">
      <x:c r="A5069" s="4" t="n">
        <x:v>5068</x:v>
      </x:c>
      <x:c r="B5069" s="4" t="inlineStr">
        <x:is>
          <x:t xml:space="preserve">000563</x:t>
        </x:is>
      </x:c>
      <x:c r="C5069" s="5" t="inlineStr">
        <x:is>
          <x:t xml:space="preserve">陕国投A</x:t>
        </x:is>
      </x:c>
      <x:c r="D5069" s="5" t="inlineStr">
        <x:is>
          <x:t xml:space="preserve">陕西省国际信托股份有限公司</x:t>
        </x:is>
      </x:c>
      <x:c r="E5069" s="4" t="inlineStr">
        <x:is>
          <x:t xml:space="preserve">陕西省</x:t>
        </x:is>
      </x:c>
      <x:c r="F5069" s="4" t="inlineStr">
        <x:is>
          <x:t xml:space="preserve">西安市</x:t>
        </x:is>
      </x:c>
      <x:c r="G5069" s="5" t="inlineStr">
        <x:is>
          <x:t xml:space="preserve">陕西省-西安市</x:t>
        </x:is>
      </x:c>
      <x:c r="H5069" s="4" t="inlineStr">
        <x:is>
          <x:t xml:space="preserve">多元金融</x:t>
        </x:is>
      </x:c>
      <x:c r="I5069" s="4" t="inlineStr">
        <x:is>
          <x:t xml:space="preserve">1994-01-10</x:t>
        </x:is>
      </x:c>
      <x:c r="J5069" s="5" t="inlineStr">
        <x:is>
          <x:t xml:space="preserve">陕西省西安市高新区锦业一路8号泰信大厦2层、5层、15-18层、20-27层</x:t>
        </x:is>
      </x:c>
      <x:c r="K5069" s="12" t="str">
        <x:f>LEFT("91610000220530273T",18)</x:f>
        <x:v>91610000220530273T</x:v>
      </x:c>
    </x:row>
    <x:row r="5070">
      <x:c r="A5070" s="2" t="n">
        <x:v>5069</x:v>
      </x:c>
      <x:c r="B5070" s="2" t="inlineStr">
        <x:is>
          <x:t xml:space="preserve">000564</x:t>
        </x:is>
      </x:c>
      <x:c r="C5070" s="3" t="inlineStr">
        <x:is>
          <x:t xml:space="preserve">供销大集</x:t>
        </x:is>
      </x:c>
      <x:c r="D5070" s="3" t="inlineStr">
        <x:is>
          <x:t xml:space="preserve">供销大集集团股份有限公司</x:t>
        </x:is>
      </x:c>
      <x:c r="E5070" s="2" t="inlineStr">
        <x:is>
          <x:t xml:space="preserve">陕西省</x:t>
        </x:is>
      </x:c>
      <x:c r="F5070" s="2" t="inlineStr">
        <x:is>
          <x:t xml:space="preserve">西安市</x:t>
        </x:is>
      </x:c>
      <x:c r="G5070" s="3" t="inlineStr">
        <x:is>
          <x:t xml:space="preserve">陕西省-西安市</x:t>
        </x:is>
      </x:c>
      <x:c r="H5070" s="2" t="inlineStr">
        <x:is>
          <x:t xml:space="preserve">商业百货</x:t>
        </x:is>
      </x:c>
      <x:c r="I5070" s="2" t="inlineStr">
        <x:is>
          <x:t xml:space="preserve">1994-01-10</x:t>
        </x:is>
      </x:c>
      <x:c r="J5070" s="3" t="inlineStr">
        <x:is>
          <x:t xml:space="preserve">陕西省西安市解放路103号</x:t>
        </x:is>
      </x:c>
      <x:c r="K5070" s="12" t="str">
        <x:f>LEFT("91610102220603356T",18)</x:f>
        <x:v>91610102220603356T</x:v>
      </x:c>
    </x:row>
    <x:row r="5071">
      <x:c r="A5071" s="4" t="n">
        <x:v>5070</x:v>
      </x:c>
      <x:c r="B5071" s="4" t="inlineStr">
        <x:is>
          <x:t xml:space="preserve">000610</x:t>
        </x:is>
      </x:c>
      <x:c r="C5071" s="5" t="inlineStr">
        <x:is>
          <x:t xml:space="preserve">西安旅游</x:t>
        </x:is>
      </x:c>
      <x:c r="D5071" s="5" t="inlineStr">
        <x:is>
          <x:t xml:space="preserve">西安旅游股份有限公司</x:t>
        </x:is>
      </x:c>
      <x:c r="E5071" s="4" t="inlineStr">
        <x:is>
          <x:t xml:space="preserve">陕西省</x:t>
        </x:is>
      </x:c>
      <x:c r="F5071" s="4" t="inlineStr">
        <x:is>
          <x:t xml:space="preserve">西安市</x:t>
        </x:is>
      </x:c>
      <x:c r="G5071" s="5" t="inlineStr">
        <x:is>
          <x:t xml:space="preserve">陕西省-西安市</x:t>
        </x:is>
      </x:c>
      <x:c r="H5071" s="4" t="inlineStr">
        <x:is>
          <x:t xml:space="preserve">旅游酒店</x:t>
        </x:is>
      </x:c>
      <x:c r="I5071" s="4" t="inlineStr">
        <x:is>
          <x:t xml:space="preserve">1996-09-26</x:t>
        </x:is>
      </x:c>
      <x:c r="J5071" s="5" t="inlineStr">
        <x:is>
          <x:t xml:space="preserve">西安市曲江新区西影路508号西影大厦3层</x:t>
        </x:is>
      </x:c>
      <x:c r="K5071" s="12" t="str">
        <x:f>LEFT("91610103294241490X",18)</x:f>
        <x:v>91610103294241490X</x:v>
      </x:c>
    </x:row>
    <x:row r="5072">
      <x:c r="A5072" s="2" t="n">
        <x:v>5071</x:v>
      </x:c>
      <x:c r="B5072" s="2" t="inlineStr">
        <x:is>
          <x:t xml:space="preserve">000697</x:t>
        </x:is>
      </x:c>
      <x:c r="C5072" s="3" t="inlineStr">
        <x:is>
          <x:t xml:space="preserve">ST炼石</x:t>
        </x:is>
      </x:c>
      <x:c r="D5072" s="3" t="inlineStr">
        <x:is>
          <x:t xml:space="preserve">炼石航空科技股份有限公司</x:t>
        </x:is>
      </x:c>
      <x:c r="E5072" s="2" t="inlineStr">
        <x:is>
          <x:t xml:space="preserve">陕西省</x:t>
        </x:is>
      </x:c>
      <x:c r="F5072" s="2" t="inlineStr">
        <x:is>
          <x:t xml:space="preserve">咸阳市</x:t>
        </x:is>
      </x:c>
      <x:c r="G5072" s="3" t="inlineStr">
        <x:is>
          <x:t xml:space="preserve">陕西省-咸阳市</x:t>
        </x:is>
      </x:c>
      <x:c r="H5072" s="2" t="inlineStr">
        <x:is>
          <x:t xml:space="preserve">航天航空</x:t>
        </x:is>
      </x:c>
      <x:c r="I5072" s="2" t="inlineStr">
        <x:is>
          <x:t xml:space="preserve">1997-03-25</x:t>
        </x:is>
      </x:c>
      <x:c r="J5072" s="3" t="inlineStr">
        <x:is>
          <x:t xml:space="preserve">陕西省咸阳市秦都区世纪大道55号</x:t>
        </x:is>
      </x:c>
      <x:c r="K5072" s="12" t="str">
        <x:f>LEFT("916111002217259967",18)</x:f>
        <x:v>916111002217259900</x:v>
      </x:c>
    </x:row>
    <x:row r="5073">
      <x:c r="A5073" s="4" t="n">
        <x:v>5072</x:v>
      </x:c>
      <x:c r="B5073" s="4" t="inlineStr">
        <x:is>
          <x:t xml:space="preserve">000721</x:t>
        </x:is>
      </x:c>
      <x:c r="C5073" s="5" t="inlineStr">
        <x:is>
          <x:t xml:space="preserve">西安饮食</x:t>
        </x:is>
      </x:c>
      <x:c r="D5073" s="5" t="inlineStr">
        <x:is>
          <x:t xml:space="preserve">西安饮食股份有限公司</x:t>
        </x:is>
      </x:c>
      <x:c r="E5073" s="4" t="inlineStr">
        <x:is>
          <x:t xml:space="preserve">陕西省</x:t>
        </x:is>
      </x:c>
      <x:c r="F5073" s="4" t="inlineStr">
        <x:is>
          <x:t xml:space="preserve">西安市</x:t>
        </x:is>
      </x:c>
      <x:c r="G5073" s="5" t="inlineStr">
        <x:is>
          <x:t xml:space="preserve">陕西省-西安市</x:t>
        </x:is>
      </x:c>
      <x:c r="H5073" s="4" t="inlineStr">
        <x:is>
          <x:t xml:space="preserve">旅游酒店</x:t>
        </x:is>
      </x:c>
      <x:c r="I5073" s="4" t="inlineStr">
        <x:is>
          <x:t xml:space="preserve">1997-04-30</x:t>
        </x:is>
      </x:c>
      <x:c r="J5073" s="5" t="inlineStr">
        <x:is>
          <x:t xml:space="preserve">西安市曲江新区西影路508号西影大厦7层</x:t>
        </x:is>
      </x:c>
      <x:c r="K5073" s="12" t="str">
        <x:f>LEFT("91610103294241917P",18)</x:f>
        <x:v>91610103294241917P</x:v>
      </x:c>
    </x:row>
    <x:row r="5074">
      <x:c r="A5074" s="2" t="n">
        <x:v>5073</x:v>
      </x:c>
      <x:c r="B5074" s="2" t="inlineStr">
        <x:is>
          <x:t xml:space="preserve">000768</x:t>
        </x:is>
      </x:c>
      <x:c r="C5074" s="3" t="inlineStr">
        <x:is>
          <x:t xml:space="preserve">中航西飞</x:t>
        </x:is>
      </x:c>
      <x:c r="D5074" s="3" t="inlineStr">
        <x:is>
          <x:t xml:space="preserve">中航西安飞机工业集团股份有限公司</x:t>
        </x:is>
      </x:c>
      <x:c r="E5074" s="2" t="inlineStr">
        <x:is>
          <x:t xml:space="preserve">陕西省</x:t>
        </x:is>
      </x:c>
      <x:c r="F5074" s="2" t="inlineStr">
        <x:is>
          <x:t xml:space="preserve">西安市</x:t>
        </x:is>
      </x:c>
      <x:c r="G5074" s="3" t="inlineStr">
        <x:is>
          <x:t xml:space="preserve">陕西省-西安市</x:t>
        </x:is>
      </x:c>
      <x:c r="H5074" s="2" t="inlineStr">
        <x:is>
          <x:t xml:space="preserve">航天航空</x:t>
        </x:is>
      </x:c>
      <x:c r="I5074" s="2" t="inlineStr">
        <x:is>
          <x:t xml:space="preserve">1997-06-26</x:t>
        </x:is>
      </x:c>
      <x:c r="J5074" s="3" t="inlineStr">
        <x:is>
          <x:t xml:space="preserve">陕西省西安市阎良区西飞大道一号</x:t>
        </x:is>
      </x:c>
      <x:c r="K5074" s="12" t="str">
        <x:f>LEFT("916100002942059830",18)</x:f>
        <x:v>916100002942059800</x:v>
      </x:c>
    </x:row>
    <x:row r="5075">
      <x:c r="A5075" s="4" t="n">
        <x:v>5074</x:v>
      </x:c>
      <x:c r="B5075" s="4" t="inlineStr">
        <x:is>
          <x:t xml:space="preserve">000812</x:t>
        </x:is>
      </x:c>
      <x:c r="C5075" s="5" t="inlineStr">
        <x:is>
          <x:t xml:space="preserve">陕西金叶</x:t>
        </x:is>
      </x:c>
      <x:c r="D5075" s="5" t="inlineStr">
        <x:is>
          <x:t xml:space="preserve">陕西金叶科教集团股份有限公司</x:t>
        </x:is>
      </x:c>
      <x:c r="E5075" s="4" t="inlineStr">
        <x:is>
          <x:t xml:space="preserve">陕西省</x:t>
        </x:is>
      </x:c>
      <x:c r="F5075" s="4" t="inlineStr">
        <x:is>
          <x:t xml:space="preserve">西安市</x:t>
        </x:is>
      </x:c>
      <x:c r="G5075" s="5" t="inlineStr">
        <x:is>
          <x:t xml:space="preserve">陕西省-西安市</x:t>
        </x:is>
      </x:c>
      <x:c r="H5075" s="4" t="inlineStr">
        <x:is>
          <x:t xml:space="preserve">包装材料</x:t>
        </x:is>
      </x:c>
      <x:c r="I5075" s="4" t="inlineStr">
        <x:is>
          <x:t xml:space="preserve">1998-06-23</x:t>
        </x:is>
      </x:c>
      <x:c r="J5075" s="5" t="inlineStr">
        <x:is>
          <x:t xml:space="preserve">陕西省西安市高新区锦业路1号都市之门B座19层</x:t>
        </x:is>
      </x:c>
      <x:c r="K5075" s="12" t="str">
        <x:f>LEFT("91610000220580246P",18)</x:f>
        <x:v>91610000220580246P</x:v>
      </x:c>
    </x:row>
    <x:row r="5076">
      <x:c r="A5076" s="2" t="n">
        <x:v>5075</x:v>
      </x:c>
      <x:c r="B5076" s="2" t="inlineStr">
        <x:is>
          <x:t xml:space="preserve">000837</x:t>
        </x:is>
      </x:c>
      <x:c r="C5076" s="3" t="inlineStr">
        <x:is>
          <x:t xml:space="preserve">秦川机床</x:t>
        </x:is>
      </x:c>
      <x:c r="D5076" s="3" t="inlineStr">
        <x:is>
          <x:t xml:space="preserve">秦川机床工具集团股份公司</x:t>
        </x:is>
      </x:c>
      <x:c r="E5076" s="2" t="inlineStr">
        <x:is>
          <x:t xml:space="preserve">陕西省</x:t>
        </x:is>
      </x:c>
      <x:c r="F5076" s="2" t="inlineStr">
        <x:is>
          <x:t xml:space="preserve">宝鸡市</x:t>
        </x:is>
      </x:c>
      <x:c r="G5076" s="3" t="inlineStr">
        <x:is>
          <x:t xml:space="preserve">陕西省-宝鸡市</x:t>
        </x:is>
      </x:c>
      <x:c r="H5076" s="2" t="inlineStr">
        <x:is>
          <x:t xml:space="preserve">机械行业</x:t>
        </x:is>
      </x:c>
      <x:c r="I5076" s="2" t="inlineStr">
        <x:is>
          <x:t xml:space="preserve">1998-09-28</x:t>
        </x:is>
      </x:c>
      <x:c r="J5076" s="3" t="inlineStr">
        <x:is>
          <x:t xml:space="preserve">陕西省宝鸡市渭滨区姜谭路22号</x:t>
        </x:is>
      </x:c>
      <x:c r="K5076" s="12" t="str">
        <x:f>LEFT("9161000071007221XC",18)</x:f>
        <x:v>9161000071007221XC</x:v>
      </x:c>
    </x:row>
    <x:row r="5077">
      <x:c r="A5077" s="4" t="n">
        <x:v>5076</x:v>
      </x:c>
      <x:c r="B5077" s="4" t="inlineStr">
        <x:is>
          <x:t xml:space="preserve">001231</x:t>
        </x:is>
      </x:c>
      <x:c r="C5077" s="5" t="inlineStr">
        <x:is>
          <x:t xml:space="preserve">农心科技</x:t>
        </x:is>
      </x:c>
      <x:c r="D5077" s="5" t="inlineStr">
        <x:is>
          <x:t xml:space="preserve">农心作物科技股份有限公司</x:t>
        </x:is>
      </x:c>
      <x:c r="E5077" s="4" t="inlineStr">
        <x:is>
          <x:t xml:space="preserve">陕西省</x:t>
        </x:is>
      </x:c>
      <x:c r="F5077" s="4" t="inlineStr">
        <x:is>
          <x:t xml:space="preserve">西安市</x:t>
        </x:is>
      </x:c>
      <x:c r="G5077" s="5" t="inlineStr">
        <x:is>
          <x:t xml:space="preserve">陕西省-西安市</x:t>
        </x:is>
      </x:c>
      <x:c r="H5077" s="4" t="inlineStr">
        <x:is>
          <x:t xml:space="preserve">农药兽药</x:t>
        </x:is>
      </x:c>
      <x:c r="I5077" s="4" t="inlineStr">
        <x:is>
          <x:t xml:space="preserve">2022-08-19</x:t>
        </x:is>
      </x:c>
      <x:c r="J5077" s="5" t="inlineStr">
        <x:is>
          <x:t xml:space="preserve">陕西省西安市高新区沣惠南路36号橡树街区B楼11803室</x:t>
        </x:is>
      </x:c>
      <x:c r="K5077" s="12" t="str">
        <x:f>LEFT("9161000078699427XB",18)</x:f>
        <x:v>9161000078699427XB</x:v>
      </x:c>
    </x:row>
    <x:row r="5078">
      <x:c r="A5078" s="2" t="n">
        <x:v>5077</x:v>
      </x:c>
      <x:c r="B5078" s="2" t="inlineStr">
        <x:is>
          <x:t xml:space="preserve">001286</x:t>
        </x:is>
      </x:c>
      <x:c r="C5078" s="3" t="inlineStr">
        <x:is>
          <x:t xml:space="preserve">陕西能源</x:t>
        </x:is>
      </x:c>
      <x:c r="D5078" s="3" t="inlineStr">
        <x:is>
          <x:t xml:space="preserve">陕西能源投资股份有限公司</x:t>
        </x:is>
      </x:c>
      <x:c r="E5078" s="2" t="inlineStr">
        <x:is>
          <x:t xml:space="preserve">陕西省</x:t>
        </x:is>
      </x:c>
      <x:c r="F5078" s="2" t="inlineStr">
        <x:is>
          <x:t xml:space="preserve">榆林市</x:t>
        </x:is>
      </x:c>
      <x:c r="G5078" s="3" t="inlineStr">
        <x:is>
          <x:t xml:space="preserve">陕西省-榆林市</x:t>
        </x:is>
      </x:c>
      <x:c r="H5078" s="2" t="inlineStr">
        <x:is>
          <x:t xml:space="preserve">电力行业</x:t>
        </x:is>
      </x:c>
      <x:c r="I5078" s="2" t="inlineStr">
        <x:is>
          <x:t xml:space="preserve">2023-04-10</x:t>
        </x:is>
      </x:c>
      <x:c r="J5078" s="3" t="inlineStr">
        <x:is>
          <x:t xml:space="preserve">陕西省榆林市高新技术产业园区沙河路152号盛高时代写字楼</x:t>
        </x:is>
      </x:c>
      <x:c r="K5078" s="12" t="str">
        <x:f>LEFT("91610000752139259D",18)</x:f>
        <x:v>91610000752139259D</x:v>
      </x:c>
    </x:row>
    <x:row r="5079">
      <x:c r="A5079" s="4" t="n">
        <x:v>5078</x:v>
      </x:c>
      <x:c r="B5079" s="4" t="inlineStr">
        <x:is>
          <x:t xml:space="preserve">001299</x:t>
        </x:is>
      </x:c>
      <x:c r="C5079" s="5" t="inlineStr">
        <x:is>
          <x:t xml:space="preserve">美能能源</x:t>
        </x:is>
      </x:c>
      <x:c r="D5079" s="5" t="inlineStr">
        <x:is>
          <x:t xml:space="preserve">陕西美能清洁能源集团股份有限公司</x:t>
        </x:is>
      </x:c>
      <x:c r="E5079" s="4" t="inlineStr">
        <x:is>
          <x:t xml:space="preserve">陕西省</x:t>
        </x:is>
      </x:c>
      <x:c r="F5079" s="4" t="inlineStr">
        <x:is>
          <x:t xml:space="preserve">西安市</x:t>
        </x:is>
      </x:c>
      <x:c r="G5079" s="5" t="inlineStr">
        <x:is>
          <x:t xml:space="preserve">陕西省-西安市</x:t>
        </x:is>
      </x:c>
      <x:c r="H5079" s="4" t="inlineStr">
        <x:is>
          <x:t xml:space="preserve">燃气</x:t>
        </x:is>
      </x:c>
      <x:c r="I5079" s="4" t="inlineStr">
        <x:is>
          <x:t xml:space="preserve">2022-10-31</x:t>
        </x:is>
      </x:c>
      <x:c r="J5079" s="5" t="inlineStr">
        <x:is>
          <x:t xml:space="preserve">陕西省西安市高新区科技路48号创业广场B1605室</x:t>
        </x:is>
      </x:c>
      <x:c r="K5079" s="12" t="str">
        <x:f>LEFT("916100006779349564",18)</x:f>
        <x:v>916100006779349500</x:v>
      </x:c>
    </x:row>
    <x:row r="5080">
      <x:c r="A5080" s="2" t="n">
        <x:v>5079</x:v>
      </x:c>
      <x:c r="B5080" s="2" t="inlineStr">
        <x:is>
          <x:t xml:space="preserve">002109</x:t>
        </x:is>
      </x:c>
      <x:c r="C5080" s="3" t="inlineStr">
        <x:is>
          <x:t xml:space="preserve">兴化股份</x:t>
        </x:is>
      </x:c>
      <x:c r="D5080" s="3" t="inlineStr">
        <x:is>
          <x:t xml:space="preserve">陕西兴化化学股份有限公司</x:t>
        </x:is>
      </x:c>
      <x:c r="E5080" s="2" t="inlineStr">
        <x:is>
          <x:t xml:space="preserve">陕西省</x:t>
        </x:is>
      </x:c>
      <x:c r="F5080" s="2" t="inlineStr">
        <x:is>
          <x:t xml:space="preserve">咸阳市</x:t>
        </x:is>
      </x:c>
      <x:c r="G5080" s="3" t="inlineStr">
        <x:is>
          <x:t xml:space="preserve">陕西省-咸阳市</x:t>
        </x:is>
      </x:c>
      <x:c r="H5080" s="2" t="inlineStr">
        <x:is>
          <x:t xml:space="preserve">化学原料</x:t>
        </x:is>
      </x:c>
      <x:c r="I5080" s="2" t="inlineStr">
        <x:is>
          <x:t xml:space="preserve">2007-01-26</x:t>
        </x:is>
      </x:c>
      <x:c r="J5080" s="3" t="inlineStr">
        <x:is>
          <x:t xml:space="preserve">陕西省咸阳市兴平市东城区</x:t>
        </x:is>
      </x:c>
      <x:c r="K5080" s="12" t="str">
        <x:f>LEFT("91610000294207364D",18)</x:f>
        <x:v>91610000294207364D</x:v>
      </x:c>
    </x:row>
    <x:row r="5081">
      <x:c r="A5081" s="4" t="n">
        <x:v>5080</x:v>
      </x:c>
      <x:c r="B5081" s="4" t="inlineStr">
        <x:is>
          <x:t xml:space="preserve">002149</x:t>
        </x:is>
      </x:c>
      <x:c r="C5081" s="5" t="inlineStr">
        <x:is>
          <x:t xml:space="preserve">西部材料</x:t>
        </x:is>
      </x:c>
      <x:c r="D5081" s="5" t="inlineStr">
        <x:is>
          <x:t xml:space="preserve">西部金属材料股份有限公司</x:t>
        </x:is>
      </x:c>
      <x:c r="E5081" s="4" t="inlineStr">
        <x:is>
          <x:t xml:space="preserve">陕西省</x:t>
        </x:is>
      </x:c>
      <x:c r="F5081" s="4" t="inlineStr">
        <x:is>
          <x:t xml:space="preserve">西安市</x:t>
        </x:is>
      </x:c>
      <x:c r="G5081" s="5" t="inlineStr">
        <x:is>
          <x:t xml:space="preserve">陕西省-西安市</x:t>
        </x:is>
      </x:c>
      <x:c r="H5081" s="4" t="inlineStr">
        <x:is>
          <x:t xml:space="preserve">小金属</x:t>
        </x:is>
      </x:c>
      <x:c r="I5081" s="4" t="inlineStr">
        <x:is>
          <x:t xml:space="preserve">2007-08-10</x:t>
        </x:is>
      </x:c>
      <x:c r="J5081" s="5" t="inlineStr">
        <x:is>
          <x:t xml:space="preserve">西安经济技术开发区泾渭工业园西金路西段15号</x:t>
        </x:is>
      </x:c>
      <x:c r="K5081" s="12" t="str">
        <x:f>LEFT("91610000719796070K",18)</x:f>
        <x:v>91610000719796070K</x:v>
      </x:c>
    </x:row>
    <x:row r="5082">
      <x:c r="A5082" s="2" t="n">
        <x:v>5081</x:v>
      </x:c>
      <x:c r="B5082" s="2" t="inlineStr">
        <x:is>
          <x:t xml:space="preserve">002267</x:t>
        </x:is>
      </x:c>
      <x:c r="C5082" s="3" t="inlineStr">
        <x:is>
          <x:t xml:space="preserve">陕天然气</x:t>
        </x:is>
      </x:c>
      <x:c r="D5082" s="3" t="inlineStr">
        <x:is>
          <x:t xml:space="preserve">陕西省天然气股份有限公司</x:t>
        </x:is>
      </x:c>
      <x:c r="E5082" s="2" t="inlineStr">
        <x:is>
          <x:t xml:space="preserve">陕西省</x:t>
        </x:is>
      </x:c>
      <x:c r="F5082" s="2" t="inlineStr">
        <x:is>
          <x:t xml:space="preserve">西安市</x:t>
        </x:is>
      </x:c>
      <x:c r="G5082" s="3" t="inlineStr">
        <x:is>
          <x:t xml:space="preserve">陕西省-西安市</x:t>
        </x:is>
      </x:c>
      <x:c r="H5082" s="2" t="inlineStr">
        <x:is>
          <x:t xml:space="preserve">燃气</x:t>
        </x:is>
      </x:c>
      <x:c r="I5082" s="2" t="inlineStr">
        <x:is>
          <x:t xml:space="preserve">2008-08-13</x:t>
        </x:is>
      </x:c>
      <x:c r="J5082" s="3" t="inlineStr">
        <x:is>
          <x:t xml:space="preserve">陕西省西安经济技术开发区A1区开元路2号</x:t>
        </x:is>
      </x:c>
      <x:c r="K5082" s="12" t="str">
        <x:f>LEFT("91610000220594875E",18)</x:f>
        <x:v>91610000220594875E</x:v>
      </x:c>
    </x:row>
    <x:row r="5083">
      <x:c r="A5083" s="4" t="n">
        <x:v>5082</x:v>
      </x:c>
      <x:c r="B5083" s="4" t="inlineStr">
        <x:is>
          <x:t xml:space="preserve">002673</x:t>
        </x:is>
      </x:c>
      <x:c r="C5083" s="5" t="inlineStr">
        <x:is>
          <x:t xml:space="preserve">西部证券</x:t>
        </x:is>
      </x:c>
      <x:c r="D5083" s="5" t="inlineStr">
        <x:is>
          <x:t xml:space="preserve">西部证券股份有限公司</x:t>
        </x:is>
      </x:c>
      <x:c r="E5083" s="4" t="inlineStr">
        <x:is>
          <x:t xml:space="preserve">陕西省</x:t>
        </x:is>
      </x:c>
      <x:c r="F5083" s="4" t="inlineStr">
        <x:is>
          <x:t xml:space="preserve">西安市</x:t>
        </x:is>
      </x:c>
      <x:c r="G5083" s="5" t="inlineStr">
        <x:is>
          <x:t xml:space="preserve">陕西省-西安市</x:t>
        </x:is>
      </x:c>
      <x:c r="H5083" s="4" t="inlineStr">
        <x:is>
          <x:t xml:space="preserve">券商信托</x:t>
        </x:is>
      </x:c>
      <x:c r="I5083" s="4" t="inlineStr">
        <x:is>
          <x:t xml:space="preserve">2012-05-03</x:t>
        </x:is>
      </x:c>
      <x:c r="J5083" s="5" t="inlineStr">
        <x:is>
          <x:t xml:space="preserve">西安市新城区东新街319号8幢10000室</x:t>
        </x:is>
      </x:c>
      <x:c r="K5083" s="12" t="str">
        <x:f>LEFT("91610000719782242D",18)</x:f>
        <x:v>91610000719782242D</x:v>
      </x:c>
    </x:row>
    <x:row r="5084">
      <x:c r="A5084" s="2" t="n">
        <x:v>5083</x:v>
      </x:c>
      <x:c r="B5084" s="2" t="inlineStr">
        <x:is>
          <x:t xml:space="preserve">002799</x:t>
        </x:is>
      </x:c>
      <x:c r="C5084" s="3" t="inlineStr">
        <x:is>
          <x:t xml:space="preserve">环球印务</x:t>
        </x:is>
      </x:c>
      <x:c r="D5084" s="3" t="inlineStr">
        <x:is>
          <x:t xml:space="preserve">西安环球印务股份有限公司</x:t>
        </x:is>
      </x:c>
      <x:c r="E5084" s="2" t="inlineStr">
        <x:is>
          <x:t xml:space="preserve">陕西省</x:t>
        </x:is>
      </x:c>
      <x:c r="F5084" s="2" t="inlineStr">
        <x:is>
          <x:t xml:space="preserve">西安市</x:t>
        </x:is>
      </x:c>
      <x:c r="G5084" s="3" t="inlineStr">
        <x:is>
          <x:t xml:space="preserve">陕西省-西安市</x:t>
        </x:is>
      </x:c>
      <x:c r="H5084" s="2" t="inlineStr">
        <x:is>
          <x:t xml:space="preserve">包装材料</x:t>
        </x:is>
      </x:c>
      <x:c r="I5084" s="2" t="inlineStr">
        <x:is>
          <x:t xml:space="preserve">2016-06-08</x:t>
        </x:is>
      </x:c>
      <x:c r="J5084" s="3" t="inlineStr">
        <x:is>
          <x:t xml:space="preserve">西安市高新区科技一路32号</x:t>
        </x:is>
      </x:c>
      <x:c r="K5084" s="12" t="str">
        <x:f>LEFT("9161013172630357XM",18)</x:f>
        <x:v>9161013172630357XM</x:v>
      </x:c>
    </x:row>
    <x:row r="5085">
      <x:c r="A5085" s="4" t="n">
        <x:v>5084</x:v>
      </x:c>
      <x:c r="B5085" s="4" t="inlineStr">
        <x:is>
          <x:t xml:space="preserve">002864</x:t>
        </x:is>
      </x:c>
      <x:c r="C5085" s="5" t="inlineStr">
        <x:is>
          <x:t xml:space="preserve">盘龙药业</x:t>
        </x:is>
      </x:c>
      <x:c r="D5085" s="5" t="inlineStr">
        <x:is>
          <x:t xml:space="preserve">陕西盘龙药业集团股份有限公司</x:t>
        </x:is>
      </x:c>
      <x:c r="E5085" s="4" t="inlineStr">
        <x:is>
          <x:t xml:space="preserve">陕西省</x:t>
        </x:is>
      </x:c>
      <x:c r="F5085" s="4" t="inlineStr">
        <x:is>
          <x:t xml:space="preserve">商洛市</x:t>
        </x:is>
      </x:c>
      <x:c r="G5085" s="5" t="inlineStr">
        <x:is>
          <x:t xml:space="preserve">陕西省-商洛市</x:t>
        </x:is>
      </x:c>
      <x:c r="H5085" s="4" t="inlineStr">
        <x:is>
          <x:t xml:space="preserve">中药</x:t>
        </x:is>
      </x:c>
      <x:c r="I5085" s="4" t="inlineStr">
        <x:is>
          <x:t xml:space="preserve">2017-11-16</x:t>
        </x:is>
      </x:c>
      <x:c r="J5085" s="5" t="inlineStr">
        <x:is>
          <x:t xml:space="preserve">陕西省商洛市柞水县盘龙生态产业园</x:t>
        </x:is>
      </x:c>
      <x:c r="K5085" s="12" t="str">
        <x:f>LEFT("91610000223472005U",18)</x:f>
        <x:v>91610000223472005U</x:v>
      </x:c>
    </x:row>
    <x:row r="5086">
      <x:c r="A5086" s="2" t="n">
        <x:v>5085</x:v>
      </x:c>
      <x:c r="B5086" s="2" t="inlineStr">
        <x:is>
          <x:t xml:space="preserve">003009</x:t>
        </x:is>
      </x:c>
      <x:c r="C5086" s="3" t="inlineStr">
        <x:is>
          <x:t xml:space="preserve">中天火箭</x:t>
        </x:is>
      </x:c>
      <x:c r="D5086" s="3" t="inlineStr">
        <x:is>
          <x:t xml:space="preserve">陕西中天火箭技术股份有限公司</x:t>
        </x:is>
      </x:c>
      <x:c r="E5086" s="2" t="inlineStr">
        <x:is>
          <x:t xml:space="preserve">陕西省</x:t>
        </x:is>
      </x:c>
      <x:c r="F5086" s="2" t="inlineStr">
        <x:is>
          <x:t xml:space="preserve">西安市</x:t>
        </x:is>
      </x:c>
      <x:c r="G5086" s="3" t="inlineStr">
        <x:is>
          <x:t xml:space="preserve">陕西省-西安市</x:t>
        </x:is>
      </x:c>
      <x:c r="H5086" s="2" t="inlineStr">
        <x:is>
          <x:t xml:space="preserve">航天航空</x:t>
        </x:is>
      </x:c>
      <x:c r="I5086" s="2" t="inlineStr">
        <x:is>
          <x:t xml:space="preserve">2020-09-25</x:t>
        </x:is>
      </x:c>
      <x:c r="J5086" s="3" t="inlineStr">
        <x:is>
          <x:t xml:space="preserve">陕西省西安市高新区创业大厦八楼C座</x:t>
        </x:is>
      </x:c>
      <x:c r="K5086" s="12" t="str">
        <x:f>LEFT("91610000741252408P",18)</x:f>
        <x:v>91610000741252408P</x:v>
      </x:c>
    </x:row>
    <x:row r="5087">
      <x:c r="A5087" s="4" t="n">
        <x:v>5086</x:v>
      </x:c>
      <x:c r="B5087" s="4" t="inlineStr">
        <x:is>
          <x:t xml:space="preserve">300103</x:t>
        </x:is>
      </x:c>
      <x:c r="C5087" s="5" t="inlineStr">
        <x:is>
          <x:t xml:space="preserve">达刚控股</x:t>
        </x:is>
      </x:c>
      <x:c r="D5087" s="5" t="inlineStr">
        <x:is>
          <x:t xml:space="preserve">达刚控股集团股份有限公司</x:t>
        </x:is>
      </x:c>
      <x:c r="E5087" s="4" t="inlineStr">
        <x:is>
          <x:t xml:space="preserve">陕西省</x:t>
        </x:is>
      </x:c>
      <x:c r="F5087" s="4" t="inlineStr">
        <x:is>
          <x:t xml:space="preserve">西安市</x:t>
        </x:is>
      </x:c>
      <x:c r="G5087" s="5" t="inlineStr">
        <x:is>
          <x:t xml:space="preserve">陕西省-西安市</x:t>
        </x:is>
      </x:c>
      <x:c r="H5087" s="4" t="inlineStr">
        <x:is>
          <x:t xml:space="preserve">专用设备</x:t>
        </x:is>
      </x:c>
      <x:c r="I5087" s="4" t="inlineStr">
        <x:is>
          <x:t xml:space="preserve">2010-08-12</x:t>
        </x:is>
      </x:c>
      <x:c r="J5087" s="5" t="inlineStr">
        <x:is>
          <x:t xml:space="preserve">西安市高新区毕原三路10号</x:t>
        </x:is>
      </x:c>
      <x:c r="K5087" s="12" t="str">
        <x:f>LEFT("91610131735085973C",18)</x:f>
        <x:v>91610131735085973C</x:v>
      </x:c>
    </x:row>
    <x:row r="5088">
      <x:c r="A5088" s="2" t="n">
        <x:v>5087</x:v>
      </x:c>
      <x:c r="B5088" s="2" t="inlineStr">
        <x:is>
          <x:t xml:space="preserve">300140</x:t>
        </x:is>
      </x:c>
      <x:c r="C5088" s="3" t="inlineStr">
        <x:is>
          <x:t xml:space="preserve">节能环境</x:t>
        </x:is>
      </x:c>
      <x:c r="D5088" s="3" t="inlineStr">
        <x:is>
          <x:t xml:space="preserve">中节能环境保护股份有限公司</x:t>
        </x:is>
      </x:c>
      <x:c r="E5088" s="2" t="inlineStr">
        <x:is>
          <x:t xml:space="preserve">陕西省</x:t>
        </x:is>
      </x:c>
      <x:c r="F5088" s="2" t="inlineStr">
        <x:is>
          <x:t xml:space="preserve">西安市</x:t>
        </x:is>
      </x:c>
      <x:c r="G5088" s="3" t="inlineStr">
        <x:is>
          <x:t xml:space="preserve">陕西省-西安市</x:t>
        </x:is>
      </x:c>
      <x:c r="H5088" s="2" t="inlineStr">
        <x:is>
          <x:t xml:space="preserve">环保行业</x:t>
        </x:is>
      </x:c>
      <x:c r="I5088" s="2" t="inlineStr">
        <x:is>
          <x:t xml:space="preserve">2010-11-12</x:t>
        </x:is>
      </x:c>
      <x:c r="J5088" s="3" t="inlineStr">
        <x:is>
          <x:t xml:space="preserve">西安市经济技术开发区凤城十二路</x:t>
        </x:is>
      </x:c>
      <x:c r="K5088" s="12" t="str">
        <x:f>LEFT("91610000727342693Q",18)</x:f>
        <x:v>91610000727342693Q</x:v>
      </x:c>
    </x:row>
    <x:row r="5089">
      <x:c r="A5089" s="4" t="n">
        <x:v>5088</x:v>
      </x:c>
      <x:c r="B5089" s="4" t="inlineStr">
        <x:is>
          <x:t xml:space="preserve">300164</x:t>
        </x:is>
      </x:c>
      <x:c r="C5089" s="5" t="inlineStr">
        <x:is>
          <x:t xml:space="preserve">通源石油</x:t>
        </x:is>
      </x:c>
      <x:c r="D5089" s="5" t="inlineStr">
        <x:is>
          <x:t xml:space="preserve">通源石油科技集团股份有限公司</x:t>
        </x:is>
      </x:c>
      <x:c r="E5089" s="4" t="inlineStr">
        <x:is>
          <x:t xml:space="preserve">陕西省</x:t>
        </x:is>
      </x:c>
      <x:c r="F5089" s="4" t="inlineStr">
        <x:is>
          <x:t xml:space="preserve">西安市</x:t>
        </x:is>
      </x:c>
      <x:c r="G5089" s="5" t="inlineStr">
        <x:is>
          <x:t xml:space="preserve">陕西省-西安市</x:t>
        </x:is>
      </x:c>
      <x:c r="H5089" s="4" t="inlineStr">
        <x:is>
          <x:t xml:space="preserve">采掘行业</x:t>
        </x:is>
      </x:c>
      <x:c r="I5089" s="4" t="inlineStr">
        <x:is>
          <x:t xml:space="preserve">2011-01-13</x:t>
        </x:is>
      </x:c>
      <x:c r="J5089" s="5" t="inlineStr">
        <x:is>
          <x:t xml:space="preserve">陕西省西安市高新区唐延路51号人寿壹中心A座13层1307号</x:t>
        </x:is>
      </x:c>
      <x:c r="K5089" s="12" t="str">
        <x:f>LEFT("91610131294266794G",18)</x:f>
        <x:v>91610131294266794G</x:v>
      </x:c>
    </x:row>
    <x:row r="5090">
      <x:c r="A5090" s="2" t="n">
        <x:v>5089</x:v>
      </x:c>
      <x:c r="B5090" s="2" t="inlineStr">
        <x:is>
          <x:t xml:space="preserve">300397</x:t>
        </x:is>
      </x:c>
      <x:c r="C5090" s="3" t="inlineStr">
        <x:is>
          <x:t xml:space="preserve">天和防务</x:t>
        </x:is>
      </x:c>
      <x:c r="D5090" s="3" t="inlineStr">
        <x:is>
          <x:t xml:space="preserve">西安天和防务技术股份有限公司</x:t>
        </x:is>
      </x:c>
      <x:c r="E5090" s="2" t="inlineStr">
        <x:is>
          <x:t xml:space="preserve">陕西省</x:t>
        </x:is>
      </x:c>
      <x:c r="F5090" s="2" t="inlineStr">
        <x:is>
          <x:t xml:space="preserve">西安市</x:t>
        </x:is>
      </x:c>
      <x:c r="G5090" s="3" t="inlineStr">
        <x:is>
          <x:t xml:space="preserve">陕西省-西安市</x:t>
        </x:is>
      </x:c>
      <x:c r="H5090" s="2" t="inlineStr">
        <x:is>
          <x:t xml:space="preserve">通信设备</x:t>
        </x:is>
      </x:c>
      <x:c r="I5090" s="2" t="inlineStr">
        <x:is>
          <x:t xml:space="preserve">2014-09-10</x:t>
        </x:is>
      </x:c>
      <x:c r="J5090" s="3" t="inlineStr">
        <x:is>
          <x:t xml:space="preserve">陕西省西安市高新区西部大道158号</x:t>
        </x:is>
      </x:c>
      <x:c r="K5090" s="12" t="str">
        <x:f>LEFT("9161013175783164XA",18)</x:f>
        <x:v>9161013175783164XA</x:v>
      </x:c>
    </x:row>
    <x:row r="5091">
      <x:c r="A5091" s="4" t="n">
        <x:v>5090</x:v>
      </x:c>
      <x:c r="B5091" s="4" t="inlineStr">
        <x:is>
          <x:t xml:space="preserve">300487</x:t>
        </x:is>
      </x:c>
      <x:c r="C5091" s="5" t="inlineStr">
        <x:is>
          <x:t xml:space="preserve">蓝晓科技</x:t>
        </x:is>
      </x:c>
      <x:c r="D5091" s="5" t="inlineStr">
        <x:is>
          <x:t xml:space="preserve">西安蓝晓科技新材料股份有限公司</x:t>
        </x:is>
      </x:c>
      <x:c r="E5091" s="4" t="inlineStr">
        <x:is>
          <x:t xml:space="preserve">陕西省</x:t>
        </x:is>
      </x:c>
      <x:c r="F5091" s="4" t="inlineStr">
        <x:is>
          <x:t xml:space="preserve">西安市</x:t>
        </x:is>
      </x:c>
      <x:c r="G5091" s="5" t="inlineStr">
        <x:is>
          <x:t xml:space="preserve">陕西省-西安市</x:t>
        </x:is>
      </x:c>
      <x:c r="H5091" s="4" t="inlineStr">
        <x:is>
          <x:t xml:space="preserve">塑料制品</x:t>
        </x:is>
      </x:c>
      <x:c r="I5091" s="4" t="inlineStr">
        <x:is>
          <x:t xml:space="preserve">2015-07-02</x:t>
        </x:is>
      </x:c>
      <x:c r="J5091" s="5" t="inlineStr">
        <x:is>
          <x:t xml:space="preserve">西安市高新区锦业路135号</x:t>
        </x:is>
      </x:c>
      <x:c r="K5091" s="12" t="str">
        <x:f>LEFT("91610131726285914J",18)</x:f>
        <x:v>91610131726285914J</x:v>
      </x:c>
    </x:row>
    <x:row r="5092">
      <x:c r="A5092" s="2" t="n">
        <x:v>5091</x:v>
      </x:c>
      <x:c r="B5092" s="2" t="inlineStr">
        <x:is>
          <x:t xml:space="preserve">300581</x:t>
        </x:is>
      </x:c>
      <x:c r="C5092" s="3" t="inlineStr">
        <x:is>
          <x:t xml:space="preserve">晨曦航空</x:t>
        </x:is>
      </x:c>
      <x:c r="D5092" s="3" t="inlineStr">
        <x:is>
          <x:t xml:space="preserve">西安晨曦航空科技股份有限公司</x:t>
        </x:is>
      </x:c>
      <x:c r="E5092" s="2" t="inlineStr">
        <x:is>
          <x:t xml:space="preserve">陕西省</x:t>
        </x:is>
      </x:c>
      <x:c r="F5092" s="2" t="inlineStr">
        <x:is>
          <x:t xml:space="preserve">西安市</x:t>
        </x:is>
      </x:c>
      <x:c r="G5092" s="3" t="inlineStr">
        <x:is>
          <x:t xml:space="preserve">陕西省-西安市</x:t>
        </x:is>
      </x:c>
      <x:c r="H5092" s="2" t="inlineStr">
        <x:is>
          <x:t xml:space="preserve">航天航空</x:t>
        </x:is>
      </x:c>
      <x:c r="I5092" s="2" t="inlineStr">
        <x:is>
          <x:t xml:space="preserve">2016-12-20</x:t>
        </x:is>
      </x:c>
      <x:c r="J5092" s="3" t="inlineStr">
        <x:is>
          <x:t xml:space="preserve">西安市高新区锦业路69号创业园C区11号</x:t>
        </x:is>
      </x:c>
      <x:c r="K5092" s="12" t="str">
        <x:f>LEFT("91610131710183542G",18)</x:f>
        <x:v>91610131710183542G</x:v>
      </x:c>
    </x:row>
    <x:row r="5093">
      <x:c r="A5093" s="4" t="n">
        <x:v>5092</x:v>
      </x:c>
      <x:c r="B5093" s="4" t="inlineStr">
        <x:is>
          <x:t xml:space="preserve">300775</x:t>
        </x:is>
      </x:c>
      <x:c r="C5093" s="5" t="inlineStr">
        <x:is>
          <x:t xml:space="preserve">三角防务</x:t>
        </x:is>
      </x:c>
      <x:c r="D5093" s="5" t="inlineStr">
        <x:is>
          <x:t xml:space="preserve">西安三角防务股份有限公司</x:t>
        </x:is>
      </x:c>
      <x:c r="E5093" s="4" t="inlineStr">
        <x:is>
          <x:t xml:space="preserve">陕西省</x:t>
        </x:is>
      </x:c>
      <x:c r="F5093" s="4" t="inlineStr">
        <x:is>
          <x:t xml:space="preserve">西安市</x:t>
        </x:is>
      </x:c>
      <x:c r="G5093" s="5" t="inlineStr">
        <x:is>
          <x:t xml:space="preserve">陕西省-西安市</x:t>
        </x:is>
      </x:c>
      <x:c r="H5093" s="4" t="inlineStr">
        <x:is>
          <x:t xml:space="preserve">航天航空</x:t>
        </x:is>
      </x:c>
      <x:c r="I5093" s="4" t="inlineStr">
        <x:is>
          <x:t xml:space="preserve">2019-05-21</x:t>
        </x:is>
      </x:c>
      <x:c r="J5093" s="5" t="inlineStr">
        <x:is>
          <x:t xml:space="preserve">西安市航空基地蓝天二路8号</x:t>
        </x:is>
      </x:c>
      <x:c r="K5093" s="12" t="str">
        <x:f>LEFT("91610137735087821G",18)</x:f>
        <x:v>91610137735087821G</x:v>
      </x:c>
    </x:row>
    <x:row r="5094">
      <x:c r="A5094" s="2" t="n">
        <x:v>5093</x:v>
      </x:c>
      <x:c r="B5094" s="2" t="inlineStr">
        <x:is>
          <x:t xml:space="preserve">300831</x:t>
        </x:is>
      </x:c>
      <x:c r="C5094" s="3" t="inlineStr">
        <x:is>
          <x:t xml:space="preserve">派瑞股份</x:t>
        </x:is>
      </x:c>
      <x:c r="D5094" s="3" t="inlineStr">
        <x:is>
          <x:t xml:space="preserve">西安派瑞功率半导体变流技术股份有限公司</x:t>
        </x:is>
      </x:c>
      <x:c r="E5094" s="2" t="inlineStr">
        <x:is>
          <x:t xml:space="preserve">陕西省</x:t>
        </x:is>
      </x:c>
      <x:c r="F5094" s="2" t="inlineStr">
        <x:is>
          <x:t xml:space="preserve">西安市</x:t>
        </x:is>
      </x:c>
      <x:c r="G5094" s="3" t="inlineStr">
        <x:is>
          <x:t xml:space="preserve">陕西省-西安市</x:t>
        </x:is>
      </x:c>
      <x:c r="H5094" s="2" t="inlineStr">
        <x:is>
          <x:t xml:space="preserve">半导体</x:t>
        </x:is>
      </x:c>
      <x:c r="I5094" s="2" t="inlineStr">
        <x:is>
          <x:t xml:space="preserve">2020-05-07</x:t>
        </x:is>
      </x:c>
      <x:c r="J5094" s="3" t="inlineStr">
        <x:is>
          <x:t xml:space="preserve">西安市高新区锦业二路13号</x:t>
        </x:is>
      </x:c>
      <x:c r="K5094" s="12" t="str">
        <x:f>LEFT("916101315660088532",18)</x:f>
        <x:v>916101315660088600</x:v>
      </x:c>
    </x:row>
    <x:row r="5095">
      <x:c r="A5095" s="4" t="n">
        <x:v>5094</x:v>
      </x:c>
      <x:c r="B5095" s="4" t="inlineStr">
        <x:is>
          <x:t xml:space="preserve">300861</x:t>
        </x:is>
      </x:c>
      <x:c r="C5095" s="5" t="inlineStr">
        <x:is>
          <x:t xml:space="preserve">美畅股份</x:t>
        </x:is>
      </x:c>
      <x:c r="D5095" s="5" t="inlineStr">
        <x:is>
          <x:t xml:space="preserve">杨凌美畅新材料股份有限公司</x:t>
        </x:is>
      </x:c>
      <x:c r="E5095" s="4" t="inlineStr">
        <x:is>
          <x:t xml:space="preserve">陕西省</x:t>
        </x:is>
      </x:c>
      <x:c r="F5095" s="4" t="inlineStr">
        <x:is>
          <x:t xml:space="preserve">太原市</x:t>
        </x:is>
      </x:c>
      <x:c r="G5095" s="5" t="inlineStr">
        <x:is>
          <x:t xml:space="preserve">陕西省-太原市</x:t>
        </x:is>
      </x:c>
      <x:c r="H5095" s="4" t="inlineStr">
        <x:is>
          <x:t xml:space="preserve">非金属材料</x:t>
        </x:is>
      </x:c>
      <x:c r="I5095" s="4" t="inlineStr">
        <x:is>
          <x:t xml:space="preserve">2020-08-24</x:t>
        </x:is>
      </x:c>
      <x:c r="J5095" s="5" t="inlineStr">
        <x:is>
          <x:t xml:space="preserve">陕西省杨凌示范区渭惠路东段富海工业园</x:t>
        </x:is>
      </x:c>
      <x:c r="K5095" s="12" t="str">
        <x:f>LEFT("91610403338742407M",18)</x:f>
        <x:v>91610403338742407M</x:v>
      </x:c>
    </x:row>
    <x:row r="5096">
      <x:c r="A5096" s="2" t="n">
        <x:v>5095</x:v>
      </x:c>
      <x:c r="B5096" s="2" t="inlineStr">
        <x:is>
          <x:t xml:space="preserve">301031</x:t>
        </x:is>
      </x:c>
      <x:c r="C5096" s="3" t="inlineStr">
        <x:is>
          <x:t xml:space="preserve">中熔电气</x:t>
        </x:is>
      </x:c>
      <x:c r="D5096" s="3" t="inlineStr">
        <x:is>
          <x:t xml:space="preserve">西安中熔电气股份有限公司</x:t>
        </x:is>
      </x:c>
      <x:c r="E5096" s="2" t="inlineStr">
        <x:is>
          <x:t xml:space="preserve">陕西省</x:t>
        </x:is>
      </x:c>
      <x:c r="F5096" s="2" t="inlineStr">
        <x:is>
          <x:t xml:space="preserve">西安市</x:t>
        </x:is>
      </x:c>
      <x:c r="G5096" s="3" t="inlineStr">
        <x:is>
          <x:t xml:space="preserve">陕西省-西安市</x:t>
        </x:is>
      </x:c>
      <x:c r="H5096" s="2" t="inlineStr">
        <x:is>
          <x:t xml:space="preserve">输配电气</x:t>
        </x:is>
      </x:c>
      <x:c r="I5096" s="2" t="inlineStr">
        <x:is>
          <x:t xml:space="preserve">2021-07-15</x:t>
        </x:is>
      </x:c>
      <x:c r="J5096" s="3" t="inlineStr">
        <x:is>
          <x:t xml:space="preserve">陕西省西安市高新区锦业二路97号中熔电气产业基地</x:t>
        </x:is>
      </x:c>
      <x:c r="K5096" s="12" t="str">
        <x:f>LEFT("916101317974808482",18)</x:f>
        <x:v>916101317974808400</x:v>
      </x:c>
    </x:row>
    <x:row r="5097">
      <x:c r="A5097" s="4" t="n">
        <x:v>5096</x:v>
      </x:c>
      <x:c r="B5097" s="4" t="inlineStr">
        <x:is>
          <x:t xml:space="preserve">301171</x:t>
        </x:is>
      </x:c>
      <x:c r="C5097" s="5" t="inlineStr">
        <x:is>
          <x:t xml:space="preserve">易点天下</x:t>
        </x:is>
      </x:c>
      <x:c r="D5097" s="5" t="inlineStr">
        <x:is>
          <x:t xml:space="preserve">易点天下网络科技股份有限公司</x:t>
        </x:is>
      </x:c>
      <x:c r="E5097" s="4" t="inlineStr">
        <x:is>
          <x:t xml:space="preserve">陕西省</x:t>
        </x:is>
      </x:c>
      <x:c r="F5097" s="4" t="inlineStr">
        <x:is>
          <x:t xml:space="preserve">西安市</x:t>
        </x:is>
      </x:c>
      <x:c r="G5097" s="5" t="inlineStr">
        <x:is>
          <x:t xml:space="preserve">陕西省-西安市</x:t>
        </x:is>
      </x:c>
      <x:c r="H5097" s="4" t="inlineStr">
        <x:is>
          <x:t xml:space="preserve">互联网服务</x:t>
        </x:is>
      </x:c>
      <x:c r="I5097" s="4" t="inlineStr">
        <x:is>
          <x:t xml:space="preserve">2022-08-19</x:t>
        </x:is>
      </x:c>
      <x:c r="J5097" s="5" t="inlineStr">
        <x:is>
          <x:t xml:space="preserve">西安市高新区天谷八路156号软件新城研发基地二期C3栋楼903室</x:t>
        </x:is>
      </x:c>
      <x:c r="K5097" s="12" t="str">
        <x:f>LEFT("914201047713896834",18)</x:f>
        <x:v>914201047713896800</x:v>
      </x:c>
    </x:row>
    <x:row r="5098">
      <x:c r="A5098" s="2" t="n">
        <x:v>5097</x:v>
      </x:c>
      <x:c r="B5098" s="2" t="inlineStr">
        <x:is>
          <x:t xml:space="preserve">301231</x:t>
        </x:is>
      </x:c>
      <x:c r="C5098" s="3" t="inlineStr">
        <x:is>
          <x:t xml:space="preserve">荣信文化</x:t>
        </x:is>
      </x:c>
      <x:c r="D5098" s="3" t="inlineStr">
        <x:is>
          <x:t xml:space="preserve">荣信教育文化产业发展股份有限公司</x:t>
        </x:is>
      </x:c>
      <x:c r="E5098" s="2" t="inlineStr">
        <x:is>
          <x:t xml:space="preserve">陕西省</x:t>
        </x:is>
      </x:c>
      <x:c r="F5098" s="2" t="inlineStr">
        <x:is>
          <x:t xml:space="preserve">西安市</x:t>
        </x:is>
      </x:c>
      <x:c r="G5098" s="3" t="inlineStr">
        <x:is>
          <x:t xml:space="preserve">陕西省-西安市</x:t>
        </x:is>
      </x:c>
      <x:c r="H5098" s="2" t="inlineStr">
        <x:is>
          <x:t xml:space="preserve">文化传媒</x:t>
        </x:is>
      </x:c>
      <x:c r="I5098" s="2" t="inlineStr">
        <x:is>
          <x:t xml:space="preserve">2022-09-08</x:t>
        </x:is>
      </x:c>
      <x:c r="J5098" s="3" t="inlineStr">
        <x:is>
          <x:t xml:space="preserve">西安市高新区软件新城天谷八路西安国家数字出版基地南区三栋</x:t>
        </x:is>
      </x:c>
      <x:c r="K5098" s="12" t="str">
        <x:f>LEFT("91610131783573947A",18)</x:f>
        <x:v>91610131783573947A</x:v>
      </x:c>
    </x:row>
    <x:row r="5099">
      <x:c r="A5099" s="4" t="n">
        <x:v>5098</x:v>
      </x:c>
      <x:c r="B5099" s="4" t="inlineStr">
        <x:is>
          <x:t xml:space="preserve">301306</x:t>
        </x:is>
      </x:c>
      <x:c r="C5099" s="5" t="inlineStr">
        <x:is>
          <x:t xml:space="preserve">西测测试</x:t>
        </x:is>
      </x:c>
      <x:c r="D5099" s="5" t="inlineStr">
        <x:is>
          <x:t xml:space="preserve">西安西测测试技术股份有限公司</x:t>
        </x:is>
      </x:c>
      <x:c r="E5099" s="4" t="inlineStr">
        <x:is>
          <x:t xml:space="preserve">陕西省</x:t>
        </x:is>
      </x:c>
      <x:c r="F5099" s="4" t="inlineStr">
        <x:is>
          <x:t xml:space="preserve">西安市</x:t>
        </x:is>
      </x:c>
      <x:c r="G5099" s="5" t="inlineStr">
        <x:is>
          <x:t xml:space="preserve">陕西省-西安市</x:t>
        </x:is>
      </x:c>
      <x:c r="H5099" s="4" t="inlineStr">
        <x:is>
          <x:t xml:space="preserve">专业服务</x:t>
        </x:is>
      </x:c>
      <x:c r="I5099" s="4" t="inlineStr">
        <x:is>
          <x:t xml:space="preserve">2022-07-26</x:t>
        </x:is>
      </x:c>
      <x:c r="J5099" s="5" t="inlineStr">
        <x:is>
          <x:t xml:space="preserve">西安市高新区丈八二路16号</x:t>
        </x:is>
      </x:c>
      <x:c r="K5099" s="12" t="str">
        <x:f>LEFT("91610131556950212T",18)</x:f>
        <x:v>91610131556950212T</x:v>
      </x:c>
    </x:row>
    <x:row r="5100">
      <x:c r="A5100" s="2" t="n">
        <x:v>5099</x:v>
      </x:c>
      <x:c r="B5100" s="2" t="inlineStr">
        <x:is>
          <x:t xml:space="preserve">301357</x:t>
        </x:is>
      </x:c>
      <x:c r="C5100" s="3" t="inlineStr">
        <x:is>
          <x:t xml:space="preserve">北方长龙</x:t>
        </x:is>
      </x:c>
      <x:c r="D5100" s="3" t="inlineStr">
        <x:is>
          <x:t xml:space="preserve">北方长龙新材料技术股份有限公司</x:t>
        </x:is>
      </x:c>
      <x:c r="E5100" s="2" t="inlineStr">
        <x:is>
          <x:t xml:space="preserve">陕西省</x:t>
        </x:is>
      </x:c>
      <x:c r="F5100" s="2" t="inlineStr">
        <x:is>
          <x:t xml:space="preserve">西安市</x:t>
        </x:is>
      </x:c>
      <x:c r="G5100" s="3" t="inlineStr">
        <x:is>
          <x:t xml:space="preserve">陕西省-西安市</x:t>
        </x:is>
      </x:c>
      <x:c r="H5100" s="2" t="inlineStr">
        <x:is>
          <x:t xml:space="preserve">汽车零部件</x:t>
        </x:is>
      </x:c>
      <x:c r="I5100" s="2" t="inlineStr">
        <x:is>
          <x:t xml:space="preserve">2023-04-18</x:t>
        </x:is>
      </x:c>
      <x:c r="J5100" s="3" t="inlineStr">
        <x:is>
          <x:t xml:space="preserve">陕西省西安市国家民用航天产业基地航腾路589号军民融合复合材料产业园电子装配大楼三层301室</x:t>
        </x:is>
      </x:c>
      <x:c r="K5100" s="12" t="str">
        <x:f>LEFT("91110115551371094F",18)</x:f>
        <x:v>91110115551371094F</x:v>
      </x:c>
    </x:row>
    <x:row r="5101">
      <x:c r="A5101" s="4" t="n">
        <x:v>5100</x:v>
      </x:c>
      <x:c r="B5101" s="4" t="inlineStr">
        <x:is>
          <x:t xml:space="preserve">301517</x:t>
        </x:is>
      </x:c>
      <x:c r="C5101" s="5" t="inlineStr">
        <x:is>
          <x:t xml:space="preserve">陕西华达</x:t>
        </x:is>
      </x:c>
      <x:c r="D5101" s="5" t="inlineStr">
        <x:is>
          <x:t xml:space="preserve">陕西华达科技股份有限公司</x:t>
        </x:is>
      </x:c>
      <x:c r="E5101" s="4" t="inlineStr">
        <x:is>
          <x:t xml:space="preserve">陕西省</x:t>
        </x:is>
      </x:c>
      <x:c r="F5101" s="4" t="inlineStr">
        <x:is>
          <x:t xml:space="preserve">西安市</x:t>
        </x:is>
      </x:c>
      <x:c r="G5101" s="5" t="inlineStr">
        <x:is>
          <x:t xml:space="preserve">陕西省-西安市</x:t>
        </x:is>
      </x:c>
      <x:c r="H5101" s="4" t="inlineStr">
        <x:is>
          <x:t xml:space="preserve">电子元件</x:t>
        </x:is>
      </x:c>
      <x:c r="I5101" s="4" t="inlineStr">
        <x:is>
          <x:t xml:space="preserve">2023-10-17</x:t>
        </x:is>
      </x:c>
      <x:c r="J5101" s="5" t="inlineStr">
        <x:is>
          <x:t xml:space="preserve">陕西省西安市高新区普新二路5号</x:t>
        </x:is>
      </x:c>
      <x:c r="K5101" s="12" t="str">
        <x:f>LEFT("91610000719735454Y",18)</x:f>
        <x:v>91610000719735454Y</x:v>
      </x:c>
    </x:row>
    <x:row r="5102">
      <x:c r="A5102" s="2" t="n">
        <x:v>5101</x:v>
      </x:c>
      <x:c r="B5102" s="2" t="inlineStr">
        <x:is>
          <x:t xml:space="preserve">301589</x:t>
        </x:is>
      </x:c>
      <x:c r="C5102" s="3" t="inlineStr">
        <x:is>
          <x:t xml:space="preserve">诺瓦星云</x:t>
        </x:is>
      </x:c>
      <x:c r="D5102" s="3" t="inlineStr">
        <x:is>
          <x:t xml:space="preserve">西安诺瓦星云科技股份有限公司</x:t>
        </x:is>
      </x:c>
      <x:c r="E5102" s="2" t="inlineStr">
        <x:is>
          <x:t xml:space="preserve">陕西省</x:t>
        </x:is>
      </x:c>
      <x:c r="F5102" s="2" t="inlineStr">
        <x:is>
          <x:t xml:space="preserve">西安市</x:t>
        </x:is>
      </x:c>
      <x:c r="G5102" s="3" t="inlineStr">
        <x:is>
          <x:t xml:space="preserve">陕西省-西安市</x:t>
        </x:is>
      </x:c>
      <x:c r="H5102" s="2" t="inlineStr">
        <x:is>
          <x:t xml:space="preserve">计算机设备</x:t>
        </x:is>
      </x:c>
      <x:c r="I5102" s="2" t="inlineStr">
        <x:is>
          <x:t xml:space="preserve">2024-02-08</x:t>
        </x:is>
      </x:c>
      <x:c r="J5102" s="3" t="inlineStr">
        <x:is>
          <x:t xml:space="preserve">陕西省西安市高新区云水三路1699号诺瓦科技园2号楼</x:t>
        </x:is>
      </x:c>
      <x:c r="K5102" s="12" t="str">
        <x:f>LEFT("91610131673262558K",18)</x:f>
        <x:v>91610131673262558K</x:v>
      </x:c>
    </x:row>
    <x:row r="5103">
      <x:c r="A5103" s="4" t="n">
        <x:v>5102</x:v>
      </x:c>
      <x:c r="B5103" s="4" t="inlineStr">
        <x:is>
          <x:t xml:space="preserve">302132</x:t>
        </x:is>
      </x:c>
      <x:c r="C5103" s="5" t="inlineStr">
        <x:is>
          <x:t xml:space="preserve">中航成飞</x:t>
        </x:is>
      </x:c>
      <x:c r="D5103" s="5" t="inlineStr">
        <x:is>
          <x:t xml:space="preserve">中航成飞股份有限公司</x:t>
        </x:is>
      </x:c>
      <x:c r="E5103" s="4" t="inlineStr">
        <x:is>
          <x:t xml:space="preserve">陕西省</x:t>
        </x:is>
      </x:c>
      <x:c r="F5103" s="4" t="inlineStr">
        <x:is>
          <x:t xml:space="preserve">汉中市</x:t>
        </x:is>
      </x:c>
      <x:c r="G5103" s="5" t="inlineStr">
        <x:is>
          <x:t xml:space="preserve">陕西省-汉中市</x:t>
        </x:is>
      </x:c>
      <x:c r="H5103" s="4" t="inlineStr">
        <x:is>
          <x:t xml:space="preserve">航天航空</x:t>
        </x:is>
      </x:c>
      <x:c r="I5103" s="4" t="inlineStr">
        <x:is>
          <x:t xml:space="preserve">2010-08-27</x:t>
        </x:is>
      </x:c>
      <x:c r="J5103" s="5" t="inlineStr">
        <x:is>
          <x:t xml:space="preserve">陕西省汉中市经济开发区北区鑫源路</x:t>
        </x:is>
      </x:c>
      <x:c r="K5103" s="12" t="str">
        <x:f>LEFT("91610000745016111K",18)</x:f>
        <x:v>91610000745016111K</x:v>
      </x:c>
    </x:row>
    <x:row r="5104">
      <x:c r="A5104" s="2" t="n">
        <x:v>5103</x:v>
      </x:c>
      <x:c r="B5104" s="2" t="inlineStr">
        <x:is>
          <x:t xml:space="preserve">600080</x:t>
        </x:is>
      </x:c>
      <x:c r="C5104" s="3" t="inlineStr">
        <x:is>
          <x:t xml:space="preserve">金花股份</x:t>
        </x:is>
      </x:c>
      <x:c r="D5104" s="3" t="inlineStr">
        <x:is>
          <x:t xml:space="preserve">金花企业(集团)股份有限公司</x:t>
        </x:is>
      </x:c>
      <x:c r="E5104" s="2" t="inlineStr">
        <x:is>
          <x:t xml:space="preserve">陕西省</x:t>
        </x:is>
      </x:c>
      <x:c r="F5104" s="2" t="inlineStr">
        <x:is>
          <x:t xml:space="preserve">西安市</x:t>
        </x:is>
      </x:c>
      <x:c r="G5104" s="3" t="inlineStr">
        <x:is>
          <x:t xml:space="preserve">陕西省-西安市</x:t>
        </x:is>
      </x:c>
      <x:c r="H5104" s="2" t="inlineStr">
        <x:is>
          <x:t xml:space="preserve">中药</x:t>
        </x:is>
      </x:c>
      <x:c r="I5104" s="2" t="inlineStr">
        <x:is>
          <x:t xml:space="preserve">1997-06-12</x:t>
        </x:is>
      </x:c>
      <x:c r="J5104" s="3" t="inlineStr">
        <x:is>
          <x:t xml:space="preserve">陕西省西安市高新技术产业开发区科技四路202号</x:t>
        </x:is>
      </x:c>
      <x:c r="K5104" s="12" t="str">
        <x:f>LEFT("916100002941964072",18)</x:f>
        <x:v>916100002941964000</x:v>
      </x:c>
    </x:row>
    <x:row r="5105">
      <x:c r="A5105" s="4" t="n">
        <x:v>5104</x:v>
      </x:c>
      <x:c r="B5105" s="4" t="inlineStr">
        <x:is>
          <x:t xml:space="preserve">600217</x:t>
        </x:is>
      </x:c>
      <x:c r="C5105" s="5" t="inlineStr">
        <x:is>
          <x:t xml:space="preserve">中再资环</x:t>
        </x:is>
      </x:c>
      <x:c r="D5105" s="5" t="inlineStr">
        <x:is>
          <x:t xml:space="preserve">中再资源环境股份有限公司</x:t>
        </x:is>
      </x:c>
      <x:c r="E5105" s="4" t="inlineStr">
        <x:is>
          <x:t xml:space="preserve">陕西省</x:t>
        </x:is>
      </x:c>
      <x:c r="F5105" s="4" t="inlineStr">
        <x:is>
          <x:t xml:space="preserve">铜川市</x:t>
        </x:is>
      </x:c>
      <x:c r="G5105" s="5" t="inlineStr">
        <x:is>
          <x:t xml:space="preserve">陕西省-铜川市</x:t>
        </x:is>
      </x:c>
      <x:c r="H5105" s="4" t="inlineStr">
        <x:is>
          <x:t xml:space="preserve">环保工程</x:t>
        </x:is>
      </x:c>
      <x:c r="I5105" s="4" t="inlineStr">
        <x:is>
          <x:t xml:space="preserve">1999-12-16</x:t>
        </x:is>
      </x:c>
      <x:c r="J5105" s="5" t="inlineStr">
        <x:is>
          <x:t xml:space="preserve">陕西省铜川市耀州区东郊</x:t>
        </x:is>
      </x:c>
      <x:c r="K5105" s="12" t="str">
        <x:f>LEFT("91610000294201659H",18)</x:f>
        <x:v>91610000294201659H</x:v>
      </x:c>
    </x:row>
    <x:row r="5106">
      <x:c r="A5106" s="2" t="n">
        <x:v>5105</x:v>
      </x:c>
      <x:c r="B5106" s="2" t="inlineStr">
        <x:is>
          <x:t xml:space="preserve">600248</x:t>
        </x:is>
      </x:c>
      <x:c r="C5106" s="3" t="inlineStr">
        <x:is>
          <x:t xml:space="preserve">陕建股份</x:t>
        </x:is>
      </x:c>
      <x:c r="D5106" s="3" t="inlineStr">
        <x:is>
          <x:t xml:space="preserve">陕西建工集团股份有限公司</x:t>
        </x:is>
      </x:c>
      <x:c r="E5106" s="2" t="inlineStr">
        <x:is>
          <x:t xml:space="preserve">陕西省</x:t>
        </x:is>
      </x:c>
      <x:c r="F5106" s="2" t="inlineStr">
        <x:is>
          <x:t xml:space="preserve">西安市</x:t>
        </x:is>
      </x:c>
      <x:c r="G5106" s="3" t="inlineStr">
        <x:is>
          <x:t xml:space="preserve">陕西省-西安市</x:t>
        </x:is>
      </x:c>
      <x:c r="H5106" s="2" t="inlineStr">
        <x:is>
          <x:t xml:space="preserve">工程建设</x:t>
        </x:is>
      </x:c>
      <x:c r="I5106" s="2" t="inlineStr">
        <x:is>
          <x:t xml:space="preserve">2000-06-22</x:t>
        </x:is>
      </x:c>
      <x:c r="J5106" s="3" t="inlineStr">
        <x:is>
          <x:t xml:space="preserve">西安市高新区成章路1501号丝路创智谷4号楼2层204室</x:t>
        </x:is>
      </x:c>
      <x:c r="K5106" s="12" t="str">
        <x:f>LEFT("91610000710097708A",18)</x:f>
        <x:v>91610000710097708A</x:v>
      </x:c>
    </x:row>
    <x:row r="5107">
      <x:c r="A5107" s="4" t="n">
        <x:v>5106</x:v>
      </x:c>
      <x:c r="B5107" s="4" t="inlineStr">
        <x:is>
          <x:t xml:space="preserve">600302</x:t>
        </x:is>
      </x:c>
      <x:c r="C5107" s="5" t="inlineStr">
        <x:is>
          <x:t xml:space="preserve">标准股份</x:t>
        </x:is>
      </x:c>
      <x:c r="D5107" s="5" t="inlineStr">
        <x:is>
          <x:t xml:space="preserve">西安标准工业股份有限公司</x:t>
        </x:is>
      </x:c>
      <x:c r="E5107" s="4" t="inlineStr">
        <x:is>
          <x:t xml:space="preserve">陕西省</x:t>
        </x:is>
      </x:c>
      <x:c r="F5107" s="4" t="inlineStr">
        <x:is>
          <x:t xml:space="preserve">西安市</x:t>
        </x:is>
      </x:c>
      <x:c r="G5107" s="5" t="inlineStr">
        <x:is>
          <x:t xml:space="preserve">陕西省-西安市</x:t>
        </x:is>
      </x:c>
      <x:c r="H5107" s="4" t="inlineStr">
        <x:is>
          <x:t xml:space="preserve">专用设备</x:t>
        </x:is>
      </x:c>
      <x:c r="I5107" s="4" t="inlineStr">
        <x:is>
          <x:t xml:space="preserve">2000-12-13</x:t>
        </x:is>
      </x:c>
      <x:c r="J5107" s="5" t="inlineStr">
        <x:is>
          <x:t xml:space="preserve">西安市太白南路335号</x:t>
        </x:is>
      </x:c>
      <x:c r="K5107" s="12" t="str">
        <x:f>LEFT("91610113628001682H",18)</x:f>
        <x:v>91610113628001682H</x:v>
      </x:c>
    </x:row>
    <x:row r="5108">
      <x:c r="A5108" s="2" t="n">
        <x:v>5107</x:v>
      </x:c>
      <x:c r="B5108" s="2" t="inlineStr">
        <x:is>
          <x:t xml:space="preserve">600343</x:t>
        </x:is>
      </x:c>
      <x:c r="C5108" s="3" t="inlineStr">
        <x:is>
          <x:t xml:space="preserve">航天动力</x:t>
        </x:is>
      </x:c>
      <x:c r="D5108" s="3" t="inlineStr">
        <x:is>
          <x:t xml:space="preserve">陕西航天动力高科技股份有限公司</x:t>
        </x:is>
      </x:c>
      <x:c r="E5108" s="2" t="inlineStr">
        <x:is>
          <x:t xml:space="preserve">陕西省</x:t>
        </x:is>
      </x:c>
      <x:c r="F5108" s="2" t="inlineStr">
        <x:is>
          <x:t xml:space="preserve">西安市</x:t>
        </x:is>
      </x:c>
      <x:c r="G5108" s="3" t="inlineStr">
        <x:is>
          <x:t xml:space="preserve">陕西省-西安市</x:t>
        </x:is>
      </x:c>
      <x:c r="H5108" s="2" t="inlineStr">
        <x:is>
          <x:t xml:space="preserve">专用设备</x:t>
        </x:is>
      </x:c>
      <x:c r="I5108" s="2" t="inlineStr">
        <x:is>
          <x:t xml:space="preserve">2003-04-08</x:t>
        </x:is>
      </x:c>
      <x:c r="J5108" s="3" t="inlineStr">
        <x:is>
          <x:t xml:space="preserve">西安市高新区锦业路78号</x:t>
        </x:is>
      </x:c>
      <x:c r="K5108" s="12" t="str">
        <x:f>LEFT("91610000713592579L",18)</x:f>
        <x:v>91610000713592579L</x:v>
      </x:c>
    </x:row>
    <x:row r="5109">
      <x:c r="A5109" s="4" t="n">
        <x:v>5108</x:v>
      </x:c>
      <x:c r="B5109" s="4" t="inlineStr">
        <x:is>
          <x:t xml:space="preserve">600379</x:t>
        </x:is>
      </x:c>
      <x:c r="C5109" s="5" t="inlineStr">
        <x:is>
          <x:t xml:space="preserve">宝光股份</x:t>
        </x:is>
      </x:c>
      <x:c r="D5109" s="5" t="inlineStr">
        <x:is>
          <x:t xml:space="preserve">陕西宝光真空电器股份有限公司</x:t>
        </x:is>
      </x:c>
      <x:c r="E5109" s="4" t="inlineStr">
        <x:is>
          <x:t xml:space="preserve">陕西省</x:t>
        </x:is>
      </x:c>
      <x:c r="F5109" s="4" t="inlineStr">
        <x:is>
          <x:t xml:space="preserve">宝鸡市</x:t>
        </x:is>
      </x:c>
      <x:c r="G5109" s="5" t="inlineStr">
        <x:is>
          <x:t xml:space="preserve">陕西省-宝鸡市</x:t>
        </x:is>
      </x:c>
      <x:c r="H5109" s="4" t="inlineStr">
        <x:is>
          <x:t xml:space="preserve">输配电气</x:t>
        </x:is>
      </x:c>
      <x:c r="I5109" s="4" t="inlineStr">
        <x:is>
          <x:t xml:space="preserve">2002-01-16</x:t>
        </x:is>
      </x:c>
      <x:c r="J5109" s="5" t="inlineStr">
        <x:is>
          <x:t xml:space="preserve">陕西省宝鸡市渭滨区宝光路53号</x:t>
        </x:is>
      </x:c>
      <x:c r="K5109" s="12" t="str">
        <x:f>LEFT("916103007099018935",18)</x:f>
        <x:v>916103007099018900</x:v>
      </x:c>
    </x:row>
    <x:row r="5110">
      <x:c r="A5110" s="2" t="n">
        <x:v>5109</x:v>
      </x:c>
      <x:c r="B5110" s="2" t="inlineStr">
        <x:is>
          <x:t xml:space="preserve">600455</x:t>
        </x:is>
      </x:c>
      <x:c r="C5110" s="3" t="inlineStr">
        <x:is>
          <x:t xml:space="preserve">博通股份</x:t>
        </x:is>
      </x:c>
      <x:c r="D5110" s="3" t="inlineStr">
        <x:is>
          <x:t xml:space="preserve">西安博通资讯股份有限公司</x:t>
        </x:is>
      </x:c>
      <x:c r="E5110" s="2" t="inlineStr">
        <x:is>
          <x:t xml:space="preserve">陕西省</x:t>
        </x:is>
      </x:c>
      <x:c r="F5110" s="2" t="inlineStr">
        <x:is>
          <x:t xml:space="preserve">西安市</x:t>
        </x:is>
      </x:c>
      <x:c r="G5110" s="3" t="inlineStr">
        <x:is>
          <x:t xml:space="preserve">陕西省-西安市</x:t>
        </x:is>
      </x:c>
      <x:c r="H5110" s="2" t="inlineStr">
        <x:is>
          <x:t xml:space="preserve">文教休闲</x:t>
        </x:is>
      </x:c>
      <x:c r="I5110" s="2" t="inlineStr">
        <x:is>
          <x:t xml:space="preserve">2004-03-29</x:t>
        </x:is>
      </x:c>
      <x:c r="J5110" s="3" t="inlineStr">
        <x:is>
          <x:t xml:space="preserve">西安市经济技术开发区未央路130号凯鑫大厦</x:t>
        </x:is>
      </x:c>
      <x:c r="K5110" s="12" t="str">
        <x:f>LEFT("91610132294262806L",18)</x:f>
        <x:v>91610132294262806L</x:v>
      </x:c>
    </x:row>
    <x:row r="5111">
      <x:c r="A5111" s="4" t="n">
        <x:v>5110</x:v>
      </x:c>
      <x:c r="B5111" s="4" t="inlineStr">
        <x:is>
          <x:t xml:space="preserve">600456</x:t>
        </x:is>
      </x:c>
      <x:c r="C5111" s="5" t="inlineStr">
        <x:is>
          <x:t xml:space="preserve">宝钛股份</x:t>
        </x:is>
      </x:c>
      <x:c r="D5111" s="5" t="inlineStr">
        <x:is>
          <x:t xml:space="preserve">宝鸡钛业股份有限公司</x:t>
        </x:is>
      </x:c>
      <x:c r="E5111" s="4" t="inlineStr">
        <x:is>
          <x:t xml:space="preserve">陕西省</x:t>
        </x:is>
      </x:c>
      <x:c r="F5111" s="4" t="inlineStr">
        <x:is>
          <x:t xml:space="preserve">宝鸡市</x:t>
        </x:is>
      </x:c>
      <x:c r="G5111" s="5" t="inlineStr">
        <x:is>
          <x:t xml:space="preserve">陕西省-宝鸡市</x:t>
        </x:is>
      </x:c>
      <x:c r="H5111" s="4" t="inlineStr">
        <x:is>
          <x:t xml:space="preserve">小金属</x:t>
        </x:is>
      </x:c>
      <x:c r="I5111" s="4" t="inlineStr">
        <x:is>
          <x:t xml:space="preserve">2002-04-12</x:t>
        </x:is>
      </x:c>
      <x:c r="J5111" s="5" t="inlineStr">
        <x:is>
          <x:t xml:space="preserve">陕西省宝鸡市高新开发区高新大道88号</x:t>
        </x:is>
      </x:c>
      <x:c r="K5111" s="12" t="str">
        <x:f>LEFT("91610000713550723T",18)</x:f>
        <x:v>91610000713550723T</x:v>
      </x:c>
    </x:row>
    <x:row r="5112">
      <x:c r="A5112" s="2" t="n">
        <x:v>5111</x:v>
      </x:c>
      <x:c r="B5112" s="2" t="inlineStr">
        <x:is>
          <x:t xml:space="preserve">600665</x:t>
        </x:is>
      </x:c>
      <x:c r="C5112" s="3" t="inlineStr">
        <x:is>
          <x:t xml:space="preserve">天地源</x:t>
        </x:is>
      </x:c>
      <x:c r="D5112" s="3" t="inlineStr">
        <x:is>
          <x:t xml:space="preserve">天地源股份有限公司</x:t>
        </x:is>
      </x:c>
      <x:c r="E5112" s="2" t="inlineStr">
        <x:is>
          <x:t xml:space="preserve">陕西省</x:t>
        </x:is>
      </x:c>
      <x:c r="F5112" s="2" t="inlineStr">
        <x:is>
          <x:t xml:space="preserve">西安市</x:t>
        </x:is>
      </x:c>
      <x:c r="G5112" s="3" t="inlineStr">
        <x:is>
          <x:t xml:space="preserve">陕西省-西安市</x:t>
        </x:is>
      </x:c>
      <x:c r="H5112" s="2" t="inlineStr">
        <x:is>
          <x:t xml:space="preserve">房地产</x:t>
        </x:is>
      </x:c>
      <x:c r="I5112" s="2" t="inlineStr">
        <x:is>
          <x:t xml:space="preserve">1993-07-09</x:t>
        </x:is>
      </x:c>
      <x:c r="J5112" s="3" t="inlineStr">
        <x:is>
          <x:t xml:space="preserve">西安市高新区丈八街办科技路33号高新国际商务中心数码大厦12701室</x:t>
        </x:is>
      </x:c>
      <x:c r="K5112" s="12" t="str">
        <x:f>LEFT("9131000013221887XY",18)</x:f>
        <x:v>9131000013221887XY</x:v>
      </x:c>
    </x:row>
    <x:row r="5113">
      <x:c r="A5113" s="4" t="n">
        <x:v>5112</x:v>
      </x:c>
      <x:c r="B5113" s="4" t="inlineStr">
        <x:is>
          <x:t xml:space="preserve">600706</x:t>
        </x:is>
      </x:c>
      <x:c r="C5113" s="5" t="inlineStr">
        <x:is>
          <x:t xml:space="preserve">曲江文旅</x:t>
        </x:is>
      </x:c>
      <x:c r="D5113" s="5" t="inlineStr">
        <x:is>
          <x:t xml:space="preserve">西安曲江文化旅游股份有限公司</x:t>
        </x:is>
      </x:c>
      <x:c r="E5113" s="4" t="inlineStr">
        <x:is>
          <x:t xml:space="preserve">陕西省</x:t>
        </x:is>
      </x:c>
      <x:c r="F5113" s="4" t="inlineStr">
        <x:is>
          <x:t xml:space="preserve">西安市</x:t>
        </x:is>
      </x:c>
      <x:c r="G5113" s="5" t="inlineStr">
        <x:is>
          <x:t xml:space="preserve">陕西省-西安市</x:t>
        </x:is>
      </x:c>
      <x:c r="H5113" s="4" t="inlineStr">
        <x:is>
          <x:t xml:space="preserve">旅游酒店</x:t>
        </x:is>
      </x:c>
      <x:c r="I5113" s="4" t="inlineStr">
        <x:is>
          <x:t xml:space="preserve">1996-05-16</x:t>
        </x:is>
      </x:c>
      <x:c r="J5113" s="5" t="inlineStr">
        <x:is>
          <x:t xml:space="preserve">西安市曲江新区芙蓉西路99号大唐芙蓉园内办公区北楼一层、二层</x:t>
        </x:is>
      </x:c>
      <x:c r="K5113" s="12" t="str">
        <x:f>LEFT("91610133220537563C",18)</x:f>
        <x:v>91610133220537563C</x:v>
      </x:c>
    </x:row>
    <x:row r="5114">
      <x:c r="A5114" s="2" t="n">
        <x:v>5113</x:v>
      </x:c>
      <x:c r="B5114" s="2" t="inlineStr">
        <x:is>
          <x:t xml:space="preserve">600707</x:t>
        </x:is>
      </x:c>
      <x:c r="C5114" s="3" t="inlineStr">
        <x:is>
          <x:t xml:space="preserve">彩虹股份</x:t>
        </x:is>
      </x:c>
      <x:c r="D5114" s="3" t="inlineStr">
        <x:is>
          <x:t xml:space="preserve">彩虹显示器件股份有限公司</x:t>
        </x:is>
      </x:c>
      <x:c r="E5114" s="2" t="inlineStr">
        <x:is>
          <x:t xml:space="preserve">陕西省</x:t>
        </x:is>
      </x:c>
      <x:c r="F5114" s="2" t="inlineStr">
        <x:is>
          <x:t xml:space="preserve">咸阳市</x:t>
        </x:is>
      </x:c>
      <x:c r="G5114" s="3" t="inlineStr">
        <x:is>
          <x:t xml:space="preserve">陕西省-咸阳市</x:t>
        </x:is>
      </x:c>
      <x:c r="H5114" s="2" t="inlineStr">
        <x:is>
          <x:t xml:space="preserve">光学光电子</x:t>
        </x:is>
      </x:c>
      <x:c r="I5114" s="2" t="inlineStr">
        <x:is>
          <x:t xml:space="preserve">1996-05-20</x:t>
        </x:is>
      </x:c>
      <x:c r="J5114" s="3" t="inlineStr">
        <x:is>
          <x:t xml:space="preserve">咸阳高新区高新一路创业大厦</x:t>
        </x:is>
      </x:c>
      <x:c r="K5114" s="12" t="str">
        <x:f>LEFT("916104002205330284",18)</x:f>
        <x:v>916104002205330300</x:v>
      </x:c>
    </x:row>
    <x:row r="5115">
      <x:c r="A5115" s="4" t="n">
        <x:v>5114</x:v>
      </x:c>
      <x:c r="B5115" s="4" t="inlineStr">
        <x:is>
          <x:t xml:space="preserve">600831</x:t>
        </x:is>
      </x:c>
      <x:c r="C5115" s="5" t="inlineStr">
        <x:is>
          <x:t xml:space="preserve">广电网络</x:t>
        </x:is>
      </x:c>
      <x:c r="D5115" s="5" t="inlineStr">
        <x:is>
          <x:t xml:space="preserve">陕西广电网络传媒(集团)股份有限公司</x:t>
        </x:is>
      </x:c>
      <x:c r="E5115" s="4" t="inlineStr">
        <x:is>
          <x:t xml:space="preserve">陕西省</x:t>
        </x:is>
      </x:c>
      <x:c r="F5115" s="4" t="inlineStr">
        <x:is>
          <x:t xml:space="preserve">西安市</x:t>
        </x:is>
      </x:c>
      <x:c r="G5115" s="5" t="inlineStr">
        <x:is>
          <x:t xml:space="preserve">陕西省-西安市</x:t>
        </x:is>
      </x:c>
      <x:c r="H5115" s="4" t="inlineStr">
        <x:is>
          <x:t xml:space="preserve">文化传媒</x:t>
        </x:is>
      </x:c>
      <x:c r="I5115" s="4" t="inlineStr">
        <x:is>
          <x:t xml:space="preserve">1994-02-24</x:t>
        </x:is>
      </x:c>
      <x:c r="J5115" s="5" t="inlineStr">
        <x:is>
          <x:t xml:space="preserve">西安曲江新区曲江行政商务区曲江首座大厦14-16,18-19,22-24层</x:t>
        </x:is>
      </x:c>
      <x:c r="K5115" s="12" t="str">
        <x:f>LEFT("91610131220601086E",18)</x:f>
        <x:v>91610131220601086E</x:v>
      </x:c>
    </x:row>
    <x:row r="5116">
      <x:c r="A5116" s="2" t="n">
        <x:v>5115</x:v>
      </x:c>
      <x:c r="B5116" s="2" t="inlineStr">
        <x:is>
          <x:t xml:space="preserve">600893</x:t>
        </x:is>
      </x:c>
      <x:c r="C5116" s="3" t="inlineStr">
        <x:is>
          <x:t xml:space="preserve">航发动力</x:t>
        </x:is>
      </x:c>
      <x:c r="D5116" s="3" t="inlineStr">
        <x:is>
          <x:t xml:space="preserve">中国航发动力股份有限公司</x:t>
        </x:is>
      </x:c>
      <x:c r="E5116" s="2" t="inlineStr">
        <x:is>
          <x:t xml:space="preserve">陕西省</x:t>
        </x:is>
      </x:c>
      <x:c r="F5116" s="2" t="inlineStr">
        <x:is>
          <x:t xml:space="preserve">西安市</x:t>
        </x:is>
      </x:c>
      <x:c r="G5116" s="3" t="inlineStr">
        <x:is>
          <x:t xml:space="preserve">陕西省-西安市</x:t>
        </x:is>
      </x:c>
      <x:c r="H5116" s="2" t="inlineStr">
        <x:is>
          <x:t xml:space="preserve">航天航空</x:t>
        </x:is>
      </x:c>
      <x:c r="I5116" s="2" t="inlineStr">
        <x:is>
          <x:t xml:space="preserve">1996-04-08</x:t>
        </x:is>
      </x:c>
      <x:c r="J5116" s="3" t="inlineStr">
        <x:is>
          <x:t xml:space="preserve">西安市未央区徐家湾</x:t>
        </x:is>
      </x:c>
      <x:c r="K5116" s="12" t="str">
        <x:f>LEFT("91610112243870086Q",18)</x:f>
        <x:v>91610112243870086Q</x:v>
      </x:c>
    </x:row>
    <x:row r="5117">
      <x:c r="A5117" s="4" t="n">
        <x:v>5116</x:v>
      </x:c>
      <x:c r="B5117" s="4" t="inlineStr">
        <x:is>
          <x:t xml:space="preserve">600928</x:t>
        </x:is>
      </x:c>
      <x:c r="C5117" s="5" t="inlineStr">
        <x:is>
          <x:t xml:space="preserve">西安银行</x:t>
        </x:is>
      </x:c>
      <x:c r="D5117" s="5" t="inlineStr">
        <x:is>
          <x:t xml:space="preserve">西安银行股份有限公司</x:t>
        </x:is>
      </x:c>
      <x:c r="E5117" s="4" t="inlineStr">
        <x:is>
          <x:t xml:space="preserve">陕西省</x:t>
        </x:is>
      </x:c>
      <x:c r="F5117" s="4" t="inlineStr">
        <x:is>
          <x:t xml:space="preserve">西安市</x:t>
        </x:is>
      </x:c>
      <x:c r="G5117" s="5" t="inlineStr">
        <x:is>
          <x:t xml:space="preserve">陕西省-西安市</x:t>
        </x:is>
      </x:c>
      <x:c r="H5117" s="4" t="inlineStr">
        <x:is>
          <x:t xml:space="preserve">银行</x:t>
        </x:is>
      </x:c>
      <x:c r="I5117" s="4" t="inlineStr">
        <x:is>
          <x:t xml:space="preserve">2019-03-01</x:t>
        </x:is>
      </x:c>
      <x:c r="J5117" s="5" t="inlineStr">
        <x:is>
          <x:t xml:space="preserve">陕西省西安市高新路60号</x:t>
        </x:is>
      </x:c>
      <x:c r="K5117" s="12" t="str">
        <x:f>LEFT("91610131294468046D",18)</x:f>
        <x:v>91610131294468046D</x:v>
      </x:c>
    </x:row>
    <x:row r="5118">
      <x:c r="A5118" s="2" t="n">
        <x:v>5117</x:v>
      </x:c>
      <x:c r="B5118" s="2" t="inlineStr">
        <x:is>
          <x:t xml:space="preserve">600984</x:t>
        </x:is>
      </x:c>
      <x:c r="C5118" s="3" t="inlineStr">
        <x:is>
          <x:t xml:space="preserve">建设机械</x:t>
        </x:is>
      </x:c>
      <x:c r="D5118" s="3" t="inlineStr">
        <x:is>
          <x:t xml:space="preserve">陕西建设机械股份有限公司</x:t>
        </x:is>
      </x:c>
      <x:c r="E5118" s="2" t="inlineStr">
        <x:is>
          <x:t xml:space="preserve">陕西省</x:t>
        </x:is>
      </x:c>
      <x:c r="F5118" s="2" t="inlineStr">
        <x:is>
          <x:t xml:space="preserve">西安市</x:t>
        </x:is>
      </x:c>
      <x:c r="G5118" s="3" t="inlineStr">
        <x:is>
          <x:t xml:space="preserve">陕西省-西安市</x:t>
        </x:is>
      </x:c>
      <x:c r="H5118" s="2" t="inlineStr">
        <x:is>
          <x:t xml:space="preserve">工程机械</x:t>
        </x:is>
      </x:c>
      <x:c r="I5118" s="2" t="inlineStr">
        <x:is>
          <x:t xml:space="preserve">2004-07-07</x:t>
        </x:is>
      </x:c>
      <x:c r="J5118" s="3" t="inlineStr">
        <x:is>
          <x:t xml:space="preserve">西安市经济技术开发区泾渭新城泾朴路11号</x:t>
        </x:is>
      </x:c>
      <x:c r="K5118" s="12" t="str">
        <x:f>LEFT("91610000732666297M",18)</x:f>
        <x:v>91610000732666297M</x:v>
      </x:c>
    </x:row>
    <x:row r="5119">
      <x:c r="A5119" s="4" t="n">
        <x:v>5118</x:v>
      </x:c>
      <x:c r="B5119" s="4" t="inlineStr">
        <x:is>
          <x:t xml:space="preserve">601012</x:t>
        </x:is>
      </x:c>
      <x:c r="C5119" s="5" t="inlineStr">
        <x:is>
          <x:t xml:space="preserve">隆基绿能</x:t>
        </x:is>
      </x:c>
      <x:c r="D5119" s="5" t="inlineStr">
        <x:is>
          <x:t xml:space="preserve">隆基绿能科技股份有限公司</x:t>
        </x:is>
      </x:c>
      <x:c r="E5119" s="4" t="inlineStr">
        <x:is>
          <x:t xml:space="preserve">陕西省</x:t>
        </x:is>
      </x:c>
      <x:c r="F5119" s="4" t="inlineStr">
        <x:is>
          <x:t xml:space="preserve">西安市</x:t>
        </x:is>
      </x:c>
      <x:c r="G5119" s="5" t="inlineStr">
        <x:is>
          <x:t xml:space="preserve">陕西省-西安市</x:t>
        </x:is>
      </x:c>
      <x:c r="H5119" s="4" t="inlineStr">
        <x:is>
          <x:t xml:space="preserve">光伏设备</x:t>
        </x:is>
      </x:c>
      <x:c r="I5119" s="4" t="inlineStr">
        <x:is>
          <x:t xml:space="preserve">2012-04-11</x:t>
        </x:is>
      </x:c>
      <x:c r="J5119" s="5" t="inlineStr">
        <x:is>
          <x:t xml:space="preserve">西安市长安区航天中路388号</x:t>
        </x:is>
      </x:c>
      <x:c r="K5119" s="12" t="str">
        <x:f>LEFT("916101167101813521",18)</x:f>
        <x:v>916101167101813500</x:v>
      </x:c>
    </x:row>
    <x:row r="5120">
      <x:c r="A5120" s="2" t="n">
        <x:v>5119</x:v>
      </x:c>
      <x:c r="B5120" s="2" t="inlineStr">
        <x:is>
          <x:t xml:space="preserve">601015</x:t>
        </x:is>
      </x:c>
      <x:c r="C5120" s="3" t="inlineStr">
        <x:is>
          <x:t xml:space="preserve">陕西黑猫</x:t>
        </x:is>
      </x:c>
      <x:c r="D5120" s="3" t="inlineStr">
        <x:is>
          <x:t xml:space="preserve">陕西黑猫焦化股份有限公司</x:t>
        </x:is>
      </x:c>
      <x:c r="E5120" s="2" t="inlineStr">
        <x:is>
          <x:t xml:space="preserve">陕西省</x:t>
        </x:is>
      </x:c>
      <x:c r="F5120" s="2" t="inlineStr">
        <x:is>
          <x:t xml:space="preserve">西省韩城市</x:t>
        </x:is>
      </x:c>
      <x:c r="G5120" s="3" t="inlineStr">
        <x:is>
          <x:t xml:space="preserve">陕西省-西省韩城市</x:t>
        </x:is>
      </x:c>
      <x:c r="H5120" s="2" t="inlineStr">
        <x:is>
          <x:t xml:space="preserve">煤炭采选</x:t>
        </x:is>
      </x:c>
      <x:c r="I5120" s="2" t="inlineStr">
        <x:is>
          <x:t xml:space="preserve">2014-11-05</x:t>
        </x:is>
      </x:c>
      <x:c r="J5120" s="3" t="inlineStr">
        <x:is>
          <x:t xml:space="preserve">陕西省韩城市煤化工业园</x:t>
        </x:is>
      </x:c>
      <x:c r="K5120" s="12" t="str">
        <x:f>LEFT("91610000755217689E",18)</x:f>
        <x:v>91610000755217689E</x:v>
      </x:c>
    </x:row>
    <x:row r="5121">
      <x:c r="A5121" s="4" t="n">
        <x:v>5120</x:v>
      </x:c>
      <x:c r="B5121" s="4" t="inlineStr">
        <x:is>
          <x:t xml:space="preserve">601179</x:t>
        </x:is>
      </x:c>
      <x:c r="C5121" s="5" t="inlineStr">
        <x:is>
          <x:t xml:space="preserve">中国西电</x:t>
        </x:is>
      </x:c>
      <x:c r="D5121" s="5" t="inlineStr">
        <x:is>
          <x:t xml:space="preserve">中国西电电气股份有限公司</x:t>
        </x:is>
      </x:c>
      <x:c r="E5121" s="4" t="inlineStr">
        <x:is>
          <x:t xml:space="preserve">陕西省</x:t>
        </x:is>
      </x:c>
      <x:c r="F5121" s="4" t="inlineStr">
        <x:is>
          <x:t xml:space="preserve">西安市</x:t>
        </x:is>
      </x:c>
      <x:c r="G5121" s="5" t="inlineStr">
        <x:is>
          <x:t xml:space="preserve">陕西省-西安市</x:t>
        </x:is>
      </x:c>
      <x:c r="H5121" s="4" t="inlineStr">
        <x:is>
          <x:t xml:space="preserve">输配电气</x:t>
        </x:is>
      </x:c>
      <x:c r="I5121" s="4" t="inlineStr">
        <x:is>
          <x:t xml:space="preserve">2010-01-28</x:t>
        </x:is>
      </x:c>
      <x:c r="J5121" s="5" t="inlineStr">
        <x:is>
          <x:t xml:space="preserve">西安市高新区唐兴路7号A座</x:t>
        </x:is>
      </x:c>
      <x:c r="K5121" s="12" t="str">
        <x:f>LEFT("91610000673263286L",18)</x:f>
        <x:v>91610000673263286L</x:v>
      </x:c>
    </x:row>
    <x:row r="5122">
      <x:c r="A5122" s="2" t="n">
        <x:v>5121</x:v>
      </x:c>
      <x:c r="B5122" s="2" t="inlineStr">
        <x:is>
          <x:t xml:space="preserve">601225</x:t>
        </x:is>
      </x:c>
      <x:c r="C5122" s="3" t="inlineStr">
        <x:is>
          <x:t xml:space="preserve">陕西煤业</x:t>
        </x:is>
      </x:c>
      <x:c r="D5122" s="3" t="inlineStr">
        <x:is>
          <x:t xml:space="preserve">陕西煤业股份有限公司</x:t>
        </x:is>
      </x:c>
      <x:c r="E5122" s="2" t="inlineStr">
        <x:is>
          <x:t xml:space="preserve">陕西省</x:t>
        </x:is>
      </x:c>
      <x:c r="F5122" s="2" t="inlineStr">
        <x:is>
          <x:t xml:space="preserve">西安市</x:t>
        </x:is>
      </x:c>
      <x:c r="G5122" s="3" t="inlineStr">
        <x:is>
          <x:t xml:space="preserve">陕西省-西安市</x:t>
        </x:is>
      </x:c>
      <x:c r="H5122" s="2" t="inlineStr">
        <x:is>
          <x:t xml:space="preserve">煤炭采选</x:t>
        </x:is>
      </x:c>
      <x:c r="I5122" s="2" t="inlineStr">
        <x:is>
          <x:t xml:space="preserve">2014-01-28</x:t>
        </x:is>
      </x:c>
      <x:c r="J5122" s="3" t="inlineStr">
        <x:is>
          <x:t xml:space="preserve">西安市国家民用航天产业基地东长安街636号4号楼</x:t>
        </x:is>
      </x:c>
      <x:c r="K5122" s="12" t="str">
        <x:f>LEFT("91610000681585170N",18)</x:f>
        <x:v>91610000681585170N</x:v>
      </x:c>
    </x:row>
    <x:row r="5123">
      <x:c r="A5123" s="4" t="n">
        <x:v>5122</x:v>
      </x:c>
      <x:c r="B5123" s="4" t="inlineStr">
        <x:is>
          <x:t xml:space="preserve">601369</x:t>
        </x:is>
      </x:c>
      <x:c r="C5123" s="5" t="inlineStr">
        <x:is>
          <x:t xml:space="preserve">陕鼓动力</x:t>
        </x:is>
      </x:c>
      <x:c r="D5123" s="5" t="inlineStr">
        <x:is>
          <x:t xml:space="preserve">西安陕鼓动力股份有限公司</x:t>
        </x:is>
      </x:c>
      <x:c r="E5123" s="4" t="inlineStr">
        <x:is>
          <x:t xml:space="preserve">陕西省</x:t>
        </x:is>
      </x:c>
      <x:c r="F5123" s="4" t="inlineStr">
        <x:is>
          <x:t xml:space="preserve">西安市</x:t>
        </x:is>
      </x:c>
      <x:c r="G5123" s="5" t="inlineStr">
        <x:is>
          <x:t xml:space="preserve">陕西省-西安市</x:t>
        </x:is>
      </x:c>
      <x:c r="H5123" s="4" t="inlineStr">
        <x:is>
          <x:t xml:space="preserve">机械行业</x:t>
        </x:is>
      </x:c>
      <x:c r="I5123" s="4" t="inlineStr">
        <x:is>
          <x:t xml:space="preserve">2010-04-28</x:t>
        </x:is>
      </x:c>
      <x:c r="J5123" s="5" t="inlineStr">
        <x:is>
          <x:t xml:space="preserve">西安市高新区沣惠南路8号</x:t>
        </x:is>
      </x:c>
      <x:c r="K5123" s="12" t="str">
        <x:f>LEFT("91610131628001738N",18)</x:f>
        <x:v>91610131628001738N</x:v>
      </x:c>
    </x:row>
    <x:row r="5124">
      <x:c r="A5124" s="2" t="n">
        <x:v>5123</x:v>
      </x:c>
      <x:c r="B5124" s="2" t="inlineStr">
        <x:is>
          <x:t xml:space="preserve">601568</x:t>
        </x:is>
      </x:c>
      <x:c r="C5124" s="3" t="inlineStr">
        <x:is>
          <x:t xml:space="preserve">北元集团</x:t>
        </x:is>
      </x:c>
      <x:c r="D5124" s="3" t="inlineStr">
        <x:is>
          <x:t xml:space="preserve">陕西北元化工集团股份有限公司</x:t>
        </x:is>
      </x:c>
      <x:c r="E5124" s="2" t="inlineStr">
        <x:is>
          <x:t xml:space="preserve">陕西省</x:t>
        </x:is>
      </x:c>
      <x:c r="F5124" s="2" t="inlineStr">
        <x:is>
          <x:t xml:space="preserve">榆林市</x:t>
        </x:is>
      </x:c>
      <x:c r="G5124" s="3" t="inlineStr">
        <x:is>
          <x:t xml:space="preserve">陕西省-榆林市</x:t>
        </x:is>
      </x:c>
      <x:c r="H5124" s="2" t="inlineStr">
        <x:is>
          <x:t xml:space="preserve">化学原料</x:t>
        </x:is>
      </x:c>
      <x:c r="I5124" s="2" t="inlineStr">
        <x:is>
          <x:t xml:space="preserve">2020-10-20</x:t>
        </x:is>
      </x:c>
      <x:c r="J5124" s="3" t="inlineStr">
        <x:is>
          <x:t xml:space="preserve">陕西省榆林市神木市锦界工业园区</x:t>
        </x:is>
      </x:c>
      <x:c r="K5124" s="12" t="str">
        <x:f>LEFT("91610821748622598U",18)</x:f>
        <x:v>91610821748622598U</x:v>
      </x:c>
    </x:row>
    <x:row r="5125">
      <x:c r="A5125" s="4" t="n">
        <x:v>5124</x:v>
      </x:c>
      <x:c r="B5125" s="4" t="inlineStr">
        <x:is>
          <x:t xml:space="preserve">601958</x:t>
        </x:is>
      </x:c>
      <x:c r="C5125" s="5" t="inlineStr">
        <x:is>
          <x:t xml:space="preserve">金钼股份</x:t>
        </x:is>
      </x:c>
      <x:c r="D5125" s="5" t="inlineStr">
        <x:is>
          <x:t xml:space="preserve">金堆城钼业股份有限公司</x:t>
        </x:is>
      </x:c>
      <x:c r="E5125" s="4" t="inlineStr">
        <x:is>
          <x:t xml:space="preserve">陕西省</x:t>
        </x:is>
      </x:c>
      <x:c r="F5125" s="4" t="inlineStr">
        <x:is>
          <x:t xml:space="preserve">西安市</x:t>
        </x:is>
      </x:c>
      <x:c r="G5125" s="5" t="inlineStr">
        <x:is>
          <x:t xml:space="preserve">陕西省-西安市</x:t>
        </x:is>
      </x:c>
      <x:c r="H5125" s="4" t="inlineStr">
        <x:is>
          <x:t xml:space="preserve">小金属</x:t>
        </x:is>
      </x:c>
      <x:c r="I5125" s="4" t="inlineStr">
        <x:is>
          <x:t xml:space="preserve">2008-04-17</x:t>
        </x:is>
      </x:c>
      <x:c r="J5125" s="5" t="inlineStr">
        <x:is>
          <x:t xml:space="preserve">陕西省西安市高新技术产业开发区锦业一路88号</x:t>
        </x:is>
      </x:c>
      <x:c r="K5125" s="12" t="str">
        <x:f>LEFT("916100006611776206",18)</x:f>
        <x:v>916100006611776300</x:v>
      </x:c>
    </x:row>
    <x:row r="5126">
      <x:c r="A5126" s="2" t="n">
        <x:v>5125</x:v>
      </x:c>
      <x:c r="B5126" s="2" t="inlineStr">
        <x:is>
          <x:t xml:space="preserve">603139</x:t>
        </x:is>
      </x:c>
      <x:c r="C5126" s="3" t="inlineStr">
        <x:is>
          <x:t xml:space="preserve">康惠股份</x:t>
        </x:is>
      </x:c>
      <x:c r="D5126" s="3" t="inlineStr">
        <x:is>
          <x:t xml:space="preserve">陕西康惠制药股份有限公司</x:t>
        </x:is>
      </x:c>
      <x:c r="E5126" s="2" t="inlineStr">
        <x:is>
          <x:t xml:space="preserve">陕西省</x:t>
        </x:is>
      </x:c>
      <x:c r="F5126" s="2" t="inlineStr">
        <x:is>
          <x:t xml:space="preserve">咸阳市</x:t>
        </x:is>
      </x:c>
      <x:c r="G5126" s="3" t="inlineStr">
        <x:is>
          <x:t xml:space="preserve">陕西省-咸阳市</x:t>
        </x:is>
      </x:c>
      <x:c r="H5126" s="2" t="inlineStr">
        <x:is>
          <x:t xml:space="preserve">中药</x:t>
        </x:is>
      </x:c>
      <x:c r="I5126" s="2" t="inlineStr">
        <x:is>
          <x:t xml:space="preserve">2017-04-21</x:t>
        </x:is>
      </x:c>
      <x:c r="J5126" s="3" t="inlineStr">
        <x:is>
          <x:t xml:space="preserve">陕西省咸阳市秦都区高新技术产业开发区彩虹二路</x:t>
        </x:is>
      </x:c>
      <x:c r="K5126" s="12" t="str">
        <x:f>LEFT("916100006984144239",18)</x:f>
        <x:v>916100006984144300</x:v>
      </x:c>
    </x:row>
    <x:row r="5127">
      <x:c r="A5127" s="4" t="n">
        <x:v>5126</x:v>
      </x:c>
      <x:c r="B5127" s="4" t="inlineStr">
        <x:is>
          <x:t xml:space="preserve">603402</x:t>
        </x:is>
      </x:c>
      <x:c r="C5127" s="5" t="inlineStr">
        <x:is>
          <x:t xml:space="preserve">陕西旅游</x:t>
        </x:is>
      </x:c>
      <x:c r="D5127" s="5" t="inlineStr">
        <x:is>
          <x:t xml:space="preserve">陕西旅游文化产业股份有限公司</x:t>
        </x:is>
      </x:c>
      <x:c r="E5127" s="4" t="inlineStr">
        <x:is>
          <x:t xml:space="preserve">陕西省</x:t>
        </x:is>
      </x:c>
      <x:c r="F5127" s="4" t="inlineStr">
        <x:is>
          <x:t xml:space="preserve">西安市</x:t>
        </x:is>
      </x:c>
      <x:c r="G5127" s="5" t="inlineStr">
        <x:is>
          <x:t xml:space="preserve">陕西省-西安市</x:t>
        </x:is>
      </x:c>
      <x:c r="H5127" s="4" t="inlineStr">
        <x:is>
          <x:t xml:space="preserve">旅游酒店</x:t>
        </x:is>
      </x:c>
      <x:c r="I5127" s="4" t="inlineStr">
        <x:is>
          <x:t xml:space="preserve">2026-01-06</x:t>
        </x:is>
      </x:c>
      <x:c r="J5127" s="5" t="inlineStr">
        <x:is>
          <x:t xml:space="preserve">陕西省西安市长安区航天基地航创路1号陕旅豪布斯卡16楼A区</x:t>
        </x:is>
      </x:c>
      <x:c r="K5127" s="12" t="str">
        <x:f>LEFT("91610000220525511U",18)</x:f>
        <x:v>91610000220525511U</x:v>
      </x:c>
    </x:row>
    <x:row r="5128">
      <x:c r="A5128" s="2" t="n">
        <x:v>5127</x:v>
      </x:c>
      <x:c r="B5128" s="2" t="inlineStr">
        <x:is>
          <x:t xml:space="preserve">605033</x:t>
        </x:is>
      </x:c>
      <x:c r="C5128" s="3" t="inlineStr">
        <x:is>
          <x:t xml:space="preserve">美邦股份</x:t>
        </x:is>
      </x:c>
      <x:c r="D5128" s="3" t="inlineStr">
        <x:is>
          <x:t xml:space="preserve">陕西美邦药业集团股份有限公司</x:t>
        </x:is>
      </x:c>
      <x:c r="E5128" s="2" t="inlineStr">
        <x:is>
          <x:t xml:space="preserve">陕西省</x:t>
        </x:is>
      </x:c>
      <x:c r="F5128" s="2" t="inlineStr">
        <x:is>
          <x:t xml:space="preserve">渭南市</x:t>
        </x:is>
      </x:c>
      <x:c r="G5128" s="3" t="inlineStr">
        <x:is>
          <x:t xml:space="preserve">陕西省-渭南市</x:t>
        </x:is>
      </x:c>
      <x:c r="H5128" s="2" t="inlineStr">
        <x:is>
          <x:t xml:space="preserve">农药兽药</x:t>
        </x:is>
      </x:c>
      <x:c r="I5128" s="2" t="inlineStr">
        <x:is>
          <x:t xml:space="preserve">2021-09-16</x:t>
        </x:is>
      </x:c>
      <x:c r="J5128" s="3" t="inlineStr">
        <x:is>
          <x:t xml:space="preserve">陕西省渭南市蒲城县高新技术产业开发区</x:t>
        </x:is>
      </x:c>
      <x:c r="K5128" s="12" t="str">
        <x:f>LEFT("91610592709980931P",18)</x:f>
        <x:v>91610592709980931P</x:v>
      </x:c>
    </x:row>
    <x:row r="5129">
      <x:c r="A5129" s="4" t="n">
        <x:v>5128</x:v>
      </x:c>
      <x:c r="B5129" s="4" t="inlineStr">
        <x:is>
          <x:t xml:space="preserve">605168</x:t>
        </x:is>
      </x:c>
      <x:c r="C5129" s="5" t="inlineStr">
        <x:is>
          <x:t xml:space="preserve">三人行</x:t>
        </x:is>
      </x:c>
      <x:c r="D5129" s="5" t="inlineStr">
        <x:is>
          <x:t xml:space="preserve">三人行传媒集团股份有限公司</x:t>
        </x:is>
      </x:c>
      <x:c r="E5129" s="4" t="inlineStr">
        <x:is>
          <x:t xml:space="preserve">陕西省</x:t>
        </x:is>
      </x:c>
      <x:c r="F5129" s="4" t="inlineStr">
        <x:is>
          <x:t xml:space="preserve">西安市</x:t>
        </x:is>
      </x:c>
      <x:c r="G5129" s="5" t="inlineStr">
        <x:is>
          <x:t xml:space="preserve">陕西省-西安市</x:t>
        </x:is>
      </x:c>
      <x:c r="H5129" s="4" t="inlineStr">
        <x:is>
          <x:t xml:space="preserve">文化传媒</x:t>
        </x:is>
      </x:c>
      <x:c r="I5129" s="4" t="inlineStr">
        <x:is>
          <x:t xml:space="preserve">2020-05-28</x:t>
        </x:is>
      </x:c>
      <x:c r="J5129" s="5" t="inlineStr">
        <x:is>
          <x:t xml:space="preserve">陕西省西安市高新区天谷五路999号美百年科技中心902室</x:t>
        </x:is>
      </x:c>
      <x:c r="K5129" s="12" t="str">
        <x:f>LEFT("91610131742837256P",18)</x:f>
        <x:v>91610131742837256P</x:v>
      </x:c>
    </x:row>
    <x:row r="5130">
      <x:c r="A5130" s="2" t="n">
        <x:v>5129</x:v>
      </x:c>
      <x:c r="B5130" s="2" t="inlineStr">
        <x:is>
          <x:t xml:space="preserve">688101</x:t>
        </x:is>
      </x:c>
      <x:c r="C5130" s="3" t="inlineStr">
        <x:is>
          <x:t xml:space="preserve">三达膜</x:t>
        </x:is>
      </x:c>
      <x:c r="D5130" s="3" t="inlineStr">
        <x:is>
          <x:t xml:space="preserve">三达膜环境技术股份有限公司</x:t>
        </x:is>
      </x:c>
      <x:c r="E5130" s="2" t="inlineStr">
        <x:is>
          <x:t xml:space="preserve">陕西省</x:t>
        </x:is>
      </x:c>
      <x:c r="F5130" s="2" t="inlineStr">
        <x:is>
          <x:t xml:space="preserve">延安市</x:t>
        </x:is>
      </x:c>
      <x:c r="G5130" s="3" t="inlineStr">
        <x:is>
          <x:t xml:space="preserve">陕西省-延安市</x:t>
        </x:is>
      </x:c>
      <x:c r="H5130" s="2" t="inlineStr">
        <x:is>
          <x:t xml:space="preserve">环保行业</x:t>
        </x:is>
      </x:c>
      <x:c r="I5130" s="2" t="inlineStr">
        <x:is>
          <x:t xml:space="preserve">2019-11-15</x:t>
        </x:is>
      </x:c>
      <x:c r="J5130" s="3" t="inlineStr">
        <x:is>
          <x:t xml:space="preserve">陕西省延安市宝塔区圣烯石墨烯膜产业园</x:t>
        </x:is>
      </x:c>
      <x:c r="K5130" s="12" t="str">
        <x:f>LEFT("91350200769273382T",18)</x:f>
        <x:v>91350200769273382T</x:v>
      </x:c>
    </x:row>
    <x:row r="5131">
      <x:c r="A5131" s="4" t="n">
        <x:v>5130</x:v>
      </x:c>
      <x:c r="B5131" s="4" t="inlineStr">
        <x:is>
          <x:t xml:space="preserve">688102</x:t>
        </x:is>
      </x:c>
      <x:c r="C5131" s="5" t="inlineStr">
        <x:is>
          <x:t xml:space="preserve">斯瑞新材</x:t>
        </x:is>
      </x:c>
      <x:c r="D5131" s="5" t="inlineStr">
        <x:is>
          <x:t xml:space="preserve">陕西斯瑞新材料股份有限公司</x:t>
        </x:is>
      </x:c>
      <x:c r="E5131" s="4" t="inlineStr">
        <x:is>
          <x:t xml:space="preserve">陕西省</x:t>
        </x:is>
      </x:c>
      <x:c r="F5131" s="4" t="inlineStr">
        <x:is>
          <x:t xml:space="preserve">西安市</x:t>
        </x:is>
      </x:c>
      <x:c r="G5131" s="5" t="inlineStr">
        <x:is>
          <x:t xml:space="preserve">陕西省-西安市</x:t>
        </x:is>
      </x:c>
      <x:c r="H5131" s="4" t="inlineStr">
        <x:is>
          <x:t xml:space="preserve">有色金属</x:t>
        </x:is>
      </x:c>
      <x:c r="I5131" s="4" t="inlineStr">
        <x:is>
          <x:t xml:space="preserve">2022-03-16</x:t>
        </x:is>
      </x:c>
      <x:c r="J5131" s="5" t="inlineStr">
        <x:is>
          <x:t xml:space="preserve">陕西省西安市高新区丈八七路12号</x:t>
        </x:is>
      </x:c>
      <x:c r="K5131" s="12" t="str">
        <x:f>LEFT("91610000623115672Q",18)</x:f>
        <x:v>91610000623115672Q</x:v>
      </x:c>
    </x:row>
    <x:row r="5132">
      <x:c r="A5132" s="2" t="n">
        <x:v>5131</x:v>
      </x:c>
      <x:c r="B5132" s="2" t="inlineStr">
        <x:is>
          <x:t xml:space="preserve">688122</x:t>
        </x:is>
      </x:c>
      <x:c r="C5132" s="3" t="inlineStr">
        <x:is>
          <x:t xml:space="preserve">西部超导</x:t>
        </x:is>
      </x:c>
      <x:c r="D5132" s="3" t="inlineStr">
        <x:is>
          <x:t xml:space="preserve">西部超导材料科技股份有限公司</x:t>
        </x:is>
      </x:c>
      <x:c r="E5132" s="2" t="inlineStr">
        <x:is>
          <x:t xml:space="preserve">陕西省</x:t>
        </x:is>
      </x:c>
      <x:c r="F5132" s="2" t="inlineStr">
        <x:is>
          <x:t xml:space="preserve">西安市</x:t>
        </x:is>
      </x:c>
      <x:c r="G5132" s="3" t="inlineStr">
        <x:is>
          <x:t xml:space="preserve">陕西省-西安市</x:t>
        </x:is>
      </x:c>
      <x:c r="H5132" s="2" t="inlineStr">
        <x:is>
          <x:t xml:space="preserve">有色金属</x:t>
        </x:is>
      </x:c>
      <x:c r="I5132" s="2" t="inlineStr">
        <x:is>
          <x:t xml:space="preserve">2019-07-22</x:t>
        </x:is>
      </x:c>
      <x:c r="J5132" s="3" t="inlineStr">
        <x:is>
          <x:t xml:space="preserve">西安经济技术开发区明光路12号</x:t>
        </x:is>
      </x:c>
      <x:c r="K5132" s="12" t="str">
        <x:f>LEFT("916101327428232411",18)</x:f>
        <x:v>916101327428232400</x:v>
      </x:c>
    </x:row>
    <x:row r="5133">
      <x:c r="A5133" s="4" t="n">
        <x:v>5132</x:v>
      </x:c>
      <x:c r="B5133" s="4" t="inlineStr">
        <x:is>
          <x:t xml:space="preserve">688150</x:t>
        </x:is>
      </x:c>
      <x:c r="C5133" s="5" t="inlineStr">
        <x:is>
          <x:t xml:space="preserve">莱特光电</x:t>
        </x:is>
      </x:c>
      <x:c r="D5133" s="5" t="inlineStr">
        <x:is>
          <x:t xml:space="preserve">陕西莱特光电材料股份有限公司</x:t>
        </x:is>
      </x:c>
      <x:c r="E5133" s="4" t="inlineStr">
        <x:is>
          <x:t xml:space="preserve">陕西省</x:t>
        </x:is>
      </x:c>
      <x:c r="F5133" s="4" t="inlineStr">
        <x:is>
          <x:t xml:space="preserve">西安市</x:t>
        </x:is>
      </x:c>
      <x:c r="G5133" s="5" t="inlineStr">
        <x:is>
          <x:t xml:space="preserve">陕西省-西安市</x:t>
        </x:is>
      </x:c>
      <x:c r="H5133" s="4" t="inlineStr">
        <x:is>
          <x:t xml:space="preserve">光学光电子</x:t>
        </x:is>
      </x:c>
      <x:c r="I5133" s="4" t="inlineStr">
        <x:is>
          <x:t xml:space="preserve">2022-03-18</x:t>
        </x:is>
      </x:c>
      <x:c r="J5133" s="5" t="inlineStr">
        <x:is>
          <x:t xml:space="preserve">陕西省西安市高新区隆丰路99号3幢3号楼</x:t>
        </x:is>
      </x:c>
      <x:c r="K5133" s="12" t="str">
        <x:f>LEFT("916101316986408773",18)</x:f>
        <x:v>916101316986408800</x:v>
      </x:c>
    </x:row>
    <x:row r="5134">
      <x:c r="A5134" s="2" t="n">
        <x:v>5133</x:v>
      </x:c>
      <x:c r="B5134" s="2" t="inlineStr">
        <x:is>
          <x:t xml:space="preserve">688167</x:t>
        </x:is>
      </x:c>
      <x:c r="C5134" s="3" t="inlineStr">
        <x:is>
          <x:t xml:space="preserve">炬光科技</x:t>
        </x:is>
      </x:c>
      <x:c r="D5134" s="3" t="inlineStr">
        <x:is>
          <x:t xml:space="preserve">西安炬光科技股份有限公司</x:t>
        </x:is>
      </x:c>
      <x:c r="E5134" s="2" t="inlineStr">
        <x:is>
          <x:t xml:space="preserve">陕西省</x:t>
        </x:is>
      </x:c>
      <x:c r="F5134" s="2" t="inlineStr">
        <x:is>
          <x:t xml:space="preserve">西安市</x:t>
        </x:is>
      </x:c>
      <x:c r="G5134" s="3" t="inlineStr">
        <x:is>
          <x:t xml:space="preserve">陕西省-西安市</x:t>
        </x:is>
      </x:c>
      <x:c r="H5134" s="2" t="inlineStr">
        <x:is>
          <x:t xml:space="preserve">半导体</x:t>
        </x:is>
      </x:c>
      <x:c r="I5134" s="2" t="inlineStr">
        <x:is>
          <x:t xml:space="preserve">2021-12-24</x:t>
        </x:is>
      </x:c>
      <x:c r="J5134" s="3" t="inlineStr">
        <x:is>
          <x:t xml:space="preserve">陕西省西安市高新区丈八六路56号</x:t>
        </x:is>
      </x:c>
      <x:c r="K5134" s="12" t="str">
        <x:f>LEFT("91610131663186571P",18)</x:f>
        <x:v>91610131663186571P</x:v>
      </x:c>
    </x:row>
    <x:row r="5135">
      <x:c r="A5135" s="4" t="n">
        <x:v>5134</x:v>
      </x:c>
      <x:c r="B5135" s="4" t="inlineStr">
        <x:is>
          <x:t xml:space="preserve">688269</x:t>
        </x:is>
      </x:c>
      <x:c r="C5135" s="5" t="inlineStr">
        <x:is>
          <x:t xml:space="preserve">凯立新材</x:t>
        </x:is>
      </x:c>
      <x:c r="D5135" s="5" t="inlineStr">
        <x:is>
          <x:t xml:space="preserve">西安凯立新材料股份有限公司</x:t>
        </x:is>
      </x:c>
      <x:c r="E5135" s="4" t="inlineStr">
        <x:is>
          <x:t xml:space="preserve">陕西省</x:t>
        </x:is>
      </x:c>
      <x:c r="F5135" s="4" t="inlineStr">
        <x:is>
          <x:t xml:space="preserve">西安市</x:t>
        </x:is>
      </x:c>
      <x:c r="G5135" s="5" t="inlineStr">
        <x:is>
          <x:t xml:space="preserve">陕西省-西安市</x:t>
        </x:is>
      </x:c>
      <x:c r="H5135" s="4" t="inlineStr">
        <x:is>
          <x:t xml:space="preserve">化工行业</x:t>
        </x:is>
      </x:c>
      <x:c r="I5135" s="4" t="inlineStr">
        <x:is>
          <x:t xml:space="preserve">2021-06-09</x:t>
        </x:is>
      </x:c>
      <x:c r="J5135" s="5" t="inlineStr">
        <x:is>
          <x:t xml:space="preserve">陕西省西安市经济技术开发区高铁新城尚林路4288号</x:t>
        </x:is>
      </x:c>
      <x:c r="K5135" s="12" t="str">
        <x:f>LEFT("916101327350453574",18)</x:f>
        <x:v>916101327350453600</x:v>
      </x:c>
    </x:row>
    <x:row r="5136">
      <x:c r="A5136" s="2" t="n">
        <x:v>5135</x:v>
      </x:c>
      <x:c r="B5136" s="2" t="inlineStr">
        <x:is>
          <x:t xml:space="preserve">688281</x:t>
        </x:is>
      </x:c>
      <x:c r="C5136" s="3" t="inlineStr">
        <x:is>
          <x:t xml:space="preserve">华秦科技</x:t>
        </x:is>
      </x:c>
      <x:c r="D5136" s="3" t="inlineStr">
        <x:is>
          <x:t xml:space="preserve">陕西华秦科技实业股份有限公司</x:t>
        </x:is>
      </x:c>
      <x:c r="E5136" s="2" t="inlineStr">
        <x:is>
          <x:t xml:space="preserve">陕西省</x:t>
        </x:is>
      </x:c>
      <x:c r="F5136" s="2" t="inlineStr">
        <x:is>
          <x:t xml:space="preserve">西安市</x:t>
        </x:is>
      </x:c>
      <x:c r="G5136" s="3" t="inlineStr">
        <x:is>
          <x:t xml:space="preserve">陕西省-西安市</x:t>
        </x:is>
      </x:c>
      <x:c r="H5136" s="2" t="inlineStr">
        <x:is>
          <x:t xml:space="preserve">非金属材料</x:t>
        </x:is>
      </x:c>
      <x:c r="I5136" s="2" t="inlineStr">
        <x:is>
          <x:t xml:space="preserve">2022-03-07</x:t>
        </x:is>
      </x:c>
      <x:c r="J5136" s="3" t="inlineStr">
        <x:is>
          <x:t xml:space="preserve">陕西省西安市高新区西部大道188号</x:t>
        </x:is>
      </x:c>
      <x:c r="K5136" s="12" t="str">
        <x:f>LEFT("916100002205420207",18)</x:f>
        <x:v>916100002205420200</x:v>
      </x:c>
    </x:row>
    <x:row r="5137">
      <x:c r="A5137" s="4" t="n">
        <x:v>5136</x:v>
      </x:c>
      <x:c r="B5137" s="4" t="inlineStr">
        <x:is>
          <x:t xml:space="preserve">688285</x:t>
        </x:is>
      </x:c>
      <x:c r="C5137" s="5" t="inlineStr">
        <x:is>
          <x:t xml:space="preserve">高铁电气</x:t>
        </x:is>
      </x:c>
      <x:c r="D5137" s="5" t="inlineStr">
        <x:is>
          <x:t xml:space="preserve">中铁高铁电气装备股份有限公司</x:t>
        </x:is>
      </x:c>
      <x:c r="E5137" s="4" t="inlineStr">
        <x:is>
          <x:t xml:space="preserve">陕西省</x:t>
        </x:is>
      </x:c>
      <x:c r="F5137" s="4" t="inlineStr">
        <x:is>
          <x:t xml:space="preserve">宝鸡市</x:t>
        </x:is>
      </x:c>
      <x:c r="G5137" s="5" t="inlineStr">
        <x:is>
          <x:t xml:space="preserve">陕西省-宝鸡市</x:t>
        </x:is>
      </x:c>
      <x:c r="H5137" s="4" t="inlineStr">
        <x:is>
          <x:t xml:space="preserve">交运设备</x:t>
        </x:is>
      </x:c>
      <x:c r="I5137" s="4" t="inlineStr">
        <x:is>
          <x:t xml:space="preserve">2021-10-20</x:t>
        </x:is>
      </x:c>
      <x:c r="J5137" s="5" t="inlineStr">
        <x:is>
          <x:t xml:space="preserve">陕西省宝鸡市高新开发区高新大道196号</x:t>
        </x:is>
      </x:c>
      <x:c r="K5137" s="12" t="str">
        <x:f>LEFT("91610301221302547B",18)</x:f>
        <x:v>91610301221302547B</x:v>
      </x:c>
    </x:row>
    <x:row r="5138">
      <x:c r="A5138" s="2" t="n">
        <x:v>5137</x:v>
      </x:c>
      <x:c r="B5138" s="2" t="inlineStr">
        <x:is>
          <x:t xml:space="preserve">688314</x:t>
        </x:is>
      </x:c>
      <x:c r="C5138" s="3" t="inlineStr">
        <x:is>
          <x:t xml:space="preserve">康拓医疗</x:t>
        </x:is>
      </x:c>
      <x:c r="D5138" s="3" t="inlineStr">
        <x:is>
          <x:t xml:space="preserve">西安康拓医疗技术股份有限公司</x:t>
        </x:is>
      </x:c>
      <x:c r="E5138" s="2" t="inlineStr">
        <x:is>
          <x:t xml:space="preserve">陕西省</x:t>
        </x:is>
      </x:c>
      <x:c r="F5138" s="2" t="inlineStr">
        <x:is>
          <x:t xml:space="preserve">西安市</x:t>
        </x:is>
      </x:c>
      <x:c r="G5138" s="3" t="inlineStr">
        <x:is>
          <x:t xml:space="preserve">陕西省-西安市</x:t>
        </x:is>
      </x:c>
      <x:c r="H5138" s="2" t="inlineStr">
        <x:is>
          <x:t xml:space="preserve">医疗器械</x:t>
        </x:is>
      </x:c>
      <x:c r="I5138" s="2" t="inlineStr">
        <x:is>
          <x:t xml:space="preserve">2021-05-18</x:t>
        </x:is>
      </x:c>
      <x:c r="J5138" s="3" t="inlineStr">
        <x:is>
          <x:t xml:space="preserve">西安市高新区毕原一路西段1451号</x:t>
        </x:is>
      </x:c>
      <x:c r="K5138" s="12" t="str">
        <x:f>LEFT("91610131766980321E",18)</x:f>
        <x:v>91610131766980321E</x:v>
      </x:c>
    </x:row>
    <x:row r="5139">
      <x:c r="A5139" s="4" t="n">
        <x:v>5138</x:v>
      </x:c>
      <x:c r="B5139" s="4" t="inlineStr">
        <x:is>
          <x:t xml:space="preserve">688333</x:t>
        </x:is>
      </x:c>
      <x:c r="C5139" s="5" t="inlineStr">
        <x:is>
          <x:t xml:space="preserve">铂力特</x:t>
        </x:is>
      </x:c>
      <x:c r="D5139" s="5" t="inlineStr">
        <x:is>
          <x:t xml:space="preserve">西安铂力特增材技术股份有限公司</x:t>
        </x:is>
      </x:c>
      <x:c r="E5139" s="4" t="inlineStr">
        <x:is>
          <x:t xml:space="preserve">陕西省</x:t>
        </x:is>
      </x:c>
      <x:c r="F5139" s="4" t="inlineStr">
        <x:is>
          <x:t xml:space="preserve">西安市</x:t>
        </x:is>
      </x:c>
      <x:c r="G5139" s="5" t="inlineStr">
        <x:is>
          <x:t xml:space="preserve">陕西省-西安市</x:t>
        </x:is>
      </x:c>
      <x:c r="H5139" s="4" t="inlineStr">
        <x:is>
          <x:t xml:space="preserve">通用设备</x:t>
        </x:is>
      </x:c>
      <x:c r="I5139" s="4" t="inlineStr">
        <x:is>
          <x:t xml:space="preserve">2019-07-22</x:t>
        </x:is>
      </x:c>
      <x:c r="J5139" s="5" t="inlineStr">
        <x:is>
          <x:t xml:space="preserve">陕西省西安市高新区上林苑七路1000号</x:t>
        </x:is>
      </x:c>
      <x:c r="K5139" s="12" t="str">
        <x:f>LEFT("91610131578408694N",18)</x:f>
        <x:v>91610131578408694N</x:v>
      </x:c>
    </x:row>
    <x:row r="5140">
      <x:c r="A5140" s="2" t="n">
        <x:v>5139</x:v>
      </x:c>
      <x:c r="B5140" s="2" t="inlineStr">
        <x:is>
          <x:t xml:space="preserve">688334</x:t>
        </x:is>
      </x:c>
      <x:c r="C5140" s="3" t="inlineStr">
        <x:is>
          <x:t xml:space="preserve">西高院</x:t>
        </x:is>
      </x:c>
      <x:c r="D5140" s="3" t="inlineStr">
        <x:is>
          <x:t xml:space="preserve">西安高压电器研究院股份有限公司</x:t>
        </x:is>
      </x:c>
      <x:c r="E5140" s="2" t="inlineStr">
        <x:is>
          <x:t xml:space="preserve">陕西省</x:t>
        </x:is>
      </x:c>
      <x:c r="F5140" s="2" t="inlineStr">
        <x:is>
          <x:t xml:space="preserve">西安市</x:t>
        </x:is>
      </x:c>
      <x:c r="G5140" s="3" t="inlineStr">
        <x:is>
          <x:t xml:space="preserve">陕西省-西安市</x:t>
        </x:is>
      </x:c>
      <x:c r="H5140" s="2" t="inlineStr">
        <x:is>
          <x:t xml:space="preserve">专业服务</x:t>
        </x:is>
      </x:c>
      <x:c r="I5140" s="2" t="inlineStr">
        <x:is>
          <x:t xml:space="preserve">2023-06-19</x:t>
        </x:is>
      </x:c>
      <x:c r="J5140" s="3" t="inlineStr">
        <x:is>
          <x:t xml:space="preserve">西安市莲湖区西二环北段18号</x:t>
        </x:is>
      </x:c>
      <x:c r="K5140" s="12" t="str">
        <x:f>LEFT("91610131294242207P",18)</x:f>
        <x:v>91610131294242207P</x:v>
      </x:c>
    </x:row>
    <x:row r="5141">
      <x:c r="A5141" s="4" t="n">
        <x:v>5140</x:v>
      </x:c>
      <x:c r="B5141" s="4" t="inlineStr">
        <x:is>
          <x:t xml:space="preserve">688498</x:t>
        </x:is>
      </x:c>
      <x:c r="C5141" s="5" t="inlineStr">
        <x:is>
          <x:t xml:space="preserve">源杰科技</x:t>
        </x:is>
      </x:c>
      <x:c r="D5141" s="5" t="inlineStr">
        <x:is>
          <x:t xml:space="preserve">陕西源杰半导体科技股份有限公司</x:t>
        </x:is>
      </x:c>
      <x:c r="E5141" s="4" t="inlineStr">
        <x:is>
          <x:t xml:space="preserve">陕西省</x:t>
        </x:is>
      </x:c>
      <x:c r="F5141" s="4" t="inlineStr">
        <x:is>
          <x:t xml:space="preserve">西安市</x:t>
        </x:is>
      </x:c>
      <x:c r="G5141" s="5" t="inlineStr">
        <x:is>
          <x:t xml:space="preserve">陕西省-西安市</x:t>
        </x:is>
      </x:c>
      <x:c r="H5141" s="4" t="inlineStr">
        <x:is>
          <x:t xml:space="preserve">半导体</x:t>
        </x:is>
      </x:c>
      <x:c r="I5141" s="4" t="inlineStr">
        <x:is>
          <x:t xml:space="preserve">2022-12-21</x:t>
        </x:is>
      </x:c>
      <x:c r="J5141" s="5" t="inlineStr">
        <x:is>
          <x:t xml:space="preserve">陕西省西咸新区沣西新城开元路1265号</x:t>
        </x:is>
      </x:c>
      <x:c r="K5141" s="12" t="str">
        <x:f>LEFT("9161000006191747XU",18)</x:f>
        <x:v>9161000006191747XU</x:v>
      </x:c>
    </x:row>
    <x:row r="5142">
      <x:c r="A5142" s="2" t="n">
        <x:v>5141</x:v>
      </x:c>
      <x:c r="B5142" s="2" t="inlineStr">
        <x:is>
          <x:t xml:space="preserve">688550</x:t>
        </x:is>
      </x:c>
      <x:c r="C5142" s="3" t="inlineStr">
        <x:is>
          <x:t xml:space="preserve">瑞联新材</x:t>
        </x:is>
      </x:c>
      <x:c r="D5142" s="3" t="inlineStr">
        <x:is>
          <x:t xml:space="preserve">西安瑞联新材料股份有限公司</x:t>
        </x:is>
      </x:c>
      <x:c r="E5142" s="2" t="inlineStr">
        <x:is>
          <x:t xml:space="preserve">陕西省</x:t>
        </x:is>
      </x:c>
      <x:c r="F5142" s="2" t="inlineStr">
        <x:is>
          <x:t xml:space="preserve">西安市</x:t>
        </x:is>
      </x:c>
      <x:c r="G5142" s="3" t="inlineStr">
        <x:is>
          <x:t xml:space="preserve">陕西省-西安市</x:t>
        </x:is>
      </x:c>
      <x:c r="H5142" s="2" t="inlineStr">
        <x:is>
          <x:t xml:space="preserve">电子化学品</x:t>
        </x:is>
      </x:c>
      <x:c r="I5142" s="2" t="inlineStr">
        <x:is>
          <x:t xml:space="preserve">2020-09-02</x:t>
        </x:is>
      </x:c>
      <x:c r="J5142" s="3" t="inlineStr">
        <x:is>
          <x:t xml:space="preserve">西安市高新区锦业二路副71号</x:t>
        </x:is>
      </x:c>
      <x:c r="K5142" s="12" t="str">
        <x:f>LEFT("91610131628053714D",18)</x:f>
        <x:v>91610131628053714D</x:v>
      </x:c>
    </x:row>
    <x:row r="5143">
      <x:c r="A5143" s="4" t="n">
        <x:v>5142</x:v>
      </x:c>
      <x:c r="B5143" s="4" t="inlineStr">
        <x:is>
          <x:t xml:space="preserve">688719</x:t>
        </x:is>
      </x:c>
      <x:c r="C5143" s="5" t="inlineStr">
        <x:is>
          <x:t xml:space="preserve">爱科赛博</x:t>
        </x:is>
      </x:c>
      <x:c r="D5143" s="5" t="inlineStr">
        <x:is>
          <x:t xml:space="preserve">西安爱科赛博电气股份有限公司</x:t>
        </x:is>
      </x:c>
      <x:c r="E5143" s="4" t="inlineStr">
        <x:is>
          <x:t xml:space="preserve">陕西省</x:t>
        </x:is>
      </x:c>
      <x:c r="F5143" s="4" t="inlineStr">
        <x:is>
          <x:t xml:space="preserve">西安市</x:t>
        </x:is>
      </x:c>
      <x:c r="G5143" s="5" t="inlineStr">
        <x:is>
          <x:t xml:space="preserve">陕西省-西安市</x:t>
        </x:is>
      </x:c>
      <x:c r="H5143" s="4" t="inlineStr">
        <x:is>
          <x:t xml:space="preserve">电源设备</x:t>
        </x:is>
      </x:c>
      <x:c r="I5143" s="4" t="inlineStr">
        <x:is>
          <x:t xml:space="preserve">2023-09-28</x:t>
        </x:is>
      </x:c>
      <x:c r="J5143" s="5" t="inlineStr">
        <x:is>
          <x:t xml:space="preserve">西安市高新区新型工业园信息大道12号</x:t>
        </x:is>
      </x:c>
      <x:c r="K5143" s="12" t="str">
        <x:f>LEFT("91610131294269223F",18)</x:f>
        <x:v>91610131294269223F</x:v>
      </x:c>
    </x:row>
    <x:row r="5144">
      <x:c r="A5144" s="2" t="n">
        <x:v>5143</x:v>
      </x:c>
      <x:c r="B5144" s="2" t="inlineStr">
        <x:is>
          <x:t xml:space="preserve">688783</x:t>
        </x:is>
      </x:c>
      <x:c r="C5144" s="3" t="inlineStr">
        <x:is>
          <x:t xml:space="preserve">西安奕材</x:t>
        </x:is>
      </x:c>
      <x:c r="D5144" s="3" t="inlineStr">
        <x:is>
          <x:t xml:space="preserve">西安奕斯伟材料科技股份有限公司</x:t>
        </x:is>
      </x:c>
      <x:c r="E5144" s="2" t="inlineStr">
        <x:is>
          <x:t xml:space="preserve">陕西省</x:t>
        </x:is>
      </x:c>
      <x:c r="F5144" s="2" t="inlineStr">
        <x:is>
          <x:t xml:space="preserve">西安市</x:t>
        </x:is>
      </x:c>
      <x:c r="G5144" s="3" t="inlineStr">
        <x:is>
          <x:t xml:space="preserve">陕西省-西安市</x:t>
        </x:is>
      </x:c>
      <x:c r="H5144" s="2" t="inlineStr">
        <x:is>
          <x:t xml:space="preserve">半导体</x:t>
        </x:is>
      </x:c>
      <x:c r="I5144" s="2" t="inlineStr">
        <x:is>
          <x:t xml:space="preserve">2025-10-28</x:t>
        </x:is>
      </x:c>
      <x:c r="J5144" s="3" t="inlineStr">
        <x:is>
          <x:t xml:space="preserve">陕西省西安市高新区西沣南路1888号1-3-029室</x:t>
        </x:is>
      </x:c>
      <x:c r="K5144" s="12" t="str">
        <x:f>LEFT("91110302MA00475L1K",18)</x:f>
        <x:v>91110302MA00475L1K</x:v>
      </x:c>
    </x:row>
    <x:row r="5145">
      <x:c r="A5145" s="4" t="n">
        <x:v>5144</x:v>
      </x:c>
      <x:c r="B5145" s="4" t="inlineStr">
        <x:is>
          <x:t xml:space="preserve">000408</x:t>
        </x:is>
      </x:c>
      <x:c r="C5145" s="5" t="inlineStr">
        <x:is>
          <x:t xml:space="preserve">藏格矿业</x:t>
        </x:is>
      </x:c>
      <x:c r="D5145" s="5" t="inlineStr">
        <x:is>
          <x:t xml:space="preserve">藏格矿业股份有限公司</x:t>
        </x:is>
      </x:c>
      <x:c r="E5145" s="4" t="inlineStr">
        <x:is>
          <x:t xml:space="preserve">青海省</x:t>
        </x:is>
      </x:c>
      <x:c r="F5145" s="4" t="inlineStr">
        <x:is>
          <x:t xml:space="preserve">格尔木市</x:t>
        </x:is>
      </x:c>
      <x:c r="G5145" s="5" t="inlineStr">
        <x:is>
          <x:t xml:space="preserve">青海省-格尔木市</x:t>
        </x:is>
      </x:c>
      <x:c r="H5145" s="4" t="inlineStr">
        <x:is>
          <x:t xml:space="preserve">化肥行业</x:t>
        </x:is>
      </x:c>
      <x:c r="I5145" s="4" t="inlineStr">
        <x:is>
          <x:t xml:space="preserve">1996-06-28</x:t>
        </x:is>
      </x:c>
      <x:c r="J5145" s="5" t="inlineStr">
        <x:is>
          <x:t xml:space="preserve">青海省格尔木市昆仑南路15-02号</x:t>
        </x:is>
      </x:c>
      <x:c r="K5145" s="12" t="str">
        <x:f>LEFT("9113040060115569X8",18)</x:f>
        <x:v>9113040060115569X8</x:v>
      </x:c>
    </x:row>
    <x:row r="5146">
      <x:c r="A5146" s="2" t="n">
        <x:v>5145</x:v>
      </x:c>
      <x:c r="B5146" s="2" t="inlineStr">
        <x:is>
          <x:t xml:space="preserve">000792</x:t>
        </x:is>
      </x:c>
      <x:c r="C5146" s="3" t="inlineStr">
        <x:is>
          <x:t xml:space="preserve">盐湖股份</x:t>
        </x:is>
      </x:c>
      <x:c r="D5146" s="3" t="inlineStr">
        <x:is>
          <x:t xml:space="preserve">青海盐湖工业股份有限公司</x:t>
        </x:is>
      </x:c>
      <x:c r="E5146" s="2" t="inlineStr">
        <x:is>
          <x:t xml:space="preserve">青海省</x:t>
        </x:is>
      </x:c>
      <x:c r="F5146" s="2" t="inlineStr">
        <x:is>
          <x:t xml:space="preserve">格尔木市</x:t>
        </x:is>
      </x:c>
      <x:c r="G5146" s="3" t="inlineStr">
        <x:is>
          <x:t xml:space="preserve">青海省-格尔木市</x:t>
        </x:is>
      </x:c>
      <x:c r="H5146" s="2" t="inlineStr">
        <x:is>
          <x:t xml:space="preserve">化肥行业</x:t>
        </x:is>
      </x:c>
      <x:c r="I5146" s="2" t="inlineStr">
        <x:is>
          <x:t xml:space="preserve">1997-09-04</x:t>
        </x:is>
      </x:c>
      <x:c r="J5146" s="3" t="inlineStr">
        <x:is>
          <x:t xml:space="preserve">青海省格尔木市黄河路28号</x:t>
        </x:is>
      </x:c>
      <x:c r="K5146" s="12" t="str">
        <x:f>LEFT("91630000226593742J",18)</x:f>
        <x:v>91630000226593742J</x:v>
      </x:c>
    </x:row>
    <x:row r="5147">
      <x:c r="A5147" s="4" t="n">
        <x:v>5146</x:v>
      </x:c>
      <x:c r="B5147" s="4" t="inlineStr">
        <x:is>
          <x:t xml:space="preserve">002646</x:t>
        </x:is>
      </x:c>
      <x:c r="C5147" s="5" t="inlineStr">
        <x:is>
          <x:t xml:space="preserve">天佑德酒</x:t>
        </x:is>
      </x:c>
      <x:c r="D5147" s="5" t="inlineStr">
        <x:is>
          <x:t xml:space="preserve">青海互助天佑德青稞酒股份有限公司</x:t>
        </x:is>
      </x:c>
      <x:c r="E5147" s="4" t="inlineStr">
        <x:is>
          <x:t xml:space="preserve">青海省</x:t>
        </x:is>
      </x:c>
      <x:c r="F5147" s="4" t="inlineStr">
        <x:is>
          <x:t xml:space="preserve">海东市</x:t>
        </x:is>
      </x:c>
      <x:c r="G5147" s="5" t="inlineStr">
        <x:is>
          <x:t xml:space="preserve">青海省-海东市</x:t>
        </x:is>
      </x:c>
      <x:c r="H5147" s="4" t="inlineStr">
        <x:is>
          <x:t xml:space="preserve">酿酒行业</x:t>
        </x:is>
      </x:c>
      <x:c r="I5147" s="4" t="inlineStr">
        <x:is>
          <x:t xml:space="preserve">2011-12-22</x:t>
        </x:is>
      </x:c>
      <x:c r="J5147" s="5" t="inlineStr">
        <x:is>
          <x:t xml:space="preserve">青海省互助县威远镇西大街6号</x:t>
        </x:is>
      </x:c>
      <x:c r="K5147" s="12" t="str">
        <x:f>LEFT("91630000757421245D",18)</x:f>
        <x:v>91630000757421245D</x:v>
      </x:c>
    </x:row>
    <x:row r="5148">
      <x:c r="A5148" s="2" t="n">
        <x:v>5147</x:v>
      </x:c>
      <x:c r="B5148" s="2" t="inlineStr">
        <x:is>
          <x:t xml:space="preserve">600117</x:t>
        </x:is>
      </x:c>
      <x:c r="C5148" s="3" t="inlineStr">
        <x:is>
          <x:t xml:space="preserve">西宁特钢</x:t>
        </x:is>
      </x:c>
      <x:c r="D5148" s="3" t="inlineStr">
        <x:is>
          <x:t xml:space="preserve">西宁特殊钢股份有限公司</x:t>
        </x:is>
      </x:c>
      <x:c r="E5148" s="2" t="inlineStr">
        <x:is>
          <x:t xml:space="preserve">青海省</x:t>
        </x:is>
      </x:c>
      <x:c r="F5148" s="2" t="inlineStr">
        <x:is>
          <x:t xml:space="preserve">西宁市</x:t>
        </x:is>
      </x:c>
      <x:c r="G5148" s="3" t="inlineStr">
        <x:is>
          <x:t xml:space="preserve">青海省-西宁市</x:t>
        </x:is>
      </x:c>
      <x:c r="H5148" s="2" t="inlineStr">
        <x:is>
          <x:t xml:space="preserve">钢铁行业</x:t>
        </x:is>
      </x:c>
      <x:c r="I5148" s="2" t="inlineStr">
        <x:is>
          <x:t xml:space="preserve">1997-10-15</x:t>
        </x:is>
      </x:c>
      <x:c r="J5148" s="3" t="inlineStr">
        <x:is>
          <x:t xml:space="preserve">青海省西宁市柴达木西路52号</x:t>
        </x:is>
      </x:c>
      <x:c r="K5148" s="12" t="str">
        <x:f>LEFT("916300002265939457",18)</x:f>
        <x:v>916300002265939500</x:v>
      </x:c>
    </x:row>
    <x:row r="5149">
      <x:c r="A5149" s="4" t="n">
        <x:v>5148</x:v>
      </x:c>
      <x:c r="B5149" s="4" t="inlineStr">
        <x:is>
          <x:t xml:space="preserve">600243</x:t>
        </x:is>
      </x:c>
      <x:c r="C5149" s="5" t="inlineStr">
        <x:is>
          <x:t xml:space="preserve">*ST海华</x:t>
        </x:is>
      </x:c>
      <x:c r="D5149" s="5" t="inlineStr">
        <x:is>
          <x:t xml:space="preserve">青海华鼎实业股份有限公司</x:t>
        </x:is>
      </x:c>
      <x:c r="E5149" s="4" t="inlineStr">
        <x:is>
          <x:t xml:space="preserve">青海省</x:t>
        </x:is>
      </x:c>
      <x:c r="F5149" s="4" t="inlineStr">
        <x:is>
          <x:t xml:space="preserve">西宁市</x:t>
        </x:is>
      </x:c>
      <x:c r="G5149" s="5" t="inlineStr">
        <x:is>
          <x:t xml:space="preserve">青海省-西宁市</x:t>
        </x:is>
      </x:c>
      <x:c r="H5149" s="4" t="inlineStr">
        <x:is>
          <x:t xml:space="preserve">机械行业</x:t>
        </x:is>
      </x:c>
      <x:c r="I5149" s="4" t="inlineStr">
        <x:is>
          <x:t xml:space="preserve">2000-11-20</x:t>
        </x:is>
      </x:c>
      <x:c r="J5149" s="5" t="inlineStr">
        <x:is>
          <x:t xml:space="preserve">青海省西宁市城北区经二路北段24号</x:t>
        </x:is>
      </x:c>
      <x:c r="K5149" s="12" t="str">
        <x:f>LEFT("9163000071040232XF",18)</x:f>
        <x:v>9163000071040232XF</x:v>
      </x:c>
    </x:row>
    <x:row r="5150">
      <x:c r="A5150" s="2" t="n">
        <x:v>5149</x:v>
      </x:c>
      <x:c r="B5150" s="2" t="inlineStr">
        <x:is>
          <x:t xml:space="preserve">600381</x:t>
        </x:is>
      </x:c>
      <x:c r="C5150" s="3" t="inlineStr">
        <x:is>
          <x:t xml:space="preserve">ST春天</x:t>
        </x:is>
      </x:c>
      <x:c r="D5150" s="3" t="inlineStr">
        <x:is>
          <x:t xml:space="preserve">青海春天药用资源科技股份有限公司</x:t>
        </x:is>
      </x:c>
      <x:c r="E5150" s="2" t="inlineStr">
        <x:is>
          <x:t xml:space="preserve">青海省</x:t>
        </x:is>
      </x:c>
      <x:c r="F5150" s="2" t="inlineStr">
        <x:is>
          <x:t xml:space="preserve">西宁市</x:t>
        </x:is>
      </x:c>
      <x:c r="G5150" s="3" t="inlineStr">
        <x:is>
          <x:t xml:space="preserve">青海省-西宁市</x:t>
        </x:is>
      </x:c>
      <x:c r="H5150" s="2" t="inlineStr">
        <x:is>
          <x:t xml:space="preserve">食品饮料</x:t>
        </x:is>
      </x:c>
      <x:c r="I5150" s="2" t="inlineStr">
        <x:is>
          <x:t xml:space="preserve">2001-05-08</x:t>
        </x:is>
      </x:c>
      <x:c r="J5150" s="3" t="inlineStr">
        <x:is>
          <x:t xml:space="preserve">青海省西宁市城北区生物科技产业园经二路12号</x:t>
        </x:is>
      </x:c>
      <x:c r="K5150" s="12" t="str">
        <x:f>LEFT("91630000710402282C",18)</x:f>
        <x:v>91630000710402282C</x:v>
      </x:c>
    </x:row>
    <x:row r="5151">
      <x:c r="A5151" s="4" t="n">
        <x:v>5150</x:v>
      </x:c>
      <x:c r="B5151" s="4" t="inlineStr">
        <x:is>
          <x:t xml:space="preserve">600714</x:t>
        </x:is>
      </x:c>
      <x:c r="C5151" s="5" t="inlineStr">
        <x:is>
          <x:t xml:space="preserve">金瑞矿业</x:t>
        </x:is>
      </x:c>
      <x:c r="D5151" s="5" t="inlineStr">
        <x:is>
          <x:t xml:space="preserve">青海金瑞矿业发展股份有限公司</x:t>
        </x:is>
      </x:c>
      <x:c r="E5151" s="4" t="inlineStr">
        <x:is>
          <x:t xml:space="preserve">青海省</x:t>
        </x:is>
      </x:c>
      <x:c r="F5151" s="4" t="inlineStr">
        <x:is>
          <x:t xml:space="preserve">西宁市</x:t>
        </x:is>
      </x:c>
      <x:c r="G5151" s="5" t="inlineStr">
        <x:is>
          <x:t xml:space="preserve">青海省-西宁市</x:t>
        </x:is>
      </x:c>
      <x:c r="H5151" s="4" t="inlineStr">
        <x:is>
          <x:t xml:space="preserve">化学原料</x:t>
        </x:is>
      </x:c>
      <x:c r="I5151" s="4" t="inlineStr">
        <x:is>
          <x:t xml:space="preserve">1996-06-06</x:t>
        </x:is>
      </x:c>
      <x:c r="J5151" s="5" t="inlineStr">
        <x:is>
          <x:t xml:space="preserve">青海省西宁市城西区新宁路36号五层</x:t>
        </x:is>
      </x:c>
      <x:c r="K5151" s="12" t="str">
        <x:f>LEFT("916300002265916670",18)</x:f>
        <x:v>916300002265916700</x:v>
      </x:c>
    </x:row>
    <x:row r="5152">
      <x:c r="A5152" s="2" t="n">
        <x:v>5151</x:v>
      </x:c>
      <x:c r="B5152" s="2" t="inlineStr">
        <x:is>
          <x:t xml:space="preserve">600869</x:t>
        </x:is>
      </x:c>
      <x:c r="C5152" s="3" t="inlineStr">
        <x:is>
          <x:t xml:space="preserve">远东股份</x:t>
        </x:is>
      </x:c>
      <x:c r="D5152" s="3" t="inlineStr">
        <x:is>
          <x:t xml:space="preserve">远东智慧能源股份有限公司</x:t>
        </x:is>
      </x:c>
      <x:c r="E5152" s="2" t="inlineStr">
        <x:is>
          <x:t xml:space="preserve">青海省</x:t>
        </x:is>
      </x:c>
      <x:c r="F5152" s="2" t="inlineStr">
        <x:is>
          <x:t xml:space="preserve">西宁市</x:t>
        </x:is>
      </x:c>
      <x:c r="G5152" s="3" t="inlineStr">
        <x:is>
          <x:t xml:space="preserve">青海省-西宁市</x:t>
        </x:is>
      </x:c>
      <x:c r="H5152" s="2" t="inlineStr">
        <x:is>
          <x:t xml:space="preserve">输配电气</x:t>
        </x:is>
      </x:c>
      <x:c r="I5152" s="2" t="inlineStr">
        <x:is>
          <x:t xml:space="preserve">1995-02-06</x:t>
        </x:is>
      </x:c>
      <x:c r="J5152" s="3" t="inlineStr">
        <x:is>
          <x:t xml:space="preserve">青海省西宁市城东区南山东路7号创新创业大厦12楼1202-8室</x:t>
        </x:is>
      </x:c>
      <x:c r="K5152" s="12" t="str">
        <x:f>LEFT("91630000226589778U",18)</x:f>
        <x:v>91630000226589778U</x:v>
      </x:c>
    </x:row>
    <x:row r="5153">
      <x:c r="A5153" s="4" t="n">
        <x:v>5152</x:v>
      </x:c>
      <x:c r="B5153" s="4" t="inlineStr">
        <x:is>
          <x:t xml:space="preserve">601168</x:t>
        </x:is>
      </x:c>
      <x:c r="C5153" s="5" t="inlineStr">
        <x:is>
          <x:t xml:space="preserve">西部矿业</x:t>
        </x:is>
      </x:c>
      <x:c r="D5153" s="5" t="inlineStr">
        <x:is>
          <x:t xml:space="preserve">西部矿业股份有限公司</x:t>
        </x:is>
      </x:c>
      <x:c r="E5153" s="4" t="inlineStr">
        <x:is>
          <x:t xml:space="preserve">青海省</x:t>
        </x:is>
      </x:c>
      <x:c r="F5153" s="4" t="inlineStr">
        <x:is>
          <x:t xml:space="preserve">西宁市</x:t>
        </x:is>
      </x:c>
      <x:c r="G5153" s="5" t="inlineStr">
        <x:is>
          <x:t xml:space="preserve">青海省-西宁市</x:t>
        </x:is>
      </x:c>
      <x:c r="H5153" s="4" t="inlineStr">
        <x:is>
          <x:t xml:space="preserve">有色金属</x:t>
        </x:is>
      </x:c>
      <x:c r="I5153" s="4" t="inlineStr">
        <x:is>
          <x:t xml:space="preserve">2007-07-12</x:t>
        </x:is>
      </x:c>
      <x:c r="J5153" s="5" t="inlineStr">
        <x:is>
          <x:t xml:space="preserve">青海省西宁市海湖新区文逸路4号西矿海湖商务中心1号楼</x:t>
        </x:is>
      </x:c>
      <x:c r="K5153" s="12" t="str">
        <x:f>LEFT("916300007104492831",18)</x:f>
        <x:v>916300007104492800</x:v>
      </x:c>
    </x:row>
    <x:row r="5154">
      <x:c r="A5154" s="2" t="n">
        <x:v>5153</x:v>
      </x:c>
      <x:c r="B5154" s="2" t="inlineStr">
        <x:is>
          <x:t xml:space="preserve">603843</x:t>
        </x:is>
      </x:c>
      <x:c r="C5154" s="3" t="inlineStr">
        <x:is>
          <x:t xml:space="preserve">正平股份</x:t>
        </x:is>
      </x:c>
      <x:c r="D5154" s="3" t="inlineStr">
        <x:is>
          <x:t xml:space="preserve">正平路桥建设股份有限公司</x:t>
        </x:is>
      </x:c>
      <x:c r="E5154" s="2" t="inlineStr">
        <x:is>
          <x:t xml:space="preserve">青海省</x:t>
        </x:is>
      </x:c>
      <x:c r="F5154" s="2" t="inlineStr">
        <x:is>
          <x:t xml:space="preserve">西宁市</x:t>
        </x:is>
      </x:c>
      <x:c r="G5154" s="3" t="inlineStr">
        <x:is>
          <x:t xml:space="preserve">青海省-西宁市</x:t>
        </x:is>
      </x:c>
      <x:c r="H5154" s="2" t="inlineStr">
        <x:is>
          <x:t xml:space="preserve">工程建设</x:t>
        </x:is>
      </x:c>
      <x:c r="I5154" s="2" t="inlineStr">
        <x:is>
          <x:t xml:space="preserve">2016-09-05</x:t>
        </x:is>
      </x:c>
      <x:c r="J5154" s="3" t="inlineStr">
        <x:is>
          <x:t xml:space="preserve">西宁市长江路128号创新大厦14楼</x:t>
        </x:is>
      </x:c>
      <x:c r="K5154" s="12" t="str">
        <x:f>LEFT("91630000226882472D",18)</x:f>
        <x:v>91630000226882472D</x:v>
      </x:c>
    </x:row>
    <x:row r="5155">
      <x:c r="A5155" s="4" t="n">
        <x:v>5154</x:v>
      </x:c>
      <x:c r="B5155" s="4" t="inlineStr">
        <x:is>
          <x:t xml:space="preserve">000711</x:t>
        </x:is>
      </x:c>
      <x:c r="C5155" s="5" t="inlineStr">
        <x:is>
          <x:t xml:space="preserve">ST京蓝</x:t>
        </x:is>
      </x:c>
      <x:c r="D5155" s="5" t="inlineStr">
        <x:is>
          <x:t xml:space="preserve">铟靶新材(哈尔滨)股份有限公司</x:t>
        </x:is>
      </x:c>
      <x:c r="E5155" s="4" t="inlineStr">
        <x:is>
          <x:t xml:space="preserve">黑龙江省</x:t>
        </x:is>
      </x:c>
      <x:c r="F5155" s="4" t="inlineStr">
        <x:is>
          <x:t xml:space="preserve">哈尔滨市</x:t>
        </x:is>
      </x:c>
      <x:c r="G5155" s="5" t="inlineStr">
        <x:is>
          <x:t xml:space="preserve">黑龙江省-哈尔滨市</x:t>
        </x:is>
      </x:c>
      <x:c r="H5155" s="4" t="inlineStr">
        <x:is>
          <x:t xml:space="preserve">环保行业</x:t>
        </x:is>
      </x:c>
      <x:c r="I5155" s="4" t="inlineStr">
        <x:is>
          <x:t xml:space="preserve">1997-04-11</x:t>
        </x:is>
      </x:c>
      <x:c r="J5155" s="5" t="inlineStr">
        <x:is>
          <x:t xml:space="preserve">黑龙江省哈尔滨市高新技术产业开发区科技创新城创新创业广场20号楼(秀月街128号)A307-24-0194室</x:t>
        </x:is>
      </x:c>
      <x:c r="K5155" s="12" t="str">
        <x:f>LEFT("91230000126976973E",18)</x:f>
        <x:v>91230000126976973E</x:v>
      </x:c>
    </x:row>
    <x:row r="5156">
      <x:c r="A5156" s="2" t="n">
        <x:v>5155</x:v>
      </x:c>
      <x:c r="B5156" s="2" t="inlineStr">
        <x:is>
          <x:t xml:space="preserve">000901</x:t>
        </x:is>
      </x:c>
      <x:c r="C5156" s="3" t="inlineStr">
        <x:is>
          <x:t xml:space="preserve">航天科技</x:t>
        </x:is>
      </x:c>
      <x:c r="D5156" s="3" t="inlineStr">
        <x:is>
          <x:t xml:space="preserve">航天科技控股集团股份有限公司</x:t>
        </x:is>
      </x:c>
      <x:c r="E5156" s="2" t="inlineStr">
        <x:is>
          <x:t xml:space="preserve">黑龙江省</x:t>
        </x:is>
      </x:c>
      <x:c r="F5156" s="2" t="inlineStr">
        <x:is>
          <x:t xml:space="preserve">哈尔滨市</x:t>
        </x:is>
      </x:c>
      <x:c r="G5156" s="3" t="inlineStr">
        <x:is>
          <x:t xml:space="preserve">黑龙江省-哈尔滨市</x:t>
        </x:is>
      </x:c>
      <x:c r="H5156" s="2" t="inlineStr">
        <x:is>
          <x:t xml:space="preserve">汽车行业</x:t>
        </x:is>
      </x:c>
      <x:c r="I5156" s="2" t="inlineStr">
        <x:is>
          <x:t xml:space="preserve">1999-04-01</x:t>
        </x:is>
      </x:c>
      <x:c r="J5156" s="3" t="inlineStr">
        <x:is>
          <x:t xml:space="preserve">黑龙江省哈尔滨市平房区哈平西路45号</x:t>
        </x:is>
      </x:c>
      <x:c r="K5156" s="12" t="str">
        <x:f>LEFT("91230199712039165H",18)</x:f>
        <x:v>91230199712039165H</x:v>
      </x:c>
    </x:row>
    <x:row r="5157">
      <x:c r="A5157" s="4" t="n">
        <x:v>5156</x:v>
      </x:c>
      <x:c r="B5157" s="4" t="inlineStr">
        <x:is>
          <x:t xml:space="preserve">000922</x:t>
        </x:is>
      </x:c>
      <x:c r="C5157" s="5" t="inlineStr">
        <x:is>
          <x:t xml:space="preserve">佳电股份</x:t>
        </x:is>
      </x:c>
      <x:c r="D5157" s="5" t="inlineStr">
        <x:is>
          <x:t xml:space="preserve">哈尔滨电气集团佳木斯电机股份有限公司</x:t>
        </x:is>
      </x:c>
      <x:c r="E5157" s="4" t="inlineStr">
        <x:is>
          <x:t xml:space="preserve">黑龙江省</x:t>
        </x:is>
      </x:c>
      <x:c r="F5157" s="4" t="inlineStr">
        <x:is>
          <x:t xml:space="preserve">佳木斯市</x:t>
        </x:is>
      </x:c>
      <x:c r="G5157" s="5" t="inlineStr">
        <x:is>
          <x:t xml:space="preserve">黑龙江省-佳木斯市</x:t>
        </x:is>
      </x:c>
      <x:c r="H5157" s="4" t="inlineStr">
        <x:is>
          <x:t xml:space="preserve">电机</x:t>
        </x:is>
      </x:c>
      <x:c r="I5157" s="4" t="inlineStr">
        <x:is>
          <x:t xml:space="preserve">1999-06-18</x:t>
        </x:is>
      </x:c>
      <x:c r="J5157" s="5" t="inlineStr">
        <x:is>
          <x:t xml:space="preserve">黑龙江省佳木斯市前进区长安路247号</x:t>
        </x:is>
      </x:c>
      <x:c r="K5157" s="12" t="str">
        <x:f>LEFT("91230800127590757N",18)</x:f>
        <x:v>91230800127590757N</x:v>
      </x:c>
    </x:row>
    <x:row r="5158">
      <x:c r="A5158" s="2" t="n">
        <x:v>5157</x:v>
      </x:c>
      <x:c r="B5158" s="2" t="inlineStr">
        <x:is>
          <x:t xml:space="preserve">000985</x:t>
        </x:is>
      </x:c>
      <x:c r="C5158" s="3" t="inlineStr">
        <x:is>
          <x:t xml:space="preserve">大庆华科</x:t>
        </x:is>
      </x:c>
      <x:c r="D5158" s="3" t="inlineStr">
        <x:is>
          <x:t xml:space="preserve">大庆华科股份有限公司</x:t>
        </x:is>
      </x:c>
      <x:c r="E5158" s="2" t="inlineStr">
        <x:is>
          <x:t xml:space="preserve">黑龙江省</x:t>
        </x:is>
      </x:c>
      <x:c r="F5158" s="2" t="inlineStr">
        <x:is>
          <x:t xml:space="preserve">大庆市</x:t>
        </x:is>
      </x:c>
      <x:c r="G5158" s="3" t="inlineStr">
        <x:is>
          <x:t xml:space="preserve">黑龙江省-大庆市</x:t>
        </x:is>
      </x:c>
      <x:c r="H5158" s="2" t="inlineStr">
        <x:is>
          <x:t xml:space="preserve">化学制品</x:t>
        </x:is>
      </x:c>
      <x:c r="I5158" s="2" t="inlineStr">
        <x:is>
          <x:t xml:space="preserve">2000-07-26</x:t>
        </x:is>
      </x:c>
      <x:c r="J5158" s="3" t="inlineStr">
        <x:is>
          <x:t xml:space="preserve">黑龙江省大庆高新技术产业开发区建设路293号</x:t>
        </x:is>
      </x:c>
      <x:c r="K5158" s="12" t="str">
        <x:f>LEFT("91230600702847820X",18)</x:f>
        <x:v>91230600702847820X</x:v>
      </x:c>
    </x:row>
    <x:row r="5159">
      <x:c r="A5159" s="4" t="n">
        <x:v>5158</x:v>
      </x:c>
      <x:c r="B5159" s="4" t="inlineStr">
        <x:is>
          <x:t xml:space="preserve">002437</x:t>
        </x:is>
      </x:c>
      <x:c r="C5159" s="5" t="inlineStr">
        <x:is>
          <x:t xml:space="preserve">誉衡药业</x:t>
        </x:is>
      </x:c>
      <x:c r="D5159" s="5" t="inlineStr">
        <x:is>
          <x:t xml:space="preserve">哈尔滨誉衡药业股份有限公司</x:t>
        </x:is>
      </x:c>
      <x:c r="E5159" s="4" t="inlineStr">
        <x:is>
          <x:t xml:space="preserve">黑龙江省</x:t>
        </x:is>
      </x:c>
      <x:c r="F5159" s="4" t="inlineStr">
        <x:is>
          <x:t xml:space="preserve">哈尔滨市</x:t>
        </x:is>
      </x:c>
      <x:c r="G5159" s="5" t="inlineStr">
        <x:is>
          <x:t xml:space="preserve">黑龙江省-哈尔滨市</x:t>
        </x:is>
      </x:c>
      <x:c r="H5159" s="4" t="inlineStr">
        <x:is>
          <x:t xml:space="preserve">医药制造</x:t>
        </x:is>
      </x:c>
      <x:c r="I5159" s="4" t="inlineStr">
        <x:is>
          <x:t xml:space="preserve">2010-06-23</x:t>
        </x:is>
      </x:c>
      <x:c r="J5159" s="5" t="inlineStr">
        <x:is>
          <x:t xml:space="preserve">黑龙江省哈尔滨市呼兰区利民经济技术开发区北京路29号</x:t>
        </x:is>
      </x:c>
      <x:c r="K5159" s="12" t="str">
        <x:f>LEFT("91230100718460989M",18)</x:f>
        <x:v>91230100718460989M</x:v>
      </x:c>
    </x:row>
    <x:row r="5160">
      <x:c r="A5160" s="2" t="n">
        <x:v>5159</x:v>
      </x:c>
      <x:c r="B5160" s="2" t="inlineStr">
        <x:is>
          <x:t xml:space="preserve">002698</x:t>
        </x:is>
      </x:c>
      <x:c r="C5160" s="3" t="inlineStr">
        <x:is>
          <x:t xml:space="preserve">博实股份</x:t>
        </x:is>
      </x:c>
      <x:c r="D5160" s="3" t="inlineStr">
        <x:is>
          <x:t xml:space="preserve">哈尔滨博实自动化股份有限公司</x:t>
        </x:is>
      </x:c>
      <x:c r="E5160" s="2" t="inlineStr">
        <x:is>
          <x:t xml:space="preserve">黑龙江省</x:t>
        </x:is>
      </x:c>
      <x:c r="F5160" s="2" t="inlineStr">
        <x:is>
          <x:t xml:space="preserve">哈尔滨市</x:t>
        </x:is>
      </x:c>
      <x:c r="G5160" s="3" t="inlineStr">
        <x:is>
          <x:t xml:space="preserve">黑龙江省-哈尔滨市</x:t>
        </x:is>
      </x:c>
      <x:c r="H5160" s="2" t="inlineStr">
        <x:is>
          <x:t xml:space="preserve">专用设备</x:t>
        </x:is>
      </x:c>
      <x:c r="I5160" s="2" t="inlineStr">
        <x:is>
          <x:t xml:space="preserve">2012-09-11</x:t>
        </x:is>
      </x:c>
      <x:c r="J5160" s="3" t="inlineStr">
        <x:is>
          <x:t xml:space="preserve">哈尔滨开发区迎宾路集中区东湖街9号</x:t>
        </x:is>
      </x:c>
      <x:c r="K5160" s="12" t="str">
        <x:f>LEFT("912301991276005724",18)</x:f>
        <x:v>912301991276005800</x:v>
      </x:c>
    </x:row>
    <x:row r="5161">
      <x:c r="A5161" s="4" t="n">
        <x:v>5160</x:v>
      </x:c>
      <x:c r="B5161" s="4" t="inlineStr">
        <x:is>
          <x:t xml:space="preserve">002737</x:t>
        </x:is>
      </x:c>
      <x:c r="C5161" s="5" t="inlineStr">
        <x:is>
          <x:t xml:space="preserve">葵花药业</x:t>
        </x:is>
      </x:c>
      <x:c r="D5161" s="5" t="inlineStr">
        <x:is>
          <x:t xml:space="preserve">葵花药业集团股份有限公司</x:t>
        </x:is>
      </x:c>
      <x:c r="E5161" s="4" t="inlineStr">
        <x:is>
          <x:t xml:space="preserve">黑龙江省</x:t>
        </x:is>
      </x:c>
      <x:c r="F5161" s="4" t="inlineStr">
        <x:is>
          <x:t xml:space="preserve">哈尔滨市</x:t>
        </x:is>
      </x:c>
      <x:c r="G5161" s="5" t="inlineStr">
        <x:is>
          <x:t xml:space="preserve">黑龙江省-哈尔滨市</x:t>
        </x:is>
      </x:c>
      <x:c r="H5161" s="4" t="inlineStr">
        <x:is>
          <x:t xml:space="preserve">中药</x:t>
        </x:is>
      </x:c>
      <x:c r="I5161" s="4" t="inlineStr">
        <x:is>
          <x:t xml:space="preserve">2014-12-30</x:t>
        </x:is>
      </x:c>
      <x:c r="J5161" s="5" t="inlineStr">
        <x:is>
          <x:t xml:space="preserve">哈尔滨高新技术产业开发区迎宾路集中区东湖路18号</x:t>
        </x:is>
      </x:c>
      <x:c r="K5161" s="12" t="str">
        <x:f>LEFT("91230199775036754Q",18)</x:f>
        <x:v>91230199775036754Q</x:v>
      </x:c>
    </x:row>
    <x:row r="5162">
      <x:c r="A5162" s="2" t="n">
        <x:v>5161</x:v>
      </x:c>
      <x:c r="B5162" s="2" t="inlineStr">
        <x:is>
          <x:t xml:space="preserve">002900</x:t>
        </x:is>
      </x:c>
      <x:c r="C5162" s="3" t="inlineStr">
        <x:is>
          <x:t xml:space="preserve">哈三联</x:t>
        </x:is>
      </x:c>
      <x:c r="D5162" s="3" t="inlineStr">
        <x:is>
          <x:t xml:space="preserve">哈尔滨三联药业股份有限公司</x:t>
        </x:is>
      </x:c>
      <x:c r="E5162" s="2" t="inlineStr">
        <x:is>
          <x:t xml:space="preserve">黑龙江省</x:t>
        </x:is>
      </x:c>
      <x:c r="F5162" s="2" t="inlineStr">
        <x:is>
          <x:t xml:space="preserve">哈尔滨市</x:t>
        </x:is>
      </x:c>
      <x:c r="G5162" s="3" t="inlineStr">
        <x:is>
          <x:t xml:space="preserve">黑龙江省-哈尔滨市</x:t>
        </x:is>
      </x:c>
      <x:c r="H5162" s="2" t="inlineStr">
        <x:is>
          <x:t xml:space="preserve">医药制造</x:t>
        </x:is>
      </x:c>
      <x:c r="I5162" s="2" t="inlineStr">
        <x:is>
          <x:t xml:space="preserve">2017-09-22</x:t>
        </x:is>
      </x:c>
      <x:c r="J5162" s="3" t="inlineStr">
        <x:is>
          <x:t xml:space="preserve">哈尔滨市利民开发区北京路</x:t>
        </x:is>
      </x:c>
      <x:c r="K5162" s="12" t="str">
        <x:f>LEFT("91230100607168790X",18)</x:f>
        <x:v>91230100607168790X</x:v>
      </x:c>
    </x:row>
    <x:row r="5163">
      <x:c r="A5163" s="4" t="n">
        <x:v>5162</x:v>
      </x:c>
      <x:c r="B5163" s="4" t="inlineStr">
        <x:is>
          <x:t xml:space="preserve">300040</x:t>
        </x:is>
      </x:c>
      <x:c r="C5163" s="5" t="inlineStr">
        <x:is>
          <x:t xml:space="preserve">九洲集团</x:t>
        </x:is>
      </x:c>
      <x:c r="D5163" s="5" t="inlineStr">
        <x:is>
          <x:t xml:space="preserve">哈尔滨九洲集团股份有限公司</x:t>
        </x:is>
      </x:c>
      <x:c r="E5163" s="4" t="inlineStr">
        <x:is>
          <x:t xml:space="preserve">黑龙江省</x:t>
        </x:is>
      </x:c>
      <x:c r="F5163" s="4" t="inlineStr">
        <x:is>
          <x:t xml:space="preserve">哈尔滨市</x:t>
        </x:is>
      </x:c>
      <x:c r="G5163" s="5" t="inlineStr">
        <x:is>
          <x:t xml:space="preserve">黑龙江省-哈尔滨市</x:t>
        </x:is>
      </x:c>
      <x:c r="H5163" s="4" t="inlineStr">
        <x:is>
          <x:t xml:space="preserve">电力行业</x:t>
        </x:is>
      </x:c>
      <x:c r="I5163" s="4" t="inlineStr">
        <x:is>
          <x:t xml:space="preserve">2010-01-08</x:t>
        </x:is>
      </x:c>
      <x:c r="J5163" s="5" t="inlineStr">
        <x:is>
          <x:t xml:space="preserve">哈尔滨市松北区九洲路609号1#厂房</x:t>
        </x:is>
      </x:c>
      <x:c r="K5163" s="12" t="str">
        <x:f>LEFT("91230100127600046K",18)</x:f>
        <x:v>91230100127600046K</x:v>
      </x:c>
    </x:row>
    <x:row r="5164">
      <x:c r="A5164" s="2" t="n">
        <x:v>5163</x:v>
      </x:c>
      <x:c r="B5164" s="2" t="inlineStr">
        <x:is>
          <x:t xml:space="preserve">300900</x:t>
        </x:is>
      </x:c>
      <x:c r="C5164" s="3" t="inlineStr">
        <x:is>
          <x:t xml:space="preserve">广联航空</x:t>
        </x:is>
      </x:c>
      <x:c r="D5164" s="3" t="inlineStr">
        <x:is>
          <x:t xml:space="preserve">广联航空工业股份有限公司</x:t>
        </x:is>
      </x:c>
      <x:c r="E5164" s="2" t="inlineStr">
        <x:is>
          <x:t xml:space="preserve">黑龙江省</x:t>
        </x:is>
      </x:c>
      <x:c r="F5164" s="2" t="inlineStr">
        <x:is>
          <x:t xml:space="preserve">哈尔滨市</x:t>
        </x:is>
      </x:c>
      <x:c r="G5164" s="3" t="inlineStr">
        <x:is>
          <x:t xml:space="preserve">黑龙江省-哈尔滨市</x:t>
        </x:is>
      </x:c>
      <x:c r="H5164" s="2" t="inlineStr">
        <x:is>
          <x:t xml:space="preserve">航天航空</x:t>
        </x:is>
      </x:c>
      <x:c r="I5164" s="2" t="inlineStr">
        <x:is>
          <x:t xml:space="preserve">2020-10-29</x:t>
        </x:is>
      </x:c>
      <x:c r="J5164" s="3" t="inlineStr">
        <x:is>
          <x:t xml:space="preserve">哈尔滨哈南工业新城核心区哈南三路3号</x:t>
        </x:is>
      </x:c>
      <x:c r="K5164" s="12" t="str">
        <x:f>LEFT("91230199565431270F",18)</x:f>
        <x:v>91230199565431270F</x:v>
      </x:c>
    </x:row>
    <x:row r="5165">
      <x:c r="A5165" s="4" t="n">
        <x:v>5164</x:v>
      </x:c>
      <x:c r="B5165" s="4" t="inlineStr">
        <x:is>
          <x:t xml:space="preserve">301227</x:t>
        </x:is>
      </x:c>
      <x:c r="C5165" s="5" t="inlineStr">
        <x:is>
          <x:t xml:space="preserve">森鹰窗业</x:t>
        </x:is>
      </x:c>
      <x:c r="D5165" s="5" t="inlineStr">
        <x:is>
          <x:t xml:space="preserve">哈尔滨森鹰窗业股份有限公司</x:t>
        </x:is>
      </x:c>
      <x:c r="E5165" s="4" t="inlineStr">
        <x:is>
          <x:t xml:space="preserve">黑龙江省</x:t>
        </x:is>
      </x:c>
      <x:c r="F5165" s="4" t="inlineStr">
        <x:is>
          <x:t xml:space="preserve">哈尔滨市</x:t>
        </x:is>
      </x:c>
      <x:c r="G5165" s="5" t="inlineStr">
        <x:is>
          <x:t xml:space="preserve">黑龙江省-哈尔滨市</x:t>
        </x:is>
      </x:c>
      <x:c r="H5165" s="4" t="inlineStr">
        <x:is>
          <x:t xml:space="preserve">装修建材</x:t>
        </x:is>
      </x:c>
      <x:c r="I5165" s="4" t="inlineStr">
        <x:is>
          <x:t xml:space="preserve">2022-09-26</x:t>
        </x:is>
      </x:c>
      <x:c r="J5165" s="5" t="inlineStr">
        <x:is>
          <x:t xml:space="preserve">哈尔滨市南岗区王岗镇新农路9号</x:t>
        </x:is>
      </x:c>
      <x:c r="K5165" s="12" t="str">
        <x:f>LEFT("91230100718443556Q",18)</x:f>
        <x:v>91230100718443556Q</x:v>
      </x:c>
    </x:row>
    <x:row r="5166">
      <x:c r="A5166" s="2" t="n">
        <x:v>5165</x:v>
      </x:c>
      <x:c r="B5166" s="2" t="inlineStr">
        <x:is>
          <x:t xml:space="preserve">301371</x:t>
        </x:is>
      </x:c>
      <x:c r="C5166" s="3" t="inlineStr">
        <x:is>
          <x:t xml:space="preserve">敷尔佳</x:t>
        </x:is>
      </x:c>
      <x:c r="D5166" s="3" t="inlineStr">
        <x:is>
          <x:t xml:space="preserve">哈尔滨敷尔佳科技股份有限公司</x:t>
        </x:is>
      </x:c>
      <x:c r="E5166" s="2" t="inlineStr">
        <x:is>
          <x:t xml:space="preserve">黑龙江省</x:t>
        </x:is>
      </x:c>
      <x:c r="F5166" s="2" t="inlineStr">
        <x:is>
          <x:t xml:space="preserve">哈尔滨市</x:t>
        </x:is>
      </x:c>
      <x:c r="G5166" s="3" t="inlineStr">
        <x:is>
          <x:t xml:space="preserve">黑龙江省-哈尔滨市</x:t>
        </x:is>
      </x:c>
      <x:c r="H5166" s="2" t="inlineStr">
        <x:is>
          <x:t xml:space="preserve">美容护理</x:t>
        </x:is>
      </x:c>
      <x:c r="I5166" s="2" t="inlineStr">
        <x:is>
          <x:t xml:space="preserve">2023-08-01</x:t>
        </x:is>
      </x:c>
      <x:c r="J5166" s="3" t="inlineStr">
        <x:is>
          <x:t xml:space="preserve">哈尔滨市松北区美谷路500号</x:t>
        </x:is>
      </x:c>
      <x:c r="K5166" s="12" t="str">
        <x:f>LEFT("91230103MA1AUWH313",18)</x:f>
        <x:v>91230103MA1AUWH313</x:v>
      </x:c>
    </x:row>
    <x:row r="5167">
      <x:c r="A5167" s="4" t="n">
        <x:v>5166</x:v>
      </x:c>
      <x:c r="B5167" s="4" t="inlineStr">
        <x:is>
          <x:t xml:space="preserve">600038</x:t>
        </x:is>
      </x:c>
      <x:c r="C5167" s="5" t="inlineStr">
        <x:is>
          <x:t xml:space="preserve">中直股份</x:t>
        </x:is>
      </x:c>
      <x:c r="D5167" s="5" t="inlineStr">
        <x:is>
          <x:t xml:space="preserve">中航直升机股份有限公司</x:t>
        </x:is>
      </x:c>
      <x:c r="E5167" s="4" t="inlineStr">
        <x:is>
          <x:t xml:space="preserve">黑龙江省</x:t>
        </x:is>
      </x:c>
      <x:c r="F5167" s="4" t="inlineStr">
        <x:is>
          <x:t xml:space="preserve">哈尔滨市</x:t>
        </x:is>
      </x:c>
      <x:c r="G5167" s="5" t="inlineStr">
        <x:is>
          <x:t xml:space="preserve">黑龙江省-哈尔滨市</x:t>
        </x:is>
      </x:c>
      <x:c r="H5167" s="4" t="inlineStr">
        <x:is>
          <x:t xml:space="preserve">航天航空</x:t>
        </x:is>
      </x:c>
      <x:c r="I5167" s="4" t="inlineStr">
        <x:is>
          <x:t xml:space="preserve">2000-12-18</x:t>
        </x:is>
      </x:c>
      <x:c r="J5167" s="5" t="inlineStr">
        <x:is>
          <x:t xml:space="preserve">黑龙江省哈尔滨市高新技术开发区集中开发区34号楼</x:t>
        </x:is>
      </x:c>
      <x:c r="K5167" s="12" t="str">
        <x:f>LEFT("912301997028500774",18)</x:f>
        <x:v>912301997028500700</x:v>
      </x:c>
    </x:row>
    <x:row r="5168">
      <x:c r="A5168" s="2" t="n">
        <x:v>5167</x:v>
      </x:c>
      <x:c r="B5168" s="2" t="inlineStr">
        <x:is>
          <x:t xml:space="preserve">600095</x:t>
        </x:is>
      </x:c>
      <x:c r="C5168" s="3" t="inlineStr">
        <x:is>
          <x:t xml:space="preserve">湘财股份</x:t>
        </x:is>
      </x:c>
      <x:c r="D5168" s="3" t="inlineStr">
        <x:is>
          <x:t xml:space="preserve">湘财股份有限公司</x:t>
        </x:is>
      </x:c>
      <x:c r="E5168" s="2" t="inlineStr">
        <x:is>
          <x:t xml:space="preserve">黑龙江省</x:t>
        </x:is>
      </x:c>
      <x:c r="F5168" s="2" t="inlineStr">
        <x:is>
          <x:t xml:space="preserve">哈尔滨市</x:t>
        </x:is>
      </x:c>
      <x:c r="G5168" s="3" t="inlineStr">
        <x:is>
          <x:t xml:space="preserve">黑龙江省-哈尔滨市</x:t>
        </x:is>
      </x:c>
      <x:c r="H5168" s="2" t="inlineStr">
        <x:is>
          <x:t xml:space="preserve">券商信托</x:t>
        </x:is>
      </x:c>
      <x:c r="I5168" s="2" t="inlineStr">
        <x:is>
          <x:t xml:space="preserve">1997-07-08</x:t>
        </x:is>
      </x:c>
      <x:c r="J5168" s="3" t="inlineStr">
        <x:is>
          <x:t xml:space="preserve">哈尔滨高新技术产业开发区迎宾路集中区太湖北路7号</x:t>
        </x:is>
      </x:c>
      <x:c r="K5168" s="12" t="str">
        <x:f>LEFT("912301991280348834",18)</x:f>
        <x:v>912301991280348800</x:v>
      </x:c>
    </x:row>
    <x:row r="5169">
      <x:c r="A5169" s="4" t="n">
        <x:v>5168</x:v>
      </x:c>
      <x:c r="B5169" s="4" t="inlineStr">
        <x:is>
          <x:t xml:space="preserve">600178</x:t>
        </x:is>
      </x:c>
      <x:c r="C5169" s="5" t="inlineStr">
        <x:is>
          <x:t xml:space="preserve">东安动力</x:t>
        </x:is>
      </x:c>
      <x:c r="D5169" s="5" t="inlineStr">
        <x:is>
          <x:t xml:space="preserve">哈尔滨东安汽车动力股份有限公司</x:t>
        </x:is>
      </x:c>
      <x:c r="E5169" s="4" t="inlineStr">
        <x:is>
          <x:t xml:space="preserve">黑龙江省</x:t>
        </x:is>
      </x:c>
      <x:c r="F5169" s="4" t="inlineStr">
        <x:is>
          <x:t xml:space="preserve">哈尔滨市</x:t>
        </x:is>
      </x:c>
      <x:c r="G5169" s="5" t="inlineStr">
        <x:is>
          <x:t xml:space="preserve">黑龙江省-哈尔滨市</x:t>
        </x:is>
      </x:c>
      <x:c r="H5169" s="4" t="inlineStr">
        <x:is>
          <x:t xml:space="preserve">汽车行业</x:t>
        </x:is>
      </x:c>
      <x:c r="I5169" s="4" t="inlineStr">
        <x:is>
          <x:t xml:space="preserve">1998-10-14</x:t>
        </x:is>
      </x:c>
      <x:c r="J5169" s="5" t="inlineStr">
        <x:is>
          <x:t xml:space="preserve">哈尔滨市南岗区高新技术开发区13栋</x:t>
        </x:is>
      </x:c>
      <x:c r="K5169" s="12" t="str">
        <x:f>LEFT("9123010071201745XG",18)</x:f>
        <x:v>9123010071201745XG</x:v>
      </x:c>
    </x:row>
    <x:row r="5170">
      <x:c r="A5170" s="2" t="n">
        <x:v>5169</x:v>
      </x:c>
      <x:c r="B5170" s="2" t="inlineStr">
        <x:is>
          <x:t xml:space="preserve">600182</x:t>
        </x:is>
      </x:c>
      <x:c r="C5170" s="3" t="inlineStr">
        <x:is>
          <x:t xml:space="preserve">S佳通</x:t>
        </x:is>
      </x:c>
      <x:c r="D5170" s="3" t="inlineStr">
        <x:is>
          <x:t xml:space="preserve">佳通轮胎股份有限公司</x:t>
        </x:is>
      </x:c>
      <x:c r="E5170" s="2" t="inlineStr">
        <x:is>
          <x:t xml:space="preserve">黑龙江省</x:t>
        </x:is>
      </x:c>
      <x:c r="F5170" s="2" t="inlineStr">
        <x:is>
          <x:t xml:space="preserve">牡丹江市</x:t>
        </x:is>
      </x:c>
      <x:c r="G5170" s="3" t="inlineStr">
        <x:is>
          <x:t xml:space="preserve">黑龙江省-牡丹江市</x:t>
        </x:is>
      </x:c>
      <x:c r="H5170" s="2" t="inlineStr">
        <x:is>
          <x:t xml:space="preserve">橡胶制品</x:t>
        </x:is>
      </x:c>
      <x:c r="I5170" s="2" t="inlineStr">
        <x:is>
          <x:t xml:space="preserve">1999-05-07</x:t>
        </x:is>
      </x:c>
      <x:c r="J5170" s="3" t="inlineStr">
        <x:is>
          <x:t xml:space="preserve">黑龙江省牡丹江市桦林镇</x:t>
        </x:is>
      </x:c>
      <x:c r="K5170" s="12" t="str">
        <x:f>LEFT("912310002456121609",18)</x:f>
        <x:v>912310002456121600</x:v>
      </x:c>
    </x:row>
    <x:row r="5171">
      <x:c r="A5171" s="4" t="n">
        <x:v>5170</x:v>
      </x:c>
      <x:c r="B5171" s="4" t="inlineStr">
        <x:is>
          <x:t xml:space="preserve">600187</x:t>
        </x:is>
      </x:c>
      <x:c r="C5171" s="5" t="inlineStr">
        <x:is>
          <x:t xml:space="preserve">国中水务</x:t>
        </x:is>
      </x:c>
      <x:c r="D5171" s="5" t="inlineStr">
        <x:is>
          <x:t xml:space="preserve">黑龙江国中水务股份有限公司</x:t>
        </x:is>
      </x:c>
      <x:c r="E5171" s="4" t="inlineStr">
        <x:is>
          <x:t xml:space="preserve">黑龙江省</x:t>
        </x:is>
      </x:c>
      <x:c r="F5171" s="4" t="inlineStr">
        <x:is>
          <x:t xml:space="preserve">哈尔滨市</x:t>
        </x:is>
      </x:c>
      <x:c r="G5171" s="5" t="inlineStr">
        <x:is>
          <x:t xml:space="preserve">黑龙江省-哈尔滨市</x:t>
        </x:is>
      </x:c>
      <x:c r="H5171" s="4" t="inlineStr">
        <x:is>
          <x:t xml:space="preserve">公用事业</x:t>
        </x:is>
      </x:c>
      <x:c r="I5171" s="4" t="inlineStr">
        <x:is>
          <x:t xml:space="preserve">1998-11-11</x:t>
        </x:is>
      </x:c>
      <x:c r="J5171" s="5" t="inlineStr">
        <x:is>
          <x:t xml:space="preserve">黑龙江省哈尔滨市哈尔滨经济技术开发区哈平路集中区松花路9号中国云谷软件园A1栋3层324-326室</x:t>
        </x:is>
      </x:c>
      <x:c r="K5171" s="12" t="str">
        <x:f>LEFT("91230200702847345E",18)</x:f>
        <x:v>91230200702847345E</x:v>
      </x:c>
    </x:row>
    <x:row r="5172">
      <x:c r="A5172" s="2" t="n">
        <x:v>5171</x:v>
      </x:c>
      <x:c r="B5172" s="2" t="inlineStr">
        <x:is>
          <x:t xml:space="preserve">600202</x:t>
        </x:is>
      </x:c>
      <x:c r="C5172" s="3" t="inlineStr">
        <x:is>
          <x:t xml:space="preserve">哈空调</x:t>
        </x:is>
      </x:c>
      <x:c r="D5172" s="3" t="inlineStr">
        <x:is>
          <x:t xml:space="preserve">哈尔滨空调股份有限公司</x:t>
        </x:is>
      </x:c>
      <x:c r="E5172" s="2" t="inlineStr">
        <x:is>
          <x:t xml:space="preserve">黑龙江省</x:t>
        </x:is>
      </x:c>
      <x:c r="F5172" s="2" t="inlineStr">
        <x:is>
          <x:t xml:space="preserve">哈尔滨市</x:t>
        </x:is>
      </x:c>
      <x:c r="G5172" s="3" t="inlineStr">
        <x:is>
          <x:t xml:space="preserve">黑龙江省-哈尔滨市</x:t>
        </x:is>
      </x:c>
      <x:c r="H5172" s="2" t="inlineStr">
        <x:is>
          <x:t xml:space="preserve">电源设备</x:t>
        </x:is>
      </x:c>
      <x:c r="I5172" s="2" t="inlineStr">
        <x:is>
          <x:t xml:space="preserve">1999-06-03</x:t>
        </x:is>
      </x:c>
      <x:c r="J5172" s="3" t="inlineStr">
        <x:is>
          <x:t xml:space="preserve">哈尔滨市南岗区高新技术产业开发区嵩山路26号楼</x:t>
        </x:is>
      </x:c>
      <x:c r="K5172" s="12" t="str">
        <x:f>LEFT("91230100127046743W",18)</x:f>
        <x:v>91230100127046743W</x:v>
      </x:c>
    </x:row>
    <x:row r="5173">
      <x:c r="A5173" s="4" t="n">
        <x:v>5172</x:v>
      </x:c>
      <x:c r="B5173" s="4" t="inlineStr">
        <x:is>
          <x:t xml:space="preserve">600289</x:t>
        </x:is>
      </x:c>
      <x:c r="C5173" s="5" t="inlineStr">
        <x:is>
          <x:t xml:space="preserve">ST信通</x:t>
        </x:is>
      </x:c>
      <x:c r="D5173" s="5" t="inlineStr">
        <x:is>
          <x:t xml:space="preserve">亿阳信通股份有限公司</x:t>
        </x:is>
      </x:c>
      <x:c r="E5173" s="4" t="inlineStr">
        <x:is>
          <x:t xml:space="preserve">黑龙江省</x:t>
        </x:is>
      </x:c>
      <x:c r="F5173" s="4" t="inlineStr">
        <x:is>
          <x:t xml:space="preserve">哈尔滨市</x:t>
        </x:is>
      </x:c>
      <x:c r="G5173" s="5" t="inlineStr">
        <x:is>
          <x:t xml:space="preserve">黑龙江省-哈尔滨市</x:t>
        </x:is>
      </x:c>
      <x:c r="H5173" s="4" t="inlineStr">
        <x:is>
          <x:t xml:space="preserve">通信服务</x:t>
        </x:is>
      </x:c>
      <x:c r="I5173" s="4" t="inlineStr">
        <x:is>
          <x:t xml:space="preserve">2000-07-20</x:t>
        </x:is>
      </x:c>
      <x:c r="J5173" s="5" t="inlineStr">
        <x:is>
          <x:t xml:space="preserve">哈尔滨市南岗区高新技术产业开发区1号楼</x:t>
        </x:is>
      </x:c>
      <x:c r="K5173" s="12" t="str">
        <x:f>LEFT("91230199128027157K",18)</x:f>
        <x:v>91230199128027157K</x:v>
      </x:c>
    </x:row>
    <x:row r="5174">
      <x:c r="A5174" s="2" t="n">
        <x:v>5173</x:v>
      </x:c>
      <x:c r="B5174" s="2" t="inlineStr">
        <x:is>
          <x:t xml:space="preserve">600356</x:t>
        </x:is>
      </x:c>
      <x:c r="C5174" s="3" t="inlineStr">
        <x:is>
          <x:t xml:space="preserve">恒丰纸业</x:t>
        </x:is>
      </x:c>
      <x:c r="D5174" s="3" t="inlineStr">
        <x:is>
          <x:t xml:space="preserve">牡丹江恒丰纸业股份有限公司</x:t>
        </x:is>
      </x:c>
      <x:c r="E5174" s="2" t="inlineStr">
        <x:is>
          <x:t xml:space="preserve">黑龙江省</x:t>
        </x:is>
      </x:c>
      <x:c r="F5174" s="2" t="inlineStr">
        <x:is>
          <x:t xml:space="preserve">牡丹江市</x:t>
        </x:is>
      </x:c>
      <x:c r="G5174" s="3" t="inlineStr">
        <x:is>
          <x:t xml:space="preserve">黑龙江省-牡丹江市</x:t>
        </x:is>
      </x:c>
      <x:c r="H5174" s="2" t="inlineStr">
        <x:is>
          <x:t xml:space="preserve">造纸印刷</x:t>
        </x:is>
      </x:c>
      <x:c r="I5174" s="2" t="inlineStr">
        <x:is>
          <x:t xml:space="preserve">2001-04-19</x:t>
        </x:is>
      </x:c>
      <x:c r="J5174" s="3" t="inlineStr">
        <x:is>
          <x:t xml:space="preserve">黑龙江省牡丹江市阳明区恒丰路11号</x:t>
        </x:is>
      </x:c>
      <x:c r="K5174" s="12" t="str">
        <x:f>LEFT("912310001302337697",18)</x:f>
        <x:v>912310001302337700</x:v>
      </x:c>
    </x:row>
    <x:row r="5175">
      <x:c r="A5175" s="4" t="n">
        <x:v>5174</x:v>
      </x:c>
      <x:c r="B5175" s="4" t="inlineStr">
        <x:is>
          <x:t xml:space="preserve">600371</x:t>
        </x:is>
      </x:c>
      <x:c r="C5175" s="5" t="inlineStr">
        <x:is>
          <x:t xml:space="preserve">万向德农</x:t>
        </x:is>
      </x:c>
      <x:c r="D5175" s="5" t="inlineStr">
        <x:is>
          <x:t xml:space="preserve">万向德农股份有限公司</x:t>
        </x:is>
      </x:c>
      <x:c r="E5175" s="4" t="inlineStr">
        <x:is>
          <x:t xml:space="preserve">黑龙江省</x:t>
        </x:is>
      </x:c>
      <x:c r="F5175" s="4" t="inlineStr">
        <x:is>
          <x:t xml:space="preserve">哈尔滨市</x:t>
        </x:is>
      </x:c>
      <x:c r="G5175" s="5" t="inlineStr">
        <x:is>
          <x:t xml:space="preserve">黑龙江省-哈尔滨市</x:t>
        </x:is>
      </x:c>
      <x:c r="H5175" s="4" t="inlineStr">
        <x:is>
          <x:t xml:space="preserve">农牧饲渔</x:t>
        </x:is>
      </x:c>
      <x:c r="I5175" s="4" t="inlineStr">
        <x:is>
          <x:t xml:space="preserve">2002-09-16</x:t>
        </x:is>
      </x:c>
      <x:c r="J5175" s="5" t="inlineStr">
        <x:is>
          <x:t xml:space="preserve">哈尔滨经开区南岗集中区红旗大街227号1003室</x:t>
        </x:is>
      </x:c>
      <x:c r="K5175" s="12" t="str">
        <x:f>LEFT("9123010024561350XK",18)</x:f>
        <x:v>9123010024561350XK</x:v>
      </x:c>
    </x:row>
    <x:row r="5176">
      <x:c r="A5176" s="2" t="n">
        <x:v>5175</x:v>
      </x:c>
      <x:c r="B5176" s="2" t="inlineStr">
        <x:is>
          <x:t xml:space="preserve">600598</x:t>
        </x:is>
      </x:c>
      <x:c r="C5176" s="3" t="inlineStr">
        <x:is>
          <x:t xml:space="preserve">北大荒</x:t>
        </x:is>
      </x:c>
      <x:c r="D5176" s="3" t="inlineStr">
        <x:is>
          <x:t xml:space="preserve">黑龙江北大荒农业股份有限公司</x:t>
        </x:is>
      </x:c>
      <x:c r="E5176" s="2" t="inlineStr">
        <x:is>
          <x:t xml:space="preserve">黑龙江省</x:t>
        </x:is>
      </x:c>
      <x:c r="F5176" s="2" t="inlineStr">
        <x:is>
          <x:t xml:space="preserve">哈尔滨市</x:t>
        </x:is>
      </x:c>
      <x:c r="G5176" s="3" t="inlineStr">
        <x:is>
          <x:t xml:space="preserve">黑龙江省-哈尔滨市</x:t>
        </x:is>
      </x:c>
      <x:c r="H5176" s="2" t="inlineStr">
        <x:is>
          <x:t xml:space="preserve">农牧饲渔</x:t>
        </x:is>
      </x:c>
      <x:c r="I5176" s="2" t="inlineStr">
        <x:is>
          <x:t xml:space="preserve">2002-03-29</x:t>
        </x:is>
      </x:c>
      <x:c r="J5176" s="3" t="inlineStr">
        <x:is>
          <x:t xml:space="preserve">黑龙江省哈尔滨市南岗区汉水路263号</x:t>
        </x:is>
      </x:c>
      <x:c r="K5176" s="12" t="str">
        <x:f>LEFT("9123000070283865X0",18)</x:f>
        <x:v>9123000070283865X0</x:v>
      </x:c>
    </x:row>
    <x:row r="5177">
      <x:c r="A5177" s="4" t="n">
        <x:v>5176</x:v>
      </x:c>
      <x:c r="B5177" s="4" t="inlineStr">
        <x:is>
          <x:t xml:space="preserve">600664</x:t>
        </x:is>
      </x:c>
      <x:c r="C5177" s="5" t="inlineStr">
        <x:is>
          <x:t xml:space="preserve">哈药股份</x:t>
        </x:is>
      </x:c>
      <x:c r="D5177" s="5" t="inlineStr">
        <x:is>
          <x:t xml:space="preserve">哈药集团股份有限公司</x:t>
        </x:is>
      </x:c>
      <x:c r="E5177" s="4" t="inlineStr">
        <x:is>
          <x:t xml:space="preserve">黑龙江省</x:t>
        </x:is>
      </x:c>
      <x:c r="F5177" s="4" t="inlineStr">
        <x:is>
          <x:t xml:space="preserve">哈尔滨市</x:t>
        </x:is>
      </x:c>
      <x:c r="G5177" s="5" t="inlineStr">
        <x:is>
          <x:t xml:space="preserve">黑龙江省-哈尔滨市</x:t>
        </x:is>
      </x:c>
      <x:c r="H5177" s="4" t="inlineStr">
        <x:is>
          <x:t xml:space="preserve">医药制造</x:t>
        </x:is>
      </x:c>
      <x:c r="I5177" s="4" t="inlineStr">
        <x:is>
          <x:t xml:space="preserve">1993-06-29</x:t>
        </x:is>
      </x:c>
      <x:c r="J5177" s="5" t="inlineStr">
        <x:is>
          <x:t xml:space="preserve">中国黑龙江省哈尔滨市利民开发区利民西四大街68号</x:t>
        </x:is>
      </x:c>
      <x:c r="K5177" s="12" t="str">
        <x:f>LEFT("91230199128175037N",18)</x:f>
        <x:v>91230199128175037N</x:v>
      </x:c>
    </x:row>
    <x:row r="5178">
      <x:c r="A5178" s="2" t="n">
        <x:v>5177</x:v>
      </x:c>
      <x:c r="B5178" s="2" t="inlineStr">
        <x:is>
          <x:t xml:space="preserve">600666</x:t>
        </x:is>
      </x:c>
      <x:c r="C5178" s="3" t="inlineStr">
        <x:is>
          <x:t xml:space="preserve">奥瑞德</x:t>
        </x:is>
      </x:c>
      <x:c r="D5178" s="3" t="inlineStr">
        <x:is>
          <x:t xml:space="preserve">奥瑞德光电股份有限公司</x:t>
        </x:is>
      </x:c>
      <x:c r="E5178" s="2" t="inlineStr">
        <x:is>
          <x:t xml:space="preserve">黑龙江省</x:t>
        </x:is>
      </x:c>
      <x:c r="F5178" s="2" t="inlineStr">
        <x:is>
          <x:t xml:space="preserve">哈尔滨市</x:t>
        </x:is>
      </x:c>
      <x:c r="G5178" s="3" t="inlineStr">
        <x:is>
          <x:t xml:space="preserve">黑龙江省-哈尔滨市</x:t>
        </x:is>
      </x:c>
      <x:c r="H5178" s="2" t="inlineStr">
        <x:is>
          <x:t xml:space="preserve">光学光电子</x:t>
        </x:is>
      </x:c>
      <x:c r="I5178" s="2" t="inlineStr">
        <x:is>
          <x:t xml:space="preserve">1993-07-12</x:t>
        </x:is>
      </x:c>
      <x:c r="J5178" s="3" t="inlineStr">
        <x:is>
          <x:t xml:space="preserve">中国黑龙江省哈尔滨市松北区智谷大街288号深圳(哈尔滨)产业园区科创总部3号楼A区2栋5层</x:t>
        </x:is>
      </x:c>
      <x:c r="K5178" s="12" t="str">
        <x:f>LEFT("915000002028097723",18)</x:f>
        <x:v>915000002028097700</x:v>
      </x:c>
    </x:row>
    <x:row r="5179">
      <x:c r="A5179" s="4" t="n">
        <x:v>5178</x:v>
      </x:c>
      <x:c r="B5179" s="4" t="inlineStr">
        <x:is>
          <x:t xml:space="preserve">600726</x:t>
        </x:is>
      </x:c>
      <x:c r="C5179" s="5" t="inlineStr">
        <x:is>
          <x:t xml:space="preserve">华电能源</x:t>
        </x:is>
      </x:c>
      <x:c r="D5179" s="5" t="inlineStr">
        <x:is>
          <x:t xml:space="preserve">华电能源股份有限公司</x:t>
        </x:is>
      </x:c>
      <x:c r="E5179" s="4" t="inlineStr">
        <x:is>
          <x:t xml:space="preserve">黑龙江省</x:t>
        </x:is>
      </x:c>
      <x:c r="F5179" s="4" t="inlineStr">
        <x:is>
          <x:t xml:space="preserve">哈尔滨市</x:t>
        </x:is>
      </x:c>
      <x:c r="G5179" s="5" t="inlineStr">
        <x:is>
          <x:t xml:space="preserve">黑龙江省-哈尔滨市</x:t>
        </x:is>
      </x:c>
      <x:c r="H5179" s="4" t="inlineStr">
        <x:is>
          <x:t xml:space="preserve">电力行业</x:t>
        </x:is>
      </x:c>
      <x:c r="I5179" s="4" t="inlineStr">
        <x:is>
          <x:t xml:space="preserve">1996-07-01</x:t>
        </x:is>
      </x:c>
      <x:c r="J5179" s="5" t="inlineStr">
        <x:is>
          <x:t xml:space="preserve">哈尔滨市香坊区高新技术开发区19号楼B座</x:t>
        </x:is>
      </x:c>
      <x:c r="K5179" s="12" t="str">
        <x:f>LEFT("91230199126973422N",18)</x:f>
        <x:v>91230199126973422N</x:v>
      </x:c>
    </x:row>
    <x:row r="5180">
      <x:c r="A5180" s="2" t="n">
        <x:v>5179</x:v>
      </x:c>
      <x:c r="B5180" s="2" t="inlineStr">
        <x:is>
          <x:t xml:space="preserve">600829</x:t>
        </x:is>
      </x:c>
      <x:c r="C5180" s="3" t="inlineStr">
        <x:is>
          <x:t xml:space="preserve">人民同泰</x:t>
        </x:is>
      </x:c>
      <x:c r="D5180" s="3" t="inlineStr">
        <x:is>
          <x:t xml:space="preserve">哈药集团人民同泰医药股份有限公司</x:t>
        </x:is>
      </x:c>
      <x:c r="E5180" s="2" t="inlineStr">
        <x:is>
          <x:t xml:space="preserve">黑龙江省</x:t>
        </x:is>
      </x:c>
      <x:c r="F5180" s="2" t="inlineStr">
        <x:is>
          <x:t xml:space="preserve">哈尔滨市</x:t>
        </x:is>
      </x:c>
      <x:c r="G5180" s="3" t="inlineStr">
        <x:is>
          <x:t xml:space="preserve">黑龙江省-哈尔滨市</x:t>
        </x:is>
      </x:c>
      <x:c r="H5180" s="2" t="inlineStr">
        <x:is>
          <x:t xml:space="preserve">医药商业</x:t>
        </x:is>
      </x:c>
      <x:c r="I5180" s="2" t="inlineStr">
        <x:is>
          <x:t xml:space="preserve">1994-02-24</x:t>
        </x:is>
      </x:c>
      <x:c r="J5180" s="3" t="inlineStr">
        <x:is>
          <x:t xml:space="preserve">黑龙江省哈尔滨市南岗区衡山路76号</x:t>
        </x:is>
      </x:c>
      <x:c r="K5180" s="12" t="str">
        <x:f>LEFT("91230199128173269W",18)</x:f>
        <x:v>91230199128173269W</x:v>
      </x:c>
    </x:row>
    <x:row r="5181">
      <x:c r="A5181" s="4" t="n">
        <x:v>5180</x:v>
      </x:c>
      <x:c r="B5181" s="4" t="inlineStr">
        <x:is>
          <x:t xml:space="preserve">600853</x:t>
        </x:is>
      </x:c>
      <x:c r="C5181" s="5" t="inlineStr">
        <x:is>
          <x:t xml:space="preserve">龙建股份</x:t>
        </x:is>
      </x:c>
      <x:c r="D5181" s="5" t="inlineStr">
        <x:is>
          <x:t xml:space="preserve">龙建路桥股份有限公司</x:t>
        </x:is>
      </x:c>
      <x:c r="E5181" s="4" t="inlineStr">
        <x:is>
          <x:t xml:space="preserve">黑龙江省</x:t>
        </x:is>
      </x:c>
      <x:c r="F5181" s="4" t="inlineStr">
        <x:is>
          <x:t xml:space="preserve">哈尔滨市</x:t>
        </x:is>
      </x:c>
      <x:c r="G5181" s="5" t="inlineStr">
        <x:is>
          <x:t xml:space="preserve">黑龙江省-哈尔滨市</x:t>
        </x:is>
      </x:c>
      <x:c r="H5181" s="4" t="inlineStr">
        <x:is>
          <x:t xml:space="preserve">工程建设</x:t>
        </x:is>
      </x:c>
      <x:c r="I5181" s="4" t="inlineStr">
        <x:is>
          <x:t xml:space="preserve">1994-04-04</x:t>
        </x:is>
      </x:c>
      <x:c r="J5181" s="5" t="inlineStr">
        <x:is>
          <x:t xml:space="preserve">黑龙江省哈尔滨市南岗区长江路368号</x:t>
        </x:is>
      </x:c>
      <x:c r="K5181" s="12" t="str">
        <x:f>LEFT("91230100606102976R",18)</x:f>
        <x:v>91230100606102976R</x:v>
      </x:c>
    </x:row>
    <x:row r="5182">
      <x:c r="A5182" s="2" t="n">
        <x:v>5181</x:v>
      </x:c>
      <x:c r="B5182" s="2" t="inlineStr">
        <x:is>
          <x:t xml:space="preserve">600864</x:t>
        </x:is>
      </x:c>
      <x:c r="C5182" s="3" t="inlineStr">
        <x:is>
          <x:t xml:space="preserve">哈投股份</x:t>
        </x:is>
      </x:c>
      <x:c r="D5182" s="3" t="inlineStr">
        <x:is>
          <x:t xml:space="preserve">哈尔滨哈投投资股份有限公司</x:t>
        </x:is>
      </x:c>
      <x:c r="E5182" s="2" t="inlineStr">
        <x:is>
          <x:t xml:space="preserve">黑龙江省</x:t>
        </x:is>
      </x:c>
      <x:c r="F5182" s="2" t="inlineStr">
        <x:is>
          <x:t xml:space="preserve">哈尔滨市</x:t>
        </x:is>
      </x:c>
      <x:c r="G5182" s="3" t="inlineStr">
        <x:is>
          <x:t xml:space="preserve">黑龙江省-哈尔滨市</x:t>
        </x:is>
      </x:c>
      <x:c r="H5182" s="2" t="inlineStr">
        <x:is>
          <x:t xml:space="preserve">券商信托</x:t>
        </x:is>
      </x:c>
      <x:c r="I5182" s="2" t="inlineStr">
        <x:is>
          <x:t xml:space="preserve">1994-08-09</x:t>
        </x:is>
      </x:c>
      <x:c r="J5182" s="3" t="inlineStr">
        <x:is>
          <x:t xml:space="preserve">哈尔滨市松北区创新二路277号</x:t>
        </x:is>
      </x:c>
      <x:c r="K5182" s="12" t="str">
        <x:f>LEFT("91230100128025258G",18)</x:f>
        <x:v>91230100128025258G</x:v>
      </x:c>
    </x:row>
    <x:row r="5183">
      <x:c r="A5183" s="4" t="n">
        <x:v>5182</x:v>
      </x:c>
      <x:c r="B5183" s="4" t="inlineStr">
        <x:is>
          <x:t xml:space="preserve">601011</x:t>
        </x:is>
      </x:c>
      <x:c r="C5183" s="5" t="inlineStr">
        <x:is>
          <x:t xml:space="preserve">宝泰隆</x:t>
        </x:is>
      </x:c>
      <x:c r="D5183" s="5" t="inlineStr">
        <x:is>
          <x:t xml:space="preserve">宝泰隆新材料股份有限公司</x:t>
        </x:is>
      </x:c>
      <x:c r="E5183" s="4" t="inlineStr">
        <x:is>
          <x:t xml:space="preserve">黑龙江省</x:t>
        </x:is>
      </x:c>
      <x:c r="F5183" s="4" t="inlineStr">
        <x:is>
          <x:t xml:space="preserve">七台河市</x:t>
        </x:is>
      </x:c>
      <x:c r="G5183" s="5" t="inlineStr">
        <x:is>
          <x:t xml:space="preserve">黑龙江省-七台河市</x:t>
        </x:is>
      </x:c>
      <x:c r="H5183" s="4" t="inlineStr">
        <x:is>
          <x:t xml:space="preserve">煤炭采选</x:t>
        </x:is>
      </x:c>
      <x:c r="I5183" s="4" t="inlineStr">
        <x:is>
          <x:t xml:space="preserve">2011-03-09</x:t>
        </x:is>
      </x:c>
      <x:c r="J5183" s="5" t="inlineStr">
        <x:is>
          <x:t xml:space="preserve">黑龙江省七台河市新兴区宝泰隆路16号</x:t>
        </x:is>
      </x:c>
      <x:c r="K5183" s="12" t="str">
        <x:f>LEFT("91230900749673100C",18)</x:f>
        <x:v>91230900749673100C</x:v>
      </x:c>
    </x:row>
    <x:row r="5184">
      <x:c r="A5184" s="2" t="n">
        <x:v>5183</x:v>
      </x:c>
      <x:c r="B5184" s="2" t="inlineStr">
        <x:is>
          <x:t xml:space="preserve">601106</x:t>
        </x:is>
      </x:c>
      <x:c r="C5184" s="3" t="inlineStr">
        <x:is>
          <x:t xml:space="preserve">中国一重</x:t>
        </x:is>
      </x:c>
      <x:c r="D5184" s="3" t="inlineStr">
        <x:is>
          <x:t xml:space="preserve">中国第一重型机械股份公司</x:t>
        </x:is>
      </x:c>
      <x:c r="E5184" s="2" t="inlineStr">
        <x:is>
          <x:t xml:space="preserve">黑龙江省</x:t>
        </x:is>
      </x:c>
      <x:c r="F5184" s="2" t="inlineStr">
        <x:is>
          <x:t xml:space="preserve">齐齐哈尔市</x:t>
        </x:is>
      </x:c>
      <x:c r="G5184" s="3" t="inlineStr">
        <x:is>
          <x:t xml:space="preserve">黑龙江省-齐齐哈尔市</x:t>
        </x:is>
      </x:c>
      <x:c r="H5184" s="2" t="inlineStr">
        <x:is>
          <x:t xml:space="preserve">专用设备</x:t>
        </x:is>
      </x:c>
      <x:c r="I5184" s="2" t="inlineStr">
        <x:is>
          <x:t xml:space="preserve">2010-02-09</x:t>
        </x:is>
      </x:c>
      <x:c r="J5184" s="3" t="inlineStr">
        <x:is>
          <x:t xml:space="preserve">黑龙江省齐齐哈尔市富拉尔基区红宝石办事处厂前路9号</x:t>
        </x:is>
      </x:c>
      <x:c r="K5184" s="12" t="str">
        <x:f>LEFT("91230200710935767F",18)</x:f>
        <x:v>91230200710935767F</x:v>
      </x:c>
    </x:row>
    <x:row r="5185">
      <x:c r="A5185" s="4" t="n">
        <x:v>5184</x:v>
      </x:c>
      <x:c r="B5185" s="4" t="inlineStr">
        <x:is>
          <x:t xml:space="preserve">601188</x:t>
        </x:is>
      </x:c>
      <x:c r="C5185" s="5" t="inlineStr">
        <x:is>
          <x:t xml:space="preserve">龙江交通</x:t>
        </x:is>
      </x:c>
      <x:c r="D5185" s="5" t="inlineStr">
        <x:is>
          <x:t xml:space="preserve">黑龙江交通发展股份有限公司</x:t>
        </x:is>
      </x:c>
      <x:c r="E5185" s="4" t="inlineStr">
        <x:is>
          <x:t xml:space="preserve">黑龙江省</x:t>
        </x:is>
      </x:c>
      <x:c r="F5185" s="4" t="inlineStr">
        <x:is>
          <x:t xml:space="preserve">哈尔滨市</x:t>
        </x:is>
      </x:c>
      <x:c r="G5185" s="5" t="inlineStr">
        <x:is>
          <x:t xml:space="preserve">黑龙江省-哈尔滨市</x:t>
        </x:is>
      </x:c>
      <x:c r="H5185" s="4" t="inlineStr">
        <x:is>
          <x:t xml:space="preserve">高速公路</x:t>
        </x:is>
      </x:c>
      <x:c r="I5185" s="4" t="inlineStr">
        <x:is>
          <x:t xml:space="preserve">2010-03-19</x:t>
        </x:is>
      </x:c>
      <x:c r="J5185" s="5" t="inlineStr">
        <x:is>
          <x:t xml:space="preserve">黑龙江省哈尔滨市道里区群力第五大道1688号</x:t>
        </x:is>
      </x:c>
      <x:c r="K5185" s="12" t="str">
        <x:f>LEFT("912300005513040198",18)</x:f>
        <x:v>912300005513040300</x:v>
      </x:c>
    </x:row>
    <x:row r="5186">
      <x:c r="A5186" s="2" t="n">
        <x:v>5185</x:v>
      </x:c>
      <x:c r="B5186" s="2" t="inlineStr">
        <x:is>
          <x:t xml:space="preserve">603023</x:t>
        </x:is>
      </x:c>
      <x:c r="C5186" s="3" t="inlineStr">
        <x:is>
          <x:t xml:space="preserve">威帝股份</x:t>
        </x:is>
      </x:c>
      <x:c r="D5186" s="3" t="inlineStr">
        <x:is>
          <x:t xml:space="preserve">哈尔滨威帝电子股份有限公司</x:t>
        </x:is>
      </x:c>
      <x:c r="E5186" s="2" t="inlineStr">
        <x:is>
          <x:t xml:space="preserve">黑龙江省</x:t>
        </x:is>
      </x:c>
      <x:c r="F5186" s="2" t="inlineStr">
        <x:is>
          <x:t xml:space="preserve">哈尔滨市</x:t>
        </x:is>
      </x:c>
      <x:c r="G5186" s="3" t="inlineStr">
        <x:is>
          <x:t xml:space="preserve">黑龙江省-哈尔滨市</x:t>
        </x:is>
      </x:c>
      <x:c r="H5186" s="2" t="inlineStr">
        <x:is>
          <x:t xml:space="preserve">汽车行业</x:t>
        </x:is>
      </x:c>
      <x:c r="I5186" s="2" t="inlineStr">
        <x:is>
          <x:t xml:space="preserve">2015-05-27</x:t>
        </x:is>
      </x:c>
      <x:c r="J5186" s="3" t="inlineStr">
        <x:is>
          <x:t xml:space="preserve">哈尔滨市经开区哈平路集中区哈平西路11号</x:t>
        </x:is>
      </x:c>
      <x:c r="K5186" s="12" t="str">
        <x:f>LEFT("91230199723661865E",18)</x:f>
        <x:v>91230199723661865E</x:v>
      </x:c>
    </x:row>
    <x:row r="5187">
      <x:c r="A5187" s="4" t="n">
        <x:v>5186</x:v>
      </x:c>
      <x:c r="B5187" s="4" t="inlineStr">
        <x:is>
          <x:t xml:space="preserve">603202</x:t>
        </x:is>
      </x:c>
      <x:c r="C5187" s="5" t="inlineStr">
        <x:is>
          <x:t xml:space="preserve">天有为</x:t>
        </x:is>
      </x:c>
      <x:c r="D5187" s="5" t="inlineStr">
        <x:is>
          <x:t xml:space="preserve">黑龙江天有为电子股份有限公司</x:t>
        </x:is>
      </x:c>
      <x:c r="E5187" s="4" t="inlineStr">
        <x:is>
          <x:t xml:space="preserve">黑龙江省</x:t>
        </x:is>
      </x:c>
      <x:c r="F5187" s="4" t="inlineStr">
        <x:is>
          <x:t xml:space="preserve">绥化市</x:t>
        </x:is>
      </x:c>
      <x:c r="G5187" s="5" t="inlineStr">
        <x:is>
          <x:t xml:space="preserve">黑龙江省-绥化市</x:t>
        </x:is>
      </x:c>
      <x:c r="H5187" s="4" t="inlineStr">
        <x:is>
          <x:t xml:space="preserve">汽车零部件</x:t>
        </x:is>
      </x:c>
      <x:c r="I5187" s="4" t="inlineStr">
        <x:is>
          <x:t xml:space="preserve">2025-04-24</x:t>
        </x:is>
      </x:c>
      <x:c r="J5187" s="5" t="inlineStr">
        <x:is>
          <x:t xml:space="preserve">绥化经济技术开发区昆山路9号</x:t>
        </x:is>
      </x:c>
      <x:c r="K5187" s="12" t="str">
        <x:f>LEFT("91231200749676803B",18)</x:f>
        <x:v>91231200749676803B</x:v>
      </x:c>
    </x:row>
    <x:row r="5188">
      <x:c r="A5188" s="2" t="n">
        <x:v>5187</x:v>
      </x:c>
      <x:c r="B5188" s="2" t="inlineStr">
        <x:is>
          <x:t xml:space="preserve">603567</x:t>
        </x:is>
      </x:c>
      <x:c r="C5188" s="3" t="inlineStr">
        <x:is>
          <x:t xml:space="preserve">珍宝岛</x:t>
        </x:is>
      </x:c>
      <x:c r="D5188" s="3" t="inlineStr">
        <x:is>
          <x:t xml:space="preserve">黑龙江珍宝岛药业股份有限公司</x:t>
        </x:is>
      </x:c>
      <x:c r="E5188" s="2" t="inlineStr">
        <x:is>
          <x:t xml:space="preserve">黑龙江省</x:t>
        </x:is>
      </x:c>
      <x:c r="F5188" s="2" t="inlineStr">
        <x:is>
          <x:t xml:space="preserve">鸡西市</x:t>
        </x:is>
      </x:c>
      <x:c r="G5188" s="3" t="inlineStr">
        <x:is>
          <x:t xml:space="preserve">黑龙江省-鸡西市</x:t>
        </x:is>
      </x:c>
      <x:c r="H5188" s="2" t="inlineStr">
        <x:is>
          <x:t xml:space="preserve">中药</x:t>
        </x:is>
      </x:c>
      <x:c r="I5188" s="2" t="inlineStr">
        <x:is>
          <x:t xml:space="preserve">2015-04-24</x:t>
        </x:is>
      </x:c>
      <x:c r="J5188" s="3" t="inlineStr">
        <x:is>
          <x:t xml:space="preserve">黑龙江省鸡西市虎林市虎林镇红星街72号</x:t>
        </x:is>
      </x:c>
      <x:c r="K5188" s="12" t="str">
        <x:f>LEFT("91230300130721906W",18)</x:f>
        <x:v>91230300130721906W</x:v>
      </x:c>
    </x:row>
    <x:row r="5189">
      <x:c r="A5189" s="4" t="n">
        <x:v>5188</x:v>
      </x:c>
      <x:c r="B5189" s="4" t="inlineStr">
        <x:is>
          <x:t xml:space="preserve">605577</x:t>
        </x:is>
      </x:c>
      <x:c r="C5189" s="5" t="inlineStr">
        <x:is>
          <x:t xml:space="preserve">龙版传媒</x:t>
        </x:is>
      </x:c>
      <x:c r="D5189" s="5" t="inlineStr">
        <x:is>
          <x:t xml:space="preserve">黑龙江出版传媒股份有限公司</x:t>
        </x:is>
      </x:c>
      <x:c r="E5189" s="4" t="inlineStr">
        <x:is>
          <x:t xml:space="preserve">黑龙江省</x:t>
        </x:is>
      </x:c>
      <x:c r="F5189" s="4" t="inlineStr">
        <x:is>
          <x:t xml:space="preserve">哈尔滨市</x:t>
        </x:is>
      </x:c>
      <x:c r="G5189" s="5" t="inlineStr">
        <x:is>
          <x:t xml:space="preserve">黑龙江省-哈尔滨市</x:t>
        </x:is>
      </x:c>
      <x:c r="H5189" s="4" t="inlineStr">
        <x:is>
          <x:t xml:space="preserve">文化传媒</x:t>
        </x:is>
      </x:c>
      <x:c r="I5189" s="4" t="inlineStr">
        <x:is>
          <x:t xml:space="preserve">2021-08-24</x:t>
        </x:is>
      </x:c>
      <x:c r="J5189" s="5" t="inlineStr">
        <x:is>
          <x:t xml:space="preserve">哈尔滨市松北区龙川路258号</x:t>
        </x:is>
      </x:c>
      <x:c r="K5189" s="12" t="str">
        <x:f>LEFT("91230100308576217N",18)</x:f>
        <x:v>91230100308576217N</x:v>
      </x:c>
    </x:row>
    <x:row r="5190">
      <x:c r="A5190" s="2" t="n">
        <x:v>5189</x:v>
      </x:c>
      <x:c r="B5190" s="2" t="inlineStr">
        <x:is>
          <x:t xml:space="preserve">688011</x:t>
        </x:is>
      </x:c>
      <x:c r="C5190" s="3" t="inlineStr">
        <x:is>
          <x:t xml:space="preserve">新光光电</x:t>
        </x:is>
      </x:c>
      <x:c r="D5190" s="3" t="inlineStr">
        <x:is>
          <x:t xml:space="preserve">哈尔滨新光光电科技股份有限公司</x:t>
        </x:is>
      </x:c>
      <x:c r="E5190" s="2" t="inlineStr">
        <x:is>
          <x:t xml:space="preserve">黑龙江省</x:t>
        </x:is>
      </x:c>
      <x:c r="F5190" s="2" t="inlineStr">
        <x:is>
          <x:t xml:space="preserve">哈尔滨市</x:t>
        </x:is>
      </x:c>
      <x:c r="G5190" s="3" t="inlineStr">
        <x:is>
          <x:t xml:space="preserve">黑龙江省-哈尔滨市</x:t>
        </x:is>
      </x:c>
      <x:c r="H5190" s="2" t="inlineStr">
        <x:is>
          <x:t xml:space="preserve">光学光电子</x:t>
        </x:is>
      </x:c>
      <x:c r="I5190" s="2" t="inlineStr">
        <x:is>
          <x:t xml:space="preserve">2019-07-22</x:t>
        </x:is>
      </x:c>
      <x:c r="J5190" s="3" t="inlineStr">
        <x:is>
          <x:t xml:space="preserve">哈尔滨松北区创新路1294号</x:t>
        </x:is>
      </x:c>
      <x:c r="K5190" s="12" t="str">
        <x:f>LEFT("912301996656799864",18)</x:f>
        <x:v>912301996656799900</x:v>
      </x:c>
    </x:row>
    <x:row r="5191">
      <x:c r="A5191" s="4" t="n">
        <x:v>5190</x:v>
      </x:c>
      <x:c r="B5191" s="4" t="inlineStr">
        <x:is>
          <x:t xml:space="preserve">688459</x:t>
        </x:is>
      </x:c>
      <x:c r="C5191" s="5" t="inlineStr">
        <x:is>
          <x:t xml:space="preserve">哈铁科技</x:t>
        </x:is>
      </x:c>
      <x:c r="D5191" s="5" t="inlineStr">
        <x:is>
          <x:t xml:space="preserve">哈尔滨国铁科技集团股份有限公司</x:t>
        </x:is>
      </x:c>
      <x:c r="E5191" s="4" t="inlineStr">
        <x:is>
          <x:t xml:space="preserve">黑龙江省</x:t>
        </x:is>
      </x:c>
      <x:c r="F5191" s="4" t="inlineStr">
        <x:is>
          <x:t xml:space="preserve">哈尔滨市</x:t>
        </x:is>
      </x:c>
      <x:c r="G5191" s="5" t="inlineStr">
        <x:is>
          <x:t xml:space="preserve">黑龙江省-哈尔滨市</x:t>
        </x:is>
      </x:c>
      <x:c r="H5191" s="4" t="inlineStr">
        <x:is>
          <x:t xml:space="preserve">交运设备</x:t>
        </x:is>
      </x:c>
      <x:c r="I5191" s="4" t="inlineStr">
        <x:is>
          <x:t xml:space="preserve">2022-10-12</x:t>
        </x:is>
      </x:c>
      <x:c r="J5191" s="5" t="inlineStr">
        <x:is>
          <x:t xml:space="preserve">哈尔滨市南岗区高新技术产业开发区35-2栋</x:t>
        </x:is>
      </x:c>
      <x:c r="K5191" s="12" t="str">
        <x:f>LEFT("912301991280664631",18)</x:f>
        <x:v>912301991280664600</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8" customWidth="1"/>
    <x:col min="2" max="2" width="20" customWidth="1"/>
    <x:col min="3" max="3" width="16" customWidth="1"/>
    <x:col min="4" max="4" width="12" customWidth="1"/>
  </x:cols>
  <x:sheetData>
    <x:row r="1">
      <x:c r="A1" s="1" t="inlineStr">
        <x:is>
          <x:t xml:space="preserve">序号</x:t>
        </x:is>
      </x:c>
      <x:c r="B1" s="1" t="inlineStr">
        <x:is>
          <x:t xml:space="preserve">省份</x:t>
        </x:is>
      </x:c>
      <x:c r="C1" s="1" t="inlineStr">
        <x:is>
          <x:t xml:space="preserve">上市公司数量</x:t>
        </x:is>
      </x:c>
      <x:c r="D1" s="1" t="inlineStr">
        <x:is>
          <x:t xml:space="preserve">占比</x:t>
        </x:is>
      </x:c>
    </x:row>
    <x:row r="2">
      <x:c r="A2" s="2" t="n">
        <x:v>1</x:v>
      </x:c>
      <x:c r="B2" s="2" t="inlineStr">
        <x:is>
          <x:t xml:space="preserve">广东省</x:t>
        </x:is>
      </x:c>
      <x:c r="C2" s="2" t="n">
        <x:v>857</x:v>
      </x:c>
      <x:c r="D2" s="2" t="inlineStr">
        <x:is>
          <x:t xml:space="preserve">16.5%</x:t>
        </x:is>
      </x:c>
    </x:row>
    <x:row r="3">
      <x:c r="A3" s="4" t="n">
        <x:v>2</x:v>
      </x:c>
      <x:c r="B3" s="4" t="inlineStr">
        <x:is>
          <x:t xml:space="preserve">浙江省</x:t>
        </x:is>
      </x:c>
      <x:c r="C3" s="4" t="n">
        <x:v>699</x:v>
      </x:c>
      <x:c r="D3" s="4" t="inlineStr">
        <x:is>
          <x:t xml:space="preserve">13.5%</x:t>
        </x:is>
      </x:c>
    </x:row>
    <x:row r="4">
      <x:c r="A4" s="2" t="n">
        <x:v>3</x:v>
      </x:c>
      <x:c r="B4" s="2" t="inlineStr">
        <x:is>
          <x:t xml:space="preserve">江苏省</x:t>
        </x:is>
      </x:c>
      <x:c r="C4" s="2" t="n">
        <x:v>664</x:v>
      </x:c>
      <x:c r="D4" s="2" t="inlineStr">
        <x:is>
          <x:t xml:space="preserve">12.8%</x:t>
        </x:is>
      </x:c>
    </x:row>
    <x:row r="5">
      <x:c r="A5" s="4" t="n">
        <x:v>4</x:v>
      </x:c>
      <x:c r="B5" s="4" t="inlineStr">
        <x:is>
          <x:t xml:space="preserve">北京市</x:t>
        </x:is>
      </x:c>
      <x:c r="C5" s="4" t="n">
        <x:v>451</x:v>
      </x:c>
      <x:c r="D5" s="4" t="inlineStr">
        <x:is>
          <x:t xml:space="preserve">8.7%</x:t>
        </x:is>
      </x:c>
    </x:row>
    <x:row r="6">
      <x:c r="A6" s="2" t="n">
        <x:v>5</x:v>
      </x:c>
      <x:c r="B6" s="2" t="inlineStr">
        <x:is>
          <x:t xml:space="preserve">上海市</x:t>
        </x:is>
      </x:c>
      <x:c r="C6" s="2" t="n">
        <x:v>438</x:v>
      </x:c>
      <x:c r="D6" s="2" t="inlineStr">
        <x:is>
          <x:t xml:space="preserve">8.4%</x:t>
        </x:is>
      </x:c>
    </x:row>
    <x:row r="7">
      <x:c r="A7" s="4" t="n">
        <x:v>6</x:v>
      </x:c>
      <x:c r="B7" s="4" t="inlineStr">
        <x:is>
          <x:t xml:space="preserve">山东省</x:t>
        </x:is>
      </x:c>
      <x:c r="C7" s="4" t="n">
        <x:v>289</x:v>
      </x:c>
      <x:c r="D7" s="4" t="inlineStr">
        <x:is>
          <x:t xml:space="preserve">5.6%</x:t>
        </x:is>
      </x:c>
    </x:row>
    <x:row r="8">
      <x:c r="A8" s="2" t="n">
        <x:v>7</x:v>
      </x:c>
      <x:c r="B8" s="2" t="inlineStr">
        <x:is>
          <x:t xml:space="preserve">安徽省</x:t>
        </x:is>
      </x:c>
      <x:c r="C8" s="2" t="n">
        <x:v>175</x:v>
      </x:c>
      <x:c r="D8" s="2" t="inlineStr">
        <x:is>
          <x:t xml:space="preserve">3.4%</x:t>
        </x:is>
      </x:c>
    </x:row>
    <x:row r="9">
      <x:c r="A9" s="4" t="n">
        <x:v>8</x:v>
      </x:c>
      <x:c r="B9" s="4" t="inlineStr">
        <x:is>
          <x:t xml:space="preserve">福建省</x:t>
        </x:is>
      </x:c>
      <x:c r="C9" s="4" t="n">
        <x:v>172</x:v>
      </x:c>
      <x:c r="D9" s="4" t="inlineStr">
        <x:is>
          <x:t xml:space="preserve">3.3%</x:t>
        </x:is>
      </x:c>
    </x:row>
    <x:row r="10">
      <x:c r="A10" s="2" t="n">
        <x:v>9</x:v>
      </x:c>
      <x:c r="B10" s="2" t="inlineStr">
        <x:is>
          <x:t xml:space="preserve">四川省</x:t>
        </x:is>
      </x:c>
      <x:c r="C10" s="2" t="n">
        <x:v>167</x:v>
      </x:c>
      <x:c r="D10" s="2" t="inlineStr">
        <x:is>
          <x:t xml:space="preserve">3.2%</x:t>
        </x:is>
      </x:c>
    </x:row>
    <x:row r="11">
      <x:c r="A11" s="4" t="n">
        <x:v>10</x:v>
      </x:c>
      <x:c r="B11" s="4" t="inlineStr">
        <x:is>
          <x:t xml:space="preserve">湖北省</x:t>
        </x:is>
      </x:c>
      <x:c r="C11" s="4" t="n">
        <x:v>141</x:v>
      </x:c>
      <x:c r="D11" s="4" t="inlineStr">
        <x:is>
          <x:t xml:space="preserve">2.7%</x:t>
        </x:is>
      </x:c>
    </x:row>
    <x:row r="12">
      <x:c r="A12" s="2" t="n">
        <x:v>11</x:v>
      </x:c>
      <x:c r="B12" s="2" t="inlineStr">
        <x:is>
          <x:t xml:space="preserve">湖南省</x:t>
        </x:is>
      </x:c>
      <x:c r="C12" s="2" t="n">
        <x:v>140</x:v>
      </x:c>
      <x:c r="D12" s="2" t="inlineStr">
        <x:is>
          <x:t xml:space="preserve">2.7%</x:t>
        </x:is>
      </x:c>
    </x:row>
    <x:row r="13">
      <x:c r="A13" s="4" t="n">
        <x:v>12</x:v>
      </x:c>
      <x:c r="B13" s="4" t="inlineStr">
        <x:is>
          <x:t xml:space="preserve">河南省</x:t>
        </x:is>
      </x:c>
      <x:c r="C13" s="4" t="n">
        <x:v>100</x:v>
      </x:c>
      <x:c r="D13" s="4" t="inlineStr">
        <x:is>
          <x:t xml:space="preserve">1.9%</x:t>
        </x:is>
      </x:c>
    </x:row>
    <x:row r="14">
      <x:c r="A14" s="2" t="n">
        <x:v>13</x:v>
      </x:c>
      <x:c r="B14" s="2" t="inlineStr">
        <x:is>
          <x:t xml:space="preserve">江西省</x:t>
        </x:is>
      </x:c>
      <x:c r="C14" s="2" t="n">
        <x:v>88</x:v>
      </x:c>
      <x:c r="D14" s="2" t="inlineStr">
        <x:is>
          <x:t xml:space="preserve">1.7%</x:t>
        </x:is>
      </x:c>
    </x:row>
    <x:row r="15">
      <x:c r="A15" s="4" t="n">
        <x:v>14</x:v>
      </x:c>
      <x:c r="B15" s="4" t="inlineStr">
        <x:is>
          <x:t xml:space="preserve">陕西省</x:t>
        </x:is>
      </x:c>
      <x:c r="C15" s="4" t="n">
        <x:v>78</x:v>
      </x:c>
      <x:c r="D15" s="4" t="inlineStr">
        <x:is>
          <x:t xml:space="preserve">1.5%</x:t>
        </x:is>
      </x:c>
    </x:row>
    <x:row r="16">
      <x:c r="A16" s="2" t="n">
        <x:v>15</x:v>
      </x:c>
      <x:c r="B16" s="2" t="inlineStr">
        <x:is>
          <x:t xml:space="preserve">辽宁省</x:t>
        </x:is>
      </x:c>
      <x:c r="C16" s="2" t="n">
        <x:v>77</x:v>
      </x:c>
      <x:c r="D16" s="2" t="inlineStr">
        <x:is>
          <x:t xml:space="preserve">1.5%</x:t>
        </x:is>
      </x:c>
    </x:row>
    <x:row r="17">
      <x:c r="A17" s="4" t="n">
        <x:v>16</x:v>
      </x:c>
      <x:c r="B17" s="4" t="inlineStr">
        <x:is>
          <x:t xml:space="preserve">河北省</x:t>
        </x:is>
      </x:c>
      <x:c r="C17" s="4" t="n">
        <x:v>75</x:v>
      </x:c>
      <x:c r="D17" s="4" t="inlineStr">
        <x:is>
          <x:t xml:space="preserve">1.4%</x:t>
        </x:is>
      </x:c>
    </x:row>
    <x:row r="18">
      <x:c r="A18" s="2" t="n">
        <x:v>17</x:v>
      </x:c>
      <x:c r="B18" s="2" t="inlineStr">
        <x:is>
          <x:t xml:space="preserve">重庆市</x:t>
        </x:is>
      </x:c>
      <x:c r="C18" s="2" t="n">
        <x:v>73</x:v>
      </x:c>
      <x:c r="D18" s="2" t="inlineStr">
        <x:is>
          <x:t xml:space="preserve">1.4%</x:t>
        </x:is>
      </x:c>
    </x:row>
    <x:row r="19">
      <x:c r="A19" s="4" t="n">
        <x:v>18</x:v>
      </x:c>
      <x:c r="B19" s="4" t="inlineStr">
        <x:is>
          <x:t xml:space="preserve">天津市</x:t>
        </x:is>
      </x:c>
      <x:c r="C19" s="4" t="n">
        <x:v>69</x:v>
      </x:c>
      <x:c r="D19" s="4" t="inlineStr">
        <x:is>
          <x:t xml:space="preserve">1.3%</x:t>
        </x:is>
      </x:c>
    </x:row>
    <x:row r="20">
      <x:c r="A20" s="2" t="n">
        <x:v>19</x:v>
      </x:c>
      <x:c r="B20" s="2" t="inlineStr">
        <x:is>
          <x:t xml:space="preserve">新疆维吾尔自治区</x:t>
        </x:is>
      </x:c>
      <x:c r="C20" s="2" t="n">
        <x:v>61</x:v>
      </x:c>
      <x:c r="D20" s="2" t="inlineStr">
        <x:is>
          <x:t xml:space="preserve">1.2%</x:t>
        </x:is>
      </x:c>
    </x:row>
    <x:row r="21">
      <x:c r="A21" s="4" t="n">
        <x:v>20</x:v>
      </x:c>
      <x:c r="B21" s="4" t="inlineStr">
        <x:is>
          <x:t xml:space="preserve">吉林省</x:t>
        </x:is>
      </x:c>
      <x:c r="C21" s="4" t="n">
        <x:v>46</x:v>
      </x:c>
      <x:c r="D21" s="4" t="inlineStr">
        <x:is>
          <x:t xml:space="preserve">0.9%</x:t>
        </x:is>
      </x:c>
    </x:row>
    <x:row r="22">
      <x:c r="A22" s="2" t="n">
        <x:v>21</x:v>
      </x:c>
      <x:c r="B22" s="2" t="inlineStr">
        <x:is>
          <x:t xml:space="preserve">广西壮族自治区</x:t>
        </x:is>
      </x:c>
      <x:c r="C22" s="2" t="n">
        <x:v>39</x:v>
      </x:c>
      <x:c r="D22" s="2" t="inlineStr">
        <x:is>
          <x:t xml:space="preserve">0.8%</x:t>
        </x:is>
      </x:c>
    </x:row>
    <x:row r="23">
      <x:c r="A23" s="4" t="n">
        <x:v>22</x:v>
      </x:c>
      <x:c r="B23" s="4" t="inlineStr">
        <x:is>
          <x:t xml:space="preserve">山西省</x:t>
        </x:is>
      </x:c>
      <x:c r="C23" s="4" t="n">
        <x:v>38</x:v>
      </x:c>
      <x:c r="D23" s="4" t="inlineStr">
        <x:is>
          <x:t xml:space="preserve">0.7%</x:t>
        </x:is>
      </x:c>
    </x:row>
    <x:row r="24">
      <x:c r="A24" s="2" t="n">
        <x:v>23</x:v>
      </x:c>
      <x:c r="B24" s="2" t="inlineStr">
        <x:is>
          <x:t xml:space="preserve">黑龙江省</x:t>
        </x:is>
      </x:c>
      <x:c r="C24" s="2" t="n">
        <x:v>37</x:v>
      </x:c>
      <x:c r="D24" s="2" t="inlineStr">
        <x:is>
          <x:t xml:space="preserve">0.7%</x:t>
        </x:is>
      </x:c>
    </x:row>
    <x:row r="25">
      <x:c r="A25" s="4" t="n">
        <x:v>24</x:v>
      </x:c>
      <x:c r="B25" s="4" t="inlineStr">
        <x:is>
          <x:t xml:space="preserve">云南省</x:t>
        </x:is>
      </x:c>
      <x:c r="C25" s="4" t="n">
        <x:v>37</x:v>
      </x:c>
      <x:c r="D25" s="4" t="inlineStr">
        <x:is>
          <x:t xml:space="preserve">0.7%</x:t>
        </x:is>
      </x:c>
    </x:row>
    <x:row r="26">
      <x:c r="A26" s="2" t="n">
        <x:v>25</x:v>
      </x:c>
      <x:c r="B26" s="2" t="inlineStr">
        <x:is>
          <x:t xml:space="preserve">甘肃省</x:t>
        </x:is>
      </x:c>
      <x:c r="C26" s="2" t="n">
        <x:v>34</x:v>
      </x:c>
      <x:c r="D26" s="2" t="inlineStr">
        <x:is>
          <x:t xml:space="preserve">0.7%</x:t>
        </x:is>
      </x:c>
    </x:row>
    <x:row r="27">
      <x:c r="A27" s="4" t="n">
        <x:v>26</x:v>
      </x:c>
      <x:c r="B27" s="4" t="inlineStr">
        <x:is>
          <x:t xml:space="preserve">贵州省</x:t>
        </x:is>
      </x:c>
      <x:c r="C27" s="4" t="n">
        <x:v>33</x:v>
      </x:c>
      <x:c r="D27" s="4" t="inlineStr">
        <x:is>
          <x:t xml:space="preserve">0.6%</x:t>
        </x:is>
      </x:c>
    </x:row>
    <x:row r="28">
      <x:c r="A28" s="2" t="n">
        <x:v>27</x:v>
      </x:c>
      <x:c r="B28" s="2" t="inlineStr">
        <x:is>
          <x:t xml:space="preserve">海南省</x:t>
        </x:is>
      </x:c>
      <x:c r="C28" s="2" t="n">
        <x:v>27</x:v>
      </x:c>
      <x:c r="D28" s="2" t="inlineStr">
        <x:is>
          <x:t xml:space="preserve">0.5%</x:t>
        </x:is>
      </x:c>
    </x:row>
    <x:row r="29">
      <x:c r="A29" s="4" t="n">
        <x:v>28</x:v>
      </x:c>
      <x:c r="B29" s="4" t="inlineStr">
        <x:is>
          <x:t xml:space="preserve">内蒙古自治区</x:t>
        </x:is>
      </x:c>
      <x:c r="C29" s="4" t="n">
        <x:v>27</x:v>
      </x:c>
      <x:c r="D29" s="4" t="inlineStr">
        <x:is>
          <x:t xml:space="preserve">0.5%</x:t>
        </x:is>
      </x:c>
    </x:row>
    <x:row r="30">
      <x:c r="A30" s="2" t="n">
        <x:v>29</x:v>
      </x:c>
      <x:c r="B30" s="2" t="inlineStr">
        <x:is>
          <x:t xml:space="preserve">西藏自治区</x:t>
        </x:is>
      </x:c>
      <x:c r="C30" s="2" t="n">
        <x:v>22</x:v>
      </x:c>
      <x:c r="D30" s="2" t="inlineStr">
        <x:is>
          <x:t xml:space="preserve">0.4%</x:t>
        </x:is>
      </x:c>
    </x:row>
    <x:row r="31">
      <x:c r="A31" s="4" t="n">
        <x:v>30</x:v>
      </x:c>
      <x:c r="B31" s="4" t="inlineStr">
        <x:is>
          <x:t xml:space="preserve">宁夏回族自治区</x:t>
        </x:is>
      </x:c>
      <x:c r="C31" s="4" t="n">
        <x:v>14</x:v>
      </x:c>
      <x:c r="D31" s="4" t="inlineStr">
        <x:is>
          <x:t xml:space="preserve">0.3%</x:t>
        </x:is>
      </x:c>
    </x:row>
    <x:row r="32">
      <x:c r="A32" s="2" t="n">
        <x:v>31</x:v>
      </x:c>
      <x:c r="B32" s="2" t="inlineStr">
        <x:is>
          <x:t xml:space="preserve">青海省</x:t>
        </x:is>
      </x:c>
      <x:c r="C32" s="2" t="n">
        <x:v>10</x:v>
      </x:c>
      <x:c r="D32" s="2" t="inlineStr">
        <x:is>
          <x:t xml:space="preserve">0.2%</x:t>
        </x:is>
      </x:c>
    </x:row>
    <x:row r="33">
      <x:c r="A33" s="4" t="n">
        <x:v>32</x:v>
      </x:c>
      <x:c r="B33" s="4" t="inlineStr">
        <x:is>
          <x:t xml:space="preserve">境外</x:t>
        </x:is>
      </x:c>
      <x:c r="C33" s="4" t="n">
        <x:v>6</x:v>
      </x:c>
      <x:c r="D33" s="4" t="inlineStr">
        <x:is>
          <x:t xml:space="preserve">0.1%</x:t>
        </x:is>
      </x:c>
    </x:row>
    <x:row r="34">
      <x:c r="A34" s="2" t="n">
        <x:v>33</x:v>
      </x:c>
      <x:c r="B34" s="2" t="inlineStr">
        <x:is>
          <x:t xml:space="preserve">--</x:t>
        </x:is>
      </x:c>
      <x:c r="C34" s="2" t="n">
        <x:v>3</x:v>
      </x:c>
      <x:c r="D34" s="2" t="inlineStr">
        <x:is>
          <x:t xml:space="preserve">0.1%</x:t>
        </x:is>
      </x:c>
    </x:row>
    <x:row r="35">
      <x:c r="A35" s="4" t="n">
        <x:v>34</x:v>
      </x:c>
      <x:c r="B35" s="4" t="inlineStr">
        <x:is>
          <x:t xml:space="preserve"/>
        </x:is>
      </x:c>
      <x:c r="C35" s="4" t="n">
        <x:v>3</x:v>
      </x:c>
      <x:c r="D35" s="4" t="inlineStr">
        <x:is>
          <x:t xml:space="preserve">0.1%</x:t>
        </x:is>
      </x:c>
    </x:row>
    <x:row r="36">
      <x:c r="A36" s="6" t="inlineStr">
        <x:is>
          <x:t xml:space="preserve"/>
        </x:is>
      </x:c>
      <x:c r="B36" s="7" t="inlineStr">
        <x:is>
          <x:t xml:space="preserve">合计</x:t>
        </x:is>
      </x:c>
      <x:c r="C36" s="7" t="n">
        <x:v>5190</x:v>
      </x:c>
      <x:c r="D36" s="7" t="inlineStr">
        <x:is>
          <x:t xml:space="preserve">100.0%</x:t>
        </x:is>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7.780000686645508" hidden="0" customWidth="1"/>
    <x:col min="2" max="2" width="17.780000686645508" hidden="0" customWidth="1"/>
    <x:col min="3" max="3" width="17.780000686645508" hidden="0" customWidth="1"/>
    <x:col min="4" max="4" width="17.780000686645508" hidden="0" customWidth="1"/>
    <x:col min="5" max="5" width="17.780000686645508" hidden="0" customWidth="1"/>
    <x:col min="6" max="6" width="17.780000686645508" hidden="0" customWidth="1"/>
  </x:cols>
  <x:sheetData>
    <x:row r="1">
      <x:c r="A1" s="15" t="str">
        <x:v>说明</x:v>
      </x:c>
      <x:c r="B1" s="15" t="str">
        <x:v>来源</x:v>
      </x:c>
      <x:c r="C1" s="15" t="str">
        <x:v>校验</x:v>
      </x:c>
      <x:c r="D1" s="15" t="str">
        <x:v>已补充</x:v>
      </x:c>
      <x:c r="E1" s="15" t="str">
        <x:v>未补充</x:v>
      </x:c>
      <x:c r="F1" s="15"/>
    </x:row>
    <x:row r="2">
      <x:c r="A2" s="16" t="str">
        <x:v>主表 K 列为按股票代码查询并写入的统一社会信用代码；未能确认 18 位大陆统一社会信用代码的主体留空。</x:v>
      </x:c>
      <x:c r="B2" s="16" t="str">
        <x:v>东方财富公开公司资料接口 REG_NUM 字段</x:v>
      </x:c>
      <x:c r="C2" s="16" t="str">
        <x:v>18 位统一社会信用代码格式及校验位</x:v>
      </x:c>
      <x:c r="D2" s="16" t="n">
        <x:v>5181</x:v>
      </x:c>
      <x:c r="E2" s="16" t="n">
        <x:v>9</x:v>
      </x:c>
      <x:c r="F2" s="16"/>
    </x:row>
    <x:row r="3">
      <x:c r="A3" s="16"/>
      <x:c r="B3" s="16"/>
      <x:c r="C3" s="16"/>
      <x:c r="D3" s="16"/>
      <x:c r="E3" s="16"/>
      <x:c r="F3" s="16"/>
    </x:row>
    <x:row r="4">
      <x:c r="A4" s="15" t="str">
        <x:v>行号</x:v>
      </x:c>
      <x:c r="B4" s="15" t="str">
        <x:v>股票代码</x:v>
      </x:c>
      <x:c r="C4" s="15" t="str">
        <x:v>股票简称</x:v>
      </x:c>
      <x:c r="D4" s="15" t="str">
        <x:v>表内公司全称</x:v>
      </x:c>
      <x:c r="E4" s="15" t="str">
        <x:v>来源公司全称</x:v>
      </x:c>
      <x:c r="F4" s="15" t="str">
        <x:v>原因</x:v>
      </x:c>
    </x:row>
    <x:row r="5">
      <x:c r="A5" s="16" t="n">
        <x:v>5</x:v>
      </x:c>
      <x:c r="B5" s="16" t="str">
        <x:v>600938</x:v>
      </x:c>
      <x:c r="C5" s="16" t="str">
        <x:v>中国海油</x:v>
      </x:c>
      <x:c r="D5" s="16" t="str">
        <x:v>中国海洋石油有限公司</x:v>
      </x:c>
      <x:c r="E5" s="16" t="str">
        <x:v>中国海洋石油有限公司</x:v>
      </x:c>
      <x:c r="F5" s="16" t="str">
        <x:v>来源未返回大陆统一社会信用代码</x:v>
      </x:c>
    </x:row>
    <x:row r="6">
      <x:c r="A6" s="16" t="n">
        <x:v>6</x:v>
      </x:c>
      <x:c r="B6" s="16" t="str">
        <x:v>600941</x:v>
      </x:c>
      <x:c r="C6" s="16" t="str">
        <x:v>中国移动</x:v>
      </x:c>
      <x:c r="D6" s="16" t="str">
        <x:v>中国移动有限公司</x:v>
      </x:c>
      <x:c r="E6" s="16" t="str">
        <x:v>中国移动有限公司</x:v>
      </x:c>
      <x:c r="F6" s="16" t="str">
        <x:v>来源未返回大陆统一社会信用代码</x:v>
      </x:c>
    </x:row>
    <x:row r="7">
      <x:c r="A7" s="16" t="n">
        <x:v>7</x:v>
      </x:c>
      <x:c r="B7" s="16" t="str">
        <x:v>688347</x:v>
      </x:c>
      <x:c r="C7" s="16" t="str">
        <x:v>华虹公司</x:v>
      </x:c>
      <x:c r="D7" s="16" t="str">
        <x:v>华虹半导体有限公司</x:v>
      </x:c>
      <x:c r="E7" s="16" t="str">
        <x:v>华虹宏力半导体有限公司</x:v>
      </x:c>
      <x:c r="F7" s="16" t="str">
        <x:v>来源未返回大陆统一社会信用代码</x:v>
      </x:c>
    </x:row>
    <x:row r="8">
      <x:c r="A8" s="16" t="n">
        <x:v>1174</x:v>
      </x:c>
      <x:c r="B8" s="16" t="str">
        <x:v>0000--</x:v>
      </x:c>
      <x:c r="C8" s="16" t="str">
        <x:v>--</x:v>
      </x:c>
      <x:c r="D8" s="16" t="str">
        <x:v>九号有限公司</x:v>
      </x:c>
      <x:c r="E8" s="16" t="str"/>
      <x:c r="F8" s="16" t="str">
        <x:v>来源未返回大陆统一社会信用代码</x:v>
      </x:c>
    </x:row>
    <x:row r="9">
      <x:c r="A9" s="16" t="n">
        <x:v>1175</x:v>
      </x:c>
      <x:c r="B9" s="16" t="str">
        <x:v>688235</x:v>
      </x:c>
      <x:c r="C9" s="16" t="str">
        <x:v>百济神州</x:v>
      </x:c>
      <x:c r="D9" s="16" t="str">
        <x:v>百济神州有限公司</x:v>
      </x:c>
      <x:c r="E9" s="16" t="str">
        <x:v>百济神州有限公司</x:v>
      </x:c>
      <x:c r="F9" s="16" t="str">
        <x:v>来源未返回大陆统一社会信用代码</x:v>
      </x:c>
    </x:row>
    <x:row r="10">
      <x:c r="A10" s="16" t="n">
        <x:v>1176</x:v>
      </x:c>
      <x:c r="B10" s="16" t="str">
        <x:v>688396</x:v>
      </x:c>
      <x:c r="C10" s="16" t="str">
        <x:v>华润微</x:v>
      </x:c>
      <x:c r="D10" s="16" t="str">
        <x:v>华润微电子有限公司</x:v>
      </x:c>
      <x:c r="E10" s="16" t="str">
        <x:v>华润微电子有限公司</x:v>
      </x:c>
      <x:c r="F10" s="16" t="str">
        <x:v>来源未返回大陆统一社会信用代码</x:v>
      </x:c>
    </x:row>
    <x:row r="11">
      <x:c r="A11" s="16" t="n">
        <x:v>1177</x:v>
      </x:c>
      <x:c r="B11" s="16" t="str">
        <x:v>688428</x:v>
      </x:c>
      <x:c r="C11" s="16" t="str">
        <x:v>诺诚健华</x:v>
      </x:c>
      <x:c r="D11" s="16" t="str">
        <x:v>诺诚健华医药有限公司</x:v>
      </x:c>
      <x:c r="E11" s="16" t="str">
        <x:v>诺诚健华医药有限公司</x:v>
      </x:c>
      <x:c r="F11" s="16" t="str">
        <x:v>来源未返回大陆统一社会信用代码</x:v>
      </x:c>
    </x:row>
    <x:row r="12">
      <x:c r="A12" s="16" t="n">
        <x:v>1178</x:v>
      </x:c>
      <x:c r="B12" s="16" t="str">
        <x:v>688728</x:v>
      </x:c>
      <x:c r="C12" s="16" t="str">
        <x:v>格科微</x:v>
      </x:c>
      <x:c r="D12" s="16" t="str">
        <x:v>格科微有限公司</x:v>
      </x:c>
      <x:c r="E12" s="16" t="str">
        <x:v>格科微有限公司</x:v>
      </x:c>
      <x:c r="F12" s="16" t="str">
        <x:v>来源未返回大陆统一社会信用代码</x:v>
      </x:c>
    </x:row>
    <x:row r="13">
      <x:c r="A13" s="16" t="n">
        <x:v>1179</x:v>
      </x:c>
      <x:c r="B13" s="16" t="str">
        <x:v>688981</x:v>
      </x:c>
      <x:c r="C13" s="16" t="str">
        <x:v>中芯国际</x:v>
      </x:c>
      <x:c r="D13" s="16" t="str">
        <x:v>中芯国际集成电路制造有限公司</x:v>
      </x:c>
      <x:c r="E13" s="16" t="str">
        <x:v>中芯国际集成电路制造有限公司</x:v>
      </x:c>
      <x:c r="F13" s="16" t="str">
        <x:v>来源未返回大陆统一社会信用代码</x:v>
      </x:c>
    </x:row>
  </x:sheetData>
  <x:pageMargins left="0.7" right="0.7" top="0.75" bottom="0.75" header="0.3" footer="0.3"/>
</x:worksheet>
</file>