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12ce7d413e40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匹配表" sheetId="1" r:id="R0b5460c3347947de"/>
    <x:sheet xmlns:r="http://schemas.openxmlformats.org/officeDocument/2006/relationships" name="完整性校验" sheetId="2" r:id="R2b18b1db851741f2"/>
    <x:sheet xmlns:r="http://schemas.openxmlformats.org/officeDocument/2006/relationships" name="口径说明" sheetId="3" r:id="Rdff4a5db3fad42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1">
    <x:font>
      <x:sz val="11"/>
      <x:name val="Carlito"/>
    </x:font>
    <x:font>
      <x:b/>
      <x:sz val="11"/>
      <x:color rgb="FFFFFFFF"/>
      <x:name val="Carlito"/>
    </x:font>
    <x:font>
      <x:sz val="10"/>
      <x:color rgb="FF203040"/>
      <x:name val="Carlito"/>
    </x:font>
    <x:font>
      <x:b/>
      <x:sz val="14"/>
      <x:color rgb="FFFFFFFF"/>
      <x:name val="Carlito"/>
    </x:font>
    <x:font>
      <x:b/>
      <x:sz val="11"/>
      <x:color rgb="FF1F4E78"/>
      <x:name val="Carlito"/>
    </x:font>
    <x:font>
      <x:b/>
      <x:sz val="14"/>
      <x:color rgb="FF548235"/>
      <x:name val="Carlito"/>
    </x:font>
    <x:font>
      <x:b/>
      <x:sz val="10"/>
      <x:color rgb="FFFFFFFF"/>
      <x:name val="Carlito"/>
    </x:font>
    <x:font>
      <x:sz val="9"/>
      <x:name val="Carlito"/>
    </x:font>
    <x:font>
      <x:i/>
      <x:sz val="9"/>
      <x:color rgb="FF203040"/>
      <x:name val="Carlito"/>
    </x:font>
    <x:font>
      <x:sz val="10"/>
      <x:name val="Carlito"/>
    </x:font>
    <x:font>
      <x:b/>
      <x:sz val="10"/>
      <x:color rgb="FF1F4E7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2F75B5"/>
      </x:patternFill>
    </x:fill>
    <x:fill>
      <x:patternFill patternType="solid">
        <x:fgColor rgb="FFF2F2F2"/>
      </x:patternFill>
    </x:fill>
  </x:fills>
  <x:borders count="3">
    <x:border/>
    <x:border>
      <x:top style="medium">
        <x:color rgb="FF2F75B5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5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d1a2c4ab1d42eb" /><Relationship Type="http://schemas.openxmlformats.org/officeDocument/2006/relationships/theme" Target="/xl/theme/theme1.xml" Id="R2d87404bb9df4e3f" /><Relationship Type="http://schemas.openxmlformats.org/officeDocument/2006/relationships/sharedStrings" Target="/xl/sharedStrings.xml" Id="Re240bc7235af4b76" /><Relationship Type="http://schemas.openxmlformats.org/officeDocument/2006/relationships/worksheet" Target="/xl/worksheets/sheet1.xml" Id="R0b5460c3347947de" /><Relationship Type="http://schemas.openxmlformats.org/officeDocument/2006/relationships/worksheet" Target="/xl/worksheets/sheet2.xml" Id="R2b18b1db851741f2" /><Relationship Type="http://schemas.openxmlformats.org/officeDocument/2006/relationships/worksheet" Target="/xl/worksheets/sheet3.xml" Id="Rdff4a5db3fad4261" /></Relationships>
</file>

<file path=xl/tables/table1.xml><?xml version="1.0" encoding="utf-8"?>
<x:table xmlns:x="http://schemas.openxmlformats.org/spreadsheetml/2006/main" id="1" name="IndustryStageMapping" displayName="IndustryStageMapping" ref="A1:D358" headerRowCount="1" totalsRowCount="0" totalsRowShown="0">
  <x:tableColumns count="4">
    <x:tableColumn id="1" name="产业链"/>
    <x:tableColumn id="2" name="产业环节"/>
    <x:tableColumn id="3" name="匹配行业"/>
    <x:tableColumn id="4" name="行业代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verageCheck" displayName="CoverageCheck" ref="A4:F61" headerRowCount="1" totalsRowCount="0" totalsRowShown="0">
  <x:tableColumns count="6">
    <x:tableColumn id="1" name="序号"/>
    <x:tableColumn id="2" name="产业链"/>
    <x:tableColumn id="3" name="阶段"/>
    <x:tableColumn id="4" name="产业环节"/>
    <x:tableColumn id="5" name="匹配行业行数"/>
    <x:tableColumn id="6" name="覆盖状态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MethodNotes" displayName="MethodNotes" ref="A3:C12" headerRowCount="1" totalsRowCount="0" totalsRowShown="0">
  <x:tableColumns count="3">
    <x:tableColumn id="1" name="项目"/>
    <x:tableColumn id="2" name="说明"/>
    <x:tableColumn id="3" name="来源/链接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abdddab9bd43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cc39509fbc84b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6ec14f5848945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26.670000076293945" hidden="0" customWidth="1"/>
    <x:col min="3" max="3" width="25.559999465942383" hidden="0" customWidth="1"/>
    <x:col min="4" max="4" width="10" hidden="0" customWidth="1"/>
  </x:cols>
  <x:sheetData>
    <x:row r="1" ht="30" customHeight="1">
      <x:c r="A1" s="5" t="str">
        <x:v>产业链</x:v>
      </x:c>
      <x:c r="B1" s="5" t="str">
        <x:v>产业环节</x:v>
      </x:c>
      <x:c r="C1" s="5" t="str">
        <x:v>匹配行业</x:v>
      </x:c>
      <x:c r="D1" s="5" t="str">
        <x:v>行业代码</x:v>
      </x:c>
    </x:row>
    <x:row r="2" ht="28" customHeight="1">
      <x:c r="A2" s="8" t="str">
        <x:v>数据要素与数字经济产业链</x:v>
      </x:c>
      <x:c r="B2" s="8" t="str">
        <x:v>数据资源采集与基础设施</x:v>
      </x:c>
      <x:c r="C2" s="8" t="str">
        <x:v>计算机外围设备制造</x:v>
      </x:c>
      <x:c r="D2" s="10" t="str">
        <x:v>3913</x:v>
      </x:c>
    </x:row>
    <x:row r="3" ht="28" customHeight="1">
      <x:c r="A3" s="8" t="str">
        <x:v>数据要素与数字经济产业链</x:v>
      </x:c>
      <x:c r="B3" s="8" t="str">
        <x:v>数据资源采集与基础设施</x:v>
      </x:c>
      <x:c r="C3" s="8" t="str">
        <x:v>通信系统设备制造</x:v>
      </x:c>
      <x:c r="D3" s="10" t="str">
        <x:v>3921</x:v>
      </x:c>
    </x:row>
    <x:row r="4" ht="28" customHeight="1">
      <x:c r="A4" s="8" t="str">
        <x:v>数据要素与数字经济产业链</x:v>
      </x:c>
      <x:c r="B4" s="8" t="str">
        <x:v>数据资源采集与基础设施</x:v>
      </x:c>
      <x:c r="C4" s="8" t="str">
        <x:v>敏感元件及传感器制造</x:v>
      </x:c>
      <x:c r="D4" s="10" t="str">
        <x:v>3983</x:v>
      </x:c>
    </x:row>
    <x:row r="5" ht="28" customHeight="1">
      <x:c r="A5" s="8" t="str">
        <x:v>数据要素与数字经济产业链</x:v>
      </x:c>
      <x:c r="B5" s="8" t="str">
        <x:v>数据资源采集与基础设施</x:v>
      </x:c>
      <x:c r="C5" s="8" t="str">
        <x:v>互联网数据服务</x:v>
      </x:c>
      <x:c r="D5" s="10" t="str">
        <x:v>6450</x:v>
      </x:c>
    </x:row>
    <x:row r="6" ht="28" customHeight="1">
      <x:c r="A6" s="8" t="str">
        <x:v>数据要素与数字经济产业链</x:v>
      </x:c>
      <x:c r="B6" s="8" t="str">
        <x:v>数据资源采集与基础设施</x:v>
      </x:c>
      <x:c r="C6" s="8" t="str">
        <x:v>物联网技术服务</x:v>
      </x:c>
      <x:c r="D6" s="10" t="str">
        <x:v>6532</x:v>
      </x:c>
    </x:row>
    <x:row r="7" ht="28" customHeight="1">
      <x:c r="A7" s="8" t="str">
        <x:v>数据要素与数字经济产业链</x:v>
      </x:c>
      <x:c r="B7" s="8" t="str">
        <x:v>数据治理、流通与服务</x:v>
      </x:c>
      <x:c r="C7" s="8" t="str">
        <x:v>支撑软件开发</x:v>
      </x:c>
      <x:c r="D7" s="10" t="str">
        <x:v>6512</x:v>
      </x:c>
    </x:row>
    <x:row r="8" ht="28" customHeight="1">
      <x:c r="A8" s="8" t="str">
        <x:v>数据要素与数字经济产业链</x:v>
      </x:c>
      <x:c r="B8" s="8" t="str">
        <x:v>数据治理、流通与服务</x:v>
      </x:c>
      <x:c r="C8" s="8" t="str">
        <x:v>信息系统集成服务</x:v>
      </x:c>
      <x:c r="D8" s="10" t="str">
        <x:v>6531</x:v>
      </x:c>
    </x:row>
    <x:row r="9" ht="28" customHeight="1">
      <x:c r="A9" s="8" t="str">
        <x:v>数据要素与数字经济产业链</x:v>
      </x:c>
      <x:c r="B9" s="8" t="str">
        <x:v>数据治理、流通与服务</x:v>
      </x:c>
      <x:c r="C9" s="8" t="str">
        <x:v>信息处理和存储支持服务</x:v>
      </x:c>
      <x:c r="D9" s="10" t="str">
        <x:v>6550</x:v>
      </x:c>
    </x:row>
    <x:row r="10" ht="28" customHeight="1">
      <x:c r="A10" s="8" t="str">
        <x:v>数据要素与数字经济产业链</x:v>
      </x:c>
      <x:c r="B10" s="8" t="str">
        <x:v>数据治理、流通与服务</x:v>
      </x:c>
      <x:c r="C10" s="8" t="str">
        <x:v>信息技术咨询服务</x:v>
      </x:c>
      <x:c r="D10" s="10" t="str">
        <x:v>6560</x:v>
      </x:c>
    </x:row>
    <x:row r="11" ht="28" customHeight="1">
      <x:c r="A11" s="8" t="str">
        <x:v>数据要素与数字经济产业链</x:v>
      </x:c>
      <x:c r="B11" s="8" t="str">
        <x:v>数据治理、流通与服务</x:v>
      </x:c>
      <x:c r="C11" s="8" t="str">
        <x:v>其他未列明信息技术服务业</x:v>
      </x:c>
      <x:c r="D11" s="10" t="str">
        <x:v>6599</x:v>
      </x:c>
    </x:row>
    <x:row r="12" ht="28" customHeight="1">
      <x:c r="A12" s="8" t="str">
        <x:v>数据要素与数字经济产业链</x:v>
      </x:c>
      <x:c r="B12" s="8" t="str">
        <x:v>数字经济场景应用与内容创意</x:v>
      </x:c>
      <x:c r="C12" s="8" t="str">
        <x:v>应用软件开发</x:v>
      </x:c>
      <x:c r="D12" s="10" t="str">
        <x:v>6513</x:v>
      </x:c>
    </x:row>
    <x:row r="13" ht="28" customHeight="1">
      <x:c r="A13" s="8" t="str">
        <x:v>数据要素与数字经济产业链</x:v>
      </x:c>
      <x:c r="B13" s="8" t="str">
        <x:v>数字经济场景应用与内容创意</x:v>
      </x:c>
      <x:c r="C13" s="8" t="str">
        <x:v>互联网生产服务平台</x:v>
      </x:c>
      <x:c r="D13" s="10" t="str">
        <x:v>6431</x:v>
      </x:c>
    </x:row>
    <x:row r="14" ht="28" customHeight="1">
      <x:c r="A14" s="8" t="str">
        <x:v>数据要素与数字经济产业链</x:v>
      </x:c>
      <x:c r="B14" s="8" t="str">
        <x:v>数字经济场景应用与内容创意</x:v>
      </x:c>
      <x:c r="C14" s="8" t="str">
        <x:v>互联网生活服务平台</x:v>
      </x:c>
      <x:c r="D14" s="10" t="str">
        <x:v>6432</x:v>
      </x:c>
    </x:row>
    <x:row r="15" ht="28" customHeight="1">
      <x:c r="A15" s="8" t="str">
        <x:v>数据要素与数字经济产业链</x:v>
      </x:c>
      <x:c r="B15" s="8" t="str">
        <x:v>数字经济场景应用与内容创意</x:v>
      </x:c>
      <x:c r="C15" s="8" t="str">
        <x:v>动漫、游戏数字内容服务</x:v>
      </x:c>
      <x:c r="D15" s="10" t="str">
        <x:v>6572</x:v>
      </x:c>
    </x:row>
    <x:row r="16" ht="28" customHeight="1">
      <x:c r="A16" s="8" t="str">
        <x:v>数据要素与数字经济产业链</x:v>
      </x:c>
      <x:c r="B16" s="8" t="str">
        <x:v>数字经济场景应用与内容创意</x:v>
      </x:c>
      <x:c r="C16" s="8" t="str">
        <x:v>其他数字内容服务</x:v>
      </x:c>
      <x:c r="D16" s="10" t="str">
        <x:v>6579</x:v>
      </x:c>
    </x:row>
    <x:row r="17" ht="28" customHeight="1">
      <x:c r="A17" s="8" t="str">
        <x:v>数据要素与数字经济产业链</x:v>
      </x:c>
      <x:c r="B17" s="8" t="str">
        <x:v>数字经济场景应用与内容创意</x:v>
      </x:c>
      <x:c r="C17" s="8" t="str">
        <x:v>专业设计服务</x:v>
      </x:c>
      <x:c r="D17" s="10" t="str">
        <x:v>7492</x:v>
      </x:c>
    </x:row>
    <x:row r="18" ht="28" customHeight="1">
      <x:c r="A18" s="11" t="str">
        <x:v>高端装备与智能制造产业链</x:v>
      </x:c>
      <x:c r="B18" s="11" t="str">
        <x:v>关键基础件与工业母机</x:v>
      </x:c>
      <x:c r="C18" s="11" t="str">
        <x:v>金属切削机床制造</x:v>
      </x:c>
      <x:c r="D18" s="12" t="str">
        <x:v>3421</x:v>
      </x:c>
    </x:row>
    <x:row r="19" ht="28" customHeight="1">
      <x:c r="A19" s="8" t="str">
        <x:v>高端装备与智能制造产业链</x:v>
      </x:c>
      <x:c r="B19" s="8" t="str">
        <x:v>关键基础件与工业母机</x:v>
      </x:c>
      <x:c r="C19" s="8" t="str">
        <x:v>金属成形机床制造</x:v>
      </x:c>
      <x:c r="D19" s="10" t="str">
        <x:v>3422</x:v>
      </x:c>
    </x:row>
    <x:row r="20" ht="28" customHeight="1">
      <x:c r="A20" s="8" t="str">
        <x:v>高端装备与智能制造产业链</x:v>
      </x:c>
      <x:c r="B20" s="8" t="str">
        <x:v>关键基础件与工业母机</x:v>
      </x:c>
      <x:c r="C20" s="8" t="str">
        <x:v>机床附件制造</x:v>
      </x:c>
      <x:c r="D20" s="10" t="str">
        <x:v>3425</x:v>
      </x:c>
    </x:row>
    <x:row r="21" ht="28" customHeight="1">
      <x:c r="A21" s="8" t="str">
        <x:v>高端装备与智能制造产业链</x:v>
      </x:c>
      <x:c r="B21" s="8" t="str">
        <x:v>关键基础件与工业母机</x:v>
      </x:c>
      <x:c r="C21" s="8" t="str">
        <x:v>机械零部件加工</x:v>
      </x:c>
      <x:c r="D21" s="10" t="str">
        <x:v>3484</x:v>
      </x:c>
    </x:row>
    <x:row r="22" ht="28" customHeight="1">
      <x:c r="A22" s="8" t="str">
        <x:v>高端装备与智能制造产业链</x:v>
      </x:c>
      <x:c r="B22" s="8" t="str">
        <x:v>关键基础件与工业母机</x:v>
      </x:c>
      <x:c r="C22" s="8" t="str">
        <x:v>工业自动控制系统装置制造</x:v>
      </x:c>
      <x:c r="D22" s="10" t="str">
        <x:v>4011</x:v>
      </x:c>
    </x:row>
    <x:row r="23" ht="28" customHeight="1">
      <x:c r="A23" s="8" t="str">
        <x:v>高端装备与智能制造产业链</x:v>
      </x:c>
      <x:c r="B23" s="8" t="str">
        <x:v>高端装备制造与激光加工</x:v>
      </x:c>
      <x:c r="C23" s="8" t="str">
        <x:v>金属切割及焊接设备制造</x:v>
      </x:c>
      <x:c r="D23" s="10" t="str">
        <x:v>3424</x:v>
      </x:c>
    </x:row>
    <x:row r="24" ht="28" customHeight="1">
      <x:c r="A24" s="8" t="str">
        <x:v>高端装备与智能制造产业链</x:v>
      </x:c>
      <x:c r="B24" s="8" t="str">
        <x:v>高端装备制造与激光加工</x:v>
      </x:c>
      <x:c r="C24" s="8" t="str">
        <x:v>工业机器人制造</x:v>
      </x:c>
      <x:c r="D24" s="10" t="str">
        <x:v>3491</x:v>
      </x:c>
    </x:row>
    <x:row r="25" ht="28" customHeight="1">
      <x:c r="A25" s="8" t="str">
        <x:v>高端装备与智能制造产业链</x:v>
      </x:c>
      <x:c r="B25" s="8" t="str">
        <x:v>高端装备制造与激光加工</x:v>
      </x:c>
      <x:c r="C25" s="8" t="str">
        <x:v>增材制造装备制造</x:v>
      </x:c>
      <x:c r="D25" s="10" t="str">
        <x:v>3493</x:v>
      </x:c>
    </x:row>
    <x:row r="26" ht="28" customHeight="1">
      <x:c r="A26" s="8" t="str">
        <x:v>高端装备与智能制造产业链</x:v>
      </x:c>
      <x:c r="B26" s="8" t="str">
        <x:v>高端装备制造与激光加工</x:v>
      </x:c>
      <x:c r="C26" s="8" t="str">
        <x:v>其他未列明通用设备制造业</x:v>
      </x:c>
      <x:c r="D26" s="10" t="str">
        <x:v>3499</x:v>
      </x:c>
    </x:row>
    <x:row r="27" ht="28" customHeight="1">
      <x:c r="A27" s="8" t="str">
        <x:v>高端装备与智能制造产业链</x:v>
      </x:c>
      <x:c r="B27" s="8" t="str">
        <x:v>高端装备制造与激光加工</x:v>
      </x:c>
      <x:c r="C27" s="8" t="str">
        <x:v>其他专用设备制造</x:v>
      </x:c>
      <x:c r="D27" s="10" t="str">
        <x:v>3599</x:v>
      </x:c>
    </x:row>
    <x:row r="28" ht="28" customHeight="1">
      <x:c r="A28" s="8" t="str">
        <x:v>高端装备与智能制造产业链</x:v>
      </x:c>
      <x:c r="B28" s="8" t="str">
        <x:v>高端装备制造与激光加工</x:v>
      </x:c>
      <x:c r="C28" s="8" t="str">
        <x:v>工业自动控制系统装置制造</x:v>
      </x:c>
      <x:c r="D28" s="10" t="str">
        <x:v>4011</x:v>
      </x:c>
    </x:row>
    <x:row r="29" ht="28" customHeight="1">
      <x:c r="A29" s="8" t="str">
        <x:v>高端装备与智能制造产业链</x:v>
      </x:c>
      <x:c r="B29" s="8" t="str">
        <x:v>行业智能制造应用与运维</x:v>
      </x:c>
      <x:c r="C29" s="8" t="str">
        <x:v>通用设备修理</x:v>
      </x:c>
      <x:c r="D29" s="10" t="str">
        <x:v>4320</x:v>
      </x:c>
    </x:row>
    <x:row r="30" ht="28" customHeight="1">
      <x:c r="A30" s="8" t="str">
        <x:v>高端装备与智能制造产业链</x:v>
      </x:c>
      <x:c r="B30" s="8" t="str">
        <x:v>行业智能制造应用与运维</x:v>
      </x:c>
      <x:c r="C30" s="8" t="str">
        <x:v>专用设备修理</x:v>
      </x:c>
      <x:c r="D30" s="10" t="str">
        <x:v>4330</x:v>
      </x:c>
    </x:row>
    <x:row r="31" ht="28" customHeight="1">
      <x:c r="A31" s="8" t="str">
        <x:v>高端装备与智能制造产业链</x:v>
      </x:c>
      <x:c r="B31" s="8" t="str">
        <x:v>行业智能制造应用与运维</x:v>
      </x:c>
      <x:c r="C31" s="8" t="str">
        <x:v>仪器仪表修理</x:v>
      </x:c>
      <x:c r="D31" s="10" t="str">
        <x:v>4360</x:v>
      </x:c>
    </x:row>
    <x:row r="32" ht="28" customHeight="1">
      <x:c r="A32" s="8" t="str">
        <x:v>高端装备与智能制造产业链</x:v>
      </x:c>
      <x:c r="B32" s="8" t="str">
        <x:v>行业智能制造应用与运维</x:v>
      </x:c>
      <x:c r="C32" s="8" t="str">
        <x:v>信息系统集成服务</x:v>
      </x:c>
      <x:c r="D32" s="10" t="str">
        <x:v>6531</x:v>
      </x:c>
    </x:row>
    <x:row r="33" ht="28" customHeight="1">
      <x:c r="A33" s="8" t="str">
        <x:v>高端装备与智能制造产业链</x:v>
      </x:c>
      <x:c r="B33" s="8" t="str">
        <x:v>行业智能制造应用与运维</x:v>
      </x:c>
      <x:c r="C33" s="8" t="str">
        <x:v>运行维护服务</x:v>
      </x:c>
      <x:c r="D33" s="10" t="str">
        <x:v>6540</x:v>
      </x:c>
    </x:row>
    <x:row r="34" ht="28" customHeight="1">
      <x:c r="A34" s="8" t="str">
        <x:v>高端装备与智能制造产业链</x:v>
      </x:c>
      <x:c r="B34" s="8" t="str">
        <x:v>行业智能制造应用与运维</x:v>
      </x:c>
      <x:c r="C34" s="8" t="str">
        <x:v>检测服务</x:v>
      </x:c>
      <x:c r="D34" s="10" t="str">
        <x:v>7452</x:v>
      </x:c>
    </x:row>
    <x:row r="35" ht="28" customHeight="1">
      <x:c r="A35" s="11" t="str">
        <x:v>基础设施与城市建设产业链</x:v>
      </x:c>
      <x:c r="B35" s="11" t="str">
        <x:v>规划设计、建材与工程准备</x:v>
      </x:c>
      <x:c r="C35" s="11" t="str">
        <x:v>工程勘察活动</x:v>
      </x:c>
      <x:c r="D35" s="12" t="str">
        <x:v>7483</x:v>
      </x:c>
    </x:row>
    <x:row r="36" ht="28" customHeight="1">
      <x:c r="A36" s="8" t="str">
        <x:v>基础设施与城市建设产业链</x:v>
      </x:c>
      <x:c r="B36" s="8" t="str">
        <x:v>规划设计、建材与工程准备</x:v>
      </x:c>
      <x:c r="C36" s="8" t="str">
        <x:v>工程设计活动</x:v>
      </x:c>
      <x:c r="D36" s="10" t="str">
        <x:v>7484</x:v>
      </x:c>
    </x:row>
    <x:row r="37" ht="28" customHeight="1">
      <x:c r="A37" s="8" t="str">
        <x:v>基础设施与城市建设产业链</x:v>
      </x:c>
      <x:c r="B37" s="8" t="str">
        <x:v>规划设计、建材与工程准备</x:v>
      </x:c>
      <x:c r="C37" s="8" t="str">
        <x:v>工程管理服务</x:v>
      </x:c>
      <x:c r="D37" s="10" t="str">
        <x:v>7481</x:v>
      </x:c>
    </x:row>
    <x:row r="38" ht="28" customHeight="1">
      <x:c r="A38" s="8" t="str">
        <x:v>基础设施与城市建设产业链</x:v>
      </x:c>
      <x:c r="B38" s="8" t="str">
        <x:v>规划设计、建材与工程准备</x:v>
      </x:c>
      <x:c r="C38" s="8" t="str">
        <x:v>水泥制造</x:v>
      </x:c>
      <x:c r="D38" s="10" t="str">
        <x:v>3011</x:v>
      </x:c>
    </x:row>
    <x:row r="39" ht="28" customHeight="1">
      <x:c r="A39" s="8" t="str">
        <x:v>基础设施与城市建设产业链</x:v>
      </x:c>
      <x:c r="B39" s="8" t="str">
        <x:v>规划设计、建材与工程准备</x:v>
      </x:c>
      <x:c r="C39" s="8" t="str">
        <x:v>水泥制品制造</x:v>
      </x:c>
      <x:c r="D39" s="10" t="str">
        <x:v>3021</x:v>
      </x:c>
    </x:row>
    <x:row r="40" ht="28" customHeight="1">
      <x:c r="A40" s="8" t="str">
        <x:v>基础设施与城市建设产业链</x:v>
      </x:c>
      <x:c r="B40" s="8" t="str">
        <x:v>规划设计、建材与工程准备</x:v>
      </x:c>
      <x:c r="C40" s="8" t="str">
        <x:v>建筑用石加工</x:v>
      </x:c>
      <x:c r="D40" s="10" t="str">
        <x:v>3033</x:v>
      </x:c>
    </x:row>
    <x:row r="41" ht="28" customHeight="1">
      <x:c r="A41" s="8" t="str">
        <x:v>基础设施与城市建设产业链</x:v>
      </x:c>
      <x:c r="B41" s="8" t="str">
        <x:v>规划设计、建材与工程准备</x:v>
      </x:c>
      <x:c r="C41" s="8" t="str">
        <x:v>平板玻璃制造</x:v>
      </x:c>
      <x:c r="D41" s="10" t="str">
        <x:v>3041</x:v>
      </x:c>
    </x:row>
    <x:row r="42" ht="28" customHeight="1">
      <x:c r="A42" s="8" t="str">
        <x:v>基础设施与城市建设产业链</x:v>
      </x:c>
      <x:c r="B42" s="8" t="str">
        <x:v>基础设施建设与房地产开发</x:v>
      </x:c>
      <x:c r="C42" s="8" t="str">
        <x:v>住宅房屋建筑</x:v>
      </x:c>
      <x:c r="D42" s="10" t="str">
        <x:v>4710</x:v>
      </x:c>
    </x:row>
    <x:row r="43" ht="28" customHeight="1">
      <x:c r="A43" s="8" t="str">
        <x:v>基础设施与城市建设产业链</x:v>
      </x:c>
      <x:c r="B43" s="8" t="str">
        <x:v>基础设施建设与房地产开发</x:v>
      </x:c>
      <x:c r="C43" s="8" t="str">
        <x:v>铁路工程建筑</x:v>
      </x:c>
      <x:c r="D43" s="10" t="str">
        <x:v>4811</x:v>
      </x:c>
    </x:row>
    <x:row r="44" ht="28" customHeight="1">
      <x:c r="A44" s="8" t="str">
        <x:v>基础设施与城市建设产业链</x:v>
      </x:c>
      <x:c r="B44" s="8" t="str">
        <x:v>基础设施建设与房地产开发</x:v>
      </x:c>
      <x:c r="C44" s="8" t="str">
        <x:v>公路工程建筑</x:v>
      </x:c>
      <x:c r="D44" s="10" t="str">
        <x:v>4812</x:v>
      </x:c>
    </x:row>
    <x:row r="45" ht="28" customHeight="1">
      <x:c r="A45" s="8" t="str">
        <x:v>基础设施与城市建设产业链</x:v>
      </x:c>
      <x:c r="B45" s="8" t="str">
        <x:v>基础设施建设与房地产开发</x:v>
      </x:c>
      <x:c r="C45" s="8" t="str">
        <x:v>市政道路工程建筑</x:v>
      </x:c>
      <x:c r="D45" s="10" t="str">
        <x:v>4813</x:v>
      </x:c>
    </x:row>
    <x:row r="46" ht="28" customHeight="1">
      <x:c r="A46" s="8" t="str">
        <x:v>基础设施与城市建设产业链</x:v>
      </x:c>
      <x:c r="B46" s="8" t="str">
        <x:v>基础设施建设与房地产开发</x:v>
      </x:c>
      <x:c r="C46" s="8" t="str">
        <x:v>城市轨道交通工程建筑</x:v>
      </x:c>
      <x:c r="D46" s="10" t="str">
        <x:v>4814</x:v>
      </x:c>
    </x:row>
    <x:row r="47" ht="28" customHeight="1">
      <x:c r="A47" s="8" t="str">
        <x:v>基础设施与城市建设产业链</x:v>
      </x:c>
      <x:c r="B47" s="8" t="str">
        <x:v>基础设施建设与房地产开发</x:v>
      </x:c>
      <x:c r="C47" s="8" t="str">
        <x:v>其他道路、隧道和桥梁工程建筑</x:v>
      </x:c>
      <x:c r="D47" s="10" t="str">
        <x:v>4819</x:v>
      </x:c>
    </x:row>
    <x:row r="48" ht="28" customHeight="1">
      <x:c r="A48" s="8" t="str">
        <x:v>基础设施与城市建设产业链</x:v>
      </x:c>
      <x:c r="B48" s="8" t="str">
        <x:v>基础设施建设与房地产开发</x:v>
      </x:c>
      <x:c r="C48" s="8" t="str">
        <x:v>管道工程建筑</x:v>
      </x:c>
      <x:c r="D48" s="10" t="str">
        <x:v>4852</x:v>
      </x:c>
    </x:row>
    <x:row r="49" ht="28" customHeight="1">
      <x:c r="A49" s="8" t="str">
        <x:v>基础设施与城市建设产业链</x:v>
      </x:c>
      <x:c r="B49" s="8" t="str">
        <x:v>基础设施建设与房地产开发</x:v>
      </x:c>
      <x:c r="C49" s="8" t="str">
        <x:v>房地产开发经营</x:v>
      </x:c>
      <x:c r="D49" s="10" t="str">
        <x:v>7010</x:v>
      </x:c>
    </x:row>
    <x:row r="50" ht="28" customHeight="1">
      <x:c r="A50" s="8" t="str">
        <x:v>基础设施与城市建设产业链</x:v>
      </x:c>
      <x:c r="B50" s="8" t="str">
        <x:v>城市运营、公用事业与物业服务</x:v>
      </x:c>
      <x:c r="C50" s="8" t="str">
        <x:v>电力供应</x:v>
      </x:c>
      <x:c r="D50" s="10" t="str">
        <x:v>4420</x:v>
      </x:c>
    </x:row>
    <x:row r="51" ht="28" customHeight="1">
      <x:c r="A51" s="8" t="str">
        <x:v>基础设施与城市建设产业链</x:v>
      </x:c>
      <x:c r="B51" s="8" t="str">
        <x:v>城市运营、公用事业与物业服务</x:v>
      </x:c>
      <x:c r="C51" s="8" t="str">
        <x:v>天然气生产和供应业</x:v>
      </x:c>
      <x:c r="D51" s="10" t="str">
        <x:v>4511</x:v>
      </x:c>
    </x:row>
    <x:row r="52" ht="28" customHeight="1">
      <x:c r="A52" s="8" t="str">
        <x:v>基础设施与城市建设产业链</x:v>
      </x:c>
      <x:c r="B52" s="8" t="str">
        <x:v>城市运营、公用事业与物业服务</x:v>
      </x:c>
      <x:c r="C52" s="8" t="str">
        <x:v>自来水生产和供应</x:v>
      </x:c>
      <x:c r="D52" s="10" t="str">
        <x:v>4610</x:v>
      </x:c>
    </x:row>
    <x:row r="53" ht="28" customHeight="1">
      <x:c r="A53" s="8" t="str">
        <x:v>基础设施与城市建设产业链</x:v>
      </x:c>
      <x:c r="B53" s="8" t="str">
        <x:v>城市运营、公用事业与物业服务</x:v>
      </x:c>
      <x:c r="C53" s="8" t="str">
        <x:v>污水处理及其再生利用</x:v>
      </x:c>
      <x:c r="D53" s="10" t="str">
        <x:v>4620</x:v>
      </x:c>
    </x:row>
    <x:row r="54" ht="28" customHeight="1">
      <x:c r="A54" s="8" t="str">
        <x:v>基础设施与城市建设产业链</x:v>
      </x:c>
      <x:c r="B54" s="8" t="str">
        <x:v>城市运营、公用事业与物业服务</x:v>
      </x:c>
      <x:c r="C54" s="8" t="str">
        <x:v>物业管理</x:v>
      </x:c>
      <x:c r="D54" s="10" t="str">
        <x:v>7020</x:v>
      </x:c>
    </x:row>
    <x:row r="55" ht="28" customHeight="1">
      <x:c r="A55" s="8" t="str">
        <x:v>基础设施与城市建设产业链</x:v>
      </x:c>
      <x:c r="B55" s="8" t="str">
        <x:v>城市运营、公用事业与物业服务</x:v>
      </x:c>
      <x:c r="C55" s="8" t="str">
        <x:v>市政设施管理</x:v>
      </x:c>
      <x:c r="D55" s="10" t="str">
        <x:v>7810</x:v>
      </x:c>
    </x:row>
    <x:row r="56" ht="28" customHeight="1">
      <x:c r="A56" s="8" t="str">
        <x:v>基础设施与城市建设产业链</x:v>
      </x:c>
      <x:c r="B56" s="8" t="str">
        <x:v>城市运营、公用事业与物业服务</x:v>
      </x:c>
      <x:c r="C56" s="8" t="str">
        <x:v>环境卫生管理</x:v>
      </x:c>
      <x:c r="D56" s="10" t="str">
        <x:v>7820</x:v>
      </x:c>
    </x:row>
    <x:row r="57" ht="28" customHeight="1">
      <x:c r="A57" s="11" t="str">
        <x:v>医药生物与医疗健康产业链</x:v>
      </x:c>
      <x:c r="B57" s="11" t="str">
        <x:v>药物研发、诊断试剂与核心材料</x:v>
      </x:c>
      <x:c r="C57" s="11" t="str">
        <x:v>医学研究和试验发展</x:v>
      </x:c>
      <x:c r="D57" s="12" t="str">
        <x:v>7340</x:v>
      </x:c>
    </x:row>
    <x:row r="58" ht="28" customHeight="1">
      <x:c r="A58" s="8" t="str">
        <x:v>医药生物与医疗健康产业链</x:v>
      </x:c>
      <x:c r="B58" s="8" t="str">
        <x:v>药物研发、诊断试剂与核心材料</x:v>
      </x:c>
      <x:c r="C58" s="8" t="str">
        <x:v>化学药品原料药制造</x:v>
      </x:c>
      <x:c r="D58" s="10" t="str">
        <x:v>2710</x:v>
      </x:c>
    </x:row>
    <x:row r="59" ht="28" customHeight="1">
      <x:c r="A59" s="8" t="str">
        <x:v>医药生物与医疗健康产业链</x:v>
      </x:c>
      <x:c r="B59" s="8" t="str">
        <x:v>药物研发、诊断试剂与核心材料</x:v>
      </x:c>
      <x:c r="C59" s="8" t="str">
        <x:v>生物药品制造</x:v>
      </x:c>
      <x:c r="D59" s="10" t="str">
        <x:v>2761</x:v>
      </x:c>
    </x:row>
    <x:row r="60" ht="28" customHeight="1">
      <x:c r="A60" s="8" t="str">
        <x:v>医药生物与医疗健康产业链</x:v>
      </x:c>
      <x:c r="B60" s="8" t="str">
        <x:v>药物研发、诊断试剂与核心材料</x:v>
      </x:c>
      <x:c r="C60" s="8" t="str">
        <x:v>基因工程药物和疫苗制造</x:v>
      </x:c>
      <x:c r="D60" s="10" t="str">
        <x:v>2762</x:v>
      </x:c>
    </x:row>
    <x:row r="61" ht="28" customHeight="1">
      <x:c r="A61" s="8" t="str">
        <x:v>医药生物与医疗健康产业链</x:v>
      </x:c>
      <x:c r="B61" s="8" t="str">
        <x:v>药物研发、诊断试剂与核心材料</x:v>
      </x:c>
      <x:c r="C61" s="8" t="str">
        <x:v>卫生材料及医药用品制造</x:v>
      </x:c>
      <x:c r="D61" s="10" t="str">
        <x:v>2770</x:v>
      </x:c>
    </x:row>
    <x:row r="62" ht="28" customHeight="1">
      <x:c r="A62" s="8" t="str">
        <x:v>医药生物与医疗健康产业链</x:v>
      </x:c>
      <x:c r="B62" s="8" t="str">
        <x:v>药物研发、诊断试剂与核心材料</x:v>
      </x:c>
      <x:c r="C62" s="8" t="str">
        <x:v>医疗实验室及医用消毒设备和器具制造</x:v>
      </x:c>
      <x:c r="D62" s="10" t="str">
        <x:v>3583</x:v>
      </x:c>
    </x:row>
    <x:row r="63" ht="28" customHeight="1">
      <x:c r="A63" s="8" t="str">
        <x:v>医药生物与医疗健康产业链</x:v>
      </x:c>
      <x:c r="B63" s="8" t="str">
        <x:v>药械生产、医疗装备与数字平台</x:v>
      </x:c>
      <x:c r="C63" s="8" t="str">
        <x:v>化学药品制剂制造</x:v>
      </x:c>
      <x:c r="D63" s="10" t="str">
        <x:v>2720</x:v>
      </x:c>
    </x:row>
    <x:row r="64" ht="28" customHeight="1">
      <x:c r="A64" s="8" t="str">
        <x:v>医药生物与医疗健康产业链</x:v>
      </x:c>
      <x:c r="B64" s="8" t="str">
        <x:v>药械生产、医疗装备与数字平台</x:v>
      </x:c>
      <x:c r="C64" s="8" t="str">
        <x:v>中成药生产</x:v>
      </x:c>
      <x:c r="D64" s="10" t="str">
        <x:v>2740</x:v>
      </x:c>
    </x:row>
    <x:row r="65" ht="28" customHeight="1">
      <x:c r="A65" s="8" t="str">
        <x:v>医药生物与医疗健康产业链</x:v>
      </x:c>
      <x:c r="B65" s="8" t="str">
        <x:v>药械生产、医疗装备与数字平台</x:v>
      </x:c>
      <x:c r="C65" s="8" t="str">
        <x:v>生物药品制造</x:v>
      </x:c>
      <x:c r="D65" s="10" t="str">
        <x:v>2761</x:v>
      </x:c>
    </x:row>
    <x:row r="66" ht="28" customHeight="1">
      <x:c r="A66" s="8" t="str">
        <x:v>医药生物与医疗健康产业链</x:v>
      </x:c>
      <x:c r="B66" s="8" t="str">
        <x:v>药械生产、医疗装备与数字平台</x:v>
      </x:c>
      <x:c r="C66" s="8" t="str">
        <x:v>医疗诊断、监护及治疗设备制造</x:v>
      </x:c>
      <x:c r="D66" s="10" t="str">
        <x:v>3581</x:v>
      </x:c>
    </x:row>
    <x:row r="67" ht="28" customHeight="1">
      <x:c r="A67" s="8" t="str">
        <x:v>医药生物与医疗健康产业链</x:v>
      </x:c>
      <x:c r="B67" s="8" t="str">
        <x:v>药械生产、医疗装备与数字平台</x:v>
      </x:c>
      <x:c r="C67" s="8" t="str">
        <x:v>医疗、外科及兽医用器械制造</x:v>
      </x:c>
      <x:c r="D67" s="10" t="str">
        <x:v>3584</x:v>
      </x:c>
    </x:row>
    <x:row r="68" ht="28" customHeight="1">
      <x:c r="A68" s="8" t="str">
        <x:v>医药生物与医疗健康产业链</x:v>
      </x:c>
      <x:c r="B68" s="8" t="str">
        <x:v>药械生产、医疗装备与数字平台</x:v>
      </x:c>
      <x:c r="C68" s="8" t="str">
        <x:v>机械治疗及病房护理设备制造</x:v>
      </x:c>
      <x:c r="D68" s="10" t="str">
        <x:v>3585</x:v>
      </x:c>
    </x:row>
    <x:row r="69" ht="28" customHeight="1">
      <x:c r="A69" s="8" t="str">
        <x:v>医药生物与医疗健康产业链</x:v>
      </x:c>
      <x:c r="B69" s="8" t="str">
        <x:v>药械生产、医疗装备与数字平台</x:v>
      </x:c>
      <x:c r="C69" s="8" t="str">
        <x:v>应用软件开发</x:v>
      </x:c>
      <x:c r="D69" s="10" t="str">
        <x:v>6513</x:v>
      </x:c>
    </x:row>
    <x:row r="70" ht="28" customHeight="1">
      <x:c r="A70" s="8" t="str">
        <x:v>医药生物与医疗健康产业链</x:v>
      </x:c>
      <x:c r="B70" s="8" t="str">
        <x:v>药械生产、医疗装备与数字平台</x:v>
      </x:c>
      <x:c r="C70" s="8" t="str">
        <x:v>信息处理和存储支持服务</x:v>
      </x:c>
      <x:c r="D70" s="10" t="str">
        <x:v>6550</x:v>
      </x:c>
    </x:row>
    <x:row r="71" ht="28" customHeight="1">
      <x:c r="A71" s="8" t="str">
        <x:v>医药生物与医疗健康产业链</x:v>
      </x:c>
      <x:c r="B71" s="8" t="str">
        <x:v>医疗服务、临床应用与健康管理</x:v>
      </x:c>
      <x:c r="C71" s="8" t="str">
        <x:v>综合医院</x:v>
      </x:c>
      <x:c r="D71" s="10" t="str">
        <x:v>8411</x:v>
      </x:c>
    </x:row>
    <x:row r="72" ht="28" customHeight="1">
      <x:c r="A72" s="8" t="str">
        <x:v>医药生物与医疗健康产业链</x:v>
      </x:c>
      <x:c r="B72" s="8" t="str">
        <x:v>医疗服务、临床应用与健康管理</x:v>
      </x:c>
      <x:c r="C72" s="8" t="str">
        <x:v>社区卫生服务中心（站）</x:v>
      </x:c>
      <x:c r="D72" s="10" t="str">
        <x:v>8421</x:v>
      </x:c>
    </x:row>
    <x:row r="73" ht="28" customHeight="1">
      <x:c r="A73" s="8" t="str">
        <x:v>医药生物与医疗健康产业链</x:v>
      </x:c>
      <x:c r="B73" s="8" t="str">
        <x:v>医疗服务、临床应用与健康管理</x:v>
      </x:c>
      <x:c r="C73" s="8" t="str">
        <x:v>健康体检服务</x:v>
      </x:c>
      <x:c r="D73" s="10" t="str">
        <x:v>8491</x:v>
      </x:c>
    </x:row>
    <x:row r="74" ht="28" customHeight="1">
      <x:c r="A74" s="8" t="str">
        <x:v>医药生物与医疗健康产业链</x:v>
      </x:c>
      <x:c r="B74" s="8" t="str">
        <x:v>医疗服务、临床应用与健康管理</x:v>
      </x:c>
      <x:c r="C74" s="8" t="str">
        <x:v>临床检验服务</x:v>
      </x:c>
      <x:c r="D74" s="10" t="str">
        <x:v>8492</x:v>
      </x:c>
    </x:row>
    <x:row r="75" ht="28" customHeight="1">
      <x:c r="A75" s="8" t="str">
        <x:v>医药生物与医疗健康产业链</x:v>
      </x:c>
      <x:c r="B75" s="8" t="str">
        <x:v>医疗服务、临床应用与健康管理</x:v>
      </x:c>
      <x:c r="C75" s="8" t="str">
        <x:v>健康咨询</x:v>
      </x:c>
      <x:c r="D75" s="10" t="str">
        <x:v>7244</x:v>
      </x:c>
    </x:row>
    <x:row r="76" ht="28" customHeight="1">
      <x:c r="A76" s="8" t="str">
        <x:v>医药生物与医疗健康产业链</x:v>
      </x:c>
      <x:c r="B76" s="8" t="str">
        <x:v>医疗服务、临床应用与健康管理</x:v>
      </x:c>
      <x:c r="C76" s="8" t="str">
        <x:v>护理机构服务</x:v>
      </x:c>
      <x:c r="D76" s="10" t="str">
        <x:v>8512</x:v>
      </x:c>
    </x:row>
    <x:row r="77" ht="28" customHeight="1">
      <x:c r="A77" s="8" t="str">
        <x:v>医药生物与医疗健康产业链</x:v>
      </x:c>
      <x:c r="B77" s="8" t="str">
        <x:v>医疗服务、临床应用与健康管理</x:v>
      </x:c>
      <x:c r="C77" s="8" t="str">
        <x:v>老年人、残疾人养护服务</x:v>
      </x:c>
      <x:c r="D77" s="10" t="str">
        <x:v>8514</x:v>
      </x:c>
    </x:row>
    <x:row r="78" ht="28" customHeight="1">
      <x:c r="A78" s="11" t="str">
        <x:v>新能源与电力装备产业链</x:v>
      </x:c>
      <x:c r="B78" s="11" t="str">
        <x:v>新能源材料、电芯与发电设备</x:v>
      </x:c>
      <x:c r="C78" s="11" t="str">
        <x:v>电子专用材料制造</x:v>
      </x:c>
      <x:c r="D78" s="12" t="str">
        <x:v>3985</x:v>
      </x:c>
    </x:row>
    <x:row r="79" ht="28" customHeight="1">
      <x:c r="A79" s="8" t="str">
        <x:v>新能源与电力装备产业链</x:v>
      </x:c>
      <x:c r="B79" s="8" t="str">
        <x:v>新能源材料、电芯与发电设备</x:v>
      </x:c>
      <x:c r="C79" s="8" t="str">
        <x:v>锂离子电池制造</x:v>
      </x:c>
      <x:c r="D79" s="10" t="str">
        <x:v>3841</x:v>
      </x:c>
    </x:row>
    <x:row r="80" ht="28" customHeight="1">
      <x:c r="A80" s="8" t="str">
        <x:v>新能源与电力装备产业链</x:v>
      </x:c>
      <x:c r="B80" s="8" t="str">
        <x:v>新能源材料、电芯与发电设备</x:v>
      </x:c>
      <x:c r="C80" s="8" t="str">
        <x:v>光伏设备及元器件制造</x:v>
      </x:c>
      <x:c r="D80" s="10" t="str">
        <x:v>3825</x:v>
      </x:c>
    </x:row>
    <x:row r="81" ht="28" customHeight="1">
      <x:c r="A81" s="8" t="str">
        <x:v>新能源与电力装备产业链</x:v>
      </x:c>
      <x:c r="B81" s="8" t="str">
        <x:v>新能源材料、电芯与发电设备</x:v>
      </x:c>
      <x:c r="C81" s="8" t="str">
        <x:v>风能原动设备制造</x:v>
      </x:c>
      <x:c r="D81" s="10" t="str">
        <x:v>3415</x:v>
      </x:c>
    </x:row>
    <x:row r="82" ht="28" customHeight="1">
      <x:c r="A82" s="8" t="str">
        <x:v>新能源与电力装备产业链</x:v>
      </x:c>
      <x:c r="B82" s="8" t="str">
        <x:v>新能源材料、电芯与发电设备</x:v>
      </x:c>
      <x:c r="C82" s="8" t="str">
        <x:v>发电机及发电机组制造</x:v>
      </x:c>
      <x:c r="D82" s="10" t="str">
        <x:v>3811</x:v>
      </x:c>
    </x:row>
    <x:row r="83" ht="28" customHeight="1">
      <x:c r="A83" s="8" t="str">
        <x:v>新能源与电力装备产业链</x:v>
      </x:c>
      <x:c r="B83" s="8" t="str">
        <x:v>发电、储能与输配电装备</x:v>
      </x:c>
      <x:c r="C83" s="8" t="str">
        <x:v>风力发电</x:v>
      </x:c>
      <x:c r="D83" s="10" t="str">
        <x:v>4415</x:v>
      </x:c>
    </x:row>
    <x:row r="84" ht="28" customHeight="1">
      <x:c r="A84" s="8" t="str">
        <x:v>新能源与电力装备产业链</x:v>
      </x:c>
      <x:c r="B84" s="8" t="str">
        <x:v>发电、储能与输配电装备</x:v>
      </x:c>
      <x:c r="C84" s="8" t="str">
        <x:v>太阳能发电</x:v>
      </x:c>
      <x:c r="D84" s="10" t="str">
        <x:v>4416</x:v>
      </x:c>
    </x:row>
    <x:row r="85" ht="28" customHeight="1">
      <x:c r="A85" s="8" t="str">
        <x:v>新能源与电力装备产业链</x:v>
      </x:c>
      <x:c r="B85" s="8" t="str">
        <x:v>发电、储能与输配电装备</x:v>
      </x:c>
      <x:c r="C85" s="8" t="str">
        <x:v>其他电池制造</x:v>
      </x:c>
      <x:c r="D85" s="10" t="str">
        <x:v>3849</x:v>
      </x:c>
    </x:row>
    <x:row r="86" ht="28" customHeight="1">
      <x:c r="A86" s="8" t="str">
        <x:v>新能源与电力装备产业链</x:v>
      </x:c>
      <x:c r="B86" s="8" t="str">
        <x:v>发电、储能与输配电装备</x:v>
      </x:c>
      <x:c r="C86" s="8" t="str">
        <x:v>变压器、整流器和电感器制造</x:v>
      </x:c>
      <x:c r="D86" s="10" t="str">
        <x:v>3821</x:v>
      </x:c>
    </x:row>
    <x:row r="87" ht="28" customHeight="1">
      <x:c r="A87" s="8" t="str">
        <x:v>新能源与电力装备产业链</x:v>
      </x:c>
      <x:c r="B87" s="8" t="str">
        <x:v>发电、储能与输配电装备</x:v>
      </x:c>
      <x:c r="C87" s="8" t="str">
        <x:v>配电开关控制设备制造</x:v>
      </x:c>
      <x:c r="D87" s="10" t="str">
        <x:v>3823</x:v>
      </x:c>
    </x:row>
    <x:row r="88" ht="28" customHeight="1">
      <x:c r="A88" s="8" t="str">
        <x:v>新能源与电力装备产业链</x:v>
      </x:c>
      <x:c r="B88" s="8" t="str">
        <x:v>发电、储能与输配电装备</x:v>
      </x:c>
      <x:c r="C88" s="8" t="str">
        <x:v>电力电子元器件制造</x:v>
      </x:c>
      <x:c r="D88" s="10" t="str">
        <x:v>3824</x:v>
      </x:c>
    </x:row>
    <x:row r="89" ht="28" customHeight="1">
      <x:c r="A89" s="8" t="str">
        <x:v>新能源与电力装备产业链</x:v>
      </x:c>
      <x:c r="B89" s="8" t="str">
        <x:v>发电、储能与输配电装备</x:v>
      </x:c>
      <x:c r="C89" s="8" t="str">
        <x:v>其他输配电及控制设备制造</x:v>
      </x:c>
      <x:c r="D89" s="10" t="str">
        <x:v>3829</x:v>
      </x:c>
    </x:row>
    <x:row r="90" ht="28" customHeight="1">
      <x:c r="A90" s="8" t="str">
        <x:v>新能源与电力装备产业链</x:v>
      </x:c>
      <x:c r="B90" s="8" t="str">
        <x:v>电力消纳、能源服务与场景应用</x:v>
      </x:c>
      <x:c r="C90" s="8" t="str">
        <x:v>电力供应</x:v>
      </x:c>
      <x:c r="D90" s="10" t="str">
        <x:v>4420</x:v>
      </x:c>
    </x:row>
    <x:row r="91" ht="28" customHeight="1">
      <x:c r="A91" s="8" t="str">
        <x:v>新能源与电力装备产业链</x:v>
      </x:c>
      <x:c r="B91" s="8" t="str">
        <x:v>电力消纳、能源服务与场景应用</x:v>
      </x:c>
      <x:c r="C91" s="8" t="str">
        <x:v>节能工程施工</x:v>
      </x:c>
      <x:c r="D91" s="10" t="str">
        <x:v>4861</x:v>
      </x:c>
    </x:row>
    <x:row r="92" ht="28" customHeight="1">
      <x:c r="A92" s="8" t="str">
        <x:v>新能源与电力装备产业链</x:v>
      </x:c>
      <x:c r="B92" s="8" t="str">
        <x:v>电力消纳、能源服务与场景应用</x:v>
      </x:c>
      <x:c r="C92" s="8" t="str">
        <x:v>节能技术推广服务</x:v>
      </x:c>
      <x:c r="D92" s="10" t="str">
        <x:v>7514</x:v>
      </x:c>
    </x:row>
    <x:row r="93" ht="28" customHeight="1">
      <x:c r="A93" s="8" t="str">
        <x:v>新能源与电力装备产业链</x:v>
      </x:c>
      <x:c r="B93" s="8" t="str">
        <x:v>电力消纳、能源服务与场景应用</x:v>
      </x:c>
      <x:c r="C93" s="8" t="str">
        <x:v>新能源技术推广服务</x:v>
      </x:c>
      <x:c r="D93" s="10" t="str">
        <x:v>7515</x:v>
      </x:c>
    </x:row>
    <x:row r="94" ht="28" customHeight="1">
      <x:c r="A94" s="11" t="str">
        <x:v>智能物联与消费电子产业链</x:v>
      </x:c>
      <x:c r="B94" s="11" t="str">
        <x:v>传感器、芯片模组与基础器件</x:v>
      </x:c>
      <x:c r="C94" s="11" t="str">
        <x:v>集成电路制造</x:v>
      </x:c>
      <x:c r="D94" s="12" t="str">
        <x:v>3973</x:v>
      </x:c>
    </x:row>
    <x:row r="95" ht="28" customHeight="1">
      <x:c r="A95" s="8" t="str">
        <x:v>智能物联与消费电子产业链</x:v>
      </x:c>
      <x:c r="B95" s="8" t="str">
        <x:v>传感器、芯片模组与基础器件</x:v>
      </x:c>
      <x:c r="C95" s="8" t="str">
        <x:v>光电子器件制造</x:v>
      </x:c>
      <x:c r="D95" s="10" t="str">
        <x:v>3976</x:v>
      </x:c>
    </x:row>
    <x:row r="96" ht="28" customHeight="1">
      <x:c r="A96" s="8" t="str">
        <x:v>智能物联与消费电子产业链</x:v>
      </x:c>
      <x:c r="B96" s="8" t="str">
        <x:v>传感器、芯片模组与基础器件</x:v>
      </x:c>
      <x:c r="C96" s="8" t="str">
        <x:v>电子电路制造</x:v>
      </x:c>
      <x:c r="D96" s="10" t="str">
        <x:v>3982</x:v>
      </x:c>
    </x:row>
    <x:row r="97" ht="28" customHeight="1">
      <x:c r="A97" s="8" t="str">
        <x:v>智能物联与消费电子产业链</x:v>
      </x:c>
      <x:c r="B97" s="8" t="str">
        <x:v>传感器、芯片模组与基础器件</x:v>
      </x:c>
      <x:c r="C97" s="8" t="str">
        <x:v>敏感元件及传感器制造</x:v>
      </x:c>
      <x:c r="D97" s="10" t="str">
        <x:v>3983</x:v>
      </x:c>
    </x:row>
    <x:row r="98" ht="28" customHeight="1">
      <x:c r="A98" s="8" t="str">
        <x:v>智能物联与消费电子产业链</x:v>
      </x:c>
      <x:c r="B98" s="8" t="str">
        <x:v>传感器、芯片模组与基础器件</x:v>
      </x:c>
      <x:c r="C98" s="8" t="str">
        <x:v>其他电子元件制造</x:v>
      </x:c>
      <x:c r="D98" s="10" t="str">
        <x:v>3989</x:v>
      </x:c>
    </x:row>
    <x:row r="99" ht="28" customHeight="1">
      <x:c r="A99" s="8" t="str">
        <x:v>智能物联与消费电子产业链</x:v>
      </x:c>
      <x:c r="B99" s="8" t="str">
        <x:v>传感器、芯片模组与基础器件</x:v>
      </x:c>
      <x:c r="C99" s="8" t="str">
        <x:v>通信终端设备制造</x:v>
      </x:c>
      <x:c r="D99" s="10" t="str">
        <x:v>3922</x:v>
      </x:c>
    </x:row>
    <x:row r="100" ht="28" customHeight="1">
      <x:c r="A100" s="8" t="str">
        <x:v>智能物联与消费电子产业链</x:v>
      </x:c>
      <x:c r="B100" s="8" t="str">
        <x:v>智能终端、家电与物联平台</x:v>
      </x:c>
      <x:c r="C100" s="8" t="str">
        <x:v>通信终端设备制造</x:v>
      </x:c>
      <x:c r="D100" s="10" t="str">
        <x:v>3922</x:v>
      </x:c>
    </x:row>
    <x:row r="101" ht="28" customHeight="1">
      <x:c r="A101" s="8" t="str">
        <x:v>智能物联与消费电子产业链</x:v>
      </x:c>
      <x:c r="B101" s="8" t="str">
        <x:v>智能终端、家电与物联平台</x:v>
      </x:c>
      <x:c r="C101" s="8" t="str">
        <x:v>计算机整机制造</x:v>
      </x:c>
      <x:c r="D101" s="10" t="str">
        <x:v>3911</x:v>
      </x:c>
    </x:row>
    <x:row r="102" ht="28" customHeight="1">
      <x:c r="A102" s="8" t="str">
        <x:v>智能物联与消费电子产业链</x:v>
      </x:c>
      <x:c r="B102" s="8" t="str">
        <x:v>智能终端、家电与物联平台</x:v>
      </x:c>
      <x:c r="C102" s="8" t="str">
        <x:v>电视机制造</x:v>
      </x:c>
      <x:c r="D102" s="10" t="str">
        <x:v>3951</x:v>
      </x:c>
    </x:row>
    <x:row r="103" ht="28" customHeight="1">
      <x:c r="A103" s="8" t="str">
        <x:v>智能物联与消费电子产业链</x:v>
      </x:c>
      <x:c r="B103" s="8" t="str">
        <x:v>智能终端、家电与物联平台</x:v>
      </x:c>
      <x:c r="C103" s="8" t="str">
        <x:v>家用制冷电器具制造</x:v>
      </x:c>
      <x:c r="D103" s="10" t="str">
        <x:v>3851</x:v>
      </x:c>
    </x:row>
    <x:row r="104" ht="28" customHeight="1">
      <x:c r="A104" s="8" t="str">
        <x:v>智能物联与消费电子产业链</x:v>
      </x:c>
      <x:c r="B104" s="8" t="str">
        <x:v>智能终端、家电与物联平台</x:v>
      </x:c>
      <x:c r="C104" s="8" t="str">
        <x:v>家用空气调节器制造</x:v>
      </x:c>
      <x:c r="D104" s="10" t="str">
        <x:v>3852</x:v>
      </x:c>
    </x:row>
    <x:row r="105" ht="28" customHeight="1">
      <x:c r="A105" s="8" t="str">
        <x:v>智能物联与消费电子产业链</x:v>
      </x:c>
      <x:c r="B105" s="8" t="str">
        <x:v>智能终端、家电与物联平台</x:v>
      </x:c>
      <x:c r="C105" s="8" t="str">
        <x:v>其他智能消费设备制造</x:v>
      </x:c>
      <x:c r="D105" s="10" t="str">
        <x:v>3969</x:v>
      </x:c>
    </x:row>
    <x:row r="106" ht="28" customHeight="1">
      <x:c r="A106" s="8" t="str">
        <x:v>智能物联与消费电子产业链</x:v>
      </x:c>
      <x:c r="B106" s="8" t="str">
        <x:v>智能终端、家电与物联平台</x:v>
      </x:c>
      <x:c r="C106" s="8" t="str">
        <x:v>物联网技术服务</x:v>
      </x:c>
      <x:c r="D106" s="10" t="str">
        <x:v>6532</x:v>
      </x:c>
    </x:row>
    <x:row r="107" ht="28" customHeight="1">
      <x:c r="A107" s="8" t="str">
        <x:v>智能物联与消费电子产业链</x:v>
      </x:c>
      <x:c r="B107" s="8" t="str">
        <x:v>智慧家庭、行业物联与消费场景</x:v>
      </x:c>
      <x:c r="C107" s="8" t="str">
        <x:v>互联网生活服务平台</x:v>
      </x:c>
      <x:c r="D107" s="10" t="str">
        <x:v>6432</x:v>
      </x:c>
    </x:row>
    <x:row r="108" ht="28" customHeight="1">
      <x:c r="A108" s="8" t="str">
        <x:v>智能物联与消费电子产业链</x:v>
      </x:c>
      <x:c r="B108" s="8" t="str">
        <x:v>智慧家庭、行业物联与消费场景</x:v>
      </x:c>
      <x:c r="C108" s="8" t="str">
        <x:v>物联网技术服务</x:v>
      </x:c>
      <x:c r="D108" s="10" t="str">
        <x:v>6532</x:v>
      </x:c>
    </x:row>
    <x:row r="109" ht="28" customHeight="1">
      <x:c r="A109" s="8" t="str">
        <x:v>智能物联与消费电子产业链</x:v>
      </x:c>
      <x:c r="B109" s="8" t="str">
        <x:v>智慧家庭、行业物联与消费场景</x:v>
      </x:c>
      <x:c r="C109" s="8" t="str">
        <x:v>日用家电设备零售</x:v>
      </x:c>
      <x:c r="D109" s="10" t="str">
        <x:v>5272</x:v>
      </x:c>
    </x:row>
    <x:row r="110" ht="28" customHeight="1">
      <x:c r="A110" s="8" t="str">
        <x:v>智能物联与消费电子产业链</x:v>
      </x:c>
      <x:c r="B110" s="8" t="str">
        <x:v>智慧家庭、行业物联与消费场景</x:v>
      </x:c>
      <x:c r="C110" s="8" t="str">
        <x:v>通信设备零售</x:v>
      </x:c>
      <x:c r="D110" s="10" t="str">
        <x:v>5274</x:v>
      </x:c>
    </x:row>
    <x:row r="111" ht="28" customHeight="1">
      <x:c r="A111" s="8" t="str">
        <x:v>智能物联与消费电子产业链</x:v>
      </x:c>
      <x:c r="B111" s="8" t="str">
        <x:v>智慧家庭、行业物联与消费场景</x:v>
      </x:c>
      <x:c r="C111" s="8" t="str">
        <x:v>其他电子产品零售</x:v>
      </x:c>
      <x:c r="D111" s="10" t="str">
        <x:v>5279</x:v>
      </x:c>
    </x:row>
    <x:row r="112" ht="28" customHeight="1">
      <x:c r="A112" s="8" t="str">
        <x:v>智能物联与消费电子产业链</x:v>
      </x:c>
      <x:c r="B112" s="8" t="str">
        <x:v>智慧家庭、行业物联与消费场景</x:v>
      </x:c>
      <x:c r="C112" s="8" t="str">
        <x:v>家用电子产品修理</x:v>
      </x:c>
      <x:c r="D112" s="10" t="str">
        <x:v>8131</x:v>
      </x:c>
    </x:row>
    <x:row r="113" ht="28" customHeight="1">
      <x:c r="A113" s="11" t="str">
        <x:v>石油化工产业链</x:v>
      </x:c>
      <x:c r="B113" s="11" t="str">
        <x:v>油气资源与基础化工原料</x:v>
      </x:c>
      <x:c r="C113" s="11" t="str">
        <x:v>陆地石油开采</x:v>
      </x:c>
      <x:c r="D113" s="12" t="str">
        <x:v>0711</x:v>
      </x:c>
    </x:row>
    <x:row r="114" ht="28" customHeight="1">
      <x:c r="A114" s="8" t="str">
        <x:v>石油化工产业链</x:v>
      </x:c>
      <x:c r="B114" s="8" t="str">
        <x:v>油气资源与基础化工原料</x:v>
      </x:c>
      <x:c r="C114" s="8" t="str">
        <x:v>海洋石油开采</x:v>
      </x:c>
      <x:c r="D114" s="10" t="str">
        <x:v>0712</x:v>
      </x:c>
    </x:row>
    <x:row r="115" ht="28" customHeight="1">
      <x:c r="A115" s="8" t="str">
        <x:v>石油化工产业链</x:v>
      </x:c>
      <x:c r="B115" s="8" t="str">
        <x:v>油气资源与基础化工原料</x:v>
      </x:c>
      <x:c r="C115" s="8" t="str">
        <x:v>陆地天然气开采</x:v>
      </x:c>
      <x:c r="D115" s="10" t="str">
        <x:v>0721</x:v>
      </x:c>
    </x:row>
    <x:row r="116" ht="28" customHeight="1">
      <x:c r="A116" s="8" t="str">
        <x:v>石油化工产业链</x:v>
      </x:c>
      <x:c r="B116" s="8" t="str">
        <x:v>油气资源与基础化工原料</x:v>
      </x:c>
      <x:c r="C116" s="8" t="str">
        <x:v>海洋天然气及可燃冰开采</x:v>
      </x:c>
      <x:c r="D116" s="10" t="str">
        <x:v>0722</x:v>
      </x:c>
    </x:row>
    <x:row r="117" ht="28" customHeight="1">
      <x:c r="A117" s="8" t="str">
        <x:v>石油化工产业链</x:v>
      </x:c>
      <x:c r="B117" s="8" t="str">
        <x:v>油气资源与基础化工原料</x:v>
      </x:c>
      <x:c r="C117" s="8" t="str">
        <x:v>石油和天然气开采辅助活动</x:v>
      </x:c>
      <x:c r="D117" s="10" t="str">
        <x:v>1120</x:v>
      </x:c>
    </x:row>
    <x:row r="118" ht="28" customHeight="1">
      <x:c r="A118" s="8" t="str">
        <x:v>石油化工产业链</x:v>
      </x:c>
      <x:c r="B118" s="8" t="str">
        <x:v>油气资源与基础化工原料</x:v>
      </x:c>
      <x:c r="C118" s="8" t="str">
        <x:v>无机酸制造</x:v>
      </x:c>
      <x:c r="D118" s="10" t="str">
        <x:v>2611</x:v>
      </x:c>
    </x:row>
    <x:row r="119" ht="28" customHeight="1">
      <x:c r="A119" s="8" t="str">
        <x:v>石油化工产业链</x:v>
      </x:c>
      <x:c r="B119" s="8" t="str">
        <x:v>油气资源与基础化工原料</x:v>
      </x:c>
      <x:c r="C119" s="8" t="str">
        <x:v>无机碱制造</x:v>
      </x:c>
      <x:c r="D119" s="10" t="str">
        <x:v>2612</x:v>
      </x:c>
    </x:row>
    <x:row r="120" ht="28" customHeight="1">
      <x:c r="A120" s="8" t="str">
        <x:v>石油化工产业链</x:v>
      </x:c>
      <x:c r="B120" s="8" t="str">
        <x:v>油气资源与基础化工原料</x:v>
      </x:c>
      <x:c r="C120" s="8" t="str">
        <x:v>无机盐制造</x:v>
      </x:c>
      <x:c r="D120" s="10" t="str">
        <x:v>2613</x:v>
      </x:c>
    </x:row>
    <x:row r="121" ht="28" customHeight="1">
      <x:c r="A121" s="8" t="str">
        <x:v>石油化工产业链</x:v>
      </x:c>
      <x:c r="B121" s="8" t="str">
        <x:v>油气资源与基础化工原料</x:v>
      </x:c>
      <x:c r="C121" s="8" t="str">
        <x:v>有机化学原料制造</x:v>
      </x:c>
      <x:c r="D121" s="10" t="str">
        <x:v>2614</x:v>
      </x:c>
    </x:row>
    <x:row r="122" ht="28" customHeight="1">
      <x:c r="A122" s="8" t="str">
        <x:v>石油化工产业链</x:v>
      </x:c>
      <x:c r="B122" s="8" t="str">
        <x:v>炼化加工与化工材料制造</x:v>
      </x:c>
      <x:c r="C122" s="8" t="str">
        <x:v>原油加工及石油制品制造</x:v>
      </x:c>
      <x:c r="D122" s="10" t="str">
        <x:v>2511</x:v>
      </x:c>
    </x:row>
    <x:row r="123" ht="28" customHeight="1">
      <x:c r="A123" s="8" t="str">
        <x:v>石油化工产业链</x:v>
      </x:c>
      <x:c r="B123" s="8" t="str">
        <x:v>炼化加工与化工材料制造</x:v>
      </x:c>
      <x:c r="C123" s="8" t="str">
        <x:v>其他原油制造</x:v>
      </x:c>
      <x:c r="D123" s="10" t="str">
        <x:v>2519</x:v>
      </x:c>
    </x:row>
    <x:row r="124" ht="28" customHeight="1">
      <x:c r="A124" s="8" t="str">
        <x:v>石油化工产业链</x:v>
      </x:c>
      <x:c r="B124" s="8" t="str">
        <x:v>炼化加工与化工材料制造</x:v>
      </x:c>
      <x:c r="C124" s="8" t="str">
        <x:v>初级形态塑料及合成树脂制造</x:v>
      </x:c>
      <x:c r="D124" s="10" t="str">
        <x:v>2651</x:v>
      </x:c>
    </x:row>
    <x:row r="125" ht="28" customHeight="1">
      <x:c r="A125" s="8" t="str">
        <x:v>石油化工产业链</x:v>
      </x:c>
      <x:c r="B125" s="8" t="str">
        <x:v>炼化加工与化工材料制造</x:v>
      </x:c>
      <x:c r="C125" s="8" t="str">
        <x:v>合成橡胶制造</x:v>
      </x:c>
      <x:c r="D125" s="10" t="str">
        <x:v>2652</x:v>
      </x:c>
    </x:row>
    <x:row r="126" ht="28" customHeight="1">
      <x:c r="A126" s="8" t="str">
        <x:v>石油化工产业链</x:v>
      </x:c>
      <x:c r="B126" s="8" t="str">
        <x:v>炼化加工与化工材料制造</x:v>
      </x:c>
      <x:c r="C126" s="8" t="str">
        <x:v>合成纤维单（聚合）体制造</x:v>
      </x:c>
      <x:c r="D126" s="10" t="str">
        <x:v>2653</x:v>
      </x:c>
    </x:row>
    <x:row r="127" ht="28" customHeight="1">
      <x:c r="A127" s="8" t="str">
        <x:v>石油化工产业链</x:v>
      </x:c>
      <x:c r="B127" s="8" t="str">
        <x:v>炼化加工与化工材料制造</x:v>
      </x:c>
      <x:c r="C127" s="8" t="str">
        <x:v>其他合成材料制造</x:v>
      </x:c>
      <x:c r="D127" s="10" t="str">
        <x:v>2659</x:v>
      </x:c>
    </x:row>
    <x:row r="128" ht="28" customHeight="1">
      <x:c r="A128" s="8" t="str">
        <x:v>石油化工产业链</x:v>
      </x:c>
      <x:c r="B128" s="8" t="str">
        <x:v>化工制品与终端应用</x:v>
      </x:c>
      <x:c r="C128" s="8" t="str">
        <x:v>涂料制造</x:v>
      </x:c>
      <x:c r="D128" s="10" t="str">
        <x:v>2641</x:v>
      </x:c>
    </x:row>
    <x:row r="129" ht="28" customHeight="1">
      <x:c r="A129" s="8" t="str">
        <x:v>石油化工产业链</x:v>
      </x:c>
      <x:c r="B129" s="8" t="str">
        <x:v>化工制品与终端应用</x:v>
      </x:c>
      <x:c r="C129" s="8" t="str">
        <x:v>专项化学用品制造</x:v>
      </x:c>
      <x:c r="D129" s="10" t="str">
        <x:v>2662</x:v>
      </x:c>
    </x:row>
    <x:row r="130" ht="28" customHeight="1">
      <x:c r="A130" s="8" t="str">
        <x:v>石油化工产业链</x:v>
      </x:c>
      <x:c r="B130" s="8" t="str">
        <x:v>化工制品与终端应用</x:v>
      </x:c>
      <x:c r="C130" s="8" t="str">
        <x:v>其他专用化学产品制造</x:v>
      </x:c>
      <x:c r="D130" s="10" t="str">
        <x:v>2669</x:v>
      </x:c>
    </x:row>
    <x:row r="131" ht="28" customHeight="1">
      <x:c r="A131" s="8" t="str">
        <x:v>石油化工产业链</x:v>
      </x:c>
      <x:c r="B131" s="8" t="str">
        <x:v>化工制品与终端应用</x:v>
      </x:c>
      <x:c r="C131" s="8" t="str">
        <x:v>肥皂及合成洗涤剂制造</x:v>
      </x:c>
      <x:c r="D131" s="10" t="str">
        <x:v>2681</x:v>
      </x:c>
    </x:row>
    <x:row r="132" ht="28" customHeight="1">
      <x:c r="A132" s="8" t="str">
        <x:v>石油化工产业链</x:v>
      </x:c>
      <x:c r="B132" s="8" t="str">
        <x:v>化工制品与终端应用</x:v>
      </x:c>
      <x:c r="C132" s="8" t="str">
        <x:v>橡胶板、管、带制造</x:v>
      </x:c>
      <x:c r="D132" s="10" t="str">
        <x:v>2912</x:v>
      </x:c>
    </x:row>
    <x:row r="133" ht="28" customHeight="1">
      <x:c r="A133" s="8" t="str">
        <x:v>石油化工产业链</x:v>
      </x:c>
      <x:c r="B133" s="8" t="str">
        <x:v>化工制品与终端应用</x:v>
      </x:c>
      <x:c r="C133" s="8" t="str">
        <x:v>其他橡胶制品制造</x:v>
      </x:c>
      <x:c r="D133" s="10" t="str">
        <x:v>2919</x:v>
      </x:c>
    </x:row>
    <x:row r="134" ht="28" customHeight="1">
      <x:c r="A134" s="8" t="str">
        <x:v>石油化工产业链</x:v>
      </x:c>
      <x:c r="B134" s="8" t="str">
        <x:v>化工制品与终端应用</x:v>
      </x:c>
      <x:c r="C134" s="8" t="str">
        <x:v>塑料薄膜制造</x:v>
      </x:c>
      <x:c r="D134" s="10" t="str">
        <x:v>2921</x:v>
      </x:c>
    </x:row>
    <x:row r="135" ht="28" customHeight="1">
      <x:c r="A135" s="8" t="str">
        <x:v>石油化工产业链</x:v>
      </x:c>
      <x:c r="B135" s="8" t="str">
        <x:v>化工制品与终端应用</x:v>
      </x:c>
      <x:c r="C135" s="8" t="str">
        <x:v>塑料板、管、型材制造</x:v>
      </x:c>
      <x:c r="D135" s="10" t="str">
        <x:v>2922</x:v>
      </x:c>
    </x:row>
    <x:row r="136" ht="28" customHeight="1">
      <x:c r="A136" s="8" t="str">
        <x:v>石油化工产业链</x:v>
      </x:c>
      <x:c r="B136" s="8" t="str">
        <x:v>化工制品与终端应用</x:v>
      </x:c>
      <x:c r="C136" s="8" t="str">
        <x:v>塑料零件制造</x:v>
      </x:c>
      <x:c r="D136" s="10" t="str">
        <x:v>2928</x:v>
      </x:c>
    </x:row>
    <x:row r="137" ht="28" customHeight="1">
      <x:c r="A137" s="11" t="str">
        <x:v>汽车与智能网联汽车产业链</x:v>
      </x:c>
      <x:c r="B137" s="11" t="str">
        <x:v>汽车材料、零部件与电子电气</x:v>
      </x:c>
      <x:c r="C137" s="11" t="str">
        <x:v>汽车零部件及配件制造</x:v>
      </x:c>
      <x:c r="D137" s="12" t="str">
        <x:v>3670</x:v>
      </x:c>
    </x:row>
    <x:row r="138" ht="28" customHeight="1">
      <x:c r="A138" s="8" t="str">
        <x:v>汽车与智能网联汽车产业链</x:v>
      </x:c>
      <x:c r="B138" s="8" t="str">
        <x:v>汽车材料、零部件与电子电气</x:v>
      </x:c>
      <x:c r="C138" s="8" t="str">
        <x:v>汽车用发动机制造</x:v>
      </x:c>
      <x:c r="D138" s="10" t="str">
        <x:v>3620</x:v>
      </x:c>
    </x:row>
    <x:row r="139" ht="28" customHeight="1">
      <x:c r="A139" s="8" t="str">
        <x:v>汽车与智能网联汽车产业链</x:v>
      </x:c>
      <x:c r="B139" s="8" t="str">
        <x:v>汽车材料、零部件与电子电气</x:v>
      </x:c>
      <x:c r="C139" s="8" t="str">
        <x:v>汽车车身、挂车制造</x:v>
      </x:c>
      <x:c r="D139" s="10" t="str">
        <x:v>3660</x:v>
      </x:c>
    </x:row>
    <x:row r="140" ht="28" customHeight="1">
      <x:c r="A140" s="8" t="str">
        <x:v>汽车与智能网联汽车产业链</x:v>
      </x:c>
      <x:c r="B140" s="8" t="str">
        <x:v>汽车材料、零部件与电子电气</x:v>
      </x:c>
      <x:c r="C140" s="8" t="str">
        <x:v>齿轮及齿轮减、变速箱制造</x:v>
      </x:c>
      <x:c r="D140" s="10" t="str">
        <x:v>3453</x:v>
      </x:c>
    </x:row>
    <x:row r="141" ht="28" customHeight="1">
      <x:c r="A141" s="8" t="str">
        <x:v>汽车与智能网联汽车产业链</x:v>
      </x:c>
      <x:c r="B141" s="8" t="str">
        <x:v>汽车材料、零部件与电子电气</x:v>
      </x:c>
      <x:c r="C141" s="8" t="str">
        <x:v>智能车载设备制造</x:v>
      </x:c>
      <x:c r="D141" s="10" t="str">
        <x:v>3962</x:v>
      </x:c>
    </x:row>
    <x:row r="142" ht="28" customHeight="1">
      <x:c r="A142" s="8" t="str">
        <x:v>汽车与智能网联汽车产业链</x:v>
      </x:c>
      <x:c r="B142" s="8" t="str">
        <x:v>汽车材料、零部件与电子电气</x:v>
      </x:c>
      <x:c r="C142" s="8" t="str">
        <x:v>塑料零件制造</x:v>
      </x:c>
      <x:c r="D142" s="10" t="str">
        <x:v>2928</x:v>
      </x:c>
    </x:row>
    <x:row r="143" ht="28" customHeight="1">
      <x:c r="A143" s="8" t="str">
        <x:v>汽车与智能网联汽车产业链</x:v>
      </x:c>
      <x:c r="B143" s="8" t="str">
        <x:v>汽车材料、零部件与电子电气</x:v>
      </x:c>
      <x:c r="C143" s="8" t="str">
        <x:v>电子电路制造</x:v>
      </x:c>
      <x:c r="D143" s="10" t="str">
        <x:v>3982</x:v>
      </x:c>
    </x:row>
    <x:row r="144" ht="28" customHeight="1">
      <x:c r="A144" s="8" t="str">
        <x:v>汽车与智能网联汽车产业链</x:v>
      </x:c>
      <x:c r="B144" s="8" t="str">
        <x:v>整车制造与智能网联系统集成</x:v>
      </x:c>
      <x:c r="C144" s="8" t="str">
        <x:v>汽柴油车整车制造</x:v>
      </x:c>
      <x:c r="D144" s="10" t="str">
        <x:v>3611</x:v>
      </x:c>
    </x:row>
    <x:row r="145" ht="28" customHeight="1">
      <x:c r="A145" s="8" t="str">
        <x:v>汽车与智能网联汽车产业链</x:v>
      </x:c>
      <x:c r="B145" s="8" t="str">
        <x:v>整车制造与智能网联系统集成</x:v>
      </x:c>
      <x:c r="C145" s="8" t="str">
        <x:v>新能源车整车制造</x:v>
      </x:c>
      <x:c r="D145" s="10" t="str">
        <x:v>3612</x:v>
      </x:c>
    </x:row>
    <x:row r="146" ht="28" customHeight="1">
      <x:c r="A146" s="8" t="str">
        <x:v>汽车与智能网联汽车产业链</x:v>
      </x:c>
      <x:c r="B146" s="8" t="str">
        <x:v>整车制造与智能网联系统集成</x:v>
      </x:c>
      <x:c r="C146" s="8" t="str">
        <x:v>改装汽车制造</x:v>
      </x:c>
      <x:c r="D146" s="10" t="str">
        <x:v>3630</x:v>
      </x:c>
    </x:row>
    <x:row r="147" ht="28" customHeight="1">
      <x:c r="A147" s="8" t="str">
        <x:v>汽车与智能网联汽车产业链</x:v>
      </x:c>
      <x:c r="B147" s="8" t="str">
        <x:v>整车制造与智能网联系统集成</x:v>
      </x:c>
      <x:c r="C147" s="8" t="str">
        <x:v>智能车载设备制造</x:v>
      </x:c>
      <x:c r="D147" s="10" t="str">
        <x:v>3962</x:v>
      </x:c>
    </x:row>
    <x:row r="148" ht="28" customHeight="1">
      <x:c r="A148" s="8" t="str">
        <x:v>汽车与智能网联汽车产业链</x:v>
      </x:c>
      <x:c r="B148" s="8" t="str">
        <x:v>整车制造与智能网联系统集成</x:v>
      </x:c>
      <x:c r="C148" s="8" t="str">
        <x:v>信息系统集成服务</x:v>
      </x:c>
      <x:c r="D148" s="10" t="str">
        <x:v>6531</x:v>
      </x:c>
    </x:row>
    <x:row r="149" ht="28" customHeight="1">
      <x:c r="A149" s="8" t="str">
        <x:v>汽车与智能网联汽车产业链</x:v>
      </x:c>
      <x:c r="B149" s="8" t="str">
        <x:v>出行服务、后市场与自动驾驶应用</x:v>
      </x:c>
      <x:c r="C149" s="8" t="str">
        <x:v>汽车租赁</x:v>
      </x:c>
      <x:c r="D149" s="10" t="str">
        <x:v>7111</x:v>
      </x:c>
    </x:row>
    <x:row r="150" ht="28" customHeight="1">
      <x:c r="A150" s="8" t="str">
        <x:v>汽车与智能网联汽车产业链</x:v>
      </x:c>
      <x:c r="B150" s="8" t="str">
        <x:v>出行服务、后市场与自动驾驶应用</x:v>
      </x:c>
      <x:c r="C150" s="8" t="str">
        <x:v>出租车客运</x:v>
      </x:c>
      <x:c r="D150" s="10" t="str">
        <x:v>5413</x:v>
      </x:c>
    </x:row>
    <x:row r="151" ht="28" customHeight="1">
      <x:c r="A151" s="8" t="str">
        <x:v>汽车与智能网联汽车产业链</x:v>
      </x:c>
      <x:c r="B151" s="8" t="str">
        <x:v>出行服务、后市场与自动驾驶应用</x:v>
      </x:c>
      <x:c r="C151" s="8" t="str">
        <x:v>互联网生活服务平台</x:v>
      </x:c>
      <x:c r="D151" s="10" t="str">
        <x:v>6432</x:v>
      </x:c>
    </x:row>
    <x:row r="152" ht="28" customHeight="1">
      <x:c r="A152" s="8" t="str">
        <x:v>汽车与智能网联汽车产业链</x:v>
      </x:c>
      <x:c r="B152" s="8" t="str">
        <x:v>出行服务、后市场与自动驾驶应用</x:v>
      </x:c>
      <x:c r="C152" s="8" t="str">
        <x:v>汽车修理与维护</x:v>
      </x:c>
      <x:c r="D152" s="10" t="str">
        <x:v>8111</x:v>
      </x:c>
    </x:row>
    <x:row r="153" ht="28" customHeight="1">
      <x:c r="A153" s="8" t="str">
        <x:v>汽车与智能网联汽车产业链</x:v>
      </x:c>
      <x:c r="B153" s="8" t="str">
        <x:v>出行服务、后市场与自动驾驶应用</x:v>
      </x:c>
      <x:c r="C153" s="8" t="str">
        <x:v>汽车新车零售</x:v>
      </x:c>
      <x:c r="D153" s="10" t="str">
        <x:v>5261</x:v>
      </x:c>
    </x:row>
    <x:row r="154" ht="28" customHeight="1">
      <x:c r="A154" s="8" t="str">
        <x:v>汽车与智能网联汽车产业链</x:v>
      </x:c>
      <x:c r="B154" s="8" t="str">
        <x:v>出行服务、后市场与自动驾驶应用</x:v>
      </x:c>
      <x:c r="C154" s="8" t="str">
        <x:v>汽车零配件零售</x:v>
      </x:c>
      <x:c r="D154" s="10" t="str">
        <x:v>5263</x:v>
      </x:c>
    </x:row>
    <x:row r="155" ht="28" customHeight="1">
      <x:c r="A155" s="11" t="str">
        <x:v>食品饮料产业链</x:v>
      </x:c>
      <x:c r="B155" s="11" t="str">
        <x:v>农产品原料与食品配料</x:v>
      </x:c>
      <x:c r="C155" s="11" t="str">
        <x:v>玉米种植</x:v>
      </x:c>
      <x:c r="D155" s="12" t="str">
        <x:v>0113</x:v>
      </x:c>
    </x:row>
    <x:row r="156" ht="28" customHeight="1">
      <x:c r="A156" s="8" t="str">
        <x:v>食品饮料产业链</x:v>
      </x:c>
      <x:c r="B156" s="8" t="str">
        <x:v>农产品原料与食品配料</x:v>
      </x:c>
      <x:c r="C156" s="8" t="str">
        <x:v>豆类种植</x:v>
      </x:c>
      <x:c r="D156" s="10" t="str">
        <x:v>0121</x:v>
      </x:c>
    </x:row>
    <x:row r="157" ht="28" customHeight="1">
      <x:c r="A157" s="8" t="str">
        <x:v>食品饮料产业链</x:v>
      </x:c>
      <x:c r="B157" s="8" t="str">
        <x:v>农产品原料与食品配料</x:v>
      </x:c>
      <x:c r="C157" s="8" t="str">
        <x:v>油料种植</x:v>
      </x:c>
      <x:c r="D157" s="10" t="str">
        <x:v>0122</x:v>
      </x:c>
    </x:row>
    <x:row r="158" ht="28" customHeight="1">
      <x:c r="A158" s="8" t="str">
        <x:v>食品饮料产业链</x:v>
      </x:c>
      <x:c r="B158" s="8" t="str">
        <x:v>农产品原料与食品配料</x:v>
      </x:c>
      <x:c r="C158" s="8" t="str">
        <x:v>糖料种植</x:v>
      </x:c>
      <x:c r="D158" s="10" t="str">
        <x:v>0133</x:v>
      </x:c>
    </x:row>
    <x:row r="159" ht="28" customHeight="1">
      <x:c r="A159" s="8" t="str">
        <x:v>食品饮料产业链</x:v>
      </x:c>
      <x:c r="B159" s="8" t="str">
        <x:v>农产品原料与食品配料</x:v>
      </x:c>
      <x:c r="C159" s="8" t="str">
        <x:v>蔬菜种植</x:v>
      </x:c>
      <x:c r="D159" s="10" t="str">
        <x:v>0141</x:v>
      </x:c>
    </x:row>
    <x:row r="160" ht="28" customHeight="1">
      <x:c r="A160" s="8" t="str">
        <x:v>食品饮料产业链</x:v>
      </x:c>
      <x:c r="B160" s="8" t="str">
        <x:v>农产品原料与食品配料</x:v>
      </x:c>
      <x:c r="C160" s="8" t="str">
        <x:v>其他水果种植</x:v>
      </x:c>
      <x:c r="D160" s="10" t="str">
        <x:v>0159</x:v>
      </x:c>
    </x:row>
    <x:row r="161" ht="28" customHeight="1">
      <x:c r="A161" s="8" t="str">
        <x:v>食品饮料产业链</x:v>
      </x:c>
      <x:c r="B161" s="8" t="str">
        <x:v>农产品原料与食品配料</x:v>
      </x:c>
      <x:c r="C161" s="8" t="str">
        <x:v>茶叶种植</x:v>
      </x:c>
      <x:c r="D161" s="10" t="str">
        <x:v>0164</x:v>
      </x:c>
    </x:row>
    <x:row r="162" ht="28" customHeight="1">
      <x:c r="A162" s="8" t="str">
        <x:v>食品饮料产业链</x:v>
      </x:c>
      <x:c r="B162" s="8" t="str">
        <x:v>农产品原料与食品配料</x:v>
      </x:c>
      <x:c r="C162" s="8" t="str">
        <x:v>农产品初加工活动</x:v>
      </x:c>
      <x:c r="D162" s="10" t="str">
        <x:v>0514</x:v>
      </x:c>
    </x:row>
    <x:row r="163" ht="28" customHeight="1">
      <x:c r="A163" s="8" t="str">
        <x:v>食品饮料产业链</x:v>
      </x:c>
      <x:c r="B163" s="8" t="str">
        <x:v>食品饮料加工制造</x:v>
      </x:c>
      <x:c r="C163" s="8" t="str">
        <x:v>稻谷加工</x:v>
      </x:c>
      <x:c r="D163" s="10" t="str">
        <x:v>1311</x:v>
      </x:c>
    </x:row>
    <x:row r="164" ht="28" customHeight="1">
      <x:c r="A164" s="8" t="str">
        <x:v>食品饮料产业链</x:v>
      </x:c>
      <x:c r="B164" s="8" t="str">
        <x:v>食品饮料加工制造</x:v>
      </x:c>
      <x:c r="C164" s="8" t="str">
        <x:v>食用植物油加工</x:v>
      </x:c>
      <x:c r="D164" s="10" t="str">
        <x:v>1331</x:v>
      </x:c>
    </x:row>
    <x:row r="165" ht="28" customHeight="1">
      <x:c r="A165" s="8" t="str">
        <x:v>食品饮料产业链</x:v>
      </x:c>
      <x:c r="B165" s="8" t="str">
        <x:v>食品饮料加工制造</x:v>
      </x:c>
      <x:c r="C165" s="8" t="str">
        <x:v>肉制品及副产品加工</x:v>
      </x:c>
      <x:c r="D165" s="10" t="str">
        <x:v>1353</x:v>
      </x:c>
    </x:row>
    <x:row r="166" ht="28" customHeight="1">
      <x:c r="A166" s="8" t="str">
        <x:v>食品饮料产业链</x:v>
      </x:c>
      <x:c r="B166" s="8" t="str">
        <x:v>食品饮料加工制造</x:v>
      </x:c>
      <x:c r="C166" s="8" t="str">
        <x:v>蔬菜加工</x:v>
      </x:c>
      <x:c r="D166" s="10" t="str">
        <x:v>1371</x:v>
      </x:c>
    </x:row>
    <x:row r="167" ht="28" customHeight="1">
      <x:c r="A167" s="8" t="str">
        <x:v>食品饮料产业链</x:v>
      </x:c>
      <x:c r="B167" s="8" t="str">
        <x:v>食品饮料加工制造</x:v>
      </x:c>
      <x:c r="C167" s="8" t="str">
        <x:v>豆制品制造</x:v>
      </x:c>
      <x:c r="D167" s="10" t="str">
        <x:v>1392</x:v>
      </x:c>
    </x:row>
    <x:row r="168" ht="28" customHeight="1">
      <x:c r="A168" s="8" t="str">
        <x:v>食品饮料产业链</x:v>
      </x:c>
      <x:c r="B168" s="8" t="str">
        <x:v>食品饮料加工制造</x:v>
      </x:c>
      <x:c r="C168" s="8" t="str">
        <x:v>糕点、面包制造</x:v>
      </x:c>
      <x:c r="D168" s="10" t="str">
        <x:v>1411</x:v>
      </x:c>
    </x:row>
    <x:row r="169" ht="28" customHeight="1">
      <x:c r="A169" s="8" t="str">
        <x:v>食品饮料产业链</x:v>
      </x:c>
      <x:c r="B169" s="8" t="str">
        <x:v>食品饮料加工制造</x:v>
      </x:c>
      <x:c r="C169" s="8" t="str">
        <x:v>液体乳制造</x:v>
      </x:c>
      <x:c r="D169" s="10" t="str">
        <x:v>1441</x:v>
      </x:c>
    </x:row>
    <x:row r="170" ht="28" customHeight="1">
      <x:c r="A170" s="8" t="str">
        <x:v>食品饮料产业链</x:v>
      </x:c>
      <x:c r="B170" s="8" t="str">
        <x:v>食品饮料加工制造</x:v>
      </x:c>
      <x:c r="C170" s="8" t="str">
        <x:v>酱油、食醋及类似制品制造</x:v>
      </x:c>
      <x:c r="D170" s="10" t="str">
        <x:v>1462</x:v>
      </x:c>
    </x:row>
    <x:row r="171" ht="28" customHeight="1">
      <x:c r="A171" s="8" t="str">
        <x:v>食品饮料产业链</x:v>
      </x:c>
      <x:c r="B171" s="8" t="str">
        <x:v>食品饮料加工制造</x:v>
      </x:c>
      <x:c r="C171" s="8" t="str">
        <x:v>白酒制造</x:v>
      </x:c>
      <x:c r="D171" s="10" t="str">
        <x:v>1512</x:v>
      </x:c>
    </x:row>
    <x:row r="172" ht="28" customHeight="1">
      <x:c r="A172" s="8" t="str">
        <x:v>食品饮料产业链</x:v>
      </x:c>
      <x:c r="B172" s="8" t="str">
        <x:v>食品饮料加工制造</x:v>
      </x:c>
      <x:c r="C172" s="8" t="str">
        <x:v>果菜汁及果菜汁饮料制造</x:v>
      </x:c>
      <x:c r="D172" s="10" t="str">
        <x:v>1523</x:v>
      </x:c>
    </x:row>
    <x:row r="173" ht="28" customHeight="1">
      <x:c r="A173" s="8" t="str">
        <x:v>食品饮料产业链</x:v>
      </x:c>
      <x:c r="B173" s="8" t="str">
        <x:v>食品饮料加工制造</x:v>
      </x:c>
      <x:c r="C173" s="8" t="str">
        <x:v>精制茶加工</x:v>
      </x:c>
      <x:c r="D173" s="10" t="str">
        <x:v>1530</x:v>
      </x:c>
    </x:row>
    <x:row r="174" ht="28" customHeight="1">
      <x:c r="A174" s="8" t="str">
        <x:v>食品饮料产业链</x:v>
      </x:c>
      <x:c r="B174" s="8" t="str">
        <x:v>品牌渠道、餐饮零售与消费服务</x:v>
      </x:c>
      <x:c r="C174" s="8" t="str">
        <x:v>其他食品批发</x:v>
      </x:c>
      <x:c r="D174" s="10" t="str">
        <x:v>5129</x:v>
      </x:c>
    </x:row>
    <x:row r="175" ht="28" customHeight="1">
      <x:c r="A175" s="8" t="str">
        <x:v>食品饮料产业链</x:v>
      </x:c>
      <x:c r="B175" s="8" t="str">
        <x:v>品牌渠道、餐饮零售与消费服务</x:v>
      </x:c>
      <x:c r="C175" s="8" t="str">
        <x:v>超级市场零售</x:v>
      </x:c>
      <x:c r="D175" s="10" t="str">
        <x:v>5212</x:v>
      </x:c>
    </x:row>
    <x:row r="176" ht="28" customHeight="1">
      <x:c r="A176" s="8" t="str">
        <x:v>食品饮料产业链</x:v>
      </x:c>
      <x:c r="B176" s="8" t="str">
        <x:v>品牌渠道、餐饮零售与消费服务</x:v>
      </x:c>
      <x:c r="C176" s="8" t="str">
        <x:v>其他食品零售</x:v>
      </x:c>
      <x:c r="D176" s="10" t="str">
        <x:v>5229</x:v>
      </x:c>
    </x:row>
    <x:row r="177" ht="28" customHeight="1">
      <x:c r="A177" s="8" t="str">
        <x:v>食品饮料产业链</x:v>
      </x:c>
      <x:c r="B177" s="8" t="str">
        <x:v>品牌渠道、餐饮零售与消费服务</x:v>
      </x:c>
      <x:c r="C177" s="8" t="str">
        <x:v>互联网零售</x:v>
      </x:c>
      <x:c r="D177" s="10" t="str">
        <x:v>5294</x:v>
      </x:c>
    </x:row>
    <x:row r="178" ht="28" customHeight="1">
      <x:c r="A178" s="8" t="str">
        <x:v>食品饮料产业链</x:v>
      </x:c>
      <x:c r="B178" s="8" t="str">
        <x:v>品牌渠道、餐饮零售与消费服务</x:v>
      </x:c>
      <x:c r="C178" s="8" t="str">
        <x:v>正餐服务</x:v>
      </x:c>
      <x:c r="D178" s="10" t="str">
        <x:v>6210</x:v>
      </x:c>
    </x:row>
    <x:row r="179" ht="28" customHeight="1">
      <x:c r="A179" s="8" t="str">
        <x:v>食品饮料产业链</x:v>
      </x:c>
      <x:c r="B179" s="8" t="str">
        <x:v>品牌渠道、餐饮零售与消费服务</x:v>
      </x:c>
      <x:c r="C179" s="8" t="str">
        <x:v>餐饮配送服务</x:v>
      </x:c>
      <x:c r="D179" s="10" t="str">
        <x:v>6241</x:v>
      </x:c>
    </x:row>
    <x:row r="180" ht="28" customHeight="1">
      <x:c r="A180" s="8" t="str">
        <x:v>食品饮料产业链</x:v>
      </x:c>
      <x:c r="B180" s="8" t="str">
        <x:v>品牌渠道、餐饮零售与消费服务</x:v>
      </x:c>
      <x:c r="C180" s="8" t="str">
        <x:v>外卖送餐服务</x:v>
      </x:c>
      <x:c r="D180" s="10" t="str">
        <x:v>6242</x:v>
      </x:c>
    </x:row>
    <x:row r="181" ht="28" customHeight="1">
      <x:c r="A181" s="11" t="str">
        <x:v>新一代信息基础设施产业链</x:v>
      </x:c>
      <x:c r="B181" s="11" t="str">
        <x:v>通信与算力硬件设备</x:v>
      </x:c>
      <x:c r="C181" s="11" t="str">
        <x:v>计算机整机制造</x:v>
      </x:c>
      <x:c r="D181" s="12" t="str">
        <x:v>3911</x:v>
      </x:c>
    </x:row>
    <x:row r="182" ht="28" customHeight="1">
      <x:c r="A182" s="8" t="str">
        <x:v>新一代信息基础设施产业链</x:v>
      </x:c>
      <x:c r="B182" s="8" t="str">
        <x:v>通信与算力硬件设备</x:v>
      </x:c>
      <x:c r="C182" s="8" t="str">
        <x:v>计算机零部件制造</x:v>
      </x:c>
      <x:c r="D182" s="10" t="str">
        <x:v>3912</x:v>
      </x:c>
    </x:row>
    <x:row r="183" ht="28" customHeight="1">
      <x:c r="A183" s="8" t="str">
        <x:v>新一代信息基础设施产业链</x:v>
      </x:c>
      <x:c r="B183" s="8" t="str">
        <x:v>通信与算力硬件设备</x:v>
      </x:c>
      <x:c r="C183" s="8" t="str">
        <x:v>通信系统设备制造</x:v>
      </x:c>
      <x:c r="D183" s="10" t="str">
        <x:v>3921</x:v>
      </x:c>
    </x:row>
    <x:row r="184" ht="28" customHeight="1">
      <x:c r="A184" s="8" t="str">
        <x:v>新一代信息基础设施产业链</x:v>
      </x:c>
      <x:c r="B184" s="8" t="str">
        <x:v>通信与算力硬件设备</x:v>
      </x:c>
      <x:c r="C184" s="8" t="str">
        <x:v>光纤制造</x:v>
      </x:c>
      <x:c r="D184" s="10" t="str">
        <x:v>3832</x:v>
      </x:c>
    </x:row>
    <x:row r="185" ht="28" customHeight="1">
      <x:c r="A185" s="8" t="str">
        <x:v>新一代信息基础设施产业链</x:v>
      </x:c>
      <x:c r="B185" s="8" t="str">
        <x:v>通信与算力硬件设备</x:v>
      </x:c>
      <x:c r="C185" s="8" t="str">
        <x:v>光缆制造</x:v>
      </x:c>
      <x:c r="D185" s="10" t="str">
        <x:v>3833</x:v>
      </x:c>
    </x:row>
    <x:row r="186" ht="28" customHeight="1">
      <x:c r="A186" s="8" t="str">
        <x:v>新一代信息基础设施产业链</x:v>
      </x:c>
      <x:c r="B186" s="8" t="str">
        <x:v>通信与算力硬件设备</x:v>
      </x:c>
      <x:c r="C186" s="8" t="str">
        <x:v>光电子器件制造</x:v>
      </x:c>
      <x:c r="D186" s="10" t="str">
        <x:v>3976</x:v>
      </x:c>
    </x:row>
    <x:row r="187" ht="28" customHeight="1">
      <x:c r="A187" s="8" t="str">
        <x:v>新一代信息基础设施产业链</x:v>
      </x:c>
      <x:c r="B187" s="8" t="str">
        <x:v>5G网络、数据中心与云边平台</x:v>
      </x:c>
      <x:c r="C187" s="8" t="str">
        <x:v>固定电信服务</x:v>
      </x:c>
      <x:c r="D187" s="10" t="str">
        <x:v>6311</x:v>
      </x:c>
    </x:row>
    <x:row r="188" ht="28" customHeight="1">
      <x:c r="A188" s="8" t="str">
        <x:v>新一代信息基础设施产业链</x:v>
      </x:c>
      <x:c r="B188" s="8" t="str">
        <x:v>5G网络、数据中心与云边平台</x:v>
      </x:c>
      <x:c r="C188" s="8" t="str">
        <x:v>移动电信服务</x:v>
      </x:c>
      <x:c r="D188" s="10" t="str">
        <x:v>6312</x:v>
      </x:c>
    </x:row>
    <x:row r="189" ht="28" customHeight="1">
      <x:c r="A189" s="8" t="str">
        <x:v>新一代信息基础设施产业链</x:v>
      </x:c>
      <x:c r="B189" s="8" t="str">
        <x:v>5G网络、数据中心与云边平台</x:v>
      </x:c>
      <x:c r="C189" s="8" t="str">
        <x:v>互联网接入及相关服务</x:v>
      </x:c>
      <x:c r="D189" s="10" t="str">
        <x:v>6410</x:v>
      </x:c>
    </x:row>
    <x:row r="190" ht="28" customHeight="1">
      <x:c r="A190" s="8" t="str">
        <x:v>新一代信息基础设施产业链</x:v>
      </x:c>
      <x:c r="B190" s="8" t="str">
        <x:v>5G网络、数据中心与云边平台</x:v>
      </x:c>
      <x:c r="C190" s="8" t="str">
        <x:v>互联网数据服务</x:v>
      </x:c>
      <x:c r="D190" s="10" t="str">
        <x:v>6450</x:v>
      </x:c>
    </x:row>
    <x:row r="191" ht="28" customHeight="1">
      <x:c r="A191" s="8" t="str">
        <x:v>新一代信息基础设施产业链</x:v>
      </x:c>
      <x:c r="B191" s="8" t="str">
        <x:v>5G网络、数据中心与云边平台</x:v>
      </x:c>
      <x:c r="C191" s="8" t="str">
        <x:v>信息系统集成服务</x:v>
      </x:c>
      <x:c r="D191" s="10" t="str">
        <x:v>6531</x:v>
      </x:c>
    </x:row>
    <x:row r="192" ht="28" customHeight="1">
      <x:c r="A192" s="8" t="str">
        <x:v>新一代信息基础设施产业链</x:v>
      </x:c>
      <x:c r="B192" s="8" t="str">
        <x:v>5G网络、数据中心与云边平台</x:v>
      </x:c>
      <x:c r="C192" s="8" t="str">
        <x:v>信息处理和存储支持服务</x:v>
      </x:c>
      <x:c r="D192" s="10" t="str">
        <x:v>6550</x:v>
      </x:c>
    </x:row>
    <x:row r="193" ht="28" customHeight="1">
      <x:c r="A193" s="8" t="str">
        <x:v>新一代信息基础设施产业链</x:v>
      </x:c>
      <x:c r="B193" s="8" t="str">
        <x:v>云网算服务与行业数字化支撑</x:v>
      </x:c>
      <x:c r="C193" s="8" t="str">
        <x:v>互联网数据服务</x:v>
      </x:c>
      <x:c r="D193" s="10" t="str">
        <x:v>6450</x:v>
      </x:c>
    </x:row>
    <x:row r="194" ht="28" customHeight="1">
      <x:c r="A194" s="8" t="str">
        <x:v>新一代信息基础设施产业链</x:v>
      </x:c>
      <x:c r="B194" s="8" t="str">
        <x:v>云网算服务与行业数字化支撑</x:v>
      </x:c>
      <x:c r="C194" s="8" t="str">
        <x:v>支撑软件开发</x:v>
      </x:c>
      <x:c r="D194" s="10" t="str">
        <x:v>6512</x:v>
      </x:c>
    </x:row>
    <x:row r="195" ht="28" customHeight="1">
      <x:c r="A195" s="8" t="str">
        <x:v>新一代信息基础设施产业链</x:v>
      </x:c>
      <x:c r="B195" s="8" t="str">
        <x:v>云网算服务与行业数字化支撑</x:v>
      </x:c>
      <x:c r="C195" s="8" t="str">
        <x:v>信息系统集成服务</x:v>
      </x:c>
      <x:c r="D195" s="10" t="str">
        <x:v>6531</x:v>
      </x:c>
    </x:row>
    <x:row r="196" ht="28" customHeight="1">
      <x:c r="A196" s="8" t="str">
        <x:v>新一代信息基础设施产业链</x:v>
      </x:c>
      <x:c r="B196" s="8" t="str">
        <x:v>云网算服务与行业数字化支撑</x:v>
      </x:c>
      <x:c r="C196" s="8" t="str">
        <x:v>运行维护服务</x:v>
      </x:c>
      <x:c r="D196" s="10" t="str">
        <x:v>6540</x:v>
      </x:c>
    </x:row>
    <x:row r="197" ht="28" customHeight="1">
      <x:c r="A197" s="8" t="str">
        <x:v>新一代信息基础设施产业链</x:v>
      </x:c>
      <x:c r="B197" s="8" t="str">
        <x:v>云网算服务与行业数字化支撑</x:v>
      </x:c>
      <x:c r="C197" s="8" t="str">
        <x:v>信息技术咨询服务</x:v>
      </x:c>
      <x:c r="D197" s="10" t="str">
        <x:v>6560</x:v>
      </x:c>
    </x:row>
    <x:row r="198" ht="28" customHeight="1">
      <x:c r="A198" s="8" t="str">
        <x:v>新一代信息基础设施产业链</x:v>
      </x:c>
      <x:c r="B198" s="8" t="str">
        <x:v>云网算服务与行业数字化支撑</x:v>
      </x:c>
      <x:c r="C198" s="8" t="str">
        <x:v>其他互联网服务</x:v>
      </x:c>
      <x:c r="D198" s="10" t="str">
        <x:v>6490</x:v>
      </x:c>
    </x:row>
    <x:row r="199" ht="28" customHeight="1">
      <x:c r="A199" s="11" t="str">
        <x:v>绿色环保与资源循环产业链</x:v>
      </x:c>
      <x:c r="B199" s="11" t="str">
        <x:v>环保装备、监测与资源回收基础</x:v>
      </x:c>
      <x:c r="C199" s="11" t="str">
        <x:v>环境保护专用设备制造</x:v>
      </x:c>
      <x:c r="D199" s="12" t="str">
        <x:v>3591</x:v>
      </x:c>
    </x:row>
    <x:row r="200" ht="28" customHeight="1">
      <x:c r="A200" s="8" t="str">
        <x:v>绿色环保与资源循环产业链</x:v>
      </x:c>
      <x:c r="B200" s="8" t="str">
        <x:v>环保装备、监测与资源回收基础</x:v>
      </x:c>
      <x:c r="C200" s="8" t="str">
        <x:v>环境监测专用仪器仪表制造</x:v>
      </x:c>
      <x:c r="D200" s="10" t="str">
        <x:v>4021</x:v>
      </x:c>
    </x:row>
    <x:row r="201" ht="28" customHeight="1">
      <x:c r="A201" s="8" t="str">
        <x:v>绿色环保与资源循环产业链</x:v>
      </x:c>
      <x:c r="B201" s="8" t="str">
        <x:v>环保装备、监测与资源回收基础</x:v>
      </x:c>
      <x:c r="C201" s="8" t="str">
        <x:v>环境保护监测</x:v>
      </x:c>
      <x:c r="D201" s="10" t="str">
        <x:v>7461</x:v>
      </x:c>
    </x:row>
    <x:row r="202" ht="28" customHeight="1">
      <x:c r="A202" s="8" t="str">
        <x:v>绿色环保与资源循环产业链</x:v>
      </x:c>
      <x:c r="B202" s="8" t="str">
        <x:v>环保装备、监测与资源回收基础</x:v>
      </x:c>
      <x:c r="C202" s="8" t="str">
        <x:v>金属废料和碎屑加工处理</x:v>
      </x:c>
      <x:c r="D202" s="10" t="str">
        <x:v>4210</x:v>
      </x:c>
    </x:row>
    <x:row r="203" ht="28" customHeight="1">
      <x:c r="A203" s="8" t="str">
        <x:v>绿色环保与资源循环产业链</x:v>
      </x:c>
      <x:c r="B203" s="8" t="str">
        <x:v>环保装备、监测与资源回收基础</x:v>
      </x:c>
      <x:c r="C203" s="8" t="str">
        <x:v>非金属废料和碎屑加工处理</x:v>
      </x:c>
      <x:c r="D203" s="10" t="str">
        <x:v>4220</x:v>
      </x:c>
    </x:row>
    <x:row r="204" ht="28" customHeight="1">
      <x:c r="A204" s="8" t="str">
        <x:v>绿色环保与资源循环产业链</x:v>
      </x:c>
      <x:c r="B204" s="8" t="str">
        <x:v>环保装备、监测与资源回收基础</x:v>
      </x:c>
      <x:c r="C204" s="8" t="str">
        <x:v>再生物资回收与批发</x:v>
      </x:c>
      <x:c r="D204" s="10" t="str">
        <x:v>5191</x:v>
      </x:c>
    </x:row>
    <x:row r="205" ht="28" customHeight="1">
      <x:c r="A205" s="8" t="str">
        <x:v>绿色环保与资源循环产业链</x:v>
      </x:c>
      <x:c r="B205" s="8" t="str">
        <x:v>污染治理与节能降碳服务</x:v>
      </x:c>
      <x:c r="C205" s="8" t="str">
        <x:v>水污染治理</x:v>
      </x:c>
      <x:c r="D205" s="10" t="str">
        <x:v>7721</x:v>
      </x:c>
    </x:row>
    <x:row r="206" ht="28" customHeight="1">
      <x:c r="A206" s="8" t="str">
        <x:v>绿色环保与资源循环产业链</x:v>
      </x:c>
      <x:c r="B206" s="8" t="str">
        <x:v>污染治理与节能降碳服务</x:v>
      </x:c>
      <x:c r="C206" s="8" t="str">
        <x:v>大气污染治理</x:v>
      </x:c>
      <x:c r="D206" s="10" t="str">
        <x:v>7722</x:v>
      </x:c>
    </x:row>
    <x:row r="207" ht="28" customHeight="1">
      <x:c r="A207" s="8" t="str">
        <x:v>绿色环保与资源循环产业链</x:v>
      </x:c>
      <x:c r="B207" s="8" t="str">
        <x:v>污染治理与节能降碳服务</x:v>
      </x:c>
      <x:c r="C207" s="8" t="str">
        <x:v>固体废物治理</x:v>
      </x:c>
      <x:c r="D207" s="10" t="str">
        <x:v>7723</x:v>
      </x:c>
    </x:row>
    <x:row r="208" ht="28" customHeight="1">
      <x:c r="A208" s="8" t="str">
        <x:v>绿色环保与资源循环产业链</x:v>
      </x:c>
      <x:c r="B208" s="8" t="str">
        <x:v>污染治理与节能降碳服务</x:v>
      </x:c>
      <x:c r="C208" s="8" t="str">
        <x:v>危险废物治理</x:v>
      </x:c>
      <x:c r="D208" s="10" t="str">
        <x:v>7724</x:v>
      </x:c>
    </x:row>
    <x:row r="209" ht="28" customHeight="1">
      <x:c r="A209" s="8" t="str">
        <x:v>绿色环保与资源循环产业链</x:v>
      </x:c>
      <x:c r="B209" s="8" t="str">
        <x:v>污染治理与节能降碳服务</x:v>
      </x:c>
      <x:c r="C209" s="8" t="str">
        <x:v>土壤污染治理与修复服务</x:v>
      </x:c>
      <x:c r="D209" s="10" t="str">
        <x:v>7726</x:v>
      </x:c>
    </x:row>
    <x:row r="210" ht="28" customHeight="1">
      <x:c r="A210" s="8" t="str">
        <x:v>绿色环保与资源循环产业链</x:v>
      </x:c>
      <x:c r="B210" s="8" t="str">
        <x:v>污染治理与节能降碳服务</x:v>
      </x:c>
      <x:c r="C210" s="8" t="str">
        <x:v>噪声与振动控制服务</x:v>
      </x:c>
      <x:c r="D210" s="10" t="str">
        <x:v>7727</x:v>
      </x:c>
    </x:row>
    <x:row r="211" ht="28" customHeight="1">
      <x:c r="A211" s="8" t="str">
        <x:v>绿色环保与资源循环产业链</x:v>
      </x:c>
      <x:c r="B211" s="8" t="str">
        <x:v>污染治理与节能降碳服务</x:v>
      </x:c>
      <x:c r="C211" s="8" t="str">
        <x:v>节能技术推广服务</x:v>
      </x:c>
      <x:c r="D211" s="10" t="str">
        <x:v>7514</x:v>
      </x:c>
    </x:row>
    <x:row r="212" ht="28" customHeight="1">
      <x:c r="A212" s="8" t="str">
        <x:v>绿色环保与资源循环产业链</x:v>
      </x:c>
      <x:c r="B212" s="8" t="str">
        <x:v>污染治理与节能降碳服务</x:v>
      </x:c>
      <x:c r="C212" s="8" t="str">
        <x:v>环保技术推广服务</x:v>
      </x:c>
      <x:c r="D212" s="10" t="str">
        <x:v>7516</x:v>
      </x:c>
    </x:row>
    <x:row r="213" ht="28" customHeight="1">
      <x:c r="A213" s="8" t="str">
        <x:v>绿色环保与资源循环产业链</x:v>
      </x:c>
      <x:c r="B213" s="8" t="str">
        <x:v>园区、市政与企业绿色运营</x:v>
      </x:c>
      <x:c r="C213" s="8" t="str">
        <x:v>园区管理服务</x:v>
      </x:c>
      <x:c r="D213" s="10" t="str">
        <x:v>7221</x:v>
      </x:c>
    </x:row>
    <x:row r="214" ht="28" customHeight="1">
      <x:c r="A214" s="8" t="str">
        <x:v>绿色环保与资源循环产业链</x:v>
      </x:c>
      <x:c r="B214" s="8" t="str">
        <x:v>园区、市政与企业绿色运营</x:v>
      </x:c>
      <x:c r="C214" s="8" t="str">
        <x:v>市政设施管理</x:v>
      </x:c>
      <x:c r="D214" s="10" t="str">
        <x:v>7810</x:v>
      </x:c>
    </x:row>
    <x:row r="215" ht="28" customHeight="1">
      <x:c r="A215" s="8" t="str">
        <x:v>绿色环保与资源循环产业链</x:v>
      </x:c>
      <x:c r="B215" s="8" t="str">
        <x:v>园区、市政与企业绿色运营</x:v>
      </x:c>
      <x:c r="C215" s="8" t="str">
        <x:v>环境卫生管理</x:v>
      </x:c>
      <x:c r="D215" s="10" t="str">
        <x:v>7820</x:v>
      </x:c>
    </x:row>
    <x:row r="216" ht="28" customHeight="1">
      <x:c r="A216" s="8" t="str">
        <x:v>绿色环保与资源循环产业链</x:v>
      </x:c>
      <x:c r="B216" s="8" t="str">
        <x:v>园区、市政与企业绿色运营</x:v>
      </x:c>
      <x:c r="C216" s="8" t="str">
        <x:v>污水处理及其再生利用</x:v>
      </x:c>
      <x:c r="D216" s="10" t="str">
        <x:v>4620</x:v>
      </x:c>
    </x:row>
    <x:row r="217" ht="28" customHeight="1">
      <x:c r="A217" s="8" t="str">
        <x:v>绿色环保与资源循环产业链</x:v>
      </x:c>
      <x:c r="B217" s="8" t="str">
        <x:v>园区、市政与企业绿色运营</x:v>
      </x:c>
      <x:c r="C217" s="8" t="str">
        <x:v>其他污染治理</x:v>
      </x:c>
      <x:c r="D217" s="10" t="str">
        <x:v>7729</x:v>
      </x:c>
    </x:row>
    <x:row r="218" ht="28" customHeight="1">
      <x:c r="A218" s="8" t="str">
        <x:v>绿色环保与资源循环产业链</x:v>
      </x:c>
      <x:c r="B218" s="8" t="str">
        <x:v>园区、市政与企业绿色运营</x:v>
      </x:c>
      <x:c r="C218" s="8" t="str">
        <x:v>城乡市容管理</x:v>
      </x:c>
      <x:c r="D218" s="10" t="str">
        <x:v>7830</x:v>
      </x:c>
    </x:row>
    <x:row r="219" ht="28" customHeight="1">
      <x:c r="A219" s="11" t="str">
        <x:v>新材料产业链</x:v>
      </x:c>
      <x:c r="B219" s="11" t="str">
        <x:v>矿物、化工与基础材料原料</x:v>
      </x:c>
      <x:c r="C219" s="11" t="str">
        <x:v>镍钴矿采选</x:v>
      </x:c>
      <x:c r="D219" s="12" t="str">
        <x:v>0913</x:v>
      </x:c>
    </x:row>
    <x:row r="220" ht="28" customHeight="1">
      <x:c r="A220" s="8" t="str">
        <x:v>新材料产业链</x:v>
      </x:c>
      <x:c r="B220" s="8" t="str">
        <x:v>矿物、化工与基础材料原料</x:v>
      </x:c>
      <x:c r="C220" s="8" t="str">
        <x:v>稀土金属矿采选</x:v>
      </x:c>
      <x:c r="D220" s="10" t="str">
        <x:v>0932</x:v>
      </x:c>
    </x:row>
    <x:row r="221" ht="28" customHeight="1">
      <x:c r="A221" s="8" t="str">
        <x:v>新材料产业链</x:v>
      </x:c>
      <x:c r="B221" s="8" t="str">
        <x:v>矿物、化工与基础材料原料</x:v>
      </x:c>
      <x:c r="C221" s="8" t="str">
        <x:v>石墨、滑石采选</x:v>
      </x:c>
      <x:c r="D221" s="10" t="str">
        <x:v>1092</x:v>
      </x:c>
    </x:row>
    <x:row r="222" ht="28" customHeight="1">
      <x:c r="A222" s="8" t="str">
        <x:v>新材料产业链</x:v>
      </x:c>
      <x:c r="B222" s="8" t="str">
        <x:v>矿物、化工与基础材料原料</x:v>
      </x:c>
      <x:c r="C222" s="8" t="str">
        <x:v>有机化学原料制造</x:v>
      </x:c>
      <x:c r="D222" s="10" t="str">
        <x:v>2614</x:v>
      </x:c>
    </x:row>
    <x:row r="223" ht="28" customHeight="1">
      <x:c r="A223" s="8" t="str">
        <x:v>新材料产业链</x:v>
      </x:c>
      <x:c r="B223" s="8" t="str">
        <x:v>矿物、化工与基础材料原料</x:v>
      </x:c>
      <x:c r="C223" s="8" t="str">
        <x:v>化纤浆粕制造</x:v>
      </x:c>
      <x:c r="D223" s="10" t="str">
        <x:v>2811</x:v>
      </x:c>
    </x:row>
    <x:row r="224" ht="28" customHeight="1">
      <x:c r="A224" s="8" t="str">
        <x:v>新材料产业链</x:v>
      </x:c>
      <x:c r="B224" s="8" t="str">
        <x:v>先进材料制备与加工</x:v>
      </x:c>
      <x:c r="C224" s="8" t="str">
        <x:v>其他合成材料制造</x:v>
      </x:c>
      <x:c r="D224" s="10" t="str">
        <x:v>2659</x:v>
      </x:c>
    </x:row>
    <x:row r="225" ht="28" customHeight="1">
      <x:c r="A225" s="8" t="str">
        <x:v>新材料产业链</x:v>
      </x:c>
      <x:c r="B225" s="8" t="str">
        <x:v>先进材料制备与加工</x:v>
      </x:c>
      <x:c r="C225" s="8" t="str">
        <x:v>其他合成纤维制造</x:v>
      </x:c>
      <x:c r="D225" s="10" t="str">
        <x:v>2829</x:v>
      </x:c>
    </x:row>
    <x:row r="226" ht="28" customHeight="1">
      <x:c r="A226" s="8" t="str">
        <x:v>新材料产业链</x:v>
      </x:c>
      <x:c r="B226" s="8" t="str">
        <x:v>先进材料制备与加工</x:v>
      </x:c>
      <x:c r="C226" s="8" t="str">
        <x:v>特种玻璃制造</x:v>
      </x:c>
      <x:c r="D226" s="10" t="str">
        <x:v>3042</x:v>
      </x:c>
    </x:row>
    <x:row r="227" ht="28" customHeight="1">
      <x:c r="A227" s="8" t="str">
        <x:v>新材料产业链</x:v>
      </x:c>
      <x:c r="B227" s="8" t="str">
        <x:v>先进材料制备与加工</x:v>
      </x:c>
      <x:c r="C227" s="8" t="str">
        <x:v>玻璃纤维及制品制造</x:v>
      </x:c>
      <x:c r="D227" s="10" t="str">
        <x:v>3061</x:v>
      </x:c>
    </x:row>
    <x:row r="228" ht="28" customHeight="1">
      <x:c r="A228" s="8" t="str">
        <x:v>新材料产业链</x:v>
      </x:c>
      <x:c r="B228" s="8" t="str">
        <x:v>先进材料制备与加工</x:v>
      </x:c>
      <x:c r="C228" s="8" t="str">
        <x:v>玻璃纤维增强塑料制品制造</x:v>
      </x:c>
      <x:c r="D228" s="10" t="str">
        <x:v>3062</x:v>
      </x:c>
    </x:row>
    <x:row r="229" ht="28" customHeight="1">
      <x:c r="A229" s="8" t="str">
        <x:v>新材料产业链</x:v>
      </x:c>
      <x:c r="B229" s="8" t="str">
        <x:v>先进材料制备与加工</x:v>
      </x:c>
      <x:c r="C229" s="8" t="str">
        <x:v>特种陶瓷制品制造</x:v>
      </x:c>
      <x:c r="D229" s="10" t="str">
        <x:v>3073</x:v>
      </x:c>
    </x:row>
    <x:row r="230" ht="28" customHeight="1">
      <x:c r="A230" s="8" t="str">
        <x:v>新材料产业链</x:v>
      </x:c>
      <x:c r="B230" s="8" t="str">
        <x:v>先进材料制备与加工</x:v>
      </x:c>
      <x:c r="C230" s="8" t="str">
        <x:v>石墨及碳素制品制造</x:v>
      </x:c>
      <x:c r="D230" s="10" t="str">
        <x:v>3091</x:v>
      </x:c>
    </x:row>
    <x:row r="231" ht="28" customHeight="1">
      <x:c r="A231" s="8" t="str">
        <x:v>新材料产业链</x:v>
      </x:c>
      <x:c r="B231" s="8" t="str">
        <x:v>先进材料制备与加工</x:v>
      </x:c>
      <x:c r="C231" s="8" t="str">
        <x:v>钢压延加工</x:v>
      </x:c>
      <x:c r="D231" s="10" t="str">
        <x:v>3130</x:v>
      </x:c>
    </x:row>
    <x:row r="232" ht="28" customHeight="1">
      <x:c r="A232" s="8" t="str">
        <x:v>新材料产业链</x:v>
      </x:c>
      <x:c r="B232" s="8" t="str">
        <x:v>先进材料制备与加工</x:v>
      </x:c>
      <x:c r="C232" s="8" t="str">
        <x:v>稀有稀土金属压延加工</x:v>
      </x:c>
      <x:c r="D232" s="10" t="str">
        <x:v>3254</x:v>
      </x:c>
    </x:row>
    <x:row r="233" ht="28" customHeight="1">
      <x:c r="A233" s="8" t="str">
        <x:v>新材料产业链</x:v>
      </x:c>
      <x:c r="B233" s="8" t="str">
        <x:v>先进材料制备与加工</x:v>
      </x:c>
      <x:c r="C233" s="8" t="str">
        <x:v>电子专用材料制造</x:v>
      </x:c>
      <x:c r="D233" s="10" t="str">
        <x:v>3985</x:v>
      </x:c>
    </x:row>
    <x:row r="234" ht="28" customHeight="1">
      <x:c r="A234" s="8" t="str">
        <x:v>新材料产业链</x:v>
      </x:c>
      <x:c r="B234" s="8" t="str">
        <x:v>材料应用与高端制造配套</x:v>
      </x:c>
      <x:c r="C234" s="8" t="str">
        <x:v>塑料零件制造</x:v>
      </x:c>
      <x:c r="D234" s="10" t="str">
        <x:v>2928</x:v>
      </x:c>
    </x:row>
    <x:row r="235" ht="28" customHeight="1">
      <x:c r="A235" s="8" t="str">
        <x:v>新材料产业链</x:v>
      </x:c>
      <x:c r="B235" s="8" t="str">
        <x:v>材料应用与高端制造配套</x:v>
      </x:c>
      <x:c r="C235" s="8" t="str">
        <x:v>锻件及粉末冶金制品制造</x:v>
      </x:c>
      <x:c r="D235" s="10" t="str">
        <x:v>3393</x:v>
      </x:c>
    </x:row>
    <x:row r="236" ht="28" customHeight="1">
      <x:c r="A236" s="8" t="str">
        <x:v>新材料产业链</x:v>
      </x:c>
      <x:c r="B236" s="8" t="str">
        <x:v>材料应用与高端制造配套</x:v>
      </x:c>
      <x:c r="C236" s="8" t="str">
        <x:v>机械零部件加工</x:v>
      </x:c>
      <x:c r="D236" s="10" t="str">
        <x:v>3484</x:v>
      </x:c>
    </x:row>
    <x:row r="237" ht="28" customHeight="1">
      <x:c r="A237" s="8" t="str">
        <x:v>新材料产业链</x:v>
      </x:c>
      <x:c r="B237" s="8" t="str">
        <x:v>材料应用与高端制造配套</x:v>
      </x:c>
      <x:c r="C237" s="8" t="str">
        <x:v>汽车零部件及配件制造</x:v>
      </x:c>
      <x:c r="D237" s="10" t="str">
        <x:v>3670</x:v>
      </x:c>
    </x:row>
    <x:row r="238" ht="28" customHeight="1">
      <x:c r="A238" s="8" t="str">
        <x:v>新材料产业链</x:v>
      </x:c>
      <x:c r="B238" s="8" t="str">
        <x:v>材料应用与高端制造配套</x:v>
      </x:c>
      <x:c r="C238" s="8" t="str">
        <x:v>电子专用材料制造</x:v>
      </x:c>
      <x:c r="D238" s="10" t="str">
        <x:v>3985</x:v>
      </x:c>
    </x:row>
    <x:row r="239" ht="28" customHeight="1">
      <x:c r="A239" s="8" t="str">
        <x:v>新材料产业链</x:v>
      </x:c>
      <x:c r="B239" s="8" t="str">
        <x:v>材料应用与高端制造配套</x:v>
      </x:c>
      <x:c r="C239" s="8" t="str">
        <x:v>新材料技术推广服务</x:v>
      </x:c>
      <x:c r="D239" s="10" t="str">
        <x:v>7513</x:v>
      </x:c>
    </x:row>
    <x:row r="240" ht="28" customHeight="1">
      <x:c r="A240" s="11" t="str">
        <x:v>空天装备与低空经济产业链</x:v>
      </x:c>
      <x:c r="B240" s="11" t="str">
        <x:v>航空航天材料、零部件与核心系统</x:v>
      </x:c>
      <x:c r="C240" s="11" t="str">
        <x:v>机械零部件加工</x:v>
      </x:c>
      <x:c r="D240" s="12" t="str">
        <x:v>3484</x:v>
      </x:c>
    </x:row>
    <x:row r="241" ht="28" customHeight="1">
      <x:c r="A241" s="8" t="str">
        <x:v>空天装备与低空经济产业链</x:v>
      </x:c>
      <x:c r="B241" s="8" t="str">
        <x:v>航空航天材料、零部件与核心系统</x:v>
      </x:c>
      <x:c r="C241" s="8" t="str">
        <x:v>航天相关设备制造</x:v>
      </x:c>
      <x:c r="D241" s="10" t="str">
        <x:v>3743</x:v>
      </x:c>
    </x:row>
    <x:row r="242" ht="28" customHeight="1">
      <x:c r="A242" s="8" t="str">
        <x:v>空天装备与低空经济产业链</x:v>
      </x:c>
      <x:c r="B242" s="8" t="str">
        <x:v>航空航天材料、零部件与核心系统</x:v>
      </x:c>
      <x:c r="C242" s="8" t="str">
        <x:v>航空相关设备制造</x:v>
      </x:c>
      <x:c r="D242" s="10" t="str">
        <x:v>3744</x:v>
      </x:c>
    </x:row>
    <x:row r="243" ht="28" customHeight="1">
      <x:c r="A243" s="8" t="str">
        <x:v>空天装备与低空经济产业链</x:v>
      </x:c>
      <x:c r="B243" s="8" t="str">
        <x:v>航空航天材料、零部件与核心系统</x:v>
      </x:c>
      <x:c r="C243" s="8" t="str">
        <x:v>雷达及配套设备制造</x:v>
      </x:c>
      <x:c r="D243" s="10" t="str">
        <x:v>3940</x:v>
      </x:c>
    </x:row>
    <x:row r="244" ht="28" customHeight="1">
      <x:c r="A244" s="8" t="str">
        <x:v>空天装备与低空经济产业链</x:v>
      </x:c>
      <x:c r="B244" s="8" t="str">
        <x:v>航空航天材料、零部件与核心系统</x:v>
      </x:c>
      <x:c r="C244" s="8" t="str">
        <x:v>敏感元件及传感器制造</x:v>
      </x:c>
      <x:c r="D244" s="10" t="str">
        <x:v>3983</x:v>
      </x:c>
    </x:row>
    <x:row r="245" ht="28" customHeight="1">
      <x:c r="A245" s="8" t="str">
        <x:v>空天装备与低空经济产业链</x:v>
      </x:c>
      <x:c r="B245" s="8" t="str">
        <x:v>航空航天材料、零部件与核心系统</x:v>
      </x:c>
      <x:c r="C245" s="8" t="str">
        <x:v>导航、气象及海洋专用仪器制造</x:v>
      </x:c>
      <x:c r="D245" s="10" t="str">
        <x:v>4023</x:v>
      </x:c>
    </x:row>
    <x:row r="246" ht="28" customHeight="1">
      <x:c r="A246" s="8" t="str">
        <x:v>空天装备与低空经济产业链</x:v>
      </x:c>
      <x:c r="B246" s="8" t="str">
        <x:v>空天装备制造与低空飞行器</x:v>
      </x:c>
      <x:c r="C246" s="8" t="str">
        <x:v>飞机制造</x:v>
      </x:c>
      <x:c r="D246" s="10" t="str">
        <x:v>3741</x:v>
      </x:c>
    </x:row>
    <x:row r="247" ht="28" customHeight="1">
      <x:c r="A247" s="8" t="str">
        <x:v>空天装备与低空经济产业链</x:v>
      </x:c>
      <x:c r="B247" s="8" t="str">
        <x:v>空天装备制造与低空飞行器</x:v>
      </x:c>
      <x:c r="C247" s="8" t="str">
        <x:v>航天器及运载火箭制造</x:v>
      </x:c>
      <x:c r="D247" s="10" t="str">
        <x:v>3742</x:v>
      </x:c>
    </x:row>
    <x:row r="248" ht="28" customHeight="1">
      <x:c r="A248" s="8" t="str">
        <x:v>空天装备与低空经济产业链</x:v>
      </x:c>
      <x:c r="B248" s="8" t="str">
        <x:v>空天装备制造与低空飞行器</x:v>
      </x:c>
      <x:c r="C248" s="8" t="str">
        <x:v>其他航空航天器制造</x:v>
      </x:c>
      <x:c r="D248" s="10" t="str">
        <x:v>3749</x:v>
      </x:c>
    </x:row>
    <x:row r="249" ht="28" customHeight="1">
      <x:c r="A249" s="8" t="str">
        <x:v>空天装备与低空经济产业链</x:v>
      </x:c>
      <x:c r="B249" s="8" t="str">
        <x:v>空天装备制造与低空飞行器</x:v>
      </x:c>
      <x:c r="C249" s="8" t="str">
        <x:v>智能无人飞行器制造</x:v>
      </x:c>
      <x:c r="D249" s="10" t="str">
        <x:v>3963</x:v>
      </x:c>
    </x:row>
    <x:row r="250" ht="28" customHeight="1">
      <x:c r="A250" s="8" t="str">
        <x:v>空天装备与低空经济产业链</x:v>
      </x:c>
      <x:c r="B250" s="8" t="str">
        <x:v>低空运营、空域服务与场景应用</x:v>
      </x:c>
      <x:c r="C250" s="8" t="str">
        <x:v>航空航天器修理</x:v>
      </x:c>
      <x:c r="D250" s="10" t="str">
        <x:v>4343</x:v>
      </x:c>
    </x:row>
    <x:row r="251" ht="28" customHeight="1">
      <x:c r="A251" s="8" t="str">
        <x:v>空天装备与低空经济产业链</x:v>
      </x:c>
      <x:c r="B251" s="8" t="str">
        <x:v>低空运营、空域服务与场景应用</x:v>
      </x:c>
      <x:c r="C251" s="8" t="str">
        <x:v>通用航空服务</x:v>
      </x:c>
      <x:c r="D251" s="10" t="str">
        <x:v>5621</x:v>
      </x:c>
    </x:row>
    <x:row r="252" ht="28" customHeight="1">
      <x:c r="A252" s="8" t="str">
        <x:v>空天装备与低空经济产业链</x:v>
      </x:c>
      <x:c r="B252" s="8" t="str">
        <x:v>低空运营、空域服务与场景应用</x:v>
      </x:c>
      <x:c r="C252" s="8" t="str">
        <x:v>其他通用航空服务</x:v>
      </x:c>
      <x:c r="D252" s="10" t="str">
        <x:v>5629</x:v>
      </x:c>
    </x:row>
    <x:row r="253" ht="28" customHeight="1">
      <x:c r="A253" s="8" t="str">
        <x:v>空天装备与低空经济产业链</x:v>
      </x:c>
      <x:c r="B253" s="8" t="str">
        <x:v>低空运营、空域服务与场景应用</x:v>
      </x:c>
      <x:c r="C253" s="8" t="str">
        <x:v>机场</x:v>
      </x:c>
      <x:c r="D253" s="10" t="str">
        <x:v>5631</x:v>
      </x:c>
    </x:row>
    <x:row r="254" ht="28" customHeight="1">
      <x:c r="A254" s="8" t="str">
        <x:v>空天装备与低空经济产业链</x:v>
      </x:c>
      <x:c r="B254" s="8" t="str">
        <x:v>低空运营、空域服务与场景应用</x:v>
      </x:c>
      <x:c r="C254" s="8" t="str">
        <x:v>空中交通管理</x:v>
      </x:c>
      <x:c r="D254" s="10" t="str">
        <x:v>5632</x:v>
      </x:c>
    </x:row>
    <x:row r="255" ht="28" customHeight="1">
      <x:c r="A255" s="8" t="str">
        <x:v>空天装备与低空经济产业链</x:v>
      </x:c>
      <x:c r="B255" s="8" t="str">
        <x:v>低空运营、空域服务与场景应用</x:v>
      </x:c>
      <x:c r="C255" s="8" t="str">
        <x:v>其他航空运输辅助活动</x:v>
      </x:c>
      <x:c r="D255" s="10" t="str">
        <x:v>5639</x:v>
      </x:c>
    </x:row>
    <x:row r="256" ht="28" customHeight="1">
      <x:c r="A256" s="8" t="str">
        <x:v>空天装备与低空经济产业链</x:v>
      </x:c>
      <x:c r="B256" s="8" t="str">
        <x:v>低空运营、空域服务与场景应用</x:v>
      </x:c>
      <x:c r="C256" s="8" t="str">
        <x:v>遥感测绘服务</x:v>
      </x:c>
      <x:c r="D256" s="10" t="str">
        <x:v>7441</x:v>
      </x:c>
    </x:row>
    <x:row r="257" ht="28" customHeight="1">
      <x:c r="A257" s="11" t="str">
        <x:v>机器人产业链</x:v>
      </x:c>
      <x:c r="B257" s="11" t="str">
        <x:v>核心零部件、控制器与传感系统</x:v>
      </x:c>
      <x:c r="C257" s="11" t="str">
        <x:v>齿轮及齿轮减、变速箱制造</x:v>
      </x:c>
      <x:c r="D257" s="12" t="str">
        <x:v>3453</x:v>
      </x:c>
    </x:row>
    <x:row r="258" ht="28" customHeight="1">
      <x:c r="A258" s="8" t="str">
        <x:v>机器人产业链</x:v>
      </x:c>
      <x:c r="B258" s="8" t="str">
        <x:v>核心零部件、控制器与传感系统</x:v>
      </x:c>
      <x:c r="C258" s="8" t="str">
        <x:v>液压动力机械及元件制造</x:v>
      </x:c>
      <x:c r="D258" s="10" t="str">
        <x:v>3444</x:v>
      </x:c>
    </x:row>
    <x:row r="259" ht="28" customHeight="1">
      <x:c r="A259" s="8" t="str">
        <x:v>机器人产业链</x:v>
      </x:c>
      <x:c r="B259" s="8" t="str">
        <x:v>核心零部件、控制器与传感系统</x:v>
      </x:c>
      <x:c r="C259" s="8" t="str">
        <x:v>工业自动控制系统装置制造</x:v>
      </x:c>
      <x:c r="D259" s="10" t="str">
        <x:v>4011</x:v>
      </x:c>
    </x:row>
    <x:row r="260" ht="28" customHeight="1">
      <x:c r="A260" s="8" t="str">
        <x:v>机器人产业链</x:v>
      </x:c>
      <x:c r="B260" s="8" t="str">
        <x:v>核心零部件、控制器与传感系统</x:v>
      </x:c>
      <x:c r="C260" s="8" t="str">
        <x:v>电子电路制造</x:v>
      </x:c>
      <x:c r="D260" s="10" t="str">
        <x:v>3982</x:v>
      </x:c>
    </x:row>
    <x:row r="261" ht="28" customHeight="1">
      <x:c r="A261" s="8" t="str">
        <x:v>机器人产业链</x:v>
      </x:c>
      <x:c r="B261" s="8" t="str">
        <x:v>核心零部件、控制器与传感系统</x:v>
      </x:c>
      <x:c r="C261" s="8" t="str">
        <x:v>敏感元件及传感器制造</x:v>
      </x:c>
      <x:c r="D261" s="10" t="str">
        <x:v>3983</x:v>
      </x:c>
    </x:row>
    <x:row r="262" ht="28" customHeight="1">
      <x:c r="A262" s="8" t="str">
        <x:v>机器人产业链</x:v>
      </x:c>
      <x:c r="B262" s="8" t="str">
        <x:v>机器人本体制造与系统集成</x:v>
      </x:c>
      <x:c r="C262" s="8" t="str">
        <x:v>工业机器人制造</x:v>
      </x:c>
      <x:c r="D262" s="10" t="str">
        <x:v>3491</x:v>
      </x:c>
    </x:row>
    <x:row r="263" ht="28" customHeight="1">
      <x:c r="A263" s="8" t="str">
        <x:v>机器人产业链</x:v>
      </x:c>
      <x:c r="B263" s="8" t="str">
        <x:v>机器人本体制造与系统集成</x:v>
      </x:c>
      <x:c r="C263" s="8" t="str">
        <x:v>特殊作业机器人制造</x:v>
      </x:c>
      <x:c r="D263" s="10" t="str">
        <x:v>3492</x:v>
      </x:c>
    </x:row>
    <x:row r="264" ht="28" customHeight="1">
      <x:c r="A264" s="8" t="str">
        <x:v>机器人产业链</x:v>
      </x:c>
      <x:c r="B264" s="8" t="str">
        <x:v>机器人本体制造与系统集成</x:v>
      </x:c>
      <x:c r="C264" s="8" t="str">
        <x:v>服务消费机器人制造</x:v>
      </x:c>
      <x:c r="D264" s="10" t="str">
        <x:v>3964</x:v>
      </x:c>
    </x:row>
    <x:row r="265" ht="28" customHeight="1">
      <x:c r="A265" s="8" t="str">
        <x:v>机器人产业链</x:v>
      </x:c>
      <x:c r="B265" s="8" t="str">
        <x:v>机器人本体制造与系统集成</x:v>
      </x:c>
      <x:c r="C265" s="8" t="str">
        <x:v>信息系统集成服务</x:v>
      </x:c>
      <x:c r="D265" s="10" t="str">
        <x:v>6531</x:v>
      </x:c>
    </x:row>
    <x:row r="266" ht="28" customHeight="1">
      <x:c r="A266" s="8" t="str">
        <x:v>机器人产业链</x:v>
      </x:c>
      <x:c r="B266" s="8" t="str">
        <x:v>工业、服务与特种场景应用</x:v>
      </x:c>
      <x:c r="C266" s="8" t="str">
        <x:v>工业机器人制造</x:v>
      </x:c>
      <x:c r="D266" s="10" t="str">
        <x:v>3491</x:v>
      </x:c>
    </x:row>
    <x:row r="267" ht="28" customHeight="1">
      <x:c r="A267" s="8" t="str">
        <x:v>机器人产业链</x:v>
      </x:c>
      <x:c r="B267" s="8" t="str">
        <x:v>工业、服务与特种场景应用</x:v>
      </x:c>
      <x:c r="C267" s="8" t="str">
        <x:v>特殊作业机器人制造</x:v>
      </x:c>
      <x:c r="D267" s="10" t="str">
        <x:v>3492</x:v>
      </x:c>
    </x:row>
    <x:row r="268" ht="28" customHeight="1">
      <x:c r="A268" s="8" t="str">
        <x:v>机器人产业链</x:v>
      </x:c>
      <x:c r="B268" s="8" t="str">
        <x:v>工业、服务与特种场景应用</x:v>
      </x:c>
      <x:c r="C268" s="8" t="str">
        <x:v>服务消费机器人制造</x:v>
      </x:c>
      <x:c r="D268" s="10" t="str">
        <x:v>3964</x:v>
      </x:c>
    </x:row>
    <x:row r="269" ht="28" customHeight="1">
      <x:c r="A269" s="8" t="str">
        <x:v>机器人产业链</x:v>
      </x:c>
      <x:c r="B269" s="8" t="str">
        <x:v>工业、服务与特种场景应用</x:v>
      </x:c>
      <x:c r="C269" s="8" t="str">
        <x:v>信息系统集成服务</x:v>
      </x:c>
      <x:c r="D269" s="10" t="str">
        <x:v>6531</x:v>
      </x:c>
    </x:row>
    <x:row r="270" ht="28" customHeight="1">
      <x:c r="A270" s="8" t="str">
        <x:v>机器人产业链</x:v>
      </x:c>
      <x:c r="B270" s="8" t="str">
        <x:v>工业、服务与特种场景应用</x:v>
      </x:c>
      <x:c r="C270" s="8" t="str">
        <x:v>运行维护服务</x:v>
      </x:c>
      <x:c r="D270" s="10" t="str">
        <x:v>6540</x:v>
      </x:c>
    </x:row>
    <x:row r="271" ht="28" customHeight="1">
      <x:c r="A271" s="11" t="str">
        <x:v>人工智能产业链</x:v>
      </x:c>
      <x:c r="B271" s="11" t="str">
        <x:v>数据、算力与模型基础</x:v>
      </x:c>
      <x:c r="C271" s="11" t="str">
        <x:v>计算机整机制造</x:v>
      </x:c>
      <x:c r="D271" s="12" t="str">
        <x:v>3911</x:v>
      </x:c>
    </x:row>
    <x:row r="272" ht="28" customHeight="1">
      <x:c r="A272" s="8" t="str">
        <x:v>人工智能产业链</x:v>
      </x:c>
      <x:c r="B272" s="8" t="str">
        <x:v>数据、算力与模型基础</x:v>
      </x:c>
      <x:c r="C272" s="8" t="str">
        <x:v>计算机零部件制造</x:v>
      </x:c>
      <x:c r="D272" s="10" t="str">
        <x:v>3912</x:v>
      </x:c>
    </x:row>
    <x:row r="273" ht="28" customHeight="1">
      <x:c r="A273" s="8" t="str">
        <x:v>人工智能产业链</x:v>
      </x:c>
      <x:c r="B273" s="8" t="str">
        <x:v>数据、算力与模型基础</x:v>
      </x:c>
      <x:c r="C273" s="8" t="str">
        <x:v>互联网数据服务</x:v>
      </x:c>
      <x:c r="D273" s="10" t="str">
        <x:v>6450</x:v>
      </x:c>
    </x:row>
    <x:row r="274" ht="28" customHeight="1">
      <x:c r="A274" s="8" t="str">
        <x:v>人工智能产业链</x:v>
      </x:c>
      <x:c r="B274" s="8" t="str">
        <x:v>数据、算力与模型基础</x:v>
      </x:c>
      <x:c r="C274" s="8" t="str">
        <x:v>基础软件开发</x:v>
      </x:c>
      <x:c r="D274" s="10" t="str">
        <x:v>6511</x:v>
      </x:c>
    </x:row>
    <x:row r="275" ht="28" customHeight="1">
      <x:c r="A275" s="8" t="str">
        <x:v>人工智能产业链</x:v>
      </x:c>
      <x:c r="B275" s="8" t="str">
        <x:v>数据、算力与模型基础</x:v>
      </x:c>
      <x:c r="C275" s="8" t="str">
        <x:v>支撑软件开发</x:v>
      </x:c>
      <x:c r="D275" s="10" t="str">
        <x:v>6512</x:v>
      </x:c>
    </x:row>
    <x:row r="276" ht="28" customHeight="1">
      <x:c r="A276" s="8" t="str">
        <x:v>人工智能产业链</x:v>
      </x:c>
      <x:c r="B276" s="8" t="str">
        <x:v>数据、算力与模型基础</x:v>
      </x:c>
      <x:c r="C276" s="8" t="str">
        <x:v>信息处理和存储支持服务</x:v>
      </x:c>
      <x:c r="D276" s="10" t="str">
        <x:v>6550</x:v>
      </x:c>
    </x:row>
    <x:row r="277" ht="28" customHeight="1">
      <x:c r="A277" s="8" t="str">
        <x:v>人工智能产业链</x:v>
      </x:c>
      <x:c r="B277" s="8" t="str">
        <x:v>智能感知、语音视觉与平台工具</x:v>
      </x:c>
      <x:c r="C277" s="8" t="str">
        <x:v>应用软件开发</x:v>
      </x:c>
      <x:c r="D277" s="10" t="str">
        <x:v>6513</x:v>
      </x:c>
    </x:row>
    <x:row r="278" ht="28" customHeight="1">
      <x:c r="A278" s="8" t="str">
        <x:v>人工智能产业链</x:v>
      </x:c>
      <x:c r="B278" s="8" t="str">
        <x:v>智能感知、语音视觉与平台工具</x:v>
      </x:c>
      <x:c r="C278" s="8" t="str">
        <x:v>其他软件开发</x:v>
      </x:c>
      <x:c r="D278" s="10" t="str">
        <x:v>6519</x:v>
      </x:c>
    </x:row>
    <x:row r="279" ht="28" customHeight="1">
      <x:c r="A279" s="8" t="str">
        <x:v>人工智能产业链</x:v>
      </x:c>
      <x:c r="B279" s="8" t="str">
        <x:v>智能感知、语音视觉与平台工具</x:v>
      </x:c>
      <x:c r="C279" s="8" t="str">
        <x:v>信息系统集成服务</x:v>
      </x:c>
      <x:c r="D279" s="10" t="str">
        <x:v>6531</x:v>
      </x:c>
    </x:row>
    <x:row r="280" ht="28" customHeight="1">
      <x:c r="A280" s="8" t="str">
        <x:v>人工智能产业链</x:v>
      </x:c>
      <x:c r="B280" s="8" t="str">
        <x:v>智能感知、语音视觉与平台工具</x:v>
      </x:c>
      <x:c r="C280" s="8" t="str">
        <x:v>信息技术咨询服务</x:v>
      </x:c>
      <x:c r="D280" s="10" t="str">
        <x:v>6560</x:v>
      </x:c>
    </x:row>
    <x:row r="281" ht="28" customHeight="1">
      <x:c r="A281" s="8" t="str">
        <x:v>人工智能产业链</x:v>
      </x:c>
      <x:c r="B281" s="8" t="str">
        <x:v>智能感知、语音视觉与平台工具</x:v>
      </x:c>
      <x:c r="C281" s="8" t="str">
        <x:v>其他未列明信息技术服务业</x:v>
      </x:c>
      <x:c r="D281" s="10" t="str">
        <x:v>6599</x:v>
      </x:c>
    </x:row>
    <x:row r="282" ht="28" customHeight="1">
      <x:c r="A282" s="8" t="str">
        <x:v>人工智能产业链</x:v>
      </x:c>
      <x:c r="B282" s="8" t="str">
        <x:v>行业智能化应用与AI服务</x:v>
      </x:c>
      <x:c r="C282" s="8" t="str">
        <x:v>应用软件开发</x:v>
      </x:c>
      <x:c r="D282" s="10" t="str">
        <x:v>6513</x:v>
      </x:c>
    </x:row>
    <x:row r="283" ht="28" customHeight="1">
      <x:c r="A283" s="8" t="str">
        <x:v>人工智能产业链</x:v>
      </x:c>
      <x:c r="B283" s="8" t="str">
        <x:v>行业智能化应用与AI服务</x:v>
      </x:c>
      <x:c r="C283" s="8" t="str">
        <x:v>互联网生产服务平台</x:v>
      </x:c>
      <x:c r="D283" s="10" t="str">
        <x:v>6431</x:v>
      </x:c>
    </x:row>
    <x:row r="284" ht="28" customHeight="1">
      <x:c r="A284" s="8" t="str">
        <x:v>人工智能产业链</x:v>
      </x:c>
      <x:c r="B284" s="8" t="str">
        <x:v>行业智能化应用与AI服务</x:v>
      </x:c>
      <x:c r="C284" s="8" t="str">
        <x:v>互联网公共服务平台</x:v>
      </x:c>
      <x:c r="D284" s="10" t="str">
        <x:v>6434</x:v>
      </x:c>
    </x:row>
    <x:row r="285" ht="28" customHeight="1">
      <x:c r="A285" s="8" t="str">
        <x:v>人工智能产业链</x:v>
      </x:c>
      <x:c r="B285" s="8" t="str">
        <x:v>行业智能化应用与AI服务</x:v>
      </x:c>
      <x:c r="C285" s="8" t="str">
        <x:v>运行维护服务</x:v>
      </x:c>
      <x:c r="D285" s="10" t="str">
        <x:v>6540</x:v>
      </x:c>
    </x:row>
    <x:row r="286" ht="28" customHeight="1">
      <x:c r="A286" s="8" t="str">
        <x:v>人工智能产业链</x:v>
      </x:c>
      <x:c r="B286" s="8" t="str">
        <x:v>行业智能化应用与AI服务</x:v>
      </x:c>
      <x:c r="C286" s="8" t="str">
        <x:v>其他未列明信息技术服务业</x:v>
      </x:c>
      <x:c r="D286" s="10" t="str">
        <x:v>6599</x:v>
      </x:c>
    </x:row>
    <x:row r="287" ht="28" customHeight="1">
      <x:c r="A287" s="8" t="str">
        <x:v>人工智能产业链</x:v>
      </x:c>
      <x:c r="B287" s="8" t="str">
        <x:v>行业智能化应用与AI服务</x:v>
      </x:c>
      <x:c r="C287" s="8" t="str">
        <x:v>其他未列明专业技术服务业</x:v>
      </x:c>
      <x:c r="D287" s="10" t="str">
        <x:v>7499</x:v>
      </x:c>
    </x:row>
    <x:row r="288" ht="28" customHeight="1">
      <x:c r="A288" s="11" t="str">
        <x:v>半导体与集成电路产业链</x:v>
      </x:c>
      <x:c r="B288" s="11" t="str">
        <x:v>半导体材料与制造设备</x:v>
      </x:c>
      <x:c r="C288" s="11" t="str">
        <x:v>电子专用材料制造</x:v>
      </x:c>
      <x:c r="D288" s="12" t="str">
        <x:v>3985</x:v>
      </x:c>
    </x:row>
    <x:row r="289" ht="28" customHeight="1">
      <x:c r="A289" s="8" t="str">
        <x:v>半导体与集成电路产业链</x:v>
      </x:c>
      <x:c r="B289" s="8" t="str">
        <x:v>半导体材料与制造设备</x:v>
      </x:c>
      <x:c r="C289" s="8" t="str">
        <x:v>半导体器件专用设备制造</x:v>
      </x:c>
      <x:c r="D289" s="10" t="str">
        <x:v>3562</x:v>
      </x:c>
    </x:row>
    <x:row r="290" ht="28" customHeight="1">
      <x:c r="A290" s="8" t="str">
        <x:v>半导体与集成电路产业链</x:v>
      </x:c>
      <x:c r="B290" s="8" t="str">
        <x:v>半导体材料与制造设备</x:v>
      </x:c>
      <x:c r="C290" s="8" t="str">
        <x:v>电子元器件与机电组件设备制造</x:v>
      </x:c>
      <x:c r="D290" s="10" t="str">
        <x:v>3563</x:v>
      </x:c>
    </x:row>
    <x:row r="291" ht="28" customHeight="1">
      <x:c r="A291" s="8" t="str">
        <x:v>半导体与集成电路产业链</x:v>
      </x:c>
      <x:c r="B291" s="8" t="str">
        <x:v>半导体材料与制造设备</x:v>
      </x:c>
      <x:c r="C291" s="8" t="str">
        <x:v>其他电子专用设备制造</x:v>
      </x:c>
      <x:c r="D291" s="10" t="str">
        <x:v>3569</x:v>
      </x:c>
    </x:row>
    <x:row r="292" ht="28" customHeight="1">
      <x:c r="A292" s="8" t="str">
        <x:v>半导体与集成电路产业链</x:v>
      </x:c>
      <x:c r="B292" s="8" t="str">
        <x:v>半导体材料与制造设备</x:v>
      </x:c>
      <x:c r="C292" s="8" t="str">
        <x:v>电子测量仪器制造</x:v>
      </x:c>
      <x:c r="D292" s="10" t="str">
        <x:v>4028</x:v>
      </x:c>
    </x:row>
    <x:row r="293" ht="28" customHeight="1">
      <x:c r="A293" s="8" t="str">
        <x:v>半导体与集成电路产业链</x:v>
      </x:c>
      <x:c r="B293" s="8" t="str">
        <x:v>芯片设计、制造、封测与集成电路</x:v>
      </x:c>
      <x:c r="C293" s="8" t="str">
        <x:v>集成电路设计</x:v>
      </x:c>
      <x:c r="D293" s="10" t="str">
        <x:v>6520</x:v>
      </x:c>
    </x:row>
    <x:row r="294" ht="28" customHeight="1">
      <x:c r="A294" s="8" t="str">
        <x:v>半导体与集成电路产业链</x:v>
      </x:c>
      <x:c r="B294" s="8" t="str">
        <x:v>芯片设计、制造、封测与集成电路</x:v>
      </x:c>
      <x:c r="C294" s="8" t="str">
        <x:v>集成电路制造</x:v>
      </x:c>
      <x:c r="D294" s="10" t="str">
        <x:v>3973</x:v>
      </x:c>
    </x:row>
    <x:row r="295" ht="28" customHeight="1">
      <x:c r="A295" s="8" t="str">
        <x:v>半导体与集成电路产业链</x:v>
      </x:c>
      <x:c r="B295" s="8" t="str">
        <x:v>芯片设计、制造、封测与集成电路</x:v>
      </x:c>
      <x:c r="C295" s="8" t="str">
        <x:v>电子电路制造</x:v>
      </x:c>
      <x:c r="D295" s="10" t="str">
        <x:v>3982</x:v>
      </x:c>
    </x:row>
    <x:row r="296" ht="28" customHeight="1">
      <x:c r="A296" s="8" t="str">
        <x:v>半导体与集成电路产业链</x:v>
      </x:c>
      <x:c r="B296" s="8" t="str">
        <x:v>芯片设计、制造、封测与集成电路</x:v>
      </x:c>
      <x:c r="C296" s="8" t="str">
        <x:v>半导体分立器件制造</x:v>
      </x:c>
      <x:c r="D296" s="10" t="str">
        <x:v>3972</x:v>
      </x:c>
    </x:row>
    <x:row r="297" ht="28" customHeight="1">
      <x:c r="A297" s="8" t="str">
        <x:v>半导体与集成电路产业链</x:v>
      </x:c>
      <x:c r="B297" s="8" t="str">
        <x:v>芯片设计、制造、封测与集成电路</x:v>
      </x:c>
      <x:c r="C297" s="8" t="str">
        <x:v>光电子器件制造</x:v>
      </x:c>
      <x:c r="D297" s="10" t="str">
        <x:v>3976</x:v>
      </x:c>
    </x:row>
    <x:row r="298" ht="28" customHeight="1">
      <x:c r="A298" s="8" t="str">
        <x:v>半导体与集成电路产业链</x:v>
      </x:c>
      <x:c r="B298" s="8" t="str">
        <x:v>电子终端、汽车与工业芯片应用</x:v>
      </x:c>
      <x:c r="C298" s="8" t="str">
        <x:v>计算机整机制造</x:v>
      </x:c>
      <x:c r="D298" s="10" t="str">
        <x:v>3911</x:v>
      </x:c>
    </x:row>
    <x:row r="299" ht="28" customHeight="1">
      <x:c r="A299" s="8" t="str">
        <x:v>半导体与集成电路产业链</x:v>
      </x:c>
      <x:c r="B299" s="8" t="str">
        <x:v>电子终端、汽车与工业芯片应用</x:v>
      </x:c>
      <x:c r="C299" s="8" t="str">
        <x:v>通信终端设备制造</x:v>
      </x:c>
      <x:c r="D299" s="10" t="str">
        <x:v>3922</x:v>
      </x:c>
    </x:row>
    <x:row r="300" ht="28" customHeight="1">
      <x:c r="A300" s="8" t="str">
        <x:v>半导体与集成电路产业链</x:v>
      </x:c>
      <x:c r="B300" s="8" t="str">
        <x:v>电子终端、汽车与工业芯片应用</x:v>
      </x:c>
      <x:c r="C300" s="8" t="str">
        <x:v>智能车载设备制造</x:v>
      </x:c>
      <x:c r="D300" s="10" t="str">
        <x:v>3962</x:v>
      </x:c>
    </x:row>
    <x:row r="301" ht="28" customHeight="1">
      <x:c r="A301" s="8" t="str">
        <x:v>半导体与集成电路产业链</x:v>
      </x:c>
      <x:c r="B301" s="8" t="str">
        <x:v>电子终端、汽车与工业芯片应用</x:v>
      </x:c>
      <x:c r="C301" s="8" t="str">
        <x:v>工业自动控制系统装置制造</x:v>
      </x:c>
      <x:c r="D301" s="10" t="str">
        <x:v>4011</x:v>
      </x:c>
    </x:row>
    <x:row r="302" ht="28" customHeight="1">
      <x:c r="A302" s="8" t="str">
        <x:v>半导体与集成电路产业链</x:v>
      </x:c>
      <x:c r="B302" s="8" t="str">
        <x:v>电子终端、汽车与工业芯片应用</x:v>
      </x:c>
      <x:c r="C302" s="8" t="str">
        <x:v>半导体照明器件制造</x:v>
      </x:c>
      <x:c r="D302" s="10" t="str">
        <x:v>3975</x:v>
      </x:c>
    </x:row>
    <x:row r="303" ht="28" customHeight="1">
      <x:c r="A303" s="11" t="str">
        <x:v>纺织产业链</x:v>
      </x:c>
      <x:c r="B303" s="11" t="str">
        <x:v>纤维原料与纺织材料</x:v>
      </x:c>
      <x:c r="C303" s="11" t="str">
        <x:v>棉花种植</x:v>
      </x:c>
      <x:c r="D303" s="12" t="str">
        <x:v>0131</x:v>
      </x:c>
    </x:row>
    <x:row r="304" ht="28" customHeight="1">
      <x:c r="A304" s="8" t="str">
        <x:v>纺织产业链</x:v>
      </x:c>
      <x:c r="B304" s="8" t="str">
        <x:v>纤维原料与纺织材料</x:v>
      </x:c>
      <x:c r="C304" s="8" t="str">
        <x:v>化纤浆粕制造</x:v>
      </x:c>
      <x:c r="D304" s="10" t="str">
        <x:v>2811</x:v>
      </x:c>
    </x:row>
    <x:row r="305" ht="28" customHeight="1">
      <x:c r="A305" s="8" t="str">
        <x:v>纺织产业链</x:v>
      </x:c>
      <x:c r="B305" s="8" t="str">
        <x:v>纤维原料与纺织材料</x:v>
      </x:c>
      <x:c r="C305" s="8" t="str">
        <x:v>人造纤维（纤维素纤维）制造</x:v>
      </x:c>
      <x:c r="D305" s="10" t="str">
        <x:v>2812</x:v>
      </x:c>
    </x:row>
    <x:row r="306" ht="28" customHeight="1">
      <x:c r="A306" s="8" t="str">
        <x:v>纺织产业链</x:v>
      </x:c>
      <x:c r="B306" s="8" t="str">
        <x:v>纤维原料与纺织材料</x:v>
      </x:c>
      <x:c r="C306" s="8" t="str">
        <x:v>涤纶纤维制造</x:v>
      </x:c>
      <x:c r="D306" s="10" t="str">
        <x:v>2822</x:v>
      </x:c>
    </x:row>
    <x:row r="307" ht="28" customHeight="1">
      <x:c r="A307" s="8" t="str">
        <x:v>纺织产业链</x:v>
      </x:c>
      <x:c r="B307" s="8" t="str">
        <x:v>纤维原料与纺织材料</x:v>
      </x:c>
      <x:c r="C307" s="8" t="str">
        <x:v>氨纶纤维制造</x:v>
      </x:c>
      <x:c r="D307" s="10" t="str">
        <x:v>2826</x:v>
      </x:c>
    </x:row>
    <x:row r="308" ht="28" customHeight="1">
      <x:c r="A308" s="8" t="str">
        <x:v>纺织产业链</x:v>
      </x:c>
      <x:c r="B308" s="8" t="str">
        <x:v>纤维原料与纺织材料</x:v>
      </x:c>
      <x:c r="C308" s="8" t="str">
        <x:v>其他合成纤维制造</x:v>
      </x:c>
      <x:c r="D308" s="10" t="str">
        <x:v>2829</x:v>
      </x:c>
    </x:row>
    <x:row r="309" ht="28" customHeight="1">
      <x:c r="A309" s="8" t="str">
        <x:v>纺织产业链</x:v>
      </x:c>
      <x:c r="B309" s="8" t="str">
        <x:v>纺纱织造、印染与面料制造</x:v>
      </x:c>
      <x:c r="C309" s="8" t="str">
        <x:v>棉纺纱加工</x:v>
      </x:c>
      <x:c r="D309" s="10" t="str">
        <x:v>1711</x:v>
      </x:c>
    </x:row>
    <x:row r="310" ht="28" customHeight="1">
      <x:c r="A310" s="8" t="str">
        <x:v>纺织产业链</x:v>
      </x:c>
      <x:c r="B310" s="8" t="str">
        <x:v>纺纱织造、印染与面料制造</x:v>
      </x:c>
      <x:c r="C310" s="8" t="str">
        <x:v>棉织造加工</x:v>
      </x:c>
      <x:c r="D310" s="10" t="str">
        <x:v>1712</x:v>
      </x:c>
    </x:row>
    <x:row r="311" ht="28" customHeight="1">
      <x:c r="A311" s="8" t="str">
        <x:v>纺织产业链</x:v>
      </x:c>
      <x:c r="B311" s="8" t="str">
        <x:v>纺纱织造、印染与面料制造</x:v>
      </x:c>
      <x:c r="C311" s="8" t="str">
        <x:v>棉印染精加工</x:v>
      </x:c>
      <x:c r="D311" s="10" t="str">
        <x:v>1713</x:v>
      </x:c>
    </x:row>
    <x:row r="312" ht="28" customHeight="1">
      <x:c r="A312" s="8" t="str">
        <x:v>纺织产业链</x:v>
      </x:c>
      <x:c r="B312" s="8" t="str">
        <x:v>纺纱织造、印染与面料制造</x:v>
      </x:c>
      <x:c r="C312" s="8" t="str">
        <x:v>毛织造加工</x:v>
      </x:c>
      <x:c r="D312" s="10" t="str">
        <x:v>1722</x:v>
      </x:c>
    </x:row>
    <x:row r="313" ht="28" customHeight="1">
      <x:c r="A313" s="8" t="str">
        <x:v>纺织产业链</x:v>
      </x:c>
      <x:c r="B313" s="8" t="str">
        <x:v>纺纱织造、印染与面料制造</x:v>
      </x:c>
      <x:c r="C313" s="8" t="str">
        <x:v>绢纺和丝织加工</x:v>
      </x:c>
      <x:c r="D313" s="10" t="str">
        <x:v>1742</x:v>
      </x:c>
    </x:row>
    <x:row r="314" ht="28" customHeight="1">
      <x:c r="A314" s="8" t="str">
        <x:v>纺织产业链</x:v>
      </x:c>
      <x:c r="B314" s="8" t="str">
        <x:v>纺纱织造、印染与面料制造</x:v>
      </x:c>
      <x:c r="C314" s="8" t="str">
        <x:v>化纤织造加工</x:v>
      </x:c>
      <x:c r="D314" s="10" t="str">
        <x:v>1751</x:v>
      </x:c>
    </x:row>
    <x:row r="315" ht="28" customHeight="1">
      <x:c r="A315" s="8" t="str">
        <x:v>纺织产业链</x:v>
      </x:c>
      <x:c r="B315" s="8" t="str">
        <x:v>纺纱织造、印染与面料制造</x:v>
      </x:c>
      <x:c r="C315" s="8" t="str">
        <x:v>化纤织物染整精加工</x:v>
      </x:c>
      <x:c r="D315" s="10" t="str">
        <x:v>1752</x:v>
      </x:c>
    </x:row>
    <x:row r="316" ht="28" customHeight="1">
      <x:c r="A316" s="8" t="str">
        <x:v>纺织产业链</x:v>
      </x:c>
      <x:c r="B316" s="8" t="str">
        <x:v>纺纱织造、印染与面料制造</x:v>
      </x:c>
      <x:c r="C316" s="8" t="str">
        <x:v>针织或钩针编织物织造</x:v>
      </x:c>
      <x:c r="D316" s="10" t="str">
        <x:v>1761</x:v>
      </x:c>
    </x:row>
    <x:row r="317" ht="28" customHeight="1">
      <x:c r="A317" s="8" t="str">
        <x:v>纺织产业链</x:v>
      </x:c>
      <x:c r="B317" s="8" t="str">
        <x:v>纺纱织造、印染与面料制造</x:v>
      </x:c>
      <x:c r="C317" s="8" t="str">
        <x:v>针织或钩针编织物印染精加工</x:v>
      </x:c>
      <x:c r="D317" s="10" t="str">
        <x:v>1762</x:v>
      </x:c>
    </x:row>
    <x:row r="318" ht="28" customHeight="1">
      <x:c r="A318" s="8" t="str">
        <x:v>纺织产业链</x:v>
      </x:c>
      <x:c r="B318" s="8" t="str">
        <x:v>纺纱织造、印染与面料制造</x:v>
      </x:c>
      <x:c r="C318" s="8" t="str">
        <x:v>非织造布制造</x:v>
      </x:c>
      <x:c r="D318" s="10" t="str">
        <x:v>1781</x:v>
      </x:c>
    </x:row>
    <x:row r="319" ht="28" customHeight="1">
      <x:c r="A319" s="8" t="str">
        <x:v>纺织产业链</x:v>
      </x:c>
      <x:c r="B319" s="8" t="str">
        <x:v>服装家纺、品牌渠道与终端消费</x:v>
      </x:c>
      <x:c r="C319" s="8" t="str">
        <x:v>其他机织服装制造</x:v>
      </x:c>
      <x:c r="D319" s="10" t="str">
        <x:v>1819</x:v>
      </x:c>
    </x:row>
    <x:row r="320" ht="28" customHeight="1">
      <x:c r="A320" s="8" t="str">
        <x:v>纺织产业链</x:v>
      </x:c>
      <x:c r="B320" s="8" t="str">
        <x:v>服装家纺、品牌渠道与终端消费</x:v>
      </x:c>
      <x:c r="C320" s="8" t="str">
        <x:v>其他针织或钩针编织服装制造</x:v>
      </x:c>
      <x:c r="D320" s="10" t="str">
        <x:v>1829</x:v>
      </x:c>
    </x:row>
    <x:row r="321" ht="28" customHeight="1">
      <x:c r="A321" s="8" t="str">
        <x:v>纺织产业链</x:v>
      </x:c>
      <x:c r="B321" s="8" t="str">
        <x:v>服装家纺、品牌渠道与终端消费</x:v>
      </x:c>
      <x:c r="C321" s="8" t="str">
        <x:v>服饰制造</x:v>
      </x:c>
      <x:c r="D321" s="10" t="str">
        <x:v>1830</x:v>
      </x:c>
    </x:row>
    <x:row r="322" ht="28" customHeight="1">
      <x:c r="A322" s="8" t="str">
        <x:v>纺织产业链</x:v>
      </x:c>
      <x:c r="B322" s="8" t="str">
        <x:v>服装家纺、品牌渠道与终端消费</x:v>
      </x:c>
      <x:c r="C322" s="8" t="str">
        <x:v>床上用品制造</x:v>
      </x:c>
      <x:c r="D322" s="10" t="str">
        <x:v>1771</x:v>
      </x:c>
    </x:row>
    <x:row r="323" ht="28" customHeight="1">
      <x:c r="A323" s="8" t="str">
        <x:v>纺织产业链</x:v>
      </x:c>
      <x:c r="B323" s="8" t="str">
        <x:v>服装家纺、品牌渠道与终端消费</x:v>
      </x:c>
      <x:c r="C323" s="8" t="str">
        <x:v>窗帘、布艺类产品制造</x:v>
      </x:c>
      <x:c r="D323" s="10" t="str">
        <x:v>1773</x:v>
      </x:c>
    </x:row>
    <x:row r="324" ht="28" customHeight="1">
      <x:c r="A324" s="8" t="str">
        <x:v>纺织产业链</x:v>
      </x:c>
      <x:c r="B324" s="8" t="str">
        <x:v>服装家纺、品牌渠道与终端消费</x:v>
      </x:c>
      <x:c r="C324" s="8" t="str">
        <x:v>服装批发</x:v>
      </x:c>
      <x:c r="D324" s="10" t="str">
        <x:v>5132</x:v>
      </x:c>
    </x:row>
    <x:row r="325" ht="28" customHeight="1">
      <x:c r="A325" s="8" t="str">
        <x:v>纺织产业链</x:v>
      </x:c>
      <x:c r="B325" s="8" t="str">
        <x:v>服装家纺、品牌渠道与终端消费</x:v>
      </x:c>
      <x:c r="C325" s="8" t="str">
        <x:v>纺织品及针织品零售</x:v>
      </x:c>
      <x:c r="D325" s="10" t="str">
        <x:v>5231</x:v>
      </x:c>
    </x:row>
    <x:row r="326" ht="28" customHeight="1">
      <x:c r="A326" s="8" t="str">
        <x:v>纺织产业链</x:v>
      </x:c>
      <x:c r="B326" s="8" t="str">
        <x:v>服装家纺、品牌渠道与终端消费</x:v>
      </x:c>
      <x:c r="C326" s="8" t="str">
        <x:v>服装零售</x:v>
      </x:c>
      <x:c r="D326" s="10" t="str">
        <x:v>5232</x:v>
      </x:c>
    </x:row>
    <x:row r="327" ht="28" customHeight="1">
      <x:c r="A327" s="11" t="str">
        <x:v>新型显示与虚拟现实产业链</x:v>
      </x:c>
      <x:c r="B327" s="11" t="str">
        <x:v>显示材料、光学器件与核心部件</x:v>
      </x:c>
      <x:c r="C327" s="11" t="str">
        <x:v>电子专用材料制造</x:v>
      </x:c>
      <x:c r="D327" s="12" t="str">
        <x:v>3985</x:v>
      </x:c>
    </x:row>
    <x:row r="328" ht="28" customHeight="1">
      <x:c r="A328" s="8" t="str">
        <x:v>新型显示与虚拟现实产业链</x:v>
      </x:c>
      <x:c r="B328" s="8" t="str">
        <x:v>显示材料、光学器件与核心部件</x:v>
      </x:c>
      <x:c r="C328" s="8" t="str">
        <x:v>光学玻璃制造</x:v>
      </x:c>
      <x:c r="D328" s="10" t="str">
        <x:v>3052</x:v>
      </x:c>
    </x:row>
    <x:row r="329" ht="28" customHeight="1">
      <x:c r="A329" s="8" t="str">
        <x:v>新型显示与虚拟现实产业链</x:v>
      </x:c>
      <x:c r="B329" s="8" t="str">
        <x:v>显示材料、光学器件与核心部件</x:v>
      </x:c>
      <x:c r="C329" s="8" t="str">
        <x:v>光电子器件制造</x:v>
      </x:c>
      <x:c r="D329" s="10" t="str">
        <x:v>3976</x:v>
      </x:c>
    </x:row>
    <x:row r="330" ht="28" customHeight="1">
      <x:c r="A330" s="8" t="str">
        <x:v>新型显示与虚拟现实产业链</x:v>
      </x:c>
      <x:c r="B330" s="8" t="str">
        <x:v>显示材料、光学器件与核心部件</x:v>
      </x:c>
      <x:c r="C330" s="8" t="str">
        <x:v>电子电路制造</x:v>
      </x:c>
      <x:c r="D330" s="10" t="str">
        <x:v>3982</x:v>
      </x:c>
    </x:row>
    <x:row r="331" ht="28" customHeight="1">
      <x:c r="A331" s="8" t="str">
        <x:v>新型显示与虚拟现实产业链</x:v>
      </x:c>
      <x:c r="B331" s="8" t="str">
        <x:v>显示材料、光学器件与核心部件</x:v>
      </x:c>
      <x:c r="C331" s="8" t="str">
        <x:v>光学仪器制造</x:v>
      </x:c>
      <x:c r="D331" s="10" t="str">
        <x:v>4040</x:v>
      </x:c>
    </x:row>
    <x:row r="332" ht="28" customHeight="1">
      <x:c r="A332" s="8" t="str">
        <x:v>新型显示与虚拟现实产业链</x:v>
      </x:c>
      <x:c r="B332" s="8" t="str">
        <x:v>显示面板、终端与VR设备制造</x:v>
      </x:c>
      <x:c r="C332" s="8" t="str">
        <x:v>显示器件制造</x:v>
      </x:c>
      <x:c r="D332" s="10" t="str">
        <x:v>3974</x:v>
      </x:c>
    </x:row>
    <x:row r="333" ht="28" customHeight="1">
      <x:c r="A333" s="8" t="str">
        <x:v>新型显示与虚拟现实产业链</x:v>
      </x:c>
      <x:c r="B333" s="8" t="str">
        <x:v>显示面板、终端与VR设备制造</x:v>
      </x:c>
      <x:c r="C333" s="8" t="str">
        <x:v>电视机制造</x:v>
      </x:c>
      <x:c r="D333" s="10" t="str">
        <x:v>3951</x:v>
      </x:c>
    </x:row>
    <x:row r="334" ht="28" customHeight="1">
      <x:c r="A334" s="8" t="str">
        <x:v>新型显示与虚拟现实产业链</x:v>
      </x:c>
      <x:c r="B334" s="8" t="str">
        <x:v>显示面板、终端与VR设备制造</x:v>
      </x:c>
      <x:c r="C334" s="8" t="str">
        <x:v>可穿戴智能设备制造</x:v>
      </x:c>
      <x:c r="D334" s="10" t="str">
        <x:v>3961</x:v>
      </x:c>
    </x:row>
    <x:row r="335" ht="28" customHeight="1">
      <x:c r="A335" s="8" t="str">
        <x:v>新型显示与虚拟现实产业链</x:v>
      </x:c>
      <x:c r="B335" s="8" t="str">
        <x:v>显示面板、终端与VR设备制造</x:v>
      </x:c>
      <x:c r="C335" s="8" t="str">
        <x:v>其他智能消费设备制造</x:v>
      </x:c>
      <x:c r="D335" s="10" t="str">
        <x:v>3969</x:v>
      </x:c>
    </x:row>
    <x:row r="336" ht="28" customHeight="1">
      <x:c r="A336" s="8" t="str">
        <x:v>新型显示与虚拟现实产业链</x:v>
      </x:c>
      <x:c r="B336" s="8" t="str">
        <x:v>显示面板、终端与VR设备制造</x:v>
      </x:c>
      <x:c r="C336" s="8" t="str">
        <x:v>幻灯及投影设备制造</x:v>
      </x:c>
      <x:c r="D336" s="10" t="str">
        <x:v>3472</x:v>
      </x:c>
    </x:row>
    <x:row r="337" ht="28" customHeight="1">
      <x:c r="A337" s="8" t="str">
        <x:v>新型显示与虚拟现实产业链</x:v>
      </x:c>
      <x:c r="B337" s="8" t="str">
        <x:v>沉浸式内容、行业应用与消费场景</x:v>
      </x:c>
      <x:c r="C337" s="8" t="str">
        <x:v>动漫、游戏数字内容服务</x:v>
      </x:c>
      <x:c r="D337" s="10" t="str">
        <x:v>6572</x:v>
      </x:c>
    </x:row>
    <x:row r="338" ht="28" customHeight="1">
      <x:c r="A338" s="8" t="str">
        <x:v>新型显示与虚拟现实产业链</x:v>
      </x:c>
      <x:c r="B338" s="8" t="str">
        <x:v>沉浸式内容、行业应用与消费场景</x:v>
      </x:c>
      <x:c r="C338" s="8" t="str">
        <x:v>其他数字内容服务</x:v>
      </x:c>
      <x:c r="D338" s="10" t="str">
        <x:v>6579</x:v>
      </x:c>
    </x:row>
    <x:row r="339" ht="28" customHeight="1">
      <x:c r="A339" s="8" t="str">
        <x:v>新型显示与虚拟现实产业链</x:v>
      </x:c>
      <x:c r="B339" s="8" t="str">
        <x:v>沉浸式内容、行业应用与消费场景</x:v>
      </x:c>
      <x:c r="C339" s="8" t="str">
        <x:v>互联网游戏服务</x:v>
      </x:c>
      <x:c r="D339" s="10" t="str">
        <x:v>6422</x:v>
      </x:c>
    </x:row>
    <x:row r="340" ht="28" customHeight="1">
      <x:c r="A340" s="8" t="str">
        <x:v>新型显示与虚拟现实产业链</x:v>
      </x:c>
      <x:c r="B340" s="8" t="str">
        <x:v>沉浸式内容、行业应用与消费场景</x:v>
      </x:c>
      <x:c r="C340" s="8" t="str">
        <x:v>影视节目制作</x:v>
      </x:c>
      <x:c r="D340" s="10" t="str">
        <x:v>8730</x:v>
      </x:c>
    </x:row>
    <x:row r="341" ht="28" customHeight="1">
      <x:c r="A341" s="8" t="str">
        <x:v>新型显示与虚拟现实产业链</x:v>
      </x:c>
      <x:c r="B341" s="8" t="str">
        <x:v>沉浸式内容、行业应用与消费场景</x:v>
      </x:c>
      <x:c r="C341" s="8" t="str">
        <x:v>专业设计服务</x:v>
      </x:c>
      <x:c r="D341" s="10" t="str">
        <x:v>7492</x:v>
      </x:c>
    </x:row>
    <x:row r="342" ht="28" customHeight="1">
      <x:c r="A342" s="11" t="str">
        <x:v>软件与数字安全产业链</x:v>
      </x:c>
      <x:c r="B342" s="11" t="str">
        <x:v>基础软件、密码与可信技术</x:v>
      </x:c>
      <x:c r="C342" s="11" t="str">
        <x:v>基础软件开发</x:v>
      </x:c>
      <x:c r="D342" s="12" t="str">
        <x:v>6511</x:v>
      </x:c>
    </x:row>
    <x:row r="343" ht="28" customHeight="1">
      <x:c r="A343" s="8" t="str">
        <x:v>软件与数字安全产业链</x:v>
      </x:c>
      <x:c r="B343" s="8" t="str">
        <x:v>基础软件、密码与可信技术</x:v>
      </x:c>
      <x:c r="C343" s="8" t="str">
        <x:v>支撑软件开发</x:v>
      </x:c>
      <x:c r="D343" s="10" t="str">
        <x:v>6512</x:v>
      </x:c>
    </x:row>
    <x:row r="344" ht="28" customHeight="1">
      <x:c r="A344" s="8" t="str">
        <x:v>软件与数字安全产业链</x:v>
      </x:c>
      <x:c r="B344" s="8" t="str">
        <x:v>基础软件、密码与可信技术</x:v>
      </x:c>
      <x:c r="C344" s="8" t="str">
        <x:v>信息安全设备制造</x:v>
      </x:c>
      <x:c r="D344" s="10" t="str">
        <x:v>3915</x:v>
      </x:c>
    </x:row>
    <x:row r="345" ht="28" customHeight="1">
      <x:c r="A345" s="8" t="str">
        <x:v>软件与数字安全产业链</x:v>
      </x:c>
      <x:c r="B345" s="8" t="str">
        <x:v>基础软件、密码与可信技术</x:v>
      </x:c>
      <x:c r="C345" s="8" t="str">
        <x:v>互联网安全服务</x:v>
      </x:c>
      <x:c r="D345" s="10" t="str">
        <x:v>6440</x:v>
      </x:c>
    </x:row>
    <x:row r="346" ht="28" customHeight="1">
      <x:c r="A346" s="8" t="str">
        <x:v>软件与数字安全产业链</x:v>
      </x:c>
      <x:c r="B346" s="8" t="str">
        <x:v>基础软件、密码与可信技术</x:v>
      </x:c>
      <x:c r="C346" s="8" t="str">
        <x:v>工程和技术研究和试验发展</x:v>
      </x:c>
      <x:c r="D346" s="10" t="str">
        <x:v>7320</x:v>
      </x:c>
    </x:row>
    <x:row r="347" ht="28" customHeight="1">
      <x:c r="A347" s="8" t="str">
        <x:v>软件与数字安全产业链</x:v>
      </x:c>
      <x:c r="B347" s="8" t="str">
        <x:v>应用软件、区块链平台与安全产品</x:v>
      </x:c>
      <x:c r="C347" s="8" t="str">
        <x:v>应用软件开发</x:v>
      </x:c>
      <x:c r="D347" s="10" t="str">
        <x:v>6513</x:v>
      </x:c>
    </x:row>
    <x:row r="348" ht="28" customHeight="1">
      <x:c r="A348" s="8" t="str">
        <x:v>软件与数字安全产业链</x:v>
      </x:c>
      <x:c r="B348" s="8" t="str">
        <x:v>应用软件、区块链平台与安全产品</x:v>
      </x:c>
      <x:c r="C348" s="8" t="str">
        <x:v>其他软件开发</x:v>
      </x:c>
      <x:c r="D348" s="10" t="str">
        <x:v>6519</x:v>
      </x:c>
    </x:row>
    <x:row r="349" ht="28" customHeight="1">
      <x:c r="A349" s="8" t="str">
        <x:v>软件与数字安全产业链</x:v>
      </x:c>
      <x:c r="B349" s="8" t="str">
        <x:v>应用软件、区块链平台与安全产品</x:v>
      </x:c>
      <x:c r="C349" s="8" t="str">
        <x:v>信息系统集成服务</x:v>
      </x:c>
      <x:c r="D349" s="10" t="str">
        <x:v>6531</x:v>
      </x:c>
    </x:row>
    <x:row r="350" ht="28" customHeight="1">
      <x:c r="A350" s="8" t="str">
        <x:v>软件与数字安全产业链</x:v>
      </x:c>
      <x:c r="B350" s="8" t="str">
        <x:v>应用软件、区块链平台与安全产品</x:v>
      </x:c>
      <x:c r="C350" s="8" t="str">
        <x:v>信息安全设备制造</x:v>
      </x:c>
      <x:c r="D350" s="10" t="str">
        <x:v>3915</x:v>
      </x:c>
    </x:row>
    <x:row r="351" ht="28" customHeight="1">
      <x:c r="A351" s="8" t="str">
        <x:v>软件与数字安全产业链</x:v>
      </x:c>
      <x:c r="B351" s="8" t="str">
        <x:v>应用软件、区块链平台与安全产品</x:v>
      </x:c>
      <x:c r="C351" s="8" t="str">
        <x:v>互联网安全服务</x:v>
      </x:c>
      <x:c r="D351" s="10" t="str">
        <x:v>6440</x:v>
      </x:c>
    </x:row>
    <x:row r="352" ht="28" customHeight="1">
      <x:c r="A352" s="8" t="str">
        <x:v>软件与数字安全产业链</x:v>
      </x:c>
      <x:c r="B352" s="8" t="str">
        <x:v>应用软件、区块链平台与安全产品</x:v>
      </x:c>
      <x:c r="C352" s="8" t="str">
        <x:v>其他互联网平台</x:v>
      </x:c>
      <x:c r="D352" s="10" t="str">
        <x:v>6439</x:v>
      </x:c>
    </x:row>
    <x:row r="353" ht="28" customHeight="1">
      <x:c r="A353" s="8" t="str">
        <x:v>软件与数字安全产业链</x:v>
      </x:c>
      <x:c r="B353" s="8" t="str">
        <x:v>政企数字化、可信流通与安全运营</x:v>
      </x:c>
      <x:c r="C353" s="8" t="str">
        <x:v>信息系统集成服务</x:v>
      </x:c>
      <x:c r="D353" s="10" t="str">
        <x:v>6531</x:v>
      </x:c>
    </x:row>
    <x:row r="354" ht="28" customHeight="1">
      <x:c r="A354" s="8" t="str">
        <x:v>软件与数字安全产业链</x:v>
      </x:c>
      <x:c r="B354" s="8" t="str">
        <x:v>政企数字化、可信流通与安全运营</x:v>
      </x:c>
      <x:c r="C354" s="8" t="str">
        <x:v>运行维护服务</x:v>
      </x:c>
      <x:c r="D354" s="10" t="str">
        <x:v>6540</x:v>
      </x:c>
    </x:row>
    <x:row r="355" ht="28" customHeight="1">
      <x:c r="A355" s="8" t="str">
        <x:v>软件与数字安全产业链</x:v>
      </x:c>
      <x:c r="B355" s="8" t="str">
        <x:v>政企数字化、可信流通与安全运营</x:v>
      </x:c>
      <x:c r="C355" s="8" t="str">
        <x:v>互联网安全服务</x:v>
      </x:c>
      <x:c r="D355" s="10" t="str">
        <x:v>6440</x:v>
      </x:c>
    </x:row>
    <x:row r="356" ht="28" customHeight="1">
      <x:c r="A356" s="8" t="str">
        <x:v>软件与数字安全产业链</x:v>
      </x:c>
      <x:c r="B356" s="8" t="str">
        <x:v>政企数字化、可信流通与安全运营</x:v>
      </x:c>
      <x:c r="C356" s="8" t="str">
        <x:v>安全系统监控服务</x:v>
      </x:c>
      <x:c r="D356" s="10" t="str">
        <x:v>7272</x:v>
      </x:c>
    </x:row>
    <x:row r="357" ht="28" customHeight="1">
      <x:c r="A357" s="8" t="str">
        <x:v>软件与数字安全产业链</x:v>
      </x:c>
      <x:c r="B357" s="8" t="str">
        <x:v>政企数字化、可信流通与安全运营</x:v>
      </x:c>
      <x:c r="C357" s="8" t="str">
        <x:v>信息技术咨询服务</x:v>
      </x:c>
      <x:c r="D357" s="10" t="str">
        <x:v>6560</x:v>
      </x:c>
    </x:row>
    <x:row r="358" ht="28" customHeight="1">
      <x:c r="A358" s="8" t="str">
        <x:v>软件与数字安全产业链</x:v>
      </x:c>
      <x:c r="B358" s="8" t="str">
        <x:v>政企数字化、可信流通与安全运营</x:v>
      </x:c>
      <x:c r="C358" s="8" t="str">
        <x:v>其他未列明信息技术服务业</x:v>
      </x:c>
      <x:c r="D358" s="10" t="str">
        <x:v>6599</x:v>
      </x:c>
    </x:row>
  </x:sheetData>
  <x:pageMargins left="0.7" right="0.7" top="0.75" bottom="0.75" header="0.3" footer="0.3"/>
  <x:tableParts count="1">
    <x:tablePart xmlns:r="http://schemas.openxmlformats.org/officeDocument/2006/relationships" r:id="R99abdddab9bd437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670000076293945" hidden="0" customWidth="1"/>
    <x:col min="2" max="2" width="24.440000534057617" hidden="0" customWidth="1"/>
    <x:col min="3" max="3" width="6.670000076293945" hidden="0" customWidth="1"/>
    <x:col min="4" max="4" width="26.670000076293945" hidden="0" customWidth="1"/>
    <x:col min="5" max="5" width="10" hidden="0" customWidth="1"/>
    <x:col min="6" max="6" width="10" hidden="0" customWidth="1"/>
  </x:cols>
  <x:sheetData>
    <x:row r="1" ht="34" customHeight="1">
      <x:c r="A1" s="15" t="str">
        <x:v>19个产业链 / 57个产业环节完整性校验</x:v>
      </x:c>
      <x:c r="B1" s="15" t="str">
        <x:v>19个产业链 / 57个产业环节完整性校验</x:v>
      </x:c>
      <x:c r="C1" s="15" t="str">
        <x:v>19个产业链 / 57个产业环节完整性校验</x:v>
      </x:c>
      <x:c r="D1" s="15" t="str">
        <x:v>19个产业链 / 57个产业环节完整性校验</x:v>
      </x:c>
      <x:c r="E1" s="15" t="str">
        <x:v>19个产业链 / 57个产业环节完整性校验</x:v>
      </x:c>
      <x:c r="F1" s="15" t="str">
        <x:v>19个产业链 / 57个产业环节完整性校验</x:v>
      </x:c>
    </x:row>
    <x:row r="2" ht="34" customHeight="1">
      <x:c r="A2" s="19" t="str">
        <x:v>环节总数</x:v>
      </x:c>
      <x:c r="B2" s="24" t="n">
        <x:f>COUNTA(D5:D61)</x:f>
        <x:v>57</x:v>
      </x:c>
      <x:c r="C2" s="19" t="str">
        <x:v>已覆盖</x:v>
      </x:c>
      <x:c r="D2" s="24" t="n">
        <x:f>COUNTIF(F5:F61,"已覆盖")</x:f>
        <x:v>57</x:v>
      </x:c>
      <x:c r="E2" s="19" t="str">
        <x:v>缺失</x:v>
      </x:c>
      <x:c r="F2" s="24" t="n">
        <x:f>COUNTIF(F5:F61,"缺失")</x:f>
        <x:v>0</x:v>
      </x:c>
    </x:row>
    <x:row r="4" ht="30" customHeight="1">
      <x:c r="A4" s="29" t="str">
        <x:v>序号</x:v>
      </x:c>
      <x:c r="B4" s="29" t="str">
        <x:v>产业链</x:v>
      </x:c>
      <x:c r="C4" s="29" t="str">
        <x:v>阶段</x:v>
      </x:c>
      <x:c r="D4" s="29" t="str">
        <x:v>产业环节</x:v>
      </x:c>
      <x:c r="E4" s="29" t="str">
        <x:v>匹配行业行数</x:v>
      </x:c>
      <x:c r="F4" s="29" t="str">
        <x:v>覆盖状态</x:v>
      </x:c>
    </x:row>
    <x:row r="5" ht="30" customHeight="1">
      <x:c r="A5" s="33" t="n">
        <x:v>1</x:v>
      </x:c>
      <x:c r="B5" s="32" t="str">
        <x:v>数据要素与数字经济产业链</x:v>
      </x:c>
      <x:c r="C5" s="33" t="str">
        <x:v>上游</x:v>
      </x:c>
      <x:c r="D5" s="32" t="str">
        <x:v>数据资源采集与基础设施</x:v>
      </x:c>
      <x:c r="E5" s="33" t="n">
        <x:f>COUNTIFS('匹配表'!$A$2:$A$358,B5,'匹配表'!$B$2:$B$358,D5)</x:f>
        <x:v>5</x:v>
      </x:c>
      <x:c r="F5" s="33" t="str">
        <x:f>IF(E5&gt;=1,"已覆盖","缺失")</x:f>
        <x:v>已覆盖</x:v>
      </x:c>
    </x:row>
    <x:row r="6" ht="30" customHeight="1">
      <x:c r="A6" s="33" t="n">
        <x:v>2</x:v>
      </x:c>
      <x:c r="B6" s="32" t="str">
        <x:v>数据要素与数字经济产业链</x:v>
      </x:c>
      <x:c r="C6" s="33" t="str">
        <x:v>中游</x:v>
      </x:c>
      <x:c r="D6" s="32" t="str">
        <x:v>数据治理、流通与服务</x:v>
      </x:c>
      <x:c r="E6" s="33" t="n">
        <x:f>COUNTIFS('匹配表'!$A$2:$A$358,B6,'匹配表'!$B$2:$B$358,D6)</x:f>
        <x:v>5</x:v>
      </x:c>
      <x:c r="F6" s="33" t="str">
        <x:f>IF(E6&gt;=1,"已覆盖","缺失")</x:f>
        <x:v>已覆盖</x:v>
      </x:c>
    </x:row>
    <x:row r="7" ht="30" customHeight="1">
      <x:c r="A7" s="33" t="n">
        <x:v>3</x:v>
      </x:c>
      <x:c r="B7" s="32" t="str">
        <x:v>数据要素与数字经济产业链</x:v>
      </x:c>
      <x:c r="C7" s="33" t="str">
        <x:v>下游</x:v>
      </x:c>
      <x:c r="D7" s="32" t="str">
        <x:v>数字经济场景应用与内容创意</x:v>
      </x:c>
      <x:c r="E7" s="33" t="n">
        <x:f>COUNTIFS('匹配表'!$A$2:$A$358,B7,'匹配表'!$B$2:$B$358,D7)</x:f>
        <x:v>6</x:v>
      </x:c>
      <x:c r="F7" s="33" t="str">
        <x:f>IF(E7&gt;=1,"已覆盖","缺失")</x:f>
        <x:v>已覆盖</x:v>
      </x:c>
    </x:row>
    <x:row r="8" ht="30" customHeight="1">
      <x:c r="A8" s="33" t="n">
        <x:v>4</x:v>
      </x:c>
      <x:c r="B8" s="32" t="str">
        <x:v>高端装备与智能制造产业链</x:v>
      </x:c>
      <x:c r="C8" s="33" t="str">
        <x:v>上游</x:v>
      </x:c>
      <x:c r="D8" s="32" t="str">
        <x:v>关键基础件与工业母机</x:v>
      </x:c>
      <x:c r="E8" s="33" t="n">
        <x:f>COUNTIFS('匹配表'!$A$2:$A$358,B8,'匹配表'!$B$2:$B$358,D8)</x:f>
        <x:v>5</x:v>
      </x:c>
      <x:c r="F8" s="33" t="str">
        <x:f>IF(E8&gt;=1,"已覆盖","缺失")</x:f>
        <x:v>已覆盖</x:v>
      </x:c>
    </x:row>
    <x:row r="9" ht="30" customHeight="1">
      <x:c r="A9" s="33" t="n">
        <x:v>5</x:v>
      </x:c>
      <x:c r="B9" s="32" t="str">
        <x:v>高端装备与智能制造产业链</x:v>
      </x:c>
      <x:c r="C9" s="33" t="str">
        <x:v>中游</x:v>
      </x:c>
      <x:c r="D9" s="32" t="str">
        <x:v>高端装备制造与激光加工</x:v>
      </x:c>
      <x:c r="E9" s="33" t="n">
        <x:f>COUNTIFS('匹配表'!$A$2:$A$358,B9,'匹配表'!$B$2:$B$358,D9)</x:f>
        <x:v>6</x:v>
      </x:c>
      <x:c r="F9" s="33" t="str">
        <x:f>IF(E9&gt;=1,"已覆盖","缺失")</x:f>
        <x:v>已覆盖</x:v>
      </x:c>
    </x:row>
    <x:row r="10" ht="30" customHeight="1">
      <x:c r="A10" s="33" t="n">
        <x:v>6</x:v>
      </x:c>
      <x:c r="B10" s="32" t="str">
        <x:v>高端装备与智能制造产业链</x:v>
      </x:c>
      <x:c r="C10" s="33" t="str">
        <x:v>下游</x:v>
      </x:c>
      <x:c r="D10" s="32" t="str">
        <x:v>行业智能制造应用与运维</x:v>
      </x:c>
      <x:c r="E10" s="33" t="n">
        <x:f>COUNTIFS('匹配表'!$A$2:$A$358,B10,'匹配表'!$B$2:$B$358,D10)</x:f>
        <x:v>6</x:v>
      </x:c>
      <x:c r="F10" s="33" t="str">
        <x:f>IF(E10&gt;=1,"已覆盖","缺失")</x:f>
        <x:v>已覆盖</x:v>
      </x:c>
    </x:row>
    <x:row r="11" ht="30" customHeight="1">
      <x:c r="A11" s="33" t="n">
        <x:v>7</x:v>
      </x:c>
      <x:c r="B11" s="32" t="str">
        <x:v>基础设施与城市建设产业链</x:v>
      </x:c>
      <x:c r="C11" s="33" t="str">
        <x:v>上游</x:v>
      </x:c>
      <x:c r="D11" s="32" t="str">
        <x:v>规划设计、建材与工程准备</x:v>
      </x:c>
      <x:c r="E11" s="33" t="n">
        <x:f>COUNTIFS('匹配表'!$A$2:$A$358,B11,'匹配表'!$B$2:$B$358,D11)</x:f>
        <x:v>7</x:v>
      </x:c>
      <x:c r="F11" s="33" t="str">
        <x:f>IF(E11&gt;=1,"已覆盖","缺失")</x:f>
        <x:v>已覆盖</x:v>
      </x:c>
    </x:row>
    <x:row r="12" ht="30" customHeight="1">
      <x:c r="A12" s="33" t="n">
        <x:v>8</x:v>
      </x:c>
      <x:c r="B12" s="32" t="str">
        <x:v>基础设施与城市建设产业链</x:v>
      </x:c>
      <x:c r="C12" s="33" t="str">
        <x:v>中游</x:v>
      </x:c>
      <x:c r="D12" s="32" t="str">
        <x:v>基础设施建设与房地产开发</x:v>
      </x:c>
      <x:c r="E12" s="33" t="n">
        <x:f>COUNTIFS('匹配表'!$A$2:$A$358,B12,'匹配表'!$B$2:$B$358,D12)</x:f>
        <x:v>8</x:v>
      </x:c>
      <x:c r="F12" s="33" t="str">
        <x:f>IF(E12&gt;=1,"已覆盖","缺失")</x:f>
        <x:v>已覆盖</x:v>
      </x:c>
    </x:row>
    <x:row r="13" ht="30" customHeight="1">
      <x:c r="A13" s="33" t="n">
        <x:v>9</x:v>
      </x:c>
      <x:c r="B13" s="32" t="str">
        <x:v>基础设施与城市建设产业链</x:v>
      </x:c>
      <x:c r="C13" s="33" t="str">
        <x:v>下游</x:v>
      </x:c>
      <x:c r="D13" s="32" t="str">
        <x:v>城市运营、公用事业与物业服务</x:v>
      </x:c>
      <x:c r="E13" s="33" t="n">
        <x:f>COUNTIFS('匹配表'!$A$2:$A$358,B13,'匹配表'!$B$2:$B$358,D13)</x:f>
        <x:v>7</x:v>
      </x:c>
      <x:c r="F13" s="33" t="str">
        <x:f>IF(E13&gt;=1,"已覆盖","缺失")</x:f>
        <x:v>已覆盖</x:v>
      </x:c>
    </x:row>
    <x:row r="14" ht="30" customHeight="1">
      <x:c r="A14" s="33" t="n">
        <x:v>10</x:v>
      </x:c>
      <x:c r="B14" s="32" t="str">
        <x:v>医药生物与医疗健康产业链</x:v>
      </x:c>
      <x:c r="C14" s="33" t="str">
        <x:v>上游</x:v>
      </x:c>
      <x:c r="D14" s="32" t="str">
        <x:v>药物研发、诊断试剂与核心材料</x:v>
      </x:c>
      <x:c r="E14" s="33" t="n">
        <x:f>COUNTIFS('匹配表'!$A$2:$A$358,B14,'匹配表'!$B$2:$B$358,D14)</x:f>
        <x:v>6</x:v>
      </x:c>
      <x:c r="F14" s="33" t="str">
        <x:f>IF(E14&gt;=1,"已覆盖","缺失")</x:f>
        <x:v>已覆盖</x:v>
      </x:c>
    </x:row>
    <x:row r="15" ht="30" customHeight="1">
      <x:c r="A15" s="33" t="n">
        <x:v>11</x:v>
      </x:c>
      <x:c r="B15" s="32" t="str">
        <x:v>医药生物与医疗健康产业链</x:v>
      </x:c>
      <x:c r="C15" s="33" t="str">
        <x:v>中游</x:v>
      </x:c>
      <x:c r="D15" s="32" t="str">
        <x:v>药械生产、医疗装备与数字平台</x:v>
      </x:c>
      <x:c r="E15" s="33" t="n">
        <x:f>COUNTIFS('匹配表'!$A$2:$A$358,B15,'匹配表'!$B$2:$B$358,D15)</x:f>
        <x:v>8</x:v>
      </x:c>
      <x:c r="F15" s="33" t="str">
        <x:f>IF(E15&gt;=1,"已覆盖","缺失")</x:f>
        <x:v>已覆盖</x:v>
      </x:c>
    </x:row>
    <x:row r="16" ht="30" customHeight="1">
      <x:c r="A16" s="33" t="n">
        <x:v>12</x:v>
      </x:c>
      <x:c r="B16" s="32" t="str">
        <x:v>医药生物与医疗健康产业链</x:v>
      </x:c>
      <x:c r="C16" s="33" t="str">
        <x:v>下游</x:v>
      </x:c>
      <x:c r="D16" s="32" t="str">
        <x:v>医疗服务、临床应用与健康管理</x:v>
      </x:c>
      <x:c r="E16" s="33" t="n">
        <x:f>COUNTIFS('匹配表'!$A$2:$A$358,B16,'匹配表'!$B$2:$B$358,D16)</x:f>
        <x:v>7</x:v>
      </x:c>
      <x:c r="F16" s="33" t="str">
        <x:f>IF(E16&gt;=1,"已覆盖","缺失")</x:f>
        <x:v>已覆盖</x:v>
      </x:c>
    </x:row>
    <x:row r="17" ht="30" customHeight="1">
      <x:c r="A17" s="33" t="n">
        <x:v>13</x:v>
      </x:c>
      <x:c r="B17" s="32" t="str">
        <x:v>新能源与电力装备产业链</x:v>
      </x:c>
      <x:c r="C17" s="33" t="str">
        <x:v>上游</x:v>
      </x:c>
      <x:c r="D17" s="32" t="str">
        <x:v>新能源材料、电芯与发电设备</x:v>
      </x:c>
      <x:c r="E17" s="33" t="n">
        <x:f>COUNTIFS('匹配表'!$A$2:$A$358,B17,'匹配表'!$B$2:$B$358,D17)</x:f>
        <x:v>5</x:v>
      </x:c>
      <x:c r="F17" s="33" t="str">
        <x:f>IF(E17&gt;=1,"已覆盖","缺失")</x:f>
        <x:v>已覆盖</x:v>
      </x:c>
    </x:row>
    <x:row r="18" ht="30" customHeight="1">
      <x:c r="A18" s="33" t="n">
        <x:v>14</x:v>
      </x:c>
      <x:c r="B18" s="32" t="str">
        <x:v>新能源与电力装备产业链</x:v>
      </x:c>
      <x:c r="C18" s="33" t="str">
        <x:v>中游</x:v>
      </x:c>
      <x:c r="D18" s="32" t="str">
        <x:v>发电、储能与输配电装备</x:v>
      </x:c>
      <x:c r="E18" s="33" t="n">
        <x:f>COUNTIFS('匹配表'!$A$2:$A$358,B18,'匹配表'!$B$2:$B$358,D18)</x:f>
        <x:v>7</x:v>
      </x:c>
      <x:c r="F18" s="33" t="str">
        <x:f>IF(E18&gt;=1,"已覆盖","缺失")</x:f>
        <x:v>已覆盖</x:v>
      </x:c>
    </x:row>
    <x:row r="19" ht="30" customHeight="1">
      <x:c r="A19" s="33" t="n">
        <x:v>15</x:v>
      </x:c>
      <x:c r="B19" s="32" t="str">
        <x:v>新能源与电力装备产业链</x:v>
      </x:c>
      <x:c r="C19" s="33" t="str">
        <x:v>下游</x:v>
      </x:c>
      <x:c r="D19" s="32" t="str">
        <x:v>电力消纳、能源服务与场景应用</x:v>
      </x:c>
      <x:c r="E19" s="33" t="n">
        <x:f>COUNTIFS('匹配表'!$A$2:$A$358,B19,'匹配表'!$B$2:$B$358,D19)</x:f>
        <x:v>4</x:v>
      </x:c>
      <x:c r="F19" s="33" t="str">
        <x:f>IF(E19&gt;=1,"已覆盖","缺失")</x:f>
        <x:v>已覆盖</x:v>
      </x:c>
    </x:row>
    <x:row r="20" ht="30" customHeight="1">
      <x:c r="A20" s="33" t="n">
        <x:v>16</x:v>
      </x:c>
      <x:c r="B20" s="32" t="str">
        <x:v>智能物联与消费电子产业链</x:v>
      </x:c>
      <x:c r="C20" s="33" t="str">
        <x:v>上游</x:v>
      </x:c>
      <x:c r="D20" s="32" t="str">
        <x:v>传感器、芯片模组与基础器件</x:v>
      </x:c>
      <x:c r="E20" s="33" t="n">
        <x:f>COUNTIFS('匹配表'!$A$2:$A$358,B20,'匹配表'!$B$2:$B$358,D20)</x:f>
        <x:v>6</x:v>
      </x:c>
      <x:c r="F20" s="33" t="str">
        <x:f>IF(E20&gt;=1,"已覆盖","缺失")</x:f>
        <x:v>已覆盖</x:v>
      </x:c>
    </x:row>
    <x:row r="21" ht="30" customHeight="1">
      <x:c r="A21" s="33" t="n">
        <x:v>17</x:v>
      </x:c>
      <x:c r="B21" s="32" t="str">
        <x:v>智能物联与消费电子产业链</x:v>
      </x:c>
      <x:c r="C21" s="33" t="str">
        <x:v>中游</x:v>
      </x:c>
      <x:c r="D21" s="32" t="str">
        <x:v>智能终端、家电与物联平台</x:v>
      </x:c>
      <x:c r="E21" s="33" t="n">
        <x:f>COUNTIFS('匹配表'!$A$2:$A$358,B21,'匹配表'!$B$2:$B$358,D21)</x:f>
        <x:v>7</x:v>
      </x:c>
      <x:c r="F21" s="33" t="str">
        <x:f>IF(E21&gt;=1,"已覆盖","缺失")</x:f>
        <x:v>已覆盖</x:v>
      </x:c>
    </x:row>
    <x:row r="22" ht="30" customHeight="1">
      <x:c r="A22" s="33" t="n">
        <x:v>18</x:v>
      </x:c>
      <x:c r="B22" s="32" t="str">
        <x:v>智能物联与消费电子产业链</x:v>
      </x:c>
      <x:c r="C22" s="33" t="str">
        <x:v>下游</x:v>
      </x:c>
      <x:c r="D22" s="32" t="str">
        <x:v>智慧家庭、行业物联与消费场景</x:v>
      </x:c>
      <x:c r="E22" s="33" t="n">
        <x:f>COUNTIFS('匹配表'!$A$2:$A$358,B22,'匹配表'!$B$2:$B$358,D22)</x:f>
        <x:v>6</x:v>
      </x:c>
      <x:c r="F22" s="33" t="str">
        <x:f>IF(E22&gt;=1,"已覆盖","缺失")</x:f>
        <x:v>已覆盖</x:v>
      </x:c>
    </x:row>
    <x:row r="23" ht="30" customHeight="1">
      <x:c r="A23" s="33" t="n">
        <x:v>19</x:v>
      </x:c>
      <x:c r="B23" s="32" t="str">
        <x:v>石油化工产业链</x:v>
      </x:c>
      <x:c r="C23" s="33" t="str">
        <x:v>上游</x:v>
      </x:c>
      <x:c r="D23" s="32" t="str">
        <x:v>油气资源与基础化工原料</x:v>
      </x:c>
      <x:c r="E23" s="33" t="n">
        <x:f>COUNTIFS('匹配表'!$A$2:$A$358,B23,'匹配表'!$B$2:$B$358,D23)</x:f>
        <x:v>9</x:v>
      </x:c>
      <x:c r="F23" s="33" t="str">
        <x:f>IF(E23&gt;=1,"已覆盖","缺失")</x:f>
        <x:v>已覆盖</x:v>
      </x:c>
    </x:row>
    <x:row r="24" ht="30" customHeight="1">
      <x:c r="A24" s="33" t="n">
        <x:v>20</x:v>
      </x:c>
      <x:c r="B24" s="32" t="str">
        <x:v>石油化工产业链</x:v>
      </x:c>
      <x:c r="C24" s="33" t="str">
        <x:v>中游</x:v>
      </x:c>
      <x:c r="D24" s="32" t="str">
        <x:v>炼化加工与化工材料制造</x:v>
      </x:c>
      <x:c r="E24" s="33" t="n">
        <x:f>COUNTIFS('匹配表'!$A$2:$A$358,B24,'匹配表'!$B$2:$B$358,D24)</x:f>
        <x:v>6</x:v>
      </x:c>
      <x:c r="F24" s="33" t="str">
        <x:f>IF(E24&gt;=1,"已覆盖","缺失")</x:f>
        <x:v>已覆盖</x:v>
      </x:c>
    </x:row>
    <x:row r="25" ht="30" customHeight="1">
      <x:c r="A25" s="33" t="n">
        <x:v>21</x:v>
      </x:c>
      <x:c r="B25" s="32" t="str">
        <x:v>石油化工产业链</x:v>
      </x:c>
      <x:c r="C25" s="33" t="str">
        <x:v>下游</x:v>
      </x:c>
      <x:c r="D25" s="32" t="str">
        <x:v>化工制品与终端应用</x:v>
      </x:c>
      <x:c r="E25" s="33" t="n">
        <x:f>COUNTIFS('匹配表'!$A$2:$A$358,B25,'匹配表'!$B$2:$B$358,D25)</x:f>
        <x:v>9</x:v>
      </x:c>
      <x:c r="F25" s="33" t="str">
        <x:f>IF(E25&gt;=1,"已覆盖","缺失")</x:f>
        <x:v>已覆盖</x:v>
      </x:c>
    </x:row>
    <x:row r="26" ht="30" customHeight="1">
      <x:c r="A26" s="33" t="n">
        <x:v>22</x:v>
      </x:c>
      <x:c r="B26" s="32" t="str">
        <x:v>汽车与智能网联汽车产业链</x:v>
      </x:c>
      <x:c r="C26" s="33" t="str">
        <x:v>上游</x:v>
      </x:c>
      <x:c r="D26" s="32" t="str">
        <x:v>汽车材料、零部件与电子电气</x:v>
      </x:c>
      <x:c r="E26" s="33" t="n">
        <x:f>COUNTIFS('匹配表'!$A$2:$A$358,B26,'匹配表'!$B$2:$B$358,D26)</x:f>
        <x:v>7</x:v>
      </x:c>
      <x:c r="F26" s="33" t="str">
        <x:f>IF(E26&gt;=1,"已覆盖","缺失")</x:f>
        <x:v>已覆盖</x:v>
      </x:c>
    </x:row>
    <x:row r="27" ht="30" customHeight="1">
      <x:c r="A27" s="33" t="n">
        <x:v>23</x:v>
      </x:c>
      <x:c r="B27" s="32" t="str">
        <x:v>汽车与智能网联汽车产业链</x:v>
      </x:c>
      <x:c r="C27" s="33" t="str">
        <x:v>中游</x:v>
      </x:c>
      <x:c r="D27" s="32" t="str">
        <x:v>整车制造与智能网联系统集成</x:v>
      </x:c>
      <x:c r="E27" s="33" t="n">
        <x:f>COUNTIFS('匹配表'!$A$2:$A$358,B27,'匹配表'!$B$2:$B$358,D27)</x:f>
        <x:v>5</x:v>
      </x:c>
      <x:c r="F27" s="33" t="str">
        <x:f>IF(E27&gt;=1,"已覆盖","缺失")</x:f>
        <x:v>已覆盖</x:v>
      </x:c>
    </x:row>
    <x:row r="28" ht="30" customHeight="1">
      <x:c r="A28" s="33" t="n">
        <x:v>24</x:v>
      </x:c>
      <x:c r="B28" s="32" t="str">
        <x:v>汽车与智能网联汽车产业链</x:v>
      </x:c>
      <x:c r="C28" s="33" t="str">
        <x:v>下游</x:v>
      </x:c>
      <x:c r="D28" s="32" t="str">
        <x:v>出行服务、后市场与自动驾驶应用</x:v>
      </x:c>
      <x:c r="E28" s="33" t="n">
        <x:f>COUNTIFS('匹配表'!$A$2:$A$358,B28,'匹配表'!$B$2:$B$358,D28)</x:f>
        <x:v>6</x:v>
      </x:c>
      <x:c r="F28" s="33" t="str">
        <x:f>IF(E28&gt;=1,"已覆盖","缺失")</x:f>
        <x:v>已覆盖</x:v>
      </x:c>
    </x:row>
    <x:row r="29" ht="30" customHeight="1">
      <x:c r="A29" s="33" t="n">
        <x:v>25</x:v>
      </x:c>
      <x:c r="B29" s="32" t="str">
        <x:v>食品饮料产业链</x:v>
      </x:c>
      <x:c r="C29" s="33" t="str">
        <x:v>上游</x:v>
      </x:c>
      <x:c r="D29" s="32" t="str">
        <x:v>农产品原料与食品配料</x:v>
      </x:c>
      <x:c r="E29" s="33" t="n">
        <x:f>COUNTIFS('匹配表'!$A$2:$A$358,B29,'匹配表'!$B$2:$B$358,D29)</x:f>
        <x:v>8</x:v>
      </x:c>
      <x:c r="F29" s="33" t="str">
        <x:f>IF(E29&gt;=1,"已覆盖","缺失")</x:f>
        <x:v>已覆盖</x:v>
      </x:c>
    </x:row>
    <x:row r="30" ht="30" customHeight="1">
      <x:c r="A30" s="33" t="n">
        <x:v>26</x:v>
      </x:c>
      <x:c r="B30" s="32" t="str">
        <x:v>食品饮料产业链</x:v>
      </x:c>
      <x:c r="C30" s="33" t="str">
        <x:v>中游</x:v>
      </x:c>
      <x:c r="D30" s="32" t="str">
        <x:v>食品饮料加工制造</x:v>
      </x:c>
      <x:c r="E30" s="33" t="n">
        <x:f>COUNTIFS('匹配表'!$A$2:$A$358,B30,'匹配表'!$B$2:$B$358,D30)</x:f>
        <x:v>11</x:v>
      </x:c>
      <x:c r="F30" s="33" t="str">
        <x:f>IF(E30&gt;=1,"已覆盖","缺失")</x:f>
        <x:v>已覆盖</x:v>
      </x:c>
    </x:row>
    <x:row r="31" ht="30" customHeight="1">
      <x:c r="A31" s="33" t="n">
        <x:v>27</x:v>
      </x:c>
      <x:c r="B31" s="32" t="str">
        <x:v>食品饮料产业链</x:v>
      </x:c>
      <x:c r="C31" s="33" t="str">
        <x:v>下游</x:v>
      </x:c>
      <x:c r="D31" s="32" t="str">
        <x:v>品牌渠道、餐饮零售与消费服务</x:v>
      </x:c>
      <x:c r="E31" s="33" t="n">
        <x:f>COUNTIFS('匹配表'!$A$2:$A$358,B31,'匹配表'!$B$2:$B$358,D31)</x:f>
        <x:v>7</x:v>
      </x:c>
      <x:c r="F31" s="33" t="str">
        <x:f>IF(E31&gt;=1,"已覆盖","缺失")</x:f>
        <x:v>已覆盖</x:v>
      </x:c>
    </x:row>
    <x:row r="32" ht="30" customHeight="1">
      <x:c r="A32" s="33" t="n">
        <x:v>28</x:v>
      </x:c>
      <x:c r="B32" s="32" t="str">
        <x:v>新一代信息基础设施产业链</x:v>
      </x:c>
      <x:c r="C32" s="33" t="str">
        <x:v>上游</x:v>
      </x:c>
      <x:c r="D32" s="32" t="str">
        <x:v>通信与算力硬件设备</x:v>
      </x:c>
      <x:c r="E32" s="33" t="n">
        <x:f>COUNTIFS('匹配表'!$A$2:$A$358,B32,'匹配表'!$B$2:$B$358,D32)</x:f>
        <x:v>6</x:v>
      </x:c>
      <x:c r="F32" s="33" t="str">
        <x:f>IF(E32&gt;=1,"已覆盖","缺失")</x:f>
        <x:v>已覆盖</x:v>
      </x:c>
    </x:row>
    <x:row r="33" ht="30" customHeight="1">
      <x:c r="A33" s="33" t="n">
        <x:v>29</x:v>
      </x:c>
      <x:c r="B33" s="32" t="str">
        <x:v>新一代信息基础设施产业链</x:v>
      </x:c>
      <x:c r="C33" s="33" t="str">
        <x:v>中游</x:v>
      </x:c>
      <x:c r="D33" s="32" t="str">
        <x:v>5G网络、数据中心与云边平台</x:v>
      </x:c>
      <x:c r="E33" s="33" t="n">
        <x:f>COUNTIFS('匹配表'!$A$2:$A$358,B33,'匹配表'!$B$2:$B$358,D33)</x:f>
        <x:v>6</x:v>
      </x:c>
      <x:c r="F33" s="33" t="str">
        <x:f>IF(E33&gt;=1,"已覆盖","缺失")</x:f>
        <x:v>已覆盖</x:v>
      </x:c>
    </x:row>
    <x:row r="34" ht="30" customHeight="1">
      <x:c r="A34" s="33" t="n">
        <x:v>30</x:v>
      </x:c>
      <x:c r="B34" s="32" t="str">
        <x:v>新一代信息基础设施产业链</x:v>
      </x:c>
      <x:c r="C34" s="33" t="str">
        <x:v>下游</x:v>
      </x:c>
      <x:c r="D34" s="32" t="str">
        <x:v>云网算服务与行业数字化支撑</x:v>
      </x:c>
      <x:c r="E34" s="33" t="n">
        <x:f>COUNTIFS('匹配表'!$A$2:$A$358,B34,'匹配表'!$B$2:$B$358,D34)</x:f>
        <x:v>6</x:v>
      </x:c>
      <x:c r="F34" s="33" t="str">
        <x:f>IF(E34&gt;=1,"已覆盖","缺失")</x:f>
        <x:v>已覆盖</x:v>
      </x:c>
    </x:row>
    <x:row r="35" ht="30" customHeight="1">
      <x:c r="A35" s="33" t="n">
        <x:v>31</x:v>
      </x:c>
      <x:c r="B35" s="32" t="str">
        <x:v>绿色环保与资源循环产业链</x:v>
      </x:c>
      <x:c r="C35" s="33" t="str">
        <x:v>上游</x:v>
      </x:c>
      <x:c r="D35" s="32" t="str">
        <x:v>环保装备、监测与资源回收基础</x:v>
      </x:c>
      <x:c r="E35" s="33" t="n">
        <x:f>COUNTIFS('匹配表'!$A$2:$A$358,B35,'匹配表'!$B$2:$B$358,D35)</x:f>
        <x:v>6</x:v>
      </x:c>
      <x:c r="F35" s="33" t="str">
        <x:f>IF(E35&gt;=1,"已覆盖","缺失")</x:f>
        <x:v>已覆盖</x:v>
      </x:c>
    </x:row>
    <x:row r="36" ht="30" customHeight="1">
      <x:c r="A36" s="33" t="n">
        <x:v>32</x:v>
      </x:c>
      <x:c r="B36" s="32" t="str">
        <x:v>绿色环保与资源循环产业链</x:v>
      </x:c>
      <x:c r="C36" s="33" t="str">
        <x:v>中游</x:v>
      </x:c>
      <x:c r="D36" s="32" t="str">
        <x:v>污染治理与节能降碳服务</x:v>
      </x:c>
      <x:c r="E36" s="33" t="n">
        <x:f>COUNTIFS('匹配表'!$A$2:$A$358,B36,'匹配表'!$B$2:$B$358,D36)</x:f>
        <x:v>8</x:v>
      </x:c>
      <x:c r="F36" s="33" t="str">
        <x:f>IF(E36&gt;=1,"已覆盖","缺失")</x:f>
        <x:v>已覆盖</x:v>
      </x:c>
    </x:row>
    <x:row r="37" ht="30" customHeight="1">
      <x:c r="A37" s="33" t="n">
        <x:v>33</x:v>
      </x:c>
      <x:c r="B37" s="32" t="str">
        <x:v>绿色环保与资源循环产业链</x:v>
      </x:c>
      <x:c r="C37" s="33" t="str">
        <x:v>下游</x:v>
      </x:c>
      <x:c r="D37" s="32" t="str">
        <x:v>园区、市政与企业绿色运营</x:v>
      </x:c>
      <x:c r="E37" s="33" t="n">
        <x:f>COUNTIFS('匹配表'!$A$2:$A$358,B37,'匹配表'!$B$2:$B$358,D37)</x:f>
        <x:v>6</x:v>
      </x:c>
      <x:c r="F37" s="33" t="str">
        <x:f>IF(E37&gt;=1,"已覆盖","缺失")</x:f>
        <x:v>已覆盖</x:v>
      </x:c>
    </x:row>
    <x:row r="38" ht="30" customHeight="1">
      <x:c r="A38" s="33" t="n">
        <x:v>34</x:v>
      </x:c>
      <x:c r="B38" s="32" t="str">
        <x:v>新材料产业链</x:v>
      </x:c>
      <x:c r="C38" s="33" t="str">
        <x:v>上游</x:v>
      </x:c>
      <x:c r="D38" s="32" t="str">
        <x:v>矿物、化工与基础材料原料</x:v>
      </x:c>
      <x:c r="E38" s="33" t="n">
        <x:f>COUNTIFS('匹配表'!$A$2:$A$358,B38,'匹配表'!$B$2:$B$358,D38)</x:f>
        <x:v>5</x:v>
      </x:c>
      <x:c r="F38" s="33" t="str">
        <x:f>IF(E38&gt;=1,"已覆盖","缺失")</x:f>
        <x:v>已覆盖</x:v>
      </x:c>
    </x:row>
    <x:row r="39" ht="30" customHeight="1">
      <x:c r="A39" s="33" t="n">
        <x:v>35</x:v>
      </x:c>
      <x:c r="B39" s="32" t="str">
        <x:v>新材料产业链</x:v>
      </x:c>
      <x:c r="C39" s="33" t="str">
        <x:v>中游</x:v>
      </x:c>
      <x:c r="D39" s="32" t="str">
        <x:v>先进材料制备与加工</x:v>
      </x:c>
      <x:c r="E39" s="33" t="n">
        <x:f>COUNTIFS('匹配表'!$A$2:$A$358,B39,'匹配表'!$B$2:$B$358,D39)</x:f>
        <x:v>10</x:v>
      </x:c>
      <x:c r="F39" s="33" t="str">
        <x:f>IF(E39&gt;=1,"已覆盖","缺失")</x:f>
        <x:v>已覆盖</x:v>
      </x:c>
    </x:row>
    <x:row r="40" ht="30" customHeight="1">
      <x:c r="A40" s="33" t="n">
        <x:v>36</x:v>
      </x:c>
      <x:c r="B40" s="32" t="str">
        <x:v>新材料产业链</x:v>
      </x:c>
      <x:c r="C40" s="33" t="str">
        <x:v>下游</x:v>
      </x:c>
      <x:c r="D40" s="32" t="str">
        <x:v>材料应用与高端制造配套</x:v>
      </x:c>
      <x:c r="E40" s="33" t="n">
        <x:f>COUNTIFS('匹配表'!$A$2:$A$358,B40,'匹配表'!$B$2:$B$358,D40)</x:f>
        <x:v>6</x:v>
      </x:c>
      <x:c r="F40" s="33" t="str">
        <x:f>IF(E40&gt;=1,"已覆盖","缺失")</x:f>
        <x:v>已覆盖</x:v>
      </x:c>
    </x:row>
    <x:row r="41" ht="30" customHeight="1">
      <x:c r="A41" s="33" t="n">
        <x:v>37</x:v>
      </x:c>
      <x:c r="B41" s="32" t="str">
        <x:v>空天装备与低空经济产业链</x:v>
      </x:c>
      <x:c r="C41" s="33" t="str">
        <x:v>上游</x:v>
      </x:c>
      <x:c r="D41" s="32" t="str">
        <x:v>航空航天材料、零部件与核心系统</x:v>
      </x:c>
      <x:c r="E41" s="33" t="n">
        <x:f>COUNTIFS('匹配表'!$A$2:$A$358,B41,'匹配表'!$B$2:$B$358,D41)</x:f>
        <x:v>6</x:v>
      </x:c>
      <x:c r="F41" s="33" t="str">
        <x:f>IF(E41&gt;=1,"已覆盖","缺失")</x:f>
        <x:v>已覆盖</x:v>
      </x:c>
    </x:row>
    <x:row r="42" ht="30" customHeight="1">
      <x:c r="A42" s="33" t="n">
        <x:v>38</x:v>
      </x:c>
      <x:c r="B42" s="32" t="str">
        <x:v>空天装备与低空经济产业链</x:v>
      </x:c>
      <x:c r="C42" s="33" t="str">
        <x:v>中游</x:v>
      </x:c>
      <x:c r="D42" s="32" t="str">
        <x:v>空天装备制造与低空飞行器</x:v>
      </x:c>
      <x:c r="E42" s="33" t="n">
        <x:f>COUNTIFS('匹配表'!$A$2:$A$358,B42,'匹配表'!$B$2:$B$358,D42)</x:f>
        <x:v>4</x:v>
      </x:c>
      <x:c r="F42" s="33" t="str">
        <x:f>IF(E42&gt;=1,"已覆盖","缺失")</x:f>
        <x:v>已覆盖</x:v>
      </x:c>
    </x:row>
    <x:row r="43" ht="30" customHeight="1">
      <x:c r="A43" s="33" t="n">
        <x:v>39</x:v>
      </x:c>
      <x:c r="B43" s="32" t="str">
        <x:v>空天装备与低空经济产业链</x:v>
      </x:c>
      <x:c r="C43" s="33" t="str">
        <x:v>下游</x:v>
      </x:c>
      <x:c r="D43" s="32" t="str">
        <x:v>低空运营、空域服务与场景应用</x:v>
      </x:c>
      <x:c r="E43" s="33" t="n">
        <x:f>COUNTIFS('匹配表'!$A$2:$A$358,B43,'匹配表'!$B$2:$B$358,D43)</x:f>
        <x:v>7</x:v>
      </x:c>
      <x:c r="F43" s="33" t="str">
        <x:f>IF(E43&gt;=1,"已覆盖","缺失")</x:f>
        <x:v>已覆盖</x:v>
      </x:c>
    </x:row>
    <x:row r="44" ht="30" customHeight="1">
      <x:c r="A44" s="33" t="n">
        <x:v>40</x:v>
      </x:c>
      <x:c r="B44" s="32" t="str">
        <x:v>机器人产业链</x:v>
      </x:c>
      <x:c r="C44" s="33" t="str">
        <x:v>上游</x:v>
      </x:c>
      <x:c r="D44" s="32" t="str">
        <x:v>核心零部件、控制器与传感系统</x:v>
      </x:c>
      <x:c r="E44" s="33" t="n">
        <x:f>COUNTIFS('匹配表'!$A$2:$A$358,B44,'匹配表'!$B$2:$B$358,D44)</x:f>
        <x:v>5</x:v>
      </x:c>
      <x:c r="F44" s="33" t="str">
        <x:f>IF(E44&gt;=1,"已覆盖","缺失")</x:f>
        <x:v>已覆盖</x:v>
      </x:c>
    </x:row>
    <x:row r="45" ht="30" customHeight="1">
      <x:c r="A45" s="33" t="n">
        <x:v>41</x:v>
      </x:c>
      <x:c r="B45" s="32" t="str">
        <x:v>机器人产业链</x:v>
      </x:c>
      <x:c r="C45" s="33" t="str">
        <x:v>中游</x:v>
      </x:c>
      <x:c r="D45" s="32" t="str">
        <x:v>机器人本体制造与系统集成</x:v>
      </x:c>
      <x:c r="E45" s="33" t="n">
        <x:f>COUNTIFS('匹配表'!$A$2:$A$358,B45,'匹配表'!$B$2:$B$358,D45)</x:f>
        <x:v>4</x:v>
      </x:c>
      <x:c r="F45" s="33" t="str">
        <x:f>IF(E45&gt;=1,"已覆盖","缺失")</x:f>
        <x:v>已覆盖</x:v>
      </x:c>
    </x:row>
    <x:row r="46" ht="30" customHeight="1">
      <x:c r="A46" s="33" t="n">
        <x:v>42</x:v>
      </x:c>
      <x:c r="B46" s="32" t="str">
        <x:v>机器人产业链</x:v>
      </x:c>
      <x:c r="C46" s="33" t="str">
        <x:v>下游</x:v>
      </x:c>
      <x:c r="D46" s="32" t="str">
        <x:v>工业、服务与特种场景应用</x:v>
      </x:c>
      <x:c r="E46" s="33" t="n">
        <x:f>COUNTIFS('匹配表'!$A$2:$A$358,B46,'匹配表'!$B$2:$B$358,D46)</x:f>
        <x:v>5</x:v>
      </x:c>
      <x:c r="F46" s="33" t="str">
        <x:f>IF(E46&gt;=1,"已覆盖","缺失")</x:f>
        <x:v>已覆盖</x:v>
      </x:c>
    </x:row>
    <x:row r="47" ht="30" customHeight="1">
      <x:c r="A47" s="33" t="n">
        <x:v>43</x:v>
      </x:c>
      <x:c r="B47" s="32" t="str">
        <x:v>人工智能产业链</x:v>
      </x:c>
      <x:c r="C47" s="33" t="str">
        <x:v>上游</x:v>
      </x:c>
      <x:c r="D47" s="32" t="str">
        <x:v>数据、算力与模型基础</x:v>
      </x:c>
      <x:c r="E47" s="33" t="n">
        <x:f>COUNTIFS('匹配表'!$A$2:$A$358,B47,'匹配表'!$B$2:$B$358,D47)</x:f>
        <x:v>6</x:v>
      </x:c>
      <x:c r="F47" s="33" t="str">
        <x:f>IF(E47&gt;=1,"已覆盖","缺失")</x:f>
        <x:v>已覆盖</x:v>
      </x:c>
    </x:row>
    <x:row r="48" ht="30" customHeight="1">
      <x:c r="A48" s="33" t="n">
        <x:v>44</x:v>
      </x:c>
      <x:c r="B48" s="32" t="str">
        <x:v>人工智能产业链</x:v>
      </x:c>
      <x:c r="C48" s="33" t="str">
        <x:v>中游</x:v>
      </x:c>
      <x:c r="D48" s="32" t="str">
        <x:v>智能感知、语音视觉与平台工具</x:v>
      </x:c>
      <x:c r="E48" s="33" t="n">
        <x:f>COUNTIFS('匹配表'!$A$2:$A$358,B48,'匹配表'!$B$2:$B$358,D48)</x:f>
        <x:v>5</x:v>
      </x:c>
      <x:c r="F48" s="33" t="str">
        <x:f>IF(E48&gt;=1,"已覆盖","缺失")</x:f>
        <x:v>已覆盖</x:v>
      </x:c>
    </x:row>
    <x:row r="49" ht="30" customHeight="1">
      <x:c r="A49" s="33" t="n">
        <x:v>45</x:v>
      </x:c>
      <x:c r="B49" s="32" t="str">
        <x:v>人工智能产业链</x:v>
      </x:c>
      <x:c r="C49" s="33" t="str">
        <x:v>下游</x:v>
      </x:c>
      <x:c r="D49" s="32" t="str">
        <x:v>行业智能化应用与AI服务</x:v>
      </x:c>
      <x:c r="E49" s="33" t="n">
        <x:f>COUNTIFS('匹配表'!$A$2:$A$358,B49,'匹配表'!$B$2:$B$358,D49)</x:f>
        <x:v>6</x:v>
      </x:c>
      <x:c r="F49" s="33" t="str">
        <x:f>IF(E49&gt;=1,"已覆盖","缺失")</x:f>
        <x:v>已覆盖</x:v>
      </x:c>
    </x:row>
    <x:row r="50" ht="30" customHeight="1">
      <x:c r="A50" s="33" t="n">
        <x:v>46</x:v>
      </x:c>
      <x:c r="B50" s="32" t="str">
        <x:v>半导体与集成电路产业链</x:v>
      </x:c>
      <x:c r="C50" s="33" t="str">
        <x:v>上游</x:v>
      </x:c>
      <x:c r="D50" s="32" t="str">
        <x:v>半导体材料与制造设备</x:v>
      </x:c>
      <x:c r="E50" s="33" t="n">
        <x:f>COUNTIFS('匹配表'!$A$2:$A$358,B50,'匹配表'!$B$2:$B$358,D50)</x:f>
        <x:v>5</x:v>
      </x:c>
      <x:c r="F50" s="33" t="str">
        <x:f>IF(E50&gt;=1,"已覆盖","缺失")</x:f>
        <x:v>已覆盖</x:v>
      </x:c>
    </x:row>
    <x:row r="51" ht="30" customHeight="1">
      <x:c r="A51" s="33" t="n">
        <x:v>47</x:v>
      </x:c>
      <x:c r="B51" s="32" t="str">
        <x:v>半导体与集成电路产业链</x:v>
      </x:c>
      <x:c r="C51" s="33" t="str">
        <x:v>中游</x:v>
      </x:c>
      <x:c r="D51" s="32" t="str">
        <x:v>芯片设计、制造、封测与集成电路</x:v>
      </x:c>
      <x:c r="E51" s="33" t="n">
        <x:f>COUNTIFS('匹配表'!$A$2:$A$358,B51,'匹配表'!$B$2:$B$358,D51)</x:f>
        <x:v>5</x:v>
      </x:c>
      <x:c r="F51" s="33" t="str">
        <x:f>IF(E51&gt;=1,"已覆盖","缺失")</x:f>
        <x:v>已覆盖</x:v>
      </x:c>
    </x:row>
    <x:row r="52" ht="30" customHeight="1">
      <x:c r="A52" s="33" t="n">
        <x:v>48</x:v>
      </x:c>
      <x:c r="B52" s="32" t="str">
        <x:v>半导体与集成电路产业链</x:v>
      </x:c>
      <x:c r="C52" s="33" t="str">
        <x:v>下游</x:v>
      </x:c>
      <x:c r="D52" s="32" t="str">
        <x:v>电子终端、汽车与工业芯片应用</x:v>
      </x:c>
      <x:c r="E52" s="33" t="n">
        <x:f>COUNTIFS('匹配表'!$A$2:$A$358,B52,'匹配表'!$B$2:$B$358,D52)</x:f>
        <x:v>5</x:v>
      </x:c>
      <x:c r="F52" s="33" t="str">
        <x:f>IF(E52&gt;=1,"已覆盖","缺失")</x:f>
        <x:v>已覆盖</x:v>
      </x:c>
    </x:row>
    <x:row r="53" ht="30" customHeight="1">
      <x:c r="A53" s="33" t="n">
        <x:v>49</x:v>
      </x:c>
      <x:c r="B53" s="32" t="str">
        <x:v>纺织产业链</x:v>
      </x:c>
      <x:c r="C53" s="33" t="str">
        <x:v>上游</x:v>
      </x:c>
      <x:c r="D53" s="32" t="str">
        <x:v>纤维原料与纺织材料</x:v>
      </x:c>
      <x:c r="E53" s="33" t="n">
        <x:f>COUNTIFS('匹配表'!$A$2:$A$358,B53,'匹配表'!$B$2:$B$358,D53)</x:f>
        <x:v>6</x:v>
      </x:c>
      <x:c r="F53" s="33" t="str">
        <x:f>IF(E53&gt;=1,"已覆盖","缺失")</x:f>
        <x:v>已覆盖</x:v>
      </x:c>
    </x:row>
    <x:row r="54" ht="30" customHeight="1">
      <x:c r="A54" s="33" t="n">
        <x:v>50</x:v>
      </x:c>
      <x:c r="B54" s="32" t="str">
        <x:v>纺织产业链</x:v>
      </x:c>
      <x:c r="C54" s="33" t="str">
        <x:v>中游</x:v>
      </x:c>
      <x:c r="D54" s="32" t="str">
        <x:v>纺纱织造、印染与面料制造</x:v>
      </x:c>
      <x:c r="E54" s="33" t="n">
        <x:f>COUNTIFS('匹配表'!$A$2:$A$358,B54,'匹配表'!$B$2:$B$358,D54)</x:f>
        <x:v>10</x:v>
      </x:c>
      <x:c r="F54" s="33" t="str">
        <x:f>IF(E54&gt;=1,"已覆盖","缺失")</x:f>
        <x:v>已覆盖</x:v>
      </x:c>
    </x:row>
    <x:row r="55" ht="30" customHeight="1">
      <x:c r="A55" s="33" t="n">
        <x:v>51</x:v>
      </x:c>
      <x:c r="B55" s="32" t="str">
        <x:v>纺织产业链</x:v>
      </x:c>
      <x:c r="C55" s="33" t="str">
        <x:v>下游</x:v>
      </x:c>
      <x:c r="D55" s="32" t="str">
        <x:v>服装家纺、品牌渠道与终端消费</x:v>
      </x:c>
      <x:c r="E55" s="33" t="n">
        <x:f>COUNTIFS('匹配表'!$A$2:$A$358,B55,'匹配表'!$B$2:$B$358,D55)</x:f>
        <x:v>8</x:v>
      </x:c>
      <x:c r="F55" s="33" t="str">
        <x:f>IF(E55&gt;=1,"已覆盖","缺失")</x:f>
        <x:v>已覆盖</x:v>
      </x:c>
    </x:row>
    <x:row r="56" ht="30" customHeight="1">
      <x:c r="A56" s="33" t="n">
        <x:v>52</x:v>
      </x:c>
      <x:c r="B56" s="32" t="str">
        <x:v>新型显示与虚拟现实产业链</x:v>
      </x:c>
      <x:c r="C56" s="33" t="str">
        <x:v>上游</x:v>
      </x:c>
      <x:c r="D56" s="32" t="str">
        <x:v>显示材料、光学器件与核心部件</x:v>
      </x:c>
      <x:c r="E56" s="33" t="n">
        <x:f>COUNTIFS('匹配表'!$A$2:$A$358,B56,'匹配表'!$B$2:$B$358,D56)</x:f>
        <x:v>5</x:v>
      </x:c>
      <x:c r="F56" s="33" t="str">
        <x:f>IF(E56&gt;=1,"已覆盖","缺失")</x:f>
        <x:v>已覆盖</x:v>
      </x:c>
    </x:row>
    <x:row r="57" ht="30" customHeight="1">
      <x:c r="A57" s="33" t="n">
        <x:v>53</x:v>
      </x:c>
      <x:c r="B57" s="32" t="str">
        <x:v>新型显示与虚拟现实产业链</x:v>
      </x:c>
      <x:c r="C57" s="33" t="str">
        <x:v>中游</x:v>
      </x:c>
      <x:c r="D57" s="32" t="str">
        <x:v>显示面板、终端与VR设备制造</x:v>
      </x:c>
      <x:c r="E57" s="33" t="n">
        <x:f>COUNTIFS('匹配表'!$A$2:$A$358,B57,'匹配表'!$B$2:$B$358,D57)</x:f>
        <x:v>5</x:v>
      </x:c>
      <x:c r="F57" s="33" t="str">
        <x:f>IF(E57&gt;=1,"已覆盖","缺失")</x:f>
        <x:v>已覆盖</x:v>
      </x:c>
    </x:row>
    <x:row r="58" ht="30" customHeight="1">
      <x:c r="A58" s="33" t="n">
        <x:v>54</x:v>
      </x:c>
      <x:c r="B58" s="32" t="str">
        <x:v>新型显示与虚拟现实产业链</x:v>
      </x:c>
      <x:c r="C58" s="33" t="str">
        <x:v>下游</x:v>
      </x:c>
      <x:c r="D58" s="32" t="str">
        <x:v>沉浸式内容、行业应用与消费场景</x:v>
      </x:c>
      <x:c r="E58" s="33" t="n">
        <x:f>COUNTIFS('匹配表'!$A$2:$A$358,B58,'匹配表'!$B$2:$B$358,D58)</x:f>
        <x:v>5</x:v>
      </x:c>
      <x:c r="F58" s="33" t="str">
        <x:f>IF(E58&gt;=1,"已覆盖","缺失")</x:f>
        <x:v>已覆盖</x:v>
      </x:c>
    </x:row>
    <x:row r="59" ht="30" customHeight="1">
      <x:c r="A59" s="33" t="n">
        <x:v>55</x:v>
      </x:c>
      <x:c r="B59" s="32" t="str">
        <x:v>软件与数字安全产业链</x:v>
      </x:c>
      <x:c r="C59" s="33" t="str">
        <x:v>上游</x:v>
      </x:c>
      <x:c r="D59" s="32" t="str">
        <x:v>基础软件、密码与可信技术</x:v>
      </x:c>
      <x:c r="E59" s="33" t="n">
        <x:f>COUNTIFS('匹配表'!$A$2:$A$358,B59,'匹配表'!$B$2:$B$358,D59)</x:f>
        <x:v>5</x:v>
      </x:c>
      <x:c r="F59" s="33" t="str">
        <x:f>IF(E59&gt;=1,"已覆盖","缺失")</x:f>
        <x:v>已覆盖</x:v>
      </x:c>
    </x:row>
    <x:row r="60" ht="30" customHeight="1">
      <x:c r="A60" s="33" t="n">
        <x:v>56</x:v>
      </x:c>
      <x:c r="B60" s="32" t="str">
        <x:v>软件与数字安全产业链</x:v>
      </x:c>
      <x:c r="C60" s="33" t="str">
        <x:v>中游</x:v>
      </x:c>
      <x:c r="D60" s="32" t="str">
        <x:v>应用软件、区块链平台与安全产品</x:v>
      </x:c>
      <x:c r="E60" s="33" t="n">
        <x:f>COUNTIFS('匹配表'!$A$2:$A$358,B60,'匹配表'!$B$2:$B$358,D60)</x:f>
        <x:v>6</x:v>
      </x:c>
      <x:c r="F60" s="33" t="str">
        <x:f>IF(E60&gt;=1,"已覆盖","缺失")</x:f>
        <x:v>已覆盖</x:v>
      </x:c>
    </x:row>
    <x:row r="61" ht="30" customHeight="1">
      <x:c r="A61" s="33" t="n">
        <x:v>57</x:v>
      </x:c>
      <x:c r="B61" s="32" t="str">
        <x:v>软件与数字安全产业链</x:v>
      </x:c>
      <x:c r="C61" s="33" t="str">
        <x:v>下游</x:v>
      </x:c>
      <x:c r="D61" s="32" t="str">
        <x:v>政企数字化、可信流通与安全运营</x:v>
      </x:c>
      <x:c r="E61" s="33" t="n">
        <x:f>COUNTIFS('匹配表'!$A$2:$A$358,B61,'匹配表'!$B$2:$B$358,D61)</x:f>
        <x:v>6</x:v>
      </x:c>
      <x:c r="F61" s="33" t="str">
        <x:f>IF(E61&gt;=1,"已覆盖","缺失")</x:f>
        <x:v>已覆盖</x:v>
      </x:c>
    </x:row>
    <x:row r="63" ht="32" customHeight="1">
      <x:c r="A63" s="36" t="str">
        <x:v>校验规则：每个源产业环节在“匹配表”中至少出现1行；同一产业环节匹配多个行业时按行拆分。</x:v>
      </x:c>
      <x:c r="B63" s="36" t="str">
        <x:v>校验规则：每个源产业环节在“匹配表”中至少出现1行；同一产业环节匹配多个行业时按行拆分。</x:v>
      </x:c>
      <x:c r="C63" s="36" t="str">
        <x:v>校验规则：每个源产业环节在“匹配表”中至少出现1行；同一产业环节匹配多个行业时按行拆分。</x:v>
      </x:c>
      <x:c r="D63" s="36" t="str">
        <x:v>校验规则：每个源产业环节在“匹配表”中至少出现1行；同一产业环节匹配多个行业时按行拆分。</x:v>
      </x:c>
      <x:c r="E63" s="36" t="str">
        <x:v>校验规则：每个源产业环节在“匹配表”中至少出现1行；同一产业环节匹配多个行业时按行拆分。</x:v>
      </x:c>
      <x:c r="F63" s="36" t="str">
        <x:v>校验规则：每个源产业环节在“匹配表”中至少出现1行；同一产业环节匹配多个行业时按行拆分。</x:v>
      </x:c>
    </x:row>
  </x:sheetData>
  <x:mergeCells>
    <x:mergeCell ref="A1:F1"/>
    <x:mergeCell ref="A63:F63"/>
  </x:mergeCells>
  <x:conditionalFormatting sqref="F5:F61">
    <x:cfRule type="containsText" dxfId="0" priority="1" operator="containsText" text="已覆盖"/>
    <x:cfRule type="containsText" dxfId="1" priority="2" operator="containsText" text="缺失"/>
  </x:conditionalFormatting>
  <x:pageMargins left="0.7" right="0.7" top="0.75" bottom="0.75" header="0.3" footer="0.3"/>
  <x:tableParts count="1">
    <x:tablePart xmlns:r="http://schemas.openxmlformats.org/officeDocument/2006/relationships" r:id="R7cc39509fbc84b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47.779998779296875" hidden="0" customWidth="1"/>
    <x:col min="3" max="3" width="55.560001373291016" hidden="0" customWidth="1"/>
  </x:cols>
  <x:sheetData>
    <x:row r="1" ht="34" customHeight="1">
      <x:c r="A1" s="15" t="str">
        <x:v>匹配口径与数据来源</x:v>
      </x:c>
      <x:c r="B1" s="15" t="str">
        <x:v>匹配口径与数据来源</x:v>
      </x:c>
      <x:c r="C1" s="15" t="str">
        <x:v>匹配口径与数据来源</x:v>
      </x:c>
    </x:row>
    <x:row r="3" ht="30" customHeight="1">
      <x:c r="A3" s="38" t="str">
        <x:v>项目</x:v>
      </x:c>
      <x:c r="B3" s="38" t="str">
        <x:v>说明</x:v>
      </x:c>
      <x:c r="C3" s="38" t="str">
        <x:v>来源/链接</x:v>
      </x:c>
    </x:row>
    <x:row r="4" ht="54" customHeight="1">
      <x:c r="A4" s="43" t="str">
        <x:v>使用标准</x:v>
      </x:c>
      <x:c r="B4" s="41" t="str">
        <x:v>GB/T 4754—2017《国民经济行业分类》（按第1号修改单修订）</x:v>
      </x:c>
      <x:c r="C4" s="41" t="str">
        <x:v>https://www.stats.gov.cn/sj/tjbz/gmjjhyfl/202302/P020230213400314380798.pdf</x:v>
      </x:c>
    </x:row>
    <x:row r="5" ht="54" customHeight="1">
      <x:c r="A5" s="43" t="str">
        <x:v>标准状态</x:v>
      </x:c>
      <x:c r="B5" s="41" t="str">
        <x:v>截至2026-08-06仍为现行标准；小类采用4位阿拉伯数字代码</x:v>
      </x:c>
      <x:c r="C5" s="41" t="str">
        <x:v>https://openstd.samr.gov.cn/bzgk/gb/newGbInfo?hcno=A703F0E23DD165A5A1318679F312D158</x:v>
      </x:c>
    </x:row>
    <x:row r="6" ht="54" customHeight="1">
      <x:c r="A6" s="43" t="str">
        <x:v>产业环节来源</x:v>
      </x:c>
      <x:c r="B6" s="41" t="str">
        <x:v>项目已标准化的19条产业链、57个产业环节</x:v>
      </x:c>
      <x:c r="C6" s="41" t="str">
        <x:v>output/industry-chain-stage-nodes/industry_chain_stage_nodes.csv</x:v>
      </x:c>
    </x:row>
    <x:row r="7" ht="54" customHeight="1">
      <x:c r="A7" s="43" t="str">
        <x:v>代码字典底稿</x:v>
      </x:c>
      <x:c r="B7" s="41" t="str">
        <x:v>项目内国民经济行业分类工作簿，并按国家统计局修订版标准原文校正</x:v>
      </x:c>
      <x:c r="C7" s="41" t="str">
        <x:v>V1.0需求（2026.6.11）/官方数据/国民经济行业分类_GBT4754-2017.xlsx</x:v>
      </x:c>
    </x:row>
    <x:row r="8" ht="54" customHeight="1">
      <x:c r="A8" s="43" t="str">
        <x:v>匹配原则</x:v>
      </x:c>
      <x:c r="B8" s="41" t="str">
        <x:v>按产业环节覆盖的核心对外经济活动建立多对多关系；宽口径环节匹配多个小类</x:v>
      </x:c>
      <x:c r="C8" s="41" t="str">
        <x:v>国家统计局：按单位主要活动确定行业归属</x:v>
      </x:c>
    </x:row>
    <x:row r="9" ht="54" customHeight="1">
      <x:c r="A9" s="43" t="str">
        <x:v>拆行规则</x:v>
      </x:c>
      <x:c r="B9" s="41" t="str">
        <x:v>同一产业环节匹配多个行业时，每个“产业环节—行业小类”关系单独占一行</x:v>
      </x:c>
      <x:c r="C9" s="41" t="str"/>
    </x:row>
    <x:row r="10" ht="54" customHeight="1">
      <x:c r="A10" s="43" t="str">
        <x:v>使用边界</x:v>
      </x:c>
      <x:c r="B10" s="41" t="str">
        <x:v>本表是产业环节与行业小类的关联字典，不代表某家企业的唯一行业归属；企业归类仍需按增加值、营业收入或从业人员等判断主要活动</x:v>
      </x:c>
      <x:c r="C10" s="41" t="str">
        <x:v>https://www.stats.gov.cn/hd/cjwtjd/202302/t20230207_1902279.html</x:v>
      </x:c>
    </x:row>
    <x:row r="11" ht="54" customHeight="1">
      <x:c r="A11" s="43" t="str">
        <x:v>完整性结果</x:v>
      </x:c>
      <x:c r="B11" s="41" t="str">
        <x:v>19条产业链、57个产业环节，全部至少匹配1个行业；共形成357条关联记录</x:v>
      </x:c>
      <x:c r="C11" s="41" t="str">
        <x:v>见“完整性校验”工作表</x:v>
      </x:c>
    </x:row>
    <x:row r="12" ht="54" customHeight="1">
      <x:c r="A12" s="43" t="str">
        <x:v>生成日期</x:v>
      </x:c>
      <x:c r="B12" s="41" t="str">
        <x:v>2026-08-06</x:v>
      </x:c>
      <x:c r="C12" s="41" t="str">
        <x:v>Asia/Shanghai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66ec14f584894509"/>
  </x:tableParts>
</x:worksheet>
</file>